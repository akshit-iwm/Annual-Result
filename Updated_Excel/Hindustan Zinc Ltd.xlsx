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A6F1F49-4AEC-4A86-B3B2-2D16AC1F2671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72" i="1" l="1"/>
  <c r="CM5" i="1"/>
  <c r="CN22" i="1"/>
  <c r="CR27" i="1"/>
  <c r="CN27" i="1"/>
  <c r="CO27" i="1" l="1"/>
  <c r="CP27" i="1" s="1"/>
  <c r="CN5" i="1"/>
  <c r="CO5" i="1" s="1"/>
  <c r="CP5" i="1" s="1"/>
  <c r="CQ5" i="1" s="1"/>
  <c r="CR5" i="1" s="1"/>
  <c r="CS5" i="1" s="1"/>
  <c r="CT5" i="1" s="1"/>
  <c r="CS27" i="1"/>
  <c r="CT27" i="1" s="1"/>
  <c r="CU27" i="1" s="1"/>
  <c r="CV27" i="1" s="1"/>
  <c r="CW27" i="1" s="1"/>
  <c r="CX27" i="1" s="1"/>
  <c r="CY27" i="1" s="1"/>
  <c r="CZ27" i="1" s="1"/>
  <c r="DA27" i="1" s="1"/>
  <c r="DB27" i="1" s="1"/>
  <c r="CO22" i="1"/>
  <c r="CN65" i="1"/>
  <c r="CO65" i="1" s="1"/>
  <c r="CP65" i="1" s="1"/>
  <c r="CM6" i="1"/>
  <c r="CL20" i="1"/>
  <c r="CL21" i="1"/>
  <c r="CL22" i="1"/>
  <c r="CL272" i="1"/>
  <c r="CR26" i="1"/>
  <c r="CS26" i="1" s="1"/>
  <c r="CT26" i="1" s="1"/>
  <c r="CN26" i="1"/>
  <c r="CP26" i="1" s="1"/>
  <c r="CL9" i="1"/>
  <c r="CR61" i="1"/>
  <c r="CS61" i="1" s="1"/>
  <c r="CT61" i="1" s="1"/>
  <c r="CN6" i="1" l="1"/>
  <c r="CO6" i="1" s="1"/>
  <c r="CP6" i="1" s="1"/>
  <c r="CQ6" i="1" s="1"/>
  <c r="CR6" i="1" s="1"/>
  <c r="CS6" i="1" s="1"/>
  <c r="CT6" i="1" s="1"/>
  <c r="CQ65" i="1"/>
  <c r="CP22" i="1"/>
  <c r="CR65" i="1"/>
  <c r="CS65" i="1" s="1"/>
  <c r="CT65" i="1" s="1"/>
  <c r="CU65" i="1" s="1"/>
  <c r="CV65" i="1" s="1"/>
  <c r="CW65" i="1" s="1"/>
  <c r="CX65" i="1" s="1"/>
  <c r="CY65" i="1" s="1"/>
  <c r="CZ65" i="1" s="1"/>
  <c r="DA65" i="1" s="1"/>
  <c r="DB65" i="1" s="1"/>
  <c r="CK22" i="1"/>
  <c r="CK20" i="1"/>
  <c r="CK21" i="1"/>
  <c r="CU5" i="1"/>
  <c r="CV5" i="1" s="1"/>
  <c r="CW5" i="1" s="1"/>
  <c r="CX5" i="1" s="1"/>
  <c r="CY5" i="1" s="1"/>
  <c r="CZ5" i="1" s="1"/>
  <c r="DA5" i="1" s="1"/>
  <c r="DB5" i="1" s="1"/>
  <c r="CU6" i="1"/>
  <c r="CV6" i="1" s="1"/>
  <c r="CW6" i="1" s="1"/>
  <c r="CX6" i="1" s="1"/>
  <c r="CY6" i="1" s="1"/>
  <c r="CZ6" i="1" s="1"/>
  <c r="DA6" i="1" s="1"/>
  <c r="DB6" i="1" s="1"/>
  <c r="CM7" i="1"/>
  <c r="CN7" i="1" s="1"/>
  <c r="CO7" i="1" s="1"/>
  <c r="CP7" i="1" s="1"/>
  <c r="CQ7" i="1" s="1"/>
  <c r="CR7" i="1" s="1"/>
  <c r="CS7" i="1" s="1"/>
  <c r="CT7" i="1" s="1"/>
  <c r="CU7" i="1" s="1"/>
  <c r="CV7" i="1" s="1"/>
  <c r="CW7" i="1" s="1"/>
  <c r="CX7" i="1" s="1"/>
  <c r="CY7" i="1" s="1"/>
  <c r="CZ7" i="1" s="1"/>
  <c r="DA7" i="1" s="1"/>
  <c r="DB7" i="1" s="1"/>
  <c r="Z16" i="1"/>
  <c r="Y16" i="1"/>
  <c r="X16" i="1"/>
  <c r="W16" i="1"/>
  <c r="V16" i="1"/>
  <c r="U16" i="1"/>
  <c r="T16" i="1"/>
  <c r="S16" i="1"/>
  <c r="R16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Z13" i="1"/>
  <c r="Y13" i="1"/>
  <c r="X13" i="1"/>
  <c r="W13" i="1"/>
  <c r="V13" i="1"/>
  <c r="U13" i="1"/>
  <c r="T13" i="1"/>
  <c r="S13" i="1"/>
  <c r="R13" i="1"/>
  <c r="Z12" i="1"/>
  <c r="Y12" i="1"/>
  <c r="X12" i="1"/>
  <c r="W12" i="1"/>
  <c r="V12" i="1"/>
  <c r="U12" i="1"/>
  <c r="T12" i="1"/>
  <c r="S12" i="1"/>
  <c r="R12" i="1"/>
  <c r="Z11" i="1"/>
  <c r="Y11" i="1"/>
  <c r="X11" i="1"/>
  <c r="W11" i="1"/>
  <c r="V11" i="1"/>
  <c r="U11" i="1"/>
  <c r="T11" i="1"/>
  <c r="S11" i="1"/>
  <c r="R11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Z7" i="1"/>
  <c r="Y7" i="1"/>
  <c r="X7" i="1"/>
  <c r="W7" i="1"/>
  <c r="V7" i="1"/>
  <c r="U7" i="1"/>
  <c r="T7" i="1"/>
  <c r="S7" i="1"/>
  <c r="R7" i="1"/>
  <c r="Z6" i="1"/>
  <c r="Y6" i="1"/>
  <c r="X6" i="1"/>
  <c r="W6" i="1"/>
  <c r="V6" i="1"/>
  <c r="U6" i="1"/>
  <c r="T6" i="1"/>
  <c r="S6" i="1"/>
  <c r="R6" i="1"/>
  <c r="Z5" i="1"/>
  <c r="Y5" i="1"/>
  <c r="X5" i="1"/>
  <c r="W5" i="1"/>
  <c r="V5" i="1"/>
  <c r="U5" i="1"/>
  <c r="T5" i="1"/>
  <c r="S5" i="1"/>
  <c r="R5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V26" i="1" s="1"/>
  <c r="BW20" i="1"/>
  <c r="BW26" i="1" s="1"/>
  <c r="BX20" i="1"/>
  <c r="BY20" i="1"/>
  <c r="BZ20" i="1"/>
  <c r="CA20" i="1"/>
  <c r="CB20" i="1"/>
  <c r="CC20" i="1"/>
  <c r="CD20" i="1"/>
  <c r="CE20" i="1"/>
  <c r="CF20" i="1"/>
  <c r="CG20" i="1"/>
  <c r="CH20" i="1"/>
  <c r="CL26" i="1" s="1"/>
  <c r="CI20" i="1"/>
  <c r="CJ20" i="1"/>
  <c r="AZ21" i="1"/>
  <c r="BA21" i="1"/>
  <c r="BB21" i="1"/>
  <c r="BC21" i="1"/>
  <c r="BD21" i="1"/>
  <c r="BE21" i="1"/>
  <c r="BF21" i="1"/>
  <c r="BG21" i="1"/>
  <c r="BH21" i="1"/>
  <c r="BI21" i="1"/>
  <c r="BI27" i="1" s="1"/>
  <c r="BJ21" i="1"/>
  <c r="BJ27" i="1" s="1"/>
  <c r="BK21" i="1"/>
  <c r="BL21" i="1"/>
  <c r="BM21" i="1"/>
  <c r="BN21" i="1"/>
  <c r="BO21" i="1"/>
  <c r="BP21" i="1"/>
  <c r="BQ21" i="1"/>
  <c r="BR21" i="1"/>
  <c r="BS21" i="1"/>
  <c r="BT21" i="1"/>
  <c r="BT27" i="1" s="1"/>
  <c r="BU21" i="1"/>
  <c r="BV21" i="1"/>
  <c r="BW21" i="1"/>
  <c r="BX21" i="1"/>
  <c r="BY21" i="1"/>
  <c r="BY27" i="1" s="1"/>
  <c r="BZ21" i="1"/>
  <c r="BZ27" i="1" s="1"/>
  <c r="CA21" i="1"/>
  <c r="CB21" i="1"/>
  <c r="CC21" i="1"/>
  <c r="CD21" i="1"/>
  <c r="CE21" i="1"/>
  <c r="CF21" i="1"/>
  <c r="CG21" i="1"/>
  <c r="CH21" i="1"/>
  <c r="CI21" i="1"/>
  <c r="CJ21" i="1"/>
  <c r="AZ22" i="1"/>
  <c r="BA22" i="1"/>
  <c r="BB22" i="1"/>
  <c r="BC22" i="1"/>
  <c r="BD22" i="1"/>
  <c r="BD28" i="1" s="1"/>
  <c r="BE22" i="1"/>
  <c r="BE28" i="1" s="1"/>
  <c r="BF22" i="1"/>
  <c r="BF28" i="1" s="1"/>
  <c r="BG22" i="1"/>
  <c r="BG28" i="1" s="1"/>
  <c r="BH22" i="1"/>
  <c r="BH28" i="1" s="1"/>
  <c r="BI22" i="1"/>
  <c r="BI28" i="1" s="1"/>
  <c r="BJ22" i="1"/>
  <c r="BJ28" i="1" s="1"/>
  <c r="BK22" i="1"/>
  <c r="BK28" i="1" s="1"/>
  <c r="BL22" i="1"/>
  <c r="BL28" i="1" s="1"/>
  <c r="BM22" i="1"/>
  <c r="BM28" i="1" s="1"/>
  <c r="BN22" i="1"/>
  <c r="BN28" i="1" s="1"/>
  <c r="BO22" i="1"/>
  <c r="BO28" i="1" s="1"/>
  <c r="BP22" i="1"/>
  <c r="BP28" i="1" s="1"/>
  <c r="BQ22" i="1"/>
  <c r="BQ28" i="1" s="1"/>
  <c r="BR22" i="1"/>
  <c r="BR28" i="1" s="1"/>
  <c r="BS22" i="1"/>
  <c r="BS28" i="1" s="1"/>
  <c r="BT22" i="1"/>
  <c r="BT28" i="1" s="1"/>
  <c r="BU22" i="1"/>
  <c r="BU28" i="1" s="1"/>
  <c r="BV22" i="1"/>
  <c r="BV28" i="1" s="1"/>
  <c r="BW22" i="1"/>
  <c r="BW28" i="1" s="1"/>
  <c r="BX22" i="1"/>
  <c r="BX28" i="1" s="1"/>
  <c r="BY22" i="1"/>
  <c r="BY28" i="1" s="1"/>
  <c r="BZ22" i="1"/>
  <c r="BZ28" i="1" s="1"/>
  <c r="CA22" i="1"/>
  <c r="CA28" i="1" s="1"/>
  <c r="CB22" i="1"/>
  <c r="CB28" i="1" s="1"/>
  <c r="CC22" i="1"/>
  <c r="CC28" i="1" s="1"/>
  <c r="CD22" i="1"/>
  <c r="CD28" i="1" s="1"/>
  <c r="CE22" i="1"/>
  <c r="CE28" i="1" s="1"/>
  <c r="CF22" i="1"/>
  <c r="CF28" i="1" s="1"/>
  <c r="CG22" i="1"/>
  <c r="CG28" i="1" s="1"/>
  <c r="CH22" i="1"/>
  <c r="CI22" i="1"/>
  <c r="CJ22" i="1"/>
  <c r="AY21" i="1"/>
  <c r="AY22" i="1"/>
  <c r="AY20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CK9" i="1"/>
  <c r="CJ9" i="1"/>
  <c r="CI9" i="1"/>
  <c r="CL144" i="1" s="1"/>
  <c r="CH9" i="1"/>
  <c r="CG9" i="1"/>
  <c r="CJ144" i="1" s="1"/>
  <c r="CF9" i="1"/>
  <c r="CE9" i="1"/>
  <c r="CD9" i="1"/>
  <c r="CC9" i="1"/>
  <c r="CB9" i="1"/>
  <c r="CA9" i="1"/>
  <c r="BZ9" i="1"/>
  <c r="BY9" i="1"/>
  <c r="BX9" i="1"/>
  <c r="BW9" i="1"/>
  <c r="BZ144" i="1" s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L144" i="1" s="1"/>
  <c r="BH9" i="1"/>
  <c r="BG9" i="1"/>
  <c r="BF9" i="1"/>
  <c r="BE9" i="1"/>
  <c r="BD9" i="1"/>
  <c r="BC9" i="1"/>
  <c r="BB9" i="1"/>
  <c r="BA9" i="1"/>
  <c r="BD144" i="1" s="1"/>
  <c r="AZ9" i="1"/>
  <c r="AY9" i="1"/>
  <c r="BB144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69" i="1"/>
  <c r="AB37" i="1"/>
  <c r="AC37" i="1"/>
  <c r="AD37" i="1"/>
  <c r="AE37" i="1"/>
  <c r="AB50" i="1"/>
  <c r="AC50" i="1"/>
  <c r="AD50" i="1"/>
  <c r="AE50" i="1"/>
  <c r="AE49" i="1"/>
  <c r="AD49" i="1"/>
  <c r="AC49" i="1"/>
  <c r="AB49" i="1"/>
  <c r="AJ242" i="1"/>
  <c r="AB7" i="2"/>
  <c r="AA37" i="1" s="1"/>
  <c r="AB15" i="2"/>
  <c r="AA51" i="1" s="1"/>
  <c r="AB23" i="2"/>
  <c r="AA63" i="1" s="1"/>
  <c r="AB31" i="2"/>
  <c r="AB42" i="2"/>
  <c r="AA151" i="1" s="1"/>
  <c r="AB50" i="2"/>
  <c r="AA182" i="1" s="1"/>
  <c r="AB58" i="2"/>
  <c r="AC15" i="2"/>
  <c r="AC27" i="2"/>
  <c r="AC42" i="2"/>
  <c r="AC54" i="2"/>
  <c r="AB14" i="2"/>
  <c r="AA48" i="1" s="1"/>
  <c r="AB30" i="2"/>
  <c r="AA67" i="1" s="1"/>
  <c r="AB49" i="2"/>
  <c r="AA196" i="1" s="1"/>
  <c r="AD62" i="2"/>
  <c r="AD70" i="2"/>
  <c r="AD78" i="2"/>
  <c r="AD86" i="2"/>
  <c r="AD94" i="2"/>
  <c r="AD106" i="2"/>
  <c r="AE104" i="2"/>
  <c r="AF26" i="2"/>
  <c r="AD59" i="2"/>
  <c r="AC18" i="2"/>
  <c r="AC45" i="2"/>
  <c r="AE64" i="2"/>
  <c r="AE76" i="2"/>
  <c r="AE88" i="2"/>
  <c r="AB8" i="2"/>
  <c r="AB43" i="2"/>
  <c r="AA152" i="1" s="1"/>
  <c r="AE15" i="2"/>
  <c r="AB72" i="2"/>
  <c r="AA175" i="1" s="1"/>
  <c r="AB88" i="2"/>
  <c r="AB108" i="2"/>
  <c r="AA107" i="1" s="1"/>
  <c r="AE71" i="2"/>
  <c r="AE95" i="2"/>
  <c r="AE58" i="2"/>
  <c r="AB78" i="2"/>
  <c r="AA193" i="1" s="1"/>
  <c r="AB94" i="2"/>
  <c r="AE11" i="2"/>
  <c r="AE77" i="2"/>
  <c r="AE105" i="2"/>
  <c r="AC60" i="2"/>
  <c r="AF80" i="2"/>
  <c r="AF96" i="2"/>
  <c r="AC24" i="2"/>
  <c r="AC78" i="2"/>
  <c r="AC106" i="2"/>
  <c r="AE109" i="2"/>
  <c r="AD99" i="2"/>
  <c r="AD89" i="2"/>
  <c r="AB40" i="2"/>
  <c r="AD60" i="2"/>
  <c r="AD92" i="2"/>
  <c r="AE40" i="2"/>
  <c r="AF6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65" i="1" s="1"/>
  <c r="AB71" i="2"/>
  <c r="AA173" i="1" s="1"/>
  <c r="AB79" i="2"/>
  <c r="AA179" i="1" s="1"/>
  <c r="AB87" i="2"/>
  <c r="AB95" i="2"/>
  <c r="AA204" i="1" s="1"/>
  <c r="AB107" i="2"/>
  <c r="AA106" i="1" s="1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E27" i="2"/>
  <c r="AE81" i="2"/>
  <c r="AB48" i="2"/>
  <c r="AA158" i="1" s="1"/>
  <c r="AC61" i="2"/>
  <c r="AC88" i="2"/>
  <c r="AB9" i="2"/>
  <c r="AB17" i="2"/>
  <c r="AA49" i="1" s="1"/>
  <c r="AB25" i="2"/>
  <c r="AA64" i="1" s="1"/>
  <c r="AB33" i="2"/>
  <c r="AA74" i="1" s="1"/>
  <c r="AB44" i="2"/>
  <c r="AB52" i="2"/>
  <c r="AA184" i="1" s="1"/>
  <c r="AE6" i="2"/>
  <c r="AE18" i="2"/>
  <c r="AE30" i="2"/>
  <c r="AE45" i="2"/>
  <c r="AE57" i="2"/>
  <c r="AB18" i="2"/>
  <c r="AA53" i="1" s="1"/>
  <c r="AB34" i="2"/>
  <c r="AB53" i="2"/>
  <c r="AD64" i="2"/>
  <c r="AD72" i="2"/>
  <c r="AD80" i="2"/>
  <c r="AD88" i="2"/>
  <c r="AD96" i="2"/>
  <c r="AD108" i="2"/>
  <c r="AC109" i="2"/>
  <c r="AF34" i="2"/>
  <c r="AD63" i="2"/>
  <c r="AE25" i="2"/>
  <c r="AE52" i="2"/>
  <c r="AC67" i="2"/>
  <c r="AC79" i="2"/>
  <c r="AC91" i="2"/>
  <c r="AB16" i="2"/>
  <c r="AB51" i="2"/>
  <c r="AA183" i="1" s="1"/>
  <c r="AC47" i="2"/>
  <c r="AB76" i="2"/>
  <c r="AA177" i="1" s="1"/>
  <c r="AB92" i="2"/>
  <c r="AC16" i="2"/>
  <c r="AC76" i="2"/>
  <c r="AC104" i="2"/>
  <c r="AB66" i="2"/>
  <c r="AB82" i="2"/>
  <c r="AB98" i="2"/>
  <c r="AC43" i="2"/>
  <c r="AC82" i="2"/>
  <c r="AC110" i="2"/>
  <c r="AB97" i="2"/>
  <c r="AB109" i="2"/>
  <c r="AF6" i="2"/>
  <c r="AB36" i="2"/>
  <c r="AB64" i="2"/>
  <c r="AA166" i="1" s="1"/>
  <c r="AC26" i="2"/>
  <c r="AC53" i="2"/>
  <c r="AE68" i="2"/>
  <c r="AE80" i="2"/>
  <c r="AE92" i="2"/>
  <c r="AD19" i="2"/>
  <c r="AE50" i="2"/>
  <c r="AF78" i="2"/>
  <c r="AF94" i="2"/>
  <c r="AE107" i="2"/>
  <c r="AE46" i="2"/>
  <c r="AE85" i="2"/>
  <c r="AC80" i="2"/>
  <c r="AD69" i="2"/>
  <c r="AD85" i="2"/>
  <c r="AD105" i="2"/>
  <c r="AC62" i="2"/>
  <c r="AC86" i="2"/>
  <c r="AC30" i="2"/>
  <c r="AE82" i="2"/>
  <c r="AC95" i="2"/>
  <c r="AF60" i="2"/>
  <c r="AE106" i="2"/>
  <c r="AB74" i="2"/>
  <c r="AC94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76" i="1" s="1"/>
  <c r="AB81" i="2"/>
  <c r="AB89" i="2"/>
  <c r="AD54" i="2"/>
  <c r="AE19" i="2"/>
  <c r="AE79" i="2"/>
  <c r="AF68" i="2"/>
  <c r="AF84" i="2"/>
  <c r="AF104" i="2"/>
  <c r="AE35" i="2"/>
  <c r="AB70" i="2"/>
  <c r="AE65" i="2"/>
  <c r="AC35" i="2"/>
  <c r="AF59" i="2"/>
  <c r="AD50" i="2"/>
  <c r="AC34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108" i="2"/>
  <c r="AC50" i="2"/>
  <c r="AE60" i="2"/>
  <c r="AE72" i="2"/>
  <c r="AE84" i="2"/>
  <c r="AF30" i="2"/>
  <c r="AB62" i="2"/>
  <c r="AD67" i="2"/>
  <c r="AD83" i="2"/>
  <c r="AE54" i="2"/>
  <c r="AE87" i="2"/>
  <c r="AE23" i="2"/>
  <c r="AD73" i="2"/>
  <c r="AD109" i="2"/>
  <c r="AE93" i="2"/>
  <c r="AB21" i="2"/>
  <c r="AE24" i="2"/>
  <c r="AE51" i="2"/>
  <c r="AB26" i="2"/>
  <c r="AD68" i="2"/>
  <c r="AD104" i="2"/>
  <c r="AC93" i="2"/>
  <c r="AE13" i="2"/>
  <c r="AC36" i="2"/>
  <c r="AC70" i="2"/>
  <c r="AB11" i="2"/>
  <c r="AA41" i="1" s="1"/>
  <c r="AB19" i="2"/>
  <c r="AA50" i="1" s="1"/>
  <c r="AB27" i="2"/>
  <c r="AA60" i="1" s="1"/>
  <c r="AB35" i="2"/>
  <c r="AA79" i="1" s="1"/>
  <c r="AB46" i="2"/>
  <c r="AB54" i="2"/>
  <c r="AA186" i="1" s="1"/>
  <c r="AC9" i="2"/>
  <c r="AC21" i="2"/>
  <c r="AC33" i="2"/>
  <c r="AC48" i="2"/>
  <c r="AB6" i="2"/>
  <c r="AA36" i="1" s="1"/>
  <c r="AB22" i="2"/>
  <c r="AB41" i="2"/>
  <c r="AA150" i="1" s="1"/>
  <c r="AB57" i="2"/>
  <c r="AA188" i="1" s="1"/>
  <c r="AD66" i="2"/>
  <c r="AD74" i="2"/>
  <c r="AD82" i="2"/>
  <c r="AD90" i="2"/>
  <c r="AD98" i="2"/>
  <c r="AD110" i="2"/>
  <c r="AF10" i="2"/>
  <c r="AF45" i="2"/>
  <c r="AC6" i="2"/>
  <c r="AC57" i="2"/>
  <c r="AE70" i="2"/>
  <c r="AB24" i="2"/>
  <c r="AC64" i="2"/>
  <c r="AB80" i="2"/>
  <c r="AA180" i="1" s="1"/>
  <c r="AB96" i="2"/>
  <c r="AE83" i="2"/>
  <c r="AE7" i="2"/>
  <c r="AB86" i="2"/>
  <c r="AA168" i="1" s="1"/>
  <c r="AB106" i="2"/>
  <c r="AA105" i="1" s="1"/>
  <c r="AE89" i="2"/>
  <c r="AD25" i="2"/>
  <c r="AF75" i="2"/>
  <c r="AF91" i="2"/>
  <c r="AD15" i="2"/>
  <c r="AC99" i="2"/>
  <c r="AE69" i="2"/>
  <c r="AB29" i="2"/>
  <c r="AA75" i="1" s="1"/>
  <c r="AE12" i="2"/>
  <c r="AB10" i="2"/>
  <c r="AD76" i="2"/>
  <c r="AF53" i="2"/>
  <c r="AC73" i="2"/>
  <c r="AB110" i="2"/>
  <c r="AA95" i="1" s="1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70" i="1" s="1"/>
  <c r="AB75" i="2"/>
  <c r="AA192" i="1" s="1"/>
  <c r="AB83" i="2"/>
  <c r="AA197" i="1" s="1"/>
  <c r="AB91" i="2"/>
  <c r="AB99" i="2"/>
  <c r="AB12" i="2"/>
  <c r="AA43" i="1" s="1"/>
  <c r="AB47" i="2"/>
  <c r="AA157" i="1" s="1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C66" i="2"/>
  <c r="AC90" i="2"/>
  <c r="AD12" i="2"/>
  <c r="AD20" i="2"/>
  <c r="AD28" i="2"/>
  <c r="AD36" i="2"/>
  <c r="AD47" i="2"/>
  <c r="AD55" i="2"/>
  <c r="AC11" i="2"/>
  <c r="AC23" i="2"/>
  <c r="AD9" i="2"/>
  <c r="AD44" i="2"/>
  <c r="AF67" i="2"/>
  <c r="AF83" i="2"/>
  <c r="AF99" i="2"/>
  <c r="AC10" i="2"/>
  <c r="AB56" i="2"/>
  <c r="AA160" i="1" s="1"/>
  <c r="AB45" i="2"/>
  <c r="AA155" i="1" s="1"/>
  <c r="AD84" i="2"/>
  <c r="AB68" i="2"/>
  <c r="AA169" i="1" s="1"/>
  <c r="AB5" i="2"/>
  <c r="AB112" i="2" s="1"/>
  <c r="AA101" i="1" s="1"/>
  <c r="AB13" i="2"/>
  <c r="AA52" i="1" s="1"/>
  <c r="AE36" i="2"/>
  <c r="AF18" i="2"/>
  <c r="AC85" i="2"/>
  <c r="AB84" i="2"/>
  <c r="AB90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78" i="1" s="1"/>
  <c r="AB85" i="2"/>
  <c r="AA203" i="1" s="1"/>
  <c r="AB93" i="2"/>
  <c r="AA205" i="1" s="1"/>
  <c r="AB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E73" i="2"/>
  <c r="AE97" i="2"/>
  <c r="AC98" i="2"/>
  <c r="AB32" i="2"/>
  <c r="AA73" i="1" s="1"/>
  <c r="AB10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C8" i="2"/>
  <c r="AC74" i="2"/>
  <c r="AE61" i="2"/>
  <c r="AF113" i="2"/>
  <c r="CK28" i="1" l="1"/>
  <c r="BC28" i="1"/>
  <c r="CJ27" i="1"/>
  <c r="CO28" i="1"/>
  <c r="BN26" i="1"/>
  <c r="BO26" i="1"/>
  <c r="AA153" i="1"/>
  <c r="AA194" i="1"/>
  <c r="CH27" i="1"/>
  <c r="CL27" i="1"/>
  <c r="CH28" i="1"/>
  <c r="CL28" i="1"/>
  <c r="CM28" i="1"/>
  <c r="CI28" i="1"/>
  <c r="CJ28" i="1"/>
  <c r="CN28" i="1"/>
  <c r="AA159" i="1"/>
  <c r="AA161" i="1" s="1"/>
  <c r="AF112" i="2"/>
  <c r="AF111" i="2"/>
  <c r="AA285" i="1"/>
  <c r="AA227" i="1"/>
  <c r="AA286" i="1"/>
  <c r="AA38" i="1"/>
  <c r="AA264" i="1"/>
  <c r="AA281" i="1"/>
  <c r="AA201" i="1"/>
  <c r="AA137" i="1" s="1"/>
  <c r="AA162" i="1"/>
  <c r="AA206" i="1"/>
  <c r="AA208" i="1"/>
  <c r="AA54" i="1"/>
  <c r="AA55" i="1" s="1"/>
  <c r="AA181" i="1"/>
  <c r="AA212" i="1"/>
  <c r="AA216" i="1"/>
  <c r="AA213" i="1"/>
  <c r="AA164" i="1"/>
  <c r="AA167" i="1" s="1"/>
  <c r="AA171" i="1" s="1"/>
  <c r="CP28" i="1"/>
  <c r="CQ22" i="1"/>
  <c r="BT144" i="1"/>
  <c r="BJ144" i="1"/>
  <c r="CH144" i="1"/>
  <c r="CB144" i="1"/>
  <c r="BR27" i="1"/>
  <c r="BG26" i="1"/>
  <c r="BR144" i="1"/>
  <c r="V144" i="1" s="1"/>
  <c r="BQ27" i="1"/>
  <c r="BF26" i="1"/>
  <c r="CB27" i="1"/>
  <c r="T144" i="1"/>
  <c r="BI144" i="1"/>
  <c r="BQ144" i="1"/>
  <c r="BY144" i="1"/>
  <c r="CG144" i="1"/>
  <c r="BC144" i="1"/>
  <c r="BK144" i="1"/>
  <c r="BS144" i="1"/>
  <c r="CA144" i="1"/>
  <c r="CI144" i="1"/>
  <c r="AA144" i="1" s="1"/>
  <c r="BD145" i="1"/>
  <c r="R144" i="1"/>
  <c r="BE144" i="1"/>
  <c r="BE145" i="1" s="1"/>
  <c r="BM144" i="1"/>
  <c r="BU144" i="1"/>
  <c r="CC144" i="1"/>
  <c r="CK144" i="1"/>
  <c r="X144" i="1"/>
  <c r="BF144" i="1"/>
  <c r="BN144" i="1"/>
  <c r="BV144" i="1"/>
  <c r="CD144" i="1"/>
  <c r="BB145" i="1"/>
  <c r="BG144" i="1"/>
  <c r="BO144" i="1"/>
  <c r="BW144" i="1"/>
  <c r="CE144" i="1"/>
  <c r="BD27" i="1"/>
  <c r="CG26" i="1"/>
  <c r="BY26" i="1"/>
  <c r="BQ26" i="1"/>
  <c r="BI26" i="1"/>
  <c r="BH144" i="1"/>
  <c r="BP144" i="1"/>
  <c r="BX144" i="1"/>
  <c r="CF144" i="1"/>
  <c r="BU26" i="1"/>
  <c r="CE27" i="1"/>
  <c r="BW27" i="1"/>
  <c r="BG27" i="1"/>
  <c r="CJ26" i="1"/>
  <c r="CB26" i="1"/>
  <c r="BT26" i="1"/>
  <c r="BL26" i="1"/>
  <c r="BD26" i="1"/>
  <c r="BM26" i="1"/>
  <c r="BE26" i="1"/>
  <c r="CI27" i="1"/>
  <c r="CA27" i="1"/>
  <c r="BS27" i="1"/>
  <c r="BK27" i="1"/>
  <c r="BC27" i="1"/>
  <c r="BX26" i="1"/>
  <c r="BP26" i="1"/>
  <c r="BH26" i="1"/>
  <c r="CF27" i="1"/>
  <c r="BX27" i="1"/>
  <c r="BP27" i="1"/>
  <c r="BH27" i="1"/>
  <c r="CD27" i="1"/>
  <c r="BV27" i="1"/>
  <c r="BF27" i="1"/>
  <c r="CI26" i="1"/>
  <c r="CA26" i="1"/>
  <c r="BS26" i="1"/>
  <c r="BK26" i="1"/>
  <c r="BC26" i="1"/>
  <c r="CC27" i="1"/>
  <c r="BU27" i="1"/>
  <c r="BE27" i="1"/>
  <c r="CH26" i="1"/>
  <c r="BZ26" i="1"/>
  <c r="BR26" i="1"/>
  <c r="BJ26" i="1"/>
  <c r="CK27" i="1"/>
  <c r="CK26" i="1"/>
  <c r="Z9" i="1"/>
  <c r="Y9" i="1"/>
  <c r="X9" i="1"/>
  <c r="W9" i="1"/>
  <c r="V9" i="1"/>
  <c r="U9" i="1"/>
  <c r="T9" i="1"/>
  <c r="S9" i="1"/>
  <c r="R9" i="1"/>
  <c r="CC26" i="1"/>
  <c r="CD26" i="1"/>
  <c r="CE26" i="1"/>
  <c r="CF26" i="1"/>
  <c r="Z22" i="1"/>
  <c r="Y22" i="1"/>
  <c r="X22" i="1"/>
  <c r="W22" i="1"/>
  <c r="V22" i="1"/>
  <c r="U22" i="1"/>
  <c r="T22" i="1"/>
  <c r="S22" i="1"/>
  <c r="R22" i="1"/>
  <c r="Z21" i="1"/>
  <c r="Y21" i="1"/>
  <c r="X21" i="1"/>
  <c r="W21" i="1"/>
  <c r="V21" i="1"/>
  <c r="U21" i="1"/>
  <c r="T21" i="1"/>
  <c r="S21" i="1"/>
  <c r="R21" i="1"/>
  <c r="V27" i="1" s="1"/>
  <c r="BL27" i="1"/>
  <c r="BM27" i="1"/>
  <c r="BN27" i="1"/>
  <c r="BO27" i="1"/>
  <c r="Z20" i="1"/>
  <c r="Z17" i="1"/>
  <c r="Y20" i="1"/>
  <c r="Y17" i="1"/>
  <c r="X17" i="1"/>
  <c r="X20" i="1"/>
  <c r="W17" i="1"/>
  <c r="W20" i="1"/>
  <c r="V17" i="1"/>
  <c r="V20" i="1"/>
  <c r="U20" i="1"/>
  <c r="U17" i="1"/>
  <c r="T20" i="1"/>
  <c r="T17" i="1"/>
  <c r="S17" i="1"/>
  <c r="S20" i="1"/>
  <c r="R20" i="1"/>
  <c r="R17" i="1"/>
  <c r="AA7" i="1"/>
  <c r="AA6" i="1"/>
  <c r="AA5" i="1"/>
  <c r="CG27" i="1"/>
  <c r="B1" i="9"/>
  <c r="AE111" i="2"/>
  <c r="AC113" i="2"/>
  <c r="AB111" i="2"/>
  <c r="AC112" i="2"/>
  <c r="AB113" i="2"/>
  <c r="AA102" i="1" s="1"/>
  <c r="AC111" i="2"/>
  <c r="AE112" i="2"/>
  <c r="AD113" i="2"/>
  <c r="AD112" i="2"/>
  <c r="AE113" i="2"/>
  <c r="L1" i="9"/>
  <c r="AD111" i="2"/>
  <c r="A1" i="9"/>
  <c r="CJ145" i="1" l="1"/>
  <c r="BU145" i="1"/>
  <c r="CC145" i="1"/>
  <c r="CK145" i="1"/>
  <c r="AA65" i="1"/>
  <c r="AA187" i="1"/>
  <c r="AA277" i="1"/>
  <c r="AA126" i="1"/>
  <c r="AA44" i="1"/>
  <c r="AA215" i="1"/>
  <c r="AA61" i="1"/>
  <c r="AA279" i="1"/>
  <c r="AA189" i="1"/>
  <c r="AA218" i="1" s="1"/>
  <c r="AA217" i="1" s="1"/>
  <c r="CR22" i="1"/>
  <c r="CQ28" i="1"/>
  <c r="V28" i="1"/>
  <c r="Z144" i="1"/>
  <c r="AA145" i="1" s="1"/>
  <c r="CL145" i="1"/>
  <c r="X28" i="1"/>
  <c r="Y28" i="1"/>
  <c r="Z27" i="1"/>
  <c r="BX145" i="1"/>
  <c r="CD145" i="1"/>
  <c r="Y144" i="1"/>
  <c r="Y145" i="1" s="1"/>
  <c r="CA145" i="1"/>
  <c r="BQ145" i="1"/>
  <c r="BH145" i="1"/>
  <c r="CE145" i="1"/>
  <c r="BN145" i="1"/>
  <c r="U144" i="1"/>
  <c r="U145" i="1" s="1"/>
  <c r="BM145" i="1"/>
  <c r="BK145" i="1"/>
  <c r="BW145" i="1"/>
  <c r="BF145" i="1"/>
  <c r="S144" i="1"/>
  <c r="S145" i="1" s="1"/>
  <c r="BC145" i="1"/>
  <c r="BV145" i="1"/>
  <c r="W144" i="1"/>
  <c r="W145" i="1" s="1"/>
  <c r="BO145" i="1"/>
  <c r="X145" i="1"/>
  <c r="CB145" i="1"/>
  <c r="BS145" i="1"/>
  <c r="BG145" i="1"/>
  <c r="BL145" i="1"/>
  <c r="BT145" i="1"/>
  <c r="BP145" i="1"/>
  <c r="BI145" i="1"/>
  <c r="BJ145" i="1"/>
  <c r="BR145" i="1"/>
  <c r="CG145" i="1"/>
  <c r="CH145" i="1"/>
  <c r="CF145" i="1"/>
  <c r="CI145" i="1"/>
  <c r="BY145" i="1"/>
  <c r="BZ145" i="1"/>
  <c r="Z28" i="1"/>
  <c r="W28" i="1"/>
  <c r="X27" i="1"/>
  <c r="Y27" i="1"/>
  <c r="W27" i="1"/>
  <c r="CN20" i="1"/>
  <c r="CN16" i="1"/>
  <c r="AA16" i="1"/>
  <c r="AA9" i="1"/>
  <c r="CM9" i="1"/>
  <c r="Z26" i="1"/>
  <c r="Y26" i="1"/>
  <c r="X26" i="1"/>
  <c r="V26" i="1"/>
  <c r="W26" i="1"/>
  <c r="DB272" i="1"/>
  <c r="DA272" i="1"/>
  <c r="CZ272" i="1"/>
  <c r="CY272" i="1"/>
  <c r="CX272" i="1"/>
  <c r="CW272" i="1"/>
  <c r="CV272" i="1"/>
  <c r="CU272" i="1"/>
  <c r="CT272" i="1"/>
  <c r="CS272" i="1"/>
  <c r="CR272" i="1"/>
  <c r="CQ272" i="1"/>
  <c r="CP272" i="1"/>
  <c r="CO272" i="1"/>
  <c r="CN272" i="1"/>
  <c r="CM272" i="1"/>
  <c r="CK272" i="1"/>
  <c r="CK169" i="1"/>
  <c r="CM169" i="1" s="1"/>
  <c r="CN169" i="1" s="1"/>
  <c r="CO169" i="1" s="1"/>
  <c r="CP169" i="1" s="1"/>
  <c r="CQ169" i="1" s="1"/>
  <c r="CR169" i="1" s="1"/>
  <c r="CS169" i="1" s="1"/>
  <c r="CT169" i="1" s="1"/>
  <c r="CU169" i="1" s="1"/>
  <c r="CV169" i="1" s="1"/>
  <c r="CW169" i="1" s="1"/>
  <c r="CX169" i="1" s="1"/>
  <c r="CY169" i="1" s="1"/>
  <c r="CZ169" i="1" s="1"/>
  <c r="DA169" i="1" s="1"/>
  <c r="DB169" i="1" s="1"/>
  <c r="CH185" i="1"/>
  <c r="CJ272" i="1"/>
  <c r="Z272" i="1"/>
  <c r="AA45" i="1" l="1"/>
  <c r="AA56" i="1"/>
  <c r="AA214" i="1"/>
  <c r="AA219" i="1"/>
  <c r="AA190" i="1"/>
  <c r="AA198" i="1" s="1"/>
  <c r="AA199" i="1" s="1"/>
  <c r="CS22" i="1"/>
  <c r="CR28" i="1"/>
  <c r="Z145" i="1"/>
  <c r="V145" i="1"/>
  <c r="T145" i="1"/>
  <c r="CM144" i="1"/>
  <c r="CM145" i="1" s="1"/>
  <c r="CP20" i="1"/>
  <c r="AA13" i="1"/>
  <c r="AA22" i="1" s="1"/>
  <c r="AA28" i="1" s="1"/>
  <c r="CM13" i="1"/>
  <c r="AA11" i="1"/>
  <c r="CM20" i="1"/>
  <c r="CN9" i="1"/>
  <c r="CN11" i="1"/>
  <c r="CK17" i="1"/>
  <c r="CO16" i="1"/>
  <c r="CP16" i="1" s="1"/>
  <c r="CI272" i="1"/>
  <c r="CG169" i="1"/>
  <c r="CG272" i="1"/>
  <c r="CH272" i="1"/>
  <c r="AB41" i="1"/>
  <c r="AC41" i="1"/>
  <c r="AD41" i="1"/>
  <c r="AE41" i="1"/>
  <c r="AB42" i="1"/>
  <c r="AC42" i="1"/>
  <c r="AD42" i="1"/>
  <c r="AE42" i="1"/>
  <c r="AB52" i="1"/>
  <c r="AC52" i="1"/>
  <c r="AD52" i="1"/>
  <c r="AE52" i="1"/>
  <c r="AB53" i="1"/>
  <c r="AC53" i="1"/>
  <c r="AD53" i="1"/>
  <c r="AE53" i="1"/>
  <c r="AB75" i="1"/>
  <c r="AC75" i="1"/>
  <c r="AD75" i="1"/>
  <c r="AE75" i="1"/>
  <c r="AB192" i="1"/>
  <c r="AC192" i="1"/>
  <c r="AD192" i="1"/>
  <c r="AE192" i="1"/>
  <c r="AB206" i="1"/>
  <c r="AC206" i="1"/>
  <c r="AD206" i="1"/>
  <c r="AE206" i="1"/>
  <c r="CE169" i="1"/>
  <c r="CE272" i="1"/>
  <c r="CF272" i="1"/>
  <c r="AI230" i="1"/>
  <c r="AI235" i="1"/>
  <c r="AI239" i="1"/>
  <c r="AI242" i="1"/>
  <c r="AI272" i="1"/>
  <c r="Y272" i="1"/>
  <c r="AM169" i="1"/>
  <c r="AO169" i="1"/>
  <c r="AQ169" i="1"/>
  <c r="AS169" i="1"/>
  <c r="AU169" i="1"/>
  <c r="AW169" i="1"/>
  <c r="AY169" i="1"/>
  <c r="BA169" i="1"/>
  <c r="BC169" i="1"/>
  <c r="BE169" i="1"/>
  <c r="BG169" i="1"/>
  <c r="BI169" i="1"/>
  <c r="BK169" i="1"/>
  <c r="BM169" i="1"/>
  <c r="BO169" i="1"/>
  <c r="BQ169" i="1"/>
  <c r="BS169" i="1"/>
  <c r="BU169" i="1"/>
  <c r="BW169" i="1"/>
  <c r="BY169" i="1"/>
  <c r="CA169" i="1"/>
  <c r="CC169" i="1"/>
  <c r="CD272" i="1"/>
  <c r="CC272" i="1"/>
  <c r="AJ272" i="1"/>
  <c r="AK272" i="1"/>
  <c r="AL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65" i="1" l="1"/>
  <c r="AA266" i="1" s="1"/>
  <c r="AA140" i="1"/>
  <c r="AA146" i="1" s="1"/>
  <c r="AA62" i="1"/>
  <c r="AA57" i="1"/>
  <c r="CT22" i="1"/>
  <c r="CS28" i="1"/>
  <c r="CR20" i="1"/>
  <c r="CO20" i="1"/>
  <c r="CO11" i="1" s="1"/>
  <c r="CN144" i="1"/>
  <c r="CN145" i="1" s="1"/>
  <c r="CO21" i="1"/>
  <c r="CO12" i="1" s="1"/>
  <c r="AB16" i="1"/>
  <c r="CL17" i="1"/>
  <c r="AA12" i="1"/>
  <c r="AA21" i="1" s="1"/>
  <c r="AA27" i="1" s="1"/>
  <c r="CN13" i="1"/>
  <c r="CM11" i="1"/>
  <c r="CM21" i="1"/>
  <c r="CM12" i="1" s="1"/>
  <c r="AA20" i="1"/>
  <c r="AA26" i="1" s="1"/>
  <c r="AB7" i="1"/>
  <c r="AB6" i="1"/>
  <c r="CO9" i="1"/>
  <c r="AB5" i="1"/>
  <c r="CR16" i="1"/>
  <c r="CS16" i="1" s="1"/>
  <c r="Y1" i="1"/>
  <c r="Z1" i="1" s="1"/>
  <c r="AA66" i="1" l="1"/>
  <c r="AA83" i="1"/>
  <c r="CU22" i="1"/>
  <c r="CT28" i="1"/>
  <c r="CT20" i="1"/>
  <c r="CQ20" i="1"/>
  <c r="AA17" i="1"/>
  <c r="CP21" i="1"/>
  <c r="CP12" i="1" s="1"/>
  <c r="CO144" i="1"/>
  <c r="CO145" i="1" s="1"/>
  <c r="CN21" i="1"/>
  <c r="CN12" i="1" s="1"/>
  <c r="CN17" i="1" s="1"/>
  <c r="CN36" i="1" s="1"/>
  <c r="CU26" i="1"/>
  <c r="CM17" i="1"/>
  <c r="CM36" i="1" s="1"/>
  <c r="CP9" i="1"/>
  <c r="CP11" i="1"/>
  <c r="AB9" i="1"/>
  <c r="CT16" i="1"/>
  <c r="CU16" i="1" s="1"/>
  <c r="AA1" i="1"/>
  <c r="AB1" i="1" s="1"/>
  <c r="AC1" i="1" s="1"/>
  <c r="AD1" i="1" s="1"/>
  <c r="AE1" i="1" s="1"/>
  <c r="AA68" i="1" l="1"/>
  <c r="AA69" i="1"/>
  <c r="CV22" i="1"/>
  <c r="CU28" i="1"/>
  <c r="CO13" i="1"/>
  <c r="CO17" i="1" s="1"/>
  <c r="CO36" i="1" s="1"/>
  <c r="CQ13" i="1"/>
  <c r="CU20" i="1"/>
  <c r="AC16" i="1"/>
  <c r="CS20" i="1"/>
  <c r="CV26" i="1"/>
  <c r="CV20" i="1" s="1"/>
  <c r="CP144" i="1"/>
  <c r="AB12" i="1"/>
  <c r="AB21" i="1" s="1"/>
  <c r="AB27" i="1" s="1"/>
  <c r="CQ21" i="1"/>
  <c r="CQ12" i="1" s="1"/>
  <c r="AB11" i="1"/>
  <c r="CQ9" i="1"/>
  <c r="CQ144" i="1" s="1"/>
  <c r="CQ11" i="1"/>
  <c r="CV16" i="1"/>
  <c r="A1" i="3"/>
  <c r="AA267" i="1" l="1"/>
  <c r="AA76" i="1"/>
  <c r="AA70" i="1"/>
  <c r="AA278" i="1" s="1"/>
  <c r="CW22" i="1"/>
  <c r="CV28" i="1"/>
  <c r="CP13" i="1"/>
  <c r="CW26" i="1"/>
  <c r="CW20" i="1" s="1"/>
  <c r="AB144" i="1"/>
  <c r="AB145" i="1" s="1"/>
  <c r="CP145" i="1"/>
  <c r="CQ145" i="1"/>
  <c r="AB20" i="1"/>
  <c r="CR13" i="1"/>
  <c r="CQ17" i="1"/>
  <c r="CQ36" i="1" s="1"/>
  <c r="CR11" i="1"/>
  <c r="CR9" i="1"/>
  <c r="CR144" i="1" s="1"/>
  <c r="CW16" i="1"/>
  <c r="CX16" i="1" s="1"/>
  <c r="CY16" i="1" s="1"/>
  <c r="CX26" i="1"/>
  <c r="A1" i="6"/>
  <c r="A1" i="4"/>
  <c r="BQ9" i="3"/>
  <c r="BQ15" i="3"/>
  <c r="BQ21" i="3"/>
  <c r="BQ27" i="3"/>
  <c r="BQ33" i="3"/>
  <c r="BQ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67" i="1" s="1"/>
  <c r="BI8" i="3"/>
  <c r="BG29" i="3"/>
  <c r="BN30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A24" i="3"/>
  <c r="Z88" i="2"/>
  <c r="BD25" i="3"/>
  <c r="BA23" i="3"/>
  <c r="BD17" i="3"/>
  <c r="AA49" i="2"/>
  <c r="BB23" i="3"/>
  <c r="BU9" i="3"/>
  <c r="BU15" i="3"/>
  <c r="BU21" i="3"/>
  <c r="BU27" i="3"/>
  <c r="BU33" i="3"/>
  <c r="BU39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48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Y18" i="2"/>
  <c r="Z82" i="2"/>
  <c r="BQ10" i="3"/>
  <c r="BQ16" i="3"/>
  <c r="BQ22" i="3"/>
  <c r="BQ28" i="3"/>
  <c r="BQ34" i="3"/>
  <c r="BQ40" i="3"/>
  <c r="BV5" i="3"/>
  <c r="BV11" i="3"/>
  <c r="BS42" i="3"/>
  <c r="BT14" i="3"/>
  <c r="BM31" i="3"/>
  <c r="BL10" i="3"/>
  <c r="BH30" i="3"/>
  <c r="BE12" i="3"/>
  <c r="BM32" i="3"/>
  <c r="BF46" i="3"/>
  <c r="CL92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49" i="1" s="1"/>
  <c r="BN33" i="3"/>
  <c r="BM10" i="3"/>
  <c r="BI26" i="3"/>
  <c r="BU10" i="3"/>
  <c r="BU16" i="3"/>
  <c r="BU22" i="3"/>
  <c r="BU28" i="3"/>
  <c r="BU34" i="3"/>
  <c r="BU40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43" i="1" s="1"/>
  <c r="BL34" i="3"/>
  <c r="BE14" i="3"/>
  <c r="BM34" i="3"/>
  <c r="BL5" i="3"/>
  <c r="BT32" i="3"/>
  <c r="BP31" i="3"/>
  <c r="BE5" i="3"/>
  <c r="BM9" i="3"/>
  <c r="BQ5" i="3"/>
  <c r="BQ11" i="3"/>
  <c r="BQ17" i="3"/>
  <c r="BQ23" i="3"/>
  <c r="BQ29" i="3"/>
  <c r="BQ35" i="3"/>
  <c r="BQ41" i="3"/>
  <c r="BV6" i="3"/>
  <c r="BV12" i="3"/>
  <c r="BO46" i="3"/>
  <c r="BT34" i="3"/>
  <c r="BM33" i="3"/>
  <c r="BL14" i="3"/>
  <c r="BJ33" i="3"/>
  <c r="BG15" i="3"/>
  <c r="BI36" i="3"/>
  <c r="BF20" i="3"/>
  <c r="CL37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42" i="1" s="1"/>
  <c r="BT36" i="3"/>
  <c r="BP39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H35" i="3"/>
  <c r="BT45" i="3"/>
  <c r="BM25" i="3"/>
  <c r="BI41" i="3"/>
  <c r="BL18" i="3"/>
  <c r="BF35" i="3"/>
  <c r="CL74" i="1" s="1"/>
  <c r="BG11" i="3"/>
  <c r="BE28" i="3"/>
  <c r="BJ8" i="3"/>
  <c r="BF28" i="3"/>
  <c r="CL60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G20" i="3"/>
  <c r="BH25" i="3"/>
  <c r="BI27" i="3"/>
  <c r="BJ19" i="3"/>
  <c r="BM12" i="3"/>
  <c r="AA71" i="2"/>
  <c r="Z99" i="2"/>
  <c r="BC21" i="3"/>
  <c r="AA23" i="2"/>
  <c r="Y59" i="2"/>
  <c r="AA67" i="2"/>
  <c r="AA83" i="2"/>
  <c r="BA46" i="3"/>
  <c r="Z60" i="2"/>
  <c r="BU5" i="3"/>
  <c r="BU11" i="3"/>
  <c r="BU17" i="3"/>
  <c r="BU23" i="3"/>
  <c r="BU29" i="3"/>
  <c r="BU35" i="3"/>
  <c r="BU41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M5" i="3"/>
  <c r="BK10" i="3"/>
  <c r="BI15" i="3"/>
  <c r="BE25" i="3"/>
  <c r="BF5" i="3"/>
  <c r="BL24" i="3"/>
  <c r="BH46" i="3"/>
  <c r="BM24" i="3"/>
  <c r="BN14" i="3"/>
  <c r="BF6" i="3"/>
  <c r="CL36" i="1" s="1"/>
  <c r="BL45" i="3"/>
  <c r="BH27" i="3"/>
  <c r="BL41" i="3"/>
  <c r="BT8" i="3"/>
  <c r="BG42" i="3"/>
  <c r="BH36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Z98" i="2"/>
  <c r="BA12" i="3"/>
  <c r="AA27" i="2"/>
  <c r="BA13" i="3"/>
  <c r="BQ6" i="3"/>
  <c r="BQ12" i="3"/>
  <c r="BQ18" i="3"/>
  <c r="BQ24" i="3"/>
  <c r="BQ30" i="3"/>
  <c r="BQ36" i="3"/>
  <c r="BQ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BU6" i="3"/>
  <c r="BU12" i="3"/>
  <c r="BU18" i="3"/>
  <c r="BU24" i="3"/>
  <c r="BU30" i="3"/>
  <c r="BU36" i="3"/>
  <c r="BU42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U7" i="3"/>
  <c r="BU13" i="3"/>
  <c r="BU19" i="3"/>
  <c r="BU25" i="3"/>
  <c r="BU31" i="3"/>
  <c r="BU37" i="3"/>
  <c r="BU45" i="3"/>
  <c r="BR9" i="3"/>
  <c r="BS37" i="3"/>
  <c r="BT29" i="3"/>
  <c r="BP38" i="3"/>
  <c r="BK42" i="3"/>
  <c r="BL22" i="3"/>
  <c r="BN41" i="3"/>
  <c r="BI24" i="3"/>
  <c r="BF10" i="3"/>
  <c r="CL41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79" i="1" s="1"/>
  <c r="BJ12" i="3"/>
  <c r="BL31" i="3"/>
  <c r="BH19" i="3"/>
  <c r="BL17" i="3"/>
  <c r="BP6" i="3"/>
  <c r="BP8" i="3"/>
  <c r="BG32" i="3"/>
  <c r="BL8" i="3"/>
  <c r="BF25" i="3"/>
  <c r="CL64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BQ8" i="3"/>
  <c r="BQ14" i="3"/>
  <c r="BQ20" i="3"/>
  <c r="BQ26" i="3"/>
  <c r="BQ32" i="3"/>
  <c r="BQ38" i="3"/>
  <c r="BQ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63" i="1" s="1"/>
  <c r="BG5" i="3"/>
  <c r="BK25" i="3"/>
  <c r="BF18" i="3"/>
  <c r="CL53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51" i="1" s="1"/>
  <c r="BH33" i="3"/>
  <c r="BL25" i="3"/>
  <c r="BF24" i="3"/>
  <c r="BT9" i="3"/>
  <c r="BP14" i="3"/>
  <c r="BI33" i="3"/>
  <c r="BN9" i="3"/>
  <c r="BH26" i="3"/>
  <c r="BF45" i="3"/>
  <c r="CL91" i="1" s="1"/>
  <c r="CL9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U8" i="3"/>
  <c r="BU14" i="3"/>
  <c r="BU20" i="3"/>
  <c r="BU26" i="3"/>
  <c r="BU32" i="3"/>
  <c r="BU38" i="3"/>
  <c r="BU4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P30" i="3"/>
  <c r="BO10" i="3"/>
  <c r="BJ17" i="3"/>
  <c r="BH31" i="3"/>
  <c r="BI11" i="3"/>
  <c r="BH8" i="3"/>
  <c r="BL27" i="3"/>
  <c r="BF40" i="3"/>
  <c r="BJ5" i="3"/>
  <c r="BK31" i="3"/>
  <c r="Y73" i="2"/>
  <c r="Z104" i="2"/>
  <c r="BB24" i="3"/>
  <c r="BB41" i="3"/>
  <c r="AA48" i="2"/>
  <c r="Z80" i="2"/>
  <c r="BB5" i="3"/>
  <c r="Z31" i="2"/>
  <c r="Z45" i="2"/>
  <c r="BB27" i="3"/>
  <c r="BB31" i="3"/>
  <c r="Y69" i="2"/>
  <c r="BD5" i="3"/>
  <c r="Z17" i="2"/>
  <c r="FF13" i="4" a="1"/>
  <c r="EZ8" i="4" a="1"/>
  <c r="FA12" i="4" a="1"/>
  <c r="FE9" i="4" a="1"/>
  <c r="EX6" i="4" a="1"/>
  <c r="BM41" i="3"/>
  <c r="BO16" i="3"/>
  <c r="BN19" i="3"/>
  <c r="BL37" i="3"/>
  <c r="BM11" i="3"/>
  <c r="BH10" i="3"/>
  <c r="BF34" i="3"/>
  <c r="CL73" i="1" s="1"/>
  <c r="BM46" i="3"/>
  <c r="BF7" i="3"/>
  <c r="BG33" i="3"/>
  <c r="AA55" i="2"/>
  <c r="Y68" i="2"/>
  <c r="BD32" i="3"/>
  <c r="BA22" i="3"/>
  <c r="AA36" i="2"/>
  <c r="Y15" i="2"/>
  <c r="BA40" i="3"/>
  <c r="Z18" i="2"/>
  <c r="Y77" i="2"/>
  <c r="BB12" i="3"/>
  <c r="BB35" i="3"/>
  <c r="Y27" i="2"/>
  <c r="Z78" i="2"/>
  <c r="Z42" i="2"/>
  <c r="FD14" i="4" a="1"/>
  <c r="FF15" i="4" a="1"/>
  <c r="FD8" i="4" a="1"/>
  <c r="EX9" i="4" a="1"/>
  <c r="FB11" i="4" a="1"/>
  <c r="EZ13" i="4" a="1"/>
  <c r="EY14" i="4" a="1"/>
  <c r="FA13" i="4" a="1"/>
  <c r="BQ37" i="3"/>
  <c r="Z48" i="2"/>
  <c r="BP13" i="3"/>
  <c r="BM14" i="3"/>
  <c r="BK5" i="3"/>
  <c r="FD9" i="4" a="1"/>
  <c r="EY13" i="4" a="1"/>
  <c r="FE11" i="4" a="1"/>
  <c r="BA18" i="3"/>
  <c r="Y41" i="2"/>
  <c r="EY16" i="4" a="1"/>
  <c r="BB34" i="3"/>
  <c r="EY6" i="4" a="1"/>
  <c r="BQ7" i="3"/>
  <c r="BF21" i="3"/>
  <c r="CL50" i="1" s="1"/>
  <c r="BO22" i="3"/>
  <c r="BF27" i="3"/>
  <c r="BT16" i="3"/>
  <c r="BE13" i="3"/>
  <c r="BF15" i="3"/>
  <c r="CL52" i="1" s="1"/>
  <c r="BH15" i="3"/>
  <c r="BN36" i="3"/>
  <c r="BJ11" i="3"/>
  <c r="BG37" i="3"/>
  <c r="Y13" i="2"/>
  <c r="Y10" i="2"/>
  <c r="BD33" i="3"/>
  <c r="BD23" i="3"/>
  <c r="AA8" i="2"/>
  <c r="Z19" i="2"/>
  <c r="BA42" i="3"/>
  <c r="AA104" i="2"/>
  <c r="Y84" i="2"/>
  <c r="BC9" i="3"/>
  <c r="BA21" i="3"/>
  <c r="Y52" i="2"/>
  <c r="BA30" i="3"/>
  <c r="AA59" i="2"/>
  <c r="FE5" i="4" a="1"/>
  <c r="FC7" i="4" a="1"/>
  <c r="FB7" i="4" a="1"/>
  <c r="FE14" i="4" a="1"/>
  <c r="FD13" i="4" a="1"/>
  <c r="EX12" i="4" a="1"/>
  <c r="FF6" i="4" a="1"/>
  <c r="Z93" i="2"/>
  <c r="FE7" i="4" a="1"/>
  <c r="BI20" i="3"/>
  <c r="BP19" i="3"/>
  <c r="BE21" i="3"/>
  <c r="BE8" i="3"/>
  <c r="BJ28" i="3"/>
  <c r="BT30" i="3"/>
  <c r="BF39" i="3"/>
  <c r="BH45" i="3"/>
  <c r="Y7" i="2"/>
  <c r="Y79" i="2"/>
  <c r="FC8" i="4" a="1"/>
  <c r="BM22" i="3"/>
  <c r="BE10" i="3"/>
  <c r="AA78" i="2"/>
  <c r="Z27" i="2"/>
  <c r="AA15" i="2"/>
  <c r="AA84" i="2"/>
  <c r="BB36" i="3"/>
  <c r="EX11" i="4" a="1"/>
  <c r="FE13" i="4" a="1"/>
  <c r="BA38" i="3"/>
  <c r="FD12" i="4" a="1"/>
  <c r="BQ13" i="3"/>
  <c r="BN39" i="3"/>
  <c r="BO28" i="3"/>
  <c r="BJ41" i="3"/>
  <c r="BP9" i="3"/>
  <c r="BG16" i="3"/>
  <c r="BN27" i="3"/>
  <c r="BH9" i="3"/>
  <c r="BJ30" i="3"/>
  <c r="BH22" i="3"/>
  <c r="BI42" i="3"/>
  <c r="Y94" i="2"/>
  <c r="Z108" i="2"/>
  <c r="BC37" i="3"/>
  <c r="BB37" i="3"/>
  <c r="Z5" i="2"/>
  <c r="Y61" i="2"/>
  <c r="BC42" i="3"/>
  <c r="Y47" i="2"/>
  <c r="AA32" i="2"/>
  <c r="BC36" i="3"/>
  <c r="BD38" i="3"/>
  <c r="Y95" i="2"/>
  <c r="BD40" i="3"/>
  <c r="BD20" i="3"/>
  <c r="FC14" i="4" a="1"/>
  <c r="EZ14" i="4" a="1"/>
  <c r="FA11" i="4" a="1"/>
  <c r="EY12" i="4" a="1"/>
  <c r="EY8" i="4" a="1"/>
  <c r="EZ9" i="4" a="1"/>
  <c r="Y105" i="2"/>
  <c r="FD15" i="4" a="1"/>
  <c r="AA19" i="2"/>
  <c r="Z25" i="2"/>
  <c r="EZ7" i="4" a="1"/>
  <c r="BP22" i="3"/>
  <c r="BP27" i="3"/>
  <c r="BT42" i="3"/>
  <c r="BB32" i="3"/>
  <c r="BC13" i="3"/>
  <c r="Z94" i="2"/>
  <c r="AA43" i="2"/>
  <c r="EX13" i="4" a="1"/>
  <c r="BP42" i="3"/>
  <c r="BK22" i="3"/>
  <c r="BN34" i="3"/>
  <c r="BK45" i="3"/>
  <c r="Y75" i="2"/>
  <c r="BC32" i="3"/>
  <c r="BB13" i="3"/>
  <c r="Z16" i="2"/>
  <c r="EX7" i="4" a="1"/>
  <c r="Z87" i="2"/>
  <c r="BC5" i="3"/>
  <c r="Z41" i="2"/>
  <c r="FA9" i="4" a="1"/>
  <c r="EY7" i="4" a="1"/>
  <c r="EZ16" i="4" a="1"/>
  <c r="Y63" i="2"/>
  <c r="BQ19" i="3"/>
  <c r="BI22" i="3"/>
  <c r="BO34" i="3"/>
  <c r="BN45" i="3"/>
  <c r="BP17" i="3"/>
  <c r="BK16" i="3"/>
  <c r="BN29" i="3"/>
  <c r="BN10" i="3"/>
  <c r="BG45" i="3"/>
  <c r="BN23" i="3"/>
  <c r="BN22" i="3"/>
  <c r="Y76" i="2"/>
  <c r="Z30" i="2"/>
  <c r="BD26" i="3"/>
  <c r="BD13" i="3"/>
  <c r="Z11" i="2"/>
  <c r="Z86" i="2"/>
  <c r="BB21" i="3"/>
  <c r="Y92" i="2"/>
  <c r="Y30" i="2"/>
  <c r="Y48" i="2"/>
  <c r="BA10" i="3"/>
  <c r="AA25" i="2"/>
  <c r="BB29" i="3"/>
  <c r="FC12" i="4" a="1"/>
  <c r="FC16" i="4" a="1"/>
  <c r="EY9" i="4" a="1"/>
  <c r="FF5" i="4" a="1"/>
  <c r="EY11" i="4" a="1"/>
  <c r="FB8" i="4" a="1"/>
  <c r="FD6" i="4" a="1"/>
  <c r="EZ15" i="4" a="1"/>
  <c r="FB15" i="4" a="1"/>
  <c r="BT21" i="3"/>
  <c r="BB17" i="3"/>
  <c r="Z44" i="2"/>
  <c r="BA35" i="3"/>
  <c r="AA57" i="2"/>
  <c r="BI21" i="3"/>
  <c r="AA50" i="2"/>
  <c r="AA88" i="2"/>
  <c r="AA82" i="2"/>
  <c r="Z83" i="2"/>
  <c r="Z8" i="2"/>
  <c r="FC9" i="4" a="1"/>
  <c r="FA16" i="4" a="1"/>
  <c r="FC15" i="4" a="1"/>
  <c r="FA14" i="4" a="1"/>
  <c r="BR26" i="3"/>
  <c r="BK27" i="3"/>
  <c r="AA94" i="2"/>
  <c r="Y9" i="2"/>
  <c r="BD10" i="3"/>
  <c r="AA56" i="2"/>
  <c r="Z7" i="2"/>
  <c r="FF16" i="4" a="1"/>
  <c r="FB9" i="4" a="1"/>
  <c r="BC31" i="3"/>
  <c r="AA45" i="2"/>
  <c r="FB14" i="4" a="1"/>
  <c r="Y86" i="2"/>
  <c r="FF8" i="4" a="1"/>
  <c r="EZ5" i="4" a="1"/>
  <c r="BQ25" i="3"/>
  <c r="BM42" i="3"/>
  <c r="BP5" i="3"/>
  <c r="BP60" i="3" s="1"/>
  <c r="BM6" i="3"/>
  <c r="BP41" i="3"/>
  <c r="BM17" i="3"/>
  <c r="BH34" i="3"/>
  <c r="BL15" i="3"/>
  <c r="BT13" i="3"/>
  <c r="BJ27" i="3"/>
  <c r="BH29" i="3"/>
  <c r="AA24" i="2"/>
  <c r="Z109" i="2"/>
  <c r="BA31" i="3"/>
  <c r="Z47" i="2"/>
  <c r="Z96" i="2"/>
  <c r="Z68" i="2"/>
  <c r="BD45" i="3"/>
  <c r="Y11" i="2"/>
  <c r="AA52" i="2"/>
  <c r="AA31" i="2"/>
  <c r="BD12" i="3"/>
  <c r="Y107" i="2"/>
  <c r="BB40" i="3"/>
  <c r="Y72" i="2"/>
  <c r="Y78" i="2"/>
  <c r="Z46" i="2"/>
  <c r="AA34" i="2"/>
  <c r="Z24" i="2"/>
  <c r="Z63" i="2"/>
  <c r="FB13" i="4" a="1"/>
  <c r="FD5" i="4" a="1"/>
  <c r="BR20" i="3"/>
  <c r="BF30" i="3"/>
  <c r="BH23" i="3"/>
  <c r="Z20" i="2"/>
  <c r="Y53" i="2"/>
  <c r="EX15" i="4" a="1"/>
  <c r="BQ45" i="3"/>
  <c r="BP20" i="3"/>
  <c r="Y91" i="2"/>
  <c r="Y55" i="2"/>
  <c r="BC26" i="3"/>
  <c r="EX5" i="4" a="1"/>
  <c r="EX14" i="4" a="1"/>
  <c r="AA108" i="2"/>
  <c r="BC46" i="3"/>
  <c r="FF11" i="4" a="1"/>
  <c r="EY15" i="4" a="1"/>
  <c r="FB16" i="4" a="1"/>
  <c r="FE6" i="4" a="1"/>
  <c r="FC11" i="4" a="1"/>
  <c r="FE16" i="4" a="1"/>
  <c r="BQ31" i="3"/>
  <c r="BR14" i="3"/>
  <c r="BL40" i="3"/>
  <c r="AA107" i="2"/>
  <c r="FA7" i="4" a="1"/>
  <c r="BV8" i="3"/>
  <c r="BR32" i="3"/>
  <c r="BG36" i="3"/>
  <c r="BK41" i="3"/>
  <c r="BK6" i="3"/>
  <c r="BE27" i="3"/>
  <c r="BI28" i="3"/>
  <c r="BJ6" i="3"/>
  <c r="BG30" i="3"/>
  <c r="BK15" i="3"/>
  <c r="AA72" i="2"/>
  <c r="AA93" i="2"/>
  <c r="BA9" i="3"/>
  <c r="Y42" i="2"/>
  <c r="Y98" i="2"/>
  <c r="BC14" i="3"/>
  <c r="BS36" i="3"/>
  <c r="BR38" i="3"/>
  <c r="BM37" i="3"/>
  <c r="BH5" i="3"/>
  <c r="BE7" i="3"/>
  <c r="BK28" i="3"/>
  <c r="BE30" i="3"/>
  <c r="BN12" i="3"/>
  <c r="BE31" i="3"/>
  <c r="BM16" i="3"/>
  <c r="AA77" i="2"/>
  <c r="Y32" i="2"/>
  <c r="BB25" i="3"/>
  <c r="Y44" i="2"/>
  <c r="Z79" i="2"/>
  <c r="BD6" i="3"/>
  <c r="Z57" i="2"/>
  <c r="AA96" i="2"/>
  <c r="BA14" i="3"/>
  <c r="BT23" i="3"/>
  <c r="BR46" i="3"/>
  <c r="BE45" i="3"/>
  <c r="BF26" i="3"/>
  <c r="CL75" i="1" s="1"/>
  <c r="BG8" i="3"/>
  <c r="BK36" i="3"/>
  <c r="BG35" i="3"/>
  <c r="BF32" i="3"/>
  <c r="BK34" i="3"/>
  <c r="BG21" i="3"/>
  <c r="AA40" i="2"/>
  <c r="AA14" i="2"/>
  <c r="AA47" i="2"/>
  <c r="BD39" i="3"/>
  <c r="Y19" i="2"/>
  <c r="Z70" i="2"/>
  <c r="BA36" i="3"/>
  <c r="AA20" i="2"/>
  <c r="AA13" i="2"/>
  <c r="AV10" i="3"/>
  <c r="BC33" i="3"/>
  <c r="Z28" i="2"/>
  <c r="BC40" i="3"/>
  <c r="BQ62" i="3"/>
  <c r="BP57" i="3"/>
  <c r="BU66" i="3" l="1"/>
  <c r="AA80" i="1"/>
  <c r="AA226" i="1"/>
  <c r="AA228" i="1" s="1"/>
  <c r="AA82" i="1"/>
  <c r="CX22" i="1"/>
  <c r="CW28" i="1"/>
  <c r="AB13" i="1"/>
  <c r="CP17" i="1"/>
  <c r="CP36" i="1" s="1"/>
  <c r="AB26" i="1"/>
  <c r="CL227" i="1"/>
  <c r="CL286" i="1"/>
  <c r="CL264" i="1"/>
  <c r="CL38" i="1"/>
  <c r="CL285" i="1"/>
  <c r="CL54" i="1"/>
  <c r="CL55" i="1" s="1"/>
  <c r="CK91" i="1"/>
  <c r="CK41" i="1"/>
  <c r="CK50" i="1"/>
  <c r="CK74" i="1"/>
  <c r="CK75" i="1"/>
  <c r="CK53" i="1"/>
  <c r="CK49" i="1"/>
  <c r="CK67" i="1"/>
  <c r="CK36" i="1"/>
  <c r="CK43" i="1"/>
  <c r="CK64" i="1"/>
  <c r="CK60" i="1"/>
  <c r="CK52" i="1"/>
  <c r="CK48" i="1"/>
  <c r="CK51" i="1"/>
  <c r="CK73" i="1"/>
  <c r="CK79" i="1"/>
  <c r="CK37" i="1"/>
  <c r="CK42" i="1"/>
  <c r="CK92" i="1"/>
  <c r="CK93" i="1" s="1"/>
  <c r="CK63" i="1"/>
  <c r="AD16" i="1"/>
  <c r="CR145" i="1"/>
  <c r="CR21" i="1"/>
  <c r="CR12" i="1" s="1"/>
  <c r="CR17" i="1" s="1"/>
  <c r="CR36" i="1" s="1"/>
  <c r="CT21" i="1"/>
  <c r="CS21" i="1"/>
  <c r="CS12" i="1" s="1"/>
  <c r="AC7" i="1"/>
  <c r="AC6" i="1"/>
  <c r="AC5" i="1"/>
  <c r="CS11" i="1"/>
  <c r="CS9" i="1"/>
  <c r="CZ16" i="1"/>
  <c r="DA16" i="1" s="1"/>
  <c r="DB16" i="1" s="1"/>
  <c r="CX20" i="1"/>
  <c r="CY26" i="1"/>
  <c r="Z75" i="1"/>
  <c r="CH73" i="1"/>
  <c r="CH43" i="1"/>
  <c r="X159" i="1"/>
  <c r="X187" i="1" s="1"/>
  <c r="Z155" i="1"/>
  <c r="CH155" i="1" s="1"/>
  <c r="CI155" i="1" s="1"/>
  <c r="Z51" i="1"/>
  <c r="Z188" i="1"/>
  <c r="CH188" i="1" s="1"/>
  <c r="CH67" i="1"/>
  <c r="CJ73" i="1"/>
  <c r="CJ37" i="1"/>
  <c r="X95" i="1"/>
  <c r="Y151" i="1"/>
  <c r="X75" i="1"/>
  <c r="Y49" i="1"/>
  <c r="X165" i="1"/>
  <c r="X150" i="1"/>
  <c r="Y150" i="1"/>
  <c r="Y37" i="1"/>
  <c r="Z204" i="1"/>
  <c r="Z106" i="1"/>
  <c r="Y183" i="1"/>
  <c r="Y165" i="1"/>
  <c r="X186" i="1"/>
  <c r="Y152" i="1"/>
  <c r="Y205" i="1"/>
  <c r="CI74" i="1"/>
  <c r="Y193" i="1"/>
  <c r="Z192" i="1"/>
  <c r="CH192" i="1" s="1"/>
  <c r="X53" i="1"/>
  <c r="CH60" i="1"/>
  <c r="CH227" i="1" s="1"/>
  <c r="CJ51" i="1"/>
  <c r="CI75" i="1"/>
  <c r="CJ52" i="1"/>
  <c r="CH63" i="1"/>
  <c r="CG64" i="1"/>
  <c r="X179" i="1"/>
  <c r="Y160" i="1"/>
  <c r="X106" i="1"/>
  <c r="Z64" i="1"/>
  <c r="Z197" i="1"/>
  <c r="CH197" i="1" s="1"/>
  <c r="CI197" i="1" s="1"/>
  <c r="X204" i="1"/>
  <c r="Y74" i="1"/>
  <c r="Z196" i="1"/>
  <c r="CH196" i="1" s="1"/>
  <c r="CI196" i="1" s="1"/>
  <c r="Y184" i="1"/>
  <c r="X184" i="1"/>
  <c r="X60" i="1"/>
  <c r="X227" i="1" s="1"/>
  <c r="Z170" i="1"/>
  <c r="CH170" i="1" s="1"/>
  <c r="CI170" i="1" s="1"/>
  <c r="CH41" i="1"/>
  <c r="CG53" i="1"/>
  <c r="CJ49" i="1"/>
  <c r="Y60" i="1"/>
  <c r="Y227" i="1" s="1"/>
  <c r="Y173" i="1"/>
  <c r="Z152" i="1"/>
  <c r="CH152" i="1" s="1"/>
  <c r="CJ42" i="1"/>
  <c r="CG73" i="1"/>
  <c r="CG63" i="1"/>
  <c r="CI36" i="1"/>
  <c r="CG41" i="1"/>
  <c r="CG50" i="1"/>
  <c r="CH74" i="1"/>
  <c r="CH36" i="1"/>
  <c r="CH79" i="1"/>
  <c r="CG43" i="1"/>
  <c r="CJ64" i="1"/>
  <c r="CI73" i="1"/>
  <c r="CJ48" i="1"/>
  <c r="CN48" i="1" s="1"/>
  <c r="CR48" i="1" s="1"/>
  <c r="CV48" i="1" s="1"/>
  <c r="CZ48" i="1" s="1"/>
  <c r="X168" i="1"/>
  <c r="X164" i="1" s="1"/>
  <c r="Y159" i="1"/>
  <c r="Y187" i="1" s="1"/>
  <c r="Z63" i="1"/>
  <c r="Y73" i="1"/>
  <c r="X170" i="1"/>
  <c r="Y197" i="1"/>
  <c r="X37" i="1"/>
  <c r="X205" i="1"/>
  <c r="Z60" i="1"/>
  <c r="Z227" i="1" s="1"/>
  <c r="X160" i="1"/>
  <c r="X158" i="1"/>
  <c r="CI63" i="1"/>
  <c r="CH42" i="1"/>
  <c r="CI50" i="1"/>
  <c r="CH75" i="1"/>
  <c r="CJ92" i="1"/>
  <c r="CI92" i="1" s="1"/>
  <c r="CH92" i="1" s="1"/>
  <c r="CG92" i="1" s="1"/>
  <c r="CF92" i="1" s="1"/>
  <c r="CE92" i="1" s="1"/>
  <c r="CD92" i="1" s="1"/>
  <c r="CC92" i="1" s="1"/>
  <c r="CB92" i="1" s="1"/>
  <c r="CA92" i="1" s="1"/>
  <c r="BZ92" i="1" s="1"/>
  <c r="BY92" i="1" s="1"/>
  <c r="BX92" i="1" s="1"/>
  <c r="BW92" i="1" s="1"/>
  <c r="BV92" i="1" s="1"/>
  <c r="BU92" i="1" s="1"/>
  <c r="BT92" i="1" s="1"/>
  <c r="BS92" i="1" s="1"/>
  <c r="BR92" i="1" s="1"/>
  <c r="BQ92" i="1" s="1"/>
  <c r="BP92" i="1" s="1"/>
  <c r="BO92" i="1" s="1"/>
  <c r="BN92" i="1" s="1"/>
  <c r="BM92" i="1" s="1"/>
  <c r="BL92" i="1" s="1"/>
  <c r="BK92" i="1" s="1"/>
  <c r="BJ92" i="1" s="1"/>
  <c r="BI92" i="1" s="1"/>
  <c r="BH92" i="1" s="1"/>
  <c r="BG92" i="1" s="1"/>
  <c r="BF92" i="1" s="1"/>
  <c r="BE92" i="1" s="1"/>
  <c r="BD92" i="1" s="1"/>
  <c r="BC92" i="1" s="1"/>
  <c r="BB92" i="1" s="1"/>
  <c r="BA92" i="1" s="1"/>
  <c r="AZ92" i="1" s="1"/>
  <c r="AY92" i="1" s="1"/>
  <c r="AX92" i="1" s="1"/>
  <c r="AW92" i="1" s="1"/>
  <c r="AV92" i="1" s="1"/>
  <c r="AU92" i="1" s="1"/>
  <c r="AT92" i="1" s="1"/>
  <c r="AS92" i="1" s="1"/>
  <c r="AR92" i="1" s="1"/>
  <c r="AQ92" i="1" s="1"/>
  <c r="AP92" i="1" s="1"/>
  <c r="AO92" i="1" s="1"/>
  <c r="AN92" i="1" s="1"/>
  <c r="AM92" i="1" s="1"/>
  <c r="AL92" i="1" s="1"/>
  <c r="AK92" i="1" s="1"/>
  <c r="AJ92" i="1" s="1"/>
  <c r="AI92" i="1" s="1"/>
  <c r="CG51" i="1"/>
  <c r="CJ60" i="1"/>
  <c r="CG42" i="1"/>
  <c r="Z74" i="1"/>
  <c r="Z184" i="1"/>
  <c r="CH184" i="1" s="1"/>
  <c r="X67" i="1"/>
  <c r="Z73" i="1"/>
  <c r="X178" i="1"/>
  <c r="Y155" i="1"/>
  <c r="X188" i="1"/>
  <c r="Z52" i="1"/>
  <c r="X155" i="1"/>
  <c r="Z166" i="1"/>
  <c r="CH166" i="1" s="1"/>
  <c r="CI166" i="1" s="1"/>
  <c r="Z173" i="1"/>
  <c r="Z43" i="1"/>
  <c r="X41" i="1"/>
  <c r="Y105" i="1"/>
  <c r="Y203" i="1"/>
  <c r="Z203" i="1"/>
  <c r="X157" i="1"/>
  <c r="Y79" i="1"/>
  <c r="Y53" i="1"/>
  <c r="Y192" i="1"/>
  <c r="Z151" i="1"/>
  <c r="CH151" i="1" s="1"/>
  <c r="CI151" i="1" s="1"/>
  <c r="Y63" i="1"/>
  <c r="Y188" i="1"/>
  <c r="Z107" i="1"/>
  <c r="Z176" i="1"/>
  <c r="Z160" i="1"/>
  <c r="CH160" i="1" s="1"/>
  <c r="CI160" i="1" s="1"/>
  <c r="Y176" i="1"/>
  <c r="Y36" i="1"/>
  <c r="CG74" i="1"/>
  <c r="CJ91" i="1"/>
  <c r="CI91" i="1" s="1"/>
  <c r="CH91" i="1" s="1"/>
  <c r="CG91" i="1" s="1"/>
  <c r="CF91" i="1" s="1"/>
  <c r="CE91" i="1" s="1"/>
  <c r="CD91" i="1" s="1"/>
  <c r="CC91" i="1" s="1"/>
  <c r="CB91" i="1" s="1"/>
  <c r="CA91" i="1" s="1"/>
  <c r="BZ91" i="1" s="1"/>
  <c r="BY91" i="1" s="1"/>
  <c r="BX91" i="1" s="1"/>
  <c r="BW91" i="1" s="1"/>
  <c r="BV91" i="1" s="1"/>
  <c r="BU91" i="1" s="1"/>
  <c r="BT91" i="1" s="1"/>
  <c r="BS91" i="1" s="1"/>
  <c r="BR91" i="1" s="1"/>
  <c r="BQ91" i="1" s="1"/>
  <c r="BP91" i="1" s="1"/>
  <c r="BO91" i="1" s="1"/>
  <c r="BN91" i="1" s="1"/>
  <c r="BM91" i="1" s="1"/>
  <c r="BL91" i="1" s="1"/>
  <c r="BK91" i="1" s="1"/>
  <c r="BJ91" i="1" s="1"/>
  <c r="BI91" i="1" s="1"/>
  <c r="BH91" i="1" s="1"/>
  <c r="BG91" i="1" s="1"/>
  <c r="BF91" i="1" s="1"/>
  <c r="BE91" i="1" s="1"/>
  <c r="BD91" i="1" s="1"/>
  <c r="BC91" i="1" s="1"/>
  <c r="BB91" i="1" s="1"/>
  <c r="BA91" i="1" s="1"/>
  <c r="AZ91" i="1" s="1"/>
  <c r="AY91" i="1" s="1"/>
  <c r="AX91" i="1" s="1"/>
  <c r="AW91" i="1" s="1"/>
  <c r="AV91" i="1" s="1"/>
  <c r="AU91" i="1" s="1"/>
  <c r="AT91" i="1" s="1"/>
  <c r="AS91" i="1" s="1"/>
  <c r="AR91" i="1" s="1"/>
  <c r="AQ91" i="1" s="1"/>
  <c r="AP91" i="1" s="1"/>
  <c r="AO91" i="1" s="1"/>
  <c r="AN91" i="1" s="1"/>
  <c r="AM91" i="1" s="1"/>
  <c r="AL91" i="1" s="1"/>
  <c r="AK91" i="1" s="1"/>
  <c r="AJ91" i="1" s="1"/>
  <c r="AI91" i="1" s="1"/>
  <c r="CH53" i="1"/>
  <c r="CH50" i="1"/>
  <c r="CJ74" i="1"/>
  <c r="CG60" i="1"/>
  <c r="CI79" i="1"/>
  <c r="CI67" i="1"/>
  <c r="CG79" i="1"/>
  <c r="CH51" i="1"/>
  <c r="CJ36" i="1"/>
  <c r="CI51" i="1"/>
  <c r="CJ43" i="1"/>
  <c r="CJ41" i="1"/>
  <c r="CG36" i="1"/>
  <c r="CG264" i="1" s="1"/>
  <c r="CI49" i="1"/>
  <c r="CH48" i="1"/>
  <c r="CP48" i="1" s="1"/>
  <c r="CT48" i="1" s="1"/>
  <c r="CX48" i="1" s="1"/>
  <c r="DB48" i="1" s="1"/>
  <c r="CI60" i="1"/>
  <c r="CI227" i="1" s="1"/>
  <c r="CG52" i="1"/>
  <c r="X193" i="1"/>
  <c r="Y169" i="1"/>
  <c r="Y51" i="1"/>
  <c r="Z150" i="1"/>
  <c r="X64" i="1"/>
  <c r="Y168" i="1"/>
  <c r="Y164" i="1" s="1"/>
  <c r="Y75" i="1"/>
  <c r="Y43" i="1"/>
  <c r="X173" i="1"/>
  <c r="Y50" i="1"/>
  <c r="X51" i="1"/>
  <c r="X182" i="1"/>
  <c r="X105" i="1"/>
  <c r="Y180" i="1"/>
  <c r="Y204" i="1"/>
  <c r="Z177" i="1"/>
  <c r="Z165" i="1"/>
  <c r="CH165" i="1" s="1"/>
  <c r="Y179" i="1"/>
  <c r="Z41" i="1"/>
  <c r="Z36" i="1"/>
  <c r="Y178" i="1"/>
  <c r="Z79" i="1"/>
  <c r="Z182" i="1"/>
  <c r="CH182" i="1" s="1"/>
  <c r="Z168" i="1"/>
  <c r="Y41" i="1"/>
  <c r="Y196" i="1"/>
  <c r="X74" i="1"/>
  <c r="X180" i="1"/>
  <c r="Z179" i="1"/>
  <c r="CH179" i="1" s="1"/>
  <c r="Z67" i="1"/>
  <c r="Y48" i="1"/>
  <c r="X196" i="1"/>
  <c r="Z158" i="1"/>
  <c r="CH158" i="1" s="1"/>
  <c r="CI158" i="1" s="1"/>
  <c r="X107" i="1"/>
  <c r="X50" i="1"/>
  <c r="X151" i="1"/>
  <c r="Y95" i="1"/>
  <c r="Z105" i="1"/>
  <c r="X49" i="1"/>
  <c r="X152" i="1"/>
  <c r="Y106" i="1"/>
  <c r="Z159" i="1"/>
  <c r="CH159" i="1" s="1"/>
  <c r="CI159" i="1" s="1"/>
  <c r="Y64" i="1"/>
  <c r="Y157" i="1"/>
  <c r="X36" i="1"/>
  <c r="CI52" i="1"/>
  <c r="CJ67" i="1"/>
  <c r="CH52" i="1"/>
  <c r="CI42" i="1"/>
  <c r="CJ63" i="1"/>
  <c r="CI43" i="1"/>
  <c r="CI41" i="1"/>
  <c r="CG67" i="1"/>
  <c r="CG48" i="1"/>
  <c r="CH64" i="1"/>
  <c r="CI64" i="1"/>
  <c r="CI48" i="1"/>
  <c r="CM48" i="1" s="1"/>
  <c r="CQ48" i="1" s="1"/>
  <c r="CU48" i="1" s="1"/>
  <c r="CY48" i="1" s="1"/>
  <c r="CJ50" i="1"/>
  <c r="CJ53" i="1"/>
  <c r="CH49" i="1"/>
  <c r="CE67" i="1"/>
  <c r="CG75" i="1"/>
  <c r="CJ75" i="1"/>
  <c r="CG37" i="1"/>
  <c r="CG49" i="1"/>
  <c r="CI53" i="1"/>
  <c r="CJ79" i="1"/>
  <c r="CH37" i="1"/>
  <c r="CI37" i="1"/>
  <c r="Y175" i="1"/>
  <c r="X79" i="1"/>
  <c r="Z157" i="1"/>
  <c r="CH157" i="1" s="1"/>
  <c r="CI157" i="1" s="1"/>
  <c r="Y166" i="1"/>
  <c r="Y52" i="1"/>
  <c r="X73" i="1"/>
  <c r="Z205" i="1"/>
  <c r="X43" i="1"/>
  <c r="Y182" i="1"/>
  <c r="Z193" i="1"/>
  <c r="CH193" i="1" s="1"/>
  <c r="X175" i="1"/>
  <c r="Y186" i="1"/>
  <c r="Y67" i="1"/>
  <c r="Z37" i="1"/>
  <c r="Z183" i="1"/>
  <c r="CH183" i="1" s="1"/>
  <c r="Y107" i="1"/>
  <c r="X63" i="1"/>
  <c r="X169" i="1"/>
  <c r="Z169" i="1"/>
  <c r="CH169" i="1" s="1"/>
  <c r="CI169" i="1" s="1"/>
  <c r="Z180" i="1"/>
  <c r="CH180" i="1" s="1"/>
  <c r="X166" i="1"/>
  <c r="Z48" i="1"/>
  <c r="Z178" i="1"/>
  <c r="CH178" i="1" s="1"/>
  <c r="Z175" i="1"/>
  <c r="CH175" i="1" s="1"/>
  <c r="X192" i="1"/>
  <c r="X183" i="1"/>
  <c r="Y158" i="1"/>
  <c r="Z49" i="1"/>
  <c r="Z50" i="1"/>
  <c r="Z95" i="1"/>
  <c r="Z53" i="1"/>
  <c r="X177" i="1"/>
  <c r="Y170" i="1"/>
  <c r="Y177" i="1"/>
  <c r="X197" i="1"/>
  <c r="X52" i="1"/>
  <c r="X48" i="1"/>
  <c r="Z186" i="1"/>
  <c r="CH186" i="1" s="1"/>
  <c r="X176" i="1"/>
  <c r="X203" i="1"/>
  <c r="JP9" i="4" s="1"/>
  <c r="JP16" i="4" s="1"/>
  <c r="JO16" i="4" s="1"/>
  <c r="JO9" i="4" s="1"/>
  <c r="JN9" i="4" s="1"/>
  <c r="JN16" i="4" s="1"/>
  <c r="BT49" i="3"/>
  <c r="BV48" i="3"/>
  <c r="BP92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75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U58" i="3"/>
  <c r="BH6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101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H62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77" i="1" s="1"/>
  <c r="CL212" i="1" s="1"/>
  <c r="CM212" i="1" s="1"/>
  <c r="CN212" i="1" s="1"/>
  <c r="Y111" i="2"/>
  <c r="BO83" i="3"/>
  <c r="BK84" i="3"/>
  <c r="BH59" i="3"/>
  <c r="BG5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86" i="1" s="1"/>
  <c r="CL216" i="1" s="1"/>
  <c r="CM216" i="1" s="1"/>
  <c r="CN216" i="1" s="1"/>
  <c r="BF66" i="3"/>
  <c r="CL184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102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FW11" i="4" a="1"/>
  <c r="FR12" i="4" a="1"/>
  <c r="FL13" i="4" a="1"/>
  <c r="FN7" i="4" a="1"/>
  <c r="GY11" i="4" a="1"/>
  <c r="GS12" i="4" a="1"/>
  <c r="GM13" i="4" a="1"/>
  <c r="GG14" i="4" a="1"/>
  <c r="FQ9" i="4" a="1"/>
  <c r="HA13" i="4" a="1"/>
  <c r="GF15" i="4" a="1"/>
  <c r="HD15" i="4" a="1"/>
  <c r="FZ16" i="4" a="1"/>
  <c r="GX16" i="4" a="1"/>
  <c r="GY14" i="4" a="1"/>
  <c r="FN12" i="4" a="1"/>
  <c r="HB14" i="4" a="1"/>
  <c r="BG66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92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73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BQ56" i="3"/>
  <c r="BG7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79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83" i="1" s="1"/>
  <c r="BF82" i="3"/>
  <c r="CL178" i="1" s="1"/>
  <c r="CL213" i="1" s="1"/>
  <c r="CM213" i="1" s="1"/>
  <c r="CN213" i="1" s="1"/>
  <c r="CO213" i="1" s="1"/>
  <c r="CP213" i="1" s="1"/>
  <c r="CQ213" i="1" s="1"/>
  <c r="CR213" i="1" s="1"/>
  <c r="CS213" i="1" s="1"/>
  <c r="CT213" i="1" s="1"/>
  <c r="CU213" i="1" s="1"/>
  <c r="CV213" i="1" s="1"/>
  <c r="CW213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67" i="1" s="1"/>
  <c r="BJ74" i="3"/>
  <c r="BJ80" i="3"/>
  <c r="BJ64" i="3"/>
  <c r="BE85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93" i="1" s="1"/>
  <c r="BB65" i="3"/>
  <c r="BB74" i="3"/>
  <c r="BB78" i="3"/>
  <c r="BG77" i="3"/>
  <c r="BH68" i="3"/>
  <c r="BF88" i="3"/>
  <c r="CL160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70" i="1" s="1"/>
  <c r="BJ82" i="3"/>
  <c r="BJ96" i="3"/>
  <c r="BJ92" i="3"/>
  <c r="BJ77" i="3"/>
  <c r="BK83" i="3"/>
  <c r="BK76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58" i="1" s="1"/>
  <c r="BB92" i="3"/>
  <c r="BB85" i="3"/>
  <c r="BB89" i="3"/>
  <c r="BG93" i="3"/>
  <c r="BH76" i="3"/>
  <c r="BF90" i="3"/>
  <c r="CL159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88" i="1" s="1"/>
  <c r="BF85" i="3"/>
  <c r="CL180" i="1" s="1"/>
  <c r="BQ74" i="3"/>
  <c r="BQ83" i="3"/>
  <c r="BU87" i="3"/>
  <c r="BR57" i="3"/>
  <c r="BV83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55" i="1" s="1"/>
  <c r="BB95" i="3"/>
  <c r="BB63" i="3"/>
  <c r="BB67" i="3"/>
  <c r="BG97" i="3"/>
  <c r="BE55" i="3"/>
  <c r="BP86" i="3"/>
  <c r="BD94" i="3"/>
  <c r="BU61" i="3"/>
  <c r="BI89" i="3"/>
  <c r="BK70" i="3"/>
  <c r="BF87" i="3"/>
  <c r="CL185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97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57" i="1" s="1"/>
  <c r="BJ58" i="3"/>
  <c r="BJ93" i="3"/>
  <c r="BJ57" i="3"/>
  <c r="BJ83" i="3"/>
  <c r="BK67" i="3"/>
  <c r="BK57" i="3"/>
  <c r="BP67" i="3"/>
  <c r="BF79" i="3"/>
  <c r="CL176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87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51" i="1" s="1"/>
  <c r="BJ60" i="3"/>
  <c r="BJ97" i="3"/>
  <c r="BJ61" i="3"/>
  <c r="BJ85" i="3"/>
  <c r="BK58" i="3"/>
  <c r="BK92" i="3"/>
  <c r="BP50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96" i="1" s="1"/>
  <c r="BJ66" i="3"/>
  <c r="BJ87" i="3"/>
  <c r="BJ63" i="3"/>
  <c r="BK73" i="3"/>
  <c r="BK48" i="3"/>
  <c r="BK94" i="3"/>
  <c r="BK79" i="3"/>
  <c r="BL61" i="3"/>
  <c r="BT90" i="3"/>
  <c r="BS50" i="3"/>
  <c r="BV57" i="3"/>
  <c r="BN59" i="3"/>
  <c r="BP82" i="3"/>
  <c r="BS76" i="3"/>
  <c r="BL73" i="3"/>
  <c r="BM47" i="3"/>
  <c r="BJ70" i="3"/>
  <c r="BJ75" i="3"/>
  <c r="BK62" i="3"/>
  <c r="BK89" i="3"/>
  <c r="FX6" i="4" a="1"/>
  <c r="FI6" i="4" a="1"/>
  <c r="HH9" i="4" a="1"/>
  <c r="GF14" i="4" a="1"/>
  <c r="HD6" i="4" a="1"/>
  <c r="FY6" i="4" a="1"/>
  <c r="FX9" i="4" a="1"/>
  <c r="FU5" i="4" a="1"/>
  <c r="GV7" i="4" a="1"/>
  <c r="GN8" i="4" a="1"/>
  <c r="GY13" i="4" a="1"/>
  <c r="GV6" i="4" a="1"/>
  <c r="FL6" i="4" a="1"/>
  <c r="FP11" i="4" a="1"/>
  <c r="FZ15" i="4" a="1"/>
  <c r="GZ5" i="4" a="1"/>
  <c r="FO9" i="4" a="1"/>
  <c r="HC11" i="4" a="1"/>
  <c r="FJ5" i="4" a="1"/>
  <c r="FJ8" i="4" a="1"/>
  <c r="HG8" i="4" a="1"/>
  <c r="GL13" i="4" a="1"/>
  <c r="GA11" i="4" a="1"/>
  <c r="FZ12" i="4" a="1"/>
  <c r="FY13" i="4" a="1"/>
  <c r="FK9" i="4" a="1"/>
  <c r="FP12" i="4" a="1"/>
  <c r="FO13" i="4" a="1"/>
  <c r="FL14" i="4" a="1"/>
  <c r="FO6" i="4" a="1"/>
  <c r="HB12" i="4" a="1"/>
  <c r="FS15" i="4" a="1"/>
  <c r="HB15" i="4" a="1"/>
  <c r="GB16" i="4" a="1"/>
  <c r="HB16" i="4" a="1"/>
  <c r="GJ7" i="4" a="1"/>
  <c r="FX13" i="4" a="1"/>
  <c r="FX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A65" i="3"/>
  <c r="FR13" i="4" a="1"/>
  <c r="FQ14" i="4" a="1"/>
  <c r="FY7" i="4" a="1"/>
  <c r="FU13" i="4" a="1"/>
  <c r="GC15" i="4" a="1"/>
  <c r="HF15" i="4" a="1"/>
  <c r="GD16" i="4" a="1"/>
  <c r="HD16" i="4" a="1"/>
  <c r="FV8" i="4" a="1"/>
  <c r="GS13" i="4" a="1"/>
  <c r="GA15" i="4" a="1"/>
  <c r="GU9" i="4" a="1"/>
  <c r="FG14" i="4" a="1"/>
  <c r="GI15" i="4" a="1"/>
  <c r="HG15" i="4" a="1"/>
  <c r="GC16" i="4" a="1"/>
  <c r="HA16" i="4" a="1"/>
  <c r="BC84" i="3"/>
  <c r="BC69" i="3"/>
  <c r="BD84" i="3"/>
  <c r="BD58" i="3"/>
  <c r="BD95" i="3"/>
  <c r="BO90" i="3"/>
  <c r="GY6" i="4" a="1"/>
  <c r="FH8" i="4" a="1"/>
  <c r="FZ5" i="4" a="1"/>
  <c r="FJ15" i="4" a="1"/>
  <c r="GW13" i="4" a="1"/>
  <c r="GN16" i="4" a="1"/>
  <c r="BC77" i="3"/>
  <c r="BC76" i="3"/>
  <c r="GT5" i="4" a="1"/>
  <c r="FM8" i="4" a="1"/>
  <c r="FP15" i="4" a="1"/>
  <c r="FM13" i="4" a="1"/>
  <c r="GV13" i="4" a="1"/>
  <c r="GN13" i="4" a="1"/>
  <c r="BD91" i="3"/>
  <c r="BE60" i="3"/>
  <c r="BO63" i="3"/>
  <c r="BU67" i="3"/>
  <c r="BV76" i="3"/>
  <c r="BN93" i="3"/>
  <c r="BP85" i="3"/>
  <c r="BS79" i="3"/>
  <c r="BE54" i="3"/>
  <c r="BM58" i="3"/>
  <c r="BJ72" i="3"/>
  <c r="BJ79" i="3"/>
  <c r="BK86" i="3"/>
  <c r="BK93" i="3"/>
  <c r="GH7" i="4" a="1"/>
  <c r="FG6" i="4" a="1"/>
  <c r="FR11" i="4" a="1"/>
  <c r="HA14" i="4" a="1"/>
  <c r="GE7" i="4" a="1"/>
  <c r="FL9" i="4" a="1"/>
  <c r="GU11" i="4" a="1"/>
  <c r="GG5" i="4" a="1"/>
  <c r="FQ8" i="4" a="1"/>
  <c r="FJ9" i="4" a="1"/>
  <c r="GS14" i="4" a="1"/>
  <c r="FO7" i="4" a="1"/>
  <c r="FR6" i="4" a="1"/>
  <c r="FX11" i="4" a="1"/>
  <c r="GZ7" i="4" a="1"/>
  <c r="FV6" i="4" a="1"/>
  <c r="FJ6" i="4" a="1"/>
  <c r="FY12" i="4" a="1"/>
  <c r="FR5" i="4" a="1"/>
  <c r="GA8" i="4" a="1"/>
  <c r="GC9" i="4" a="1"/>
  <c r="GK14" i="4" a="1"/>
  <c r="GE11" i="4" a="1"/>
  <c r="GE12" i="4" a="1"/>
  <c r="GB13" i="4" a="1"/>
  <c r="FP9" i="4" a="1"/>
  <c r="FU12" i="4" a="1"/>
  <c r="BC55" i="3"/>
  <c r="Z112" i="2"/>
  <c r="BQ97" i="3"/>
  <c r="BO85" i="3"/>
  <c r="GC5" i="4" a="1"/>
  <c r="GH6" i="4" a="1"/>
  <c r="GA5" i="4" a="1"/>
  <c r="HA7" i="4" a="1"/>
  <c r="GR8" i="4" a="1"/>
  <c r="FV7" i="4" a="1"/>
  <c r="GX14" i="4" a="1"/>
  <c r="BD59" i="3"/>
  <c r="BD97" i="3"/>
  <c r="FS13" i="4" a="1"/>
  <c r="FI14" i="4" a="1"/>
  <c r="FT15" i="4" a="1"/>
  <c r="HC15" i="4" a="1"/>
  <c r="BD47" i="3"/>
  <c r="BE97" i="3"/>
  <c r="BO66" i="3"/>
  <c r="BU69" i="3"/>
  <c r="BV58" i="3"/>
  <c r="BN58" i="3"/>
  <c r="BF55" i="3"/>
  <c r="BS81" i="3"/>
  <c r="BE89" i="3"/>
  <c r="BM83" i="3"/>
  <c r="BJ95" i="3"/>
  <c r="BJ81" i="3"/>
  <c r="BK90" i="3"/>
  <c r="BK61" i="3"/>
  <c r="HF7" i="4" a="1"/>
  <c r="HH6" i="4" a="1"/>
  <c r="FZ11" i="4" a="1"/>
  <c r="FR15" i="4" a="1"/>
  <c r="GX7" i="4" a="1"/>
  <c r="GJ9" i="4" a="1"/>
  <c r="FQ12" i="4" a="1"/>
  <c r="FX5" i="4" a="1"/>
  <c r="GC8" i="4" a="1"/>
  <c r="GK9" i="4" a="1"/>
  <c r="FO15" i="4" a="1"/>
  <c r="GP7" i="4" a="1"/>
  <c r="FK7" i="4" a="1"/>
  <c r="HD5" i="4" a="1"/>
  <c r="FI9" i="4" a="1"/>
  <c r="GT6" i="4" a="1"/>
  <c r="GG7" i="4" a="1"/>
  <c r="GZ12" i="4" a="1"/>
  <c r="GD5" i="4" a="1"/>
  <c r="GO8" i="4" a="1"/>
  <c r="FH11" i="4" a="1"/>
  <c r="FG15" i="4" a="1"/>
  <c r="GK11" i="4" a="1"/>
  <c r="GH12" i="4" a="1"/>
  <c r="GG13" i="4" a="1"/>
  <c r="GA9" i="4" a="1"/>
  <c r="FX12" i="4" a="1"/>
  <c r="FW13" i="4" a="1"/>
  <c r="FT14" i="4" a="1"/>
  <c r="FN8" i="4" a="1"/>
  <c r="GF13" i="4" a="1"/>
  <c r="GH15" i="4" a="1"/>
  <c r="HH15" i="4" a="1"/>
  <c r="GF16" i="4" a="1"/>
  <c r="HF16" i="4" a="1"/>
  <c r="HB8" i="4" a="1"/>
  <c r="HH13" i="4" a="1"/>
  <c r="GD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T72" i="3"/>
  <c r="BG68" i="3"/>
  <c r="BJ48" i="3"/>
  <c r="BK65" i="3"/>
  <c r="FH7" i="4" a="1"/>
  <c r="FW8" i="4" a="1"/>
  <c r="HB7" i="4" a="1"/>
  <c r="GX12" i="4" a="1"/>
  <c r="GN12" i="4" a="1"/>
  <c r="FQ11" i="4" a="1"/>
  <c r="FS12" i="4" a="1"/>
  <c r="FU11" i="4" a="1"/>
  <c r="HE13" i="4" a="1"/>
  <c r="FO16" i="4" a="1"/>
  <c r="BC61" i="3"/>
  <c r="BD66" i="3"/>
  <c r="GP5" i="4" a="1"/>
  <c r="FN13" i="4" a="1"/>
  <c r="FJ13" i="4" a="1"/>
  <c r="HH14" i="4" a="1"/>
  <c r="GZ15" i="4" a="1"/>
  <c r="GZ16" i="4" a="1"/>
  <c r="GP6" i="4" a="1"/>
  <c r="GB15" i="4" a="1"/>
  <c r="FY16" i="4" a="1"/>
  <c r="BC86" i="3"/>
  <c r="BB93" i="3"/>
  <c r="BI96" i="3"/>
  <c r="BI81" i="3"/>
  <c r="BO50" i="3"/>
  <c r="BU91" i="3"/>
  <c r="BV55" i="3"/>
  <c r="BN60" i="3"/>
  <c r="BF48" i="3"/>
  <c r="BS94" i="3"/>
  <c r="BE59" i="3"/>
  <c r="BM63" i="3"/>
  <c r="BJ89" i="3"/>
  <c r="BK81" i="3"/>
  <c r="BK56" i="3"/>
  <c r="GE15" i="4" a="1"/>
  <c r="GR5" i="4" a="1"/>
  <c r="GQ7" i="4" a="1"/>
  <c r="FW6" i="4" a="1"/>
  <c r="FT7" i="4" a="1"/>
  <c r="GQ6" i="4" a="1"/>
  <c r="GX6" i="4" a="1"/>
  <c r="GO12" i="4" a="1"/>
  <c r="GL5" i="4" a="1"/>
  <c r="GM8" i="4" a="1"/>
  <c r="FV11" i="4" a="1"/>
  <c r="FI7" i="4" a="1"/>
  <c r="FI8" i="4" a="1"/>
  <c r="HG7" i="4" a="1"/>
  <c r="GU6" i="4" a="1"/>
  <c r="FQ5" i="4" a="1"/>
  <c r="FM7" i="4" a="1"/>
  <c r="FX8" i="4" a="1"/>
  <c r="FV13" i="4" a="1"/>
  <c r="GY5" i="4" a="1"/>
  <c r="HF5" i="4" a="1"/>
  <c r="FT11" i="4" a="1"/>
  <c r="GV5" i="4" a="1"/>
  <c r="GN11" i="4" a="1"/>
  <c r="GM12" i="4" a="1"/>
  <c r="GJ13" i="4" a="1"/>
  <c r="GF9" i="4" a="1"/>
  <c r="GC12" i="4" a="1"/>
  <c r="FZ13" i="4" a="1"/>
  <c r="FY14" i="4" a="1"/>
  <c r="GT8" i="4" a="1"/>
  <c r="FJ14" i="4" a="1"/>
  <c r="GJ15" i="4" a="1"/>
  <c r="FH16" i="4" a="1"/>
  <c r="GH16" i="4" a="1"/>
  <c r="HH16" i="4" a="1"/>
  <c r="FV9" i="4" a="1"/>
  <c r="FK14" i="4" a="1"/>
  <c r="FM11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D50" i="3"/>
  <c r="BN72" i="3"/>
  <c r="BI65" i="3"/>
  <c r="BK88" i="3"/>
  <c r="GW9" i="4" a="1"/>
  <c r="GE14" i="4" a="1"/>
  <c r="GG9" i="4" a="1"/>
  <c r="GY9" i="4" a="1"/>
  <c r="FG5" i="4" a="1"/>
  <c r="FW12" i="4" a="1"/>
  <c r="BB54" i="3"/>
  <c r="BF94" i="3"/>
  <c r="BO57" i="3"/>
  <c r="BU92" i="3"/>
  <c r="BV70" i="3"/>
  <c r="BN71" i="3"/>
  <c r="AA113" i="2"/>
  <c r="BS58" i="3"/>
  <c r="BE67" i="3"/>
  <c r="BF58" i="3"/>
  <c r="CL152" i="1" s="1"/>
  <c r="BJ91" i="3"/>
  <c r="BK69" i="3"/>
  <c r="BK95" i="3"/>
  <c r="FM5" i="4" a="1"/>
  <c r="FN6" i="4" a="1"/>
  <c r="FG9" i="4" a="1"/>
  <c r="FZ6" i="4" a="1"/>
  <c r="GH8" i="4" a="1"/>
  <c r="HG6" i="4" a="1"/>
  <c r="GR7" i="4" a="1"/>
  <c r="FK13" i="4" a="1"/>
  <c r="FH6" i="4" a="1"/>
  <c r="GY8" i="4" a="1"/>
  <c r="GS5" i="4" a="1"/>
  <c r="GP8" i="4" a="1"/>
  <c r="HE5" i="4" a="1"/>
  <c r="FW9" i="4" a="1"/>
  <c r="FH9" i="4" a="1"/>
  <c r="GE5" i="4" a="1"/>
  <c r="GF7" i="4" a="1"/>
  <c r="GV8" i="4" a="1"/>
  <c r="GT13" i="4" a="1"/>
  <c r="GS6" i="4" a="1"/>
  <c r="GN5" i="4" a="1"/>
  <c r="GD11" i="4" a="1"/>
  <c r="FR8" i="4" a="1"/>
  <c r="GS11" i="4" a="1"/>
  <c r="GP12" i="4" a="1"/>
  <c r="GO13" i="4" a="1"/>
  <c r="GI11" i="4" a="1"/>
  <c r="GF12" i="4" a="1"/>
  <c r="GE13" i="4" a="1"/>
  <c r="GB14" i="4" a="1"/>
  <c r="GL9" i="4" a="1"/>
  <c r="FO14" i="4" a="1"/>
  <c r="GL15" i="4" a="1"/>
  <c r="FJ16" i="4" a="1"/>
  <c r="GJ16" i="4" a="1"/>
  <c r="HE7" i="4" a="1"/>
  <c r="GQ9" i="4" a="1"/>
  <c r="FV14" i="4" a="1"/>
  <c r="GD12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HH11" i="4" a="1"/>
  <c r="GM14" i="4" a="1"/>
  <c r="FM16" i="4" a="1"/>
  <c r="GK16" i="4" a="1"/>
  <c r="GL8" i="4" a="1"/>
  <c r="BD71" i="3"/>
  <c r="BR88" i="3"/>
  <c r="BF72" i="3"/>
  <c r="CL168" i="1" s="1"/>
  <c r="GI9" i="4" a="1"/>
  <c r="HA6" i="4" a="1"/>
  <c r="FI5" i="4" a="1"/>
  <c r="HC6" i="4" a="1"/>
  <c r="FI12" i="4" a="1"/>
  <c r="HD9" i="4" a="1"/>
  <c r="GM7" i="4" a="1"/>
  <c r="HA11" i="4" a="1"/>
  <c r="GQ11" i="4" a="1"/>
  <c r="GO14" i="4" a="1"/>
  <c r="GP15" i="4" a="1"/>
  <c r="GA12" i="4" a="1"/>
  <c r="GM16" i="4" a="1"/>
  <c r="BC67" i="3"/>
  <c r="GW16" i="4" a="1"/>
  <c r="BA47" i="3"/>
  <c r="BQ93" i="3"/>
  <c r="BO87" i="3"/>
  <c r="BR81" i="3"/>
  <c r="BT67" i="3"/>
  <c r="BN96" i="3"/>
  <c r="Y112" i="2"/>
  <c r="BG82" i="3"/>
  <c r="BE69" i="3"/>
  <c r="BF64" i="3"/>
  <c r="CL182" i="1" s="1"/>
  <c r="BJ54" i="3"/>
  <c r="BK82" i="3"/>
  <c r="BK91" i="3"/>
  <c r="FS5" i="4" a="1"/>
  <c r="GL6" i="4" a="1"/>
  <c r="GE9" i="4" a="1"/>
  <c r="HE8" i="4" a="1"/>
  <c r="FO5" i="4" a="1"/>
  <c r="GC7" i="4" a="1"/>
  <c r="FT8" i="4" a="1"/>
  <c r="GI13" i="4" a="1"/>
  <c r="GF6" i="4" a="1"/>
  <c r="GB6" i="4" a="1"/>
  <c r="GK5" i="4" a="1"/>
  <c r="GO9" i="4" a="1"/>
  <c r="GD6" i="4" a="1"/>
  <c r="HA5" i="4" a="1"/>
  <c r="GM11" i="4" a="1"/>
  <c r="FN5" i="4" a="1"/>
  <c r="FG8" i="4" a="1"/>
  <c r="FU9" i="4" a="1"/>
  <c r="GN14" i="4" a="1"/>
  <c r="FR7" i="4" a="1"/>
  <c r="GW6" i="4" a="1"/>
  <c r="GO6" i="4" a="1"/>
  <c r="FN9" i="4" a="1"/>
  <c r="GV11" i="4" a="1"/>
  <c r="GU12" i="4" a="1"/>
  <c r="GR13" i="4" a="1"/>
  <c r="GL11" i="4" a="1"/>
  <c r="GK12" i="4" a="1"/>
  <c r="GH13" i="4" a="1"/>
  <c r="GJ14" i="4" a="1"/>
  <c r="HC9" i="4" a="1"/>
  <c r="FZ14" i="4" a="1"/>
  <c r="GN15" i="4" a="1"/>
  <c r="FL16" i="4" a="1"/>
  <c r="GL16" i="4" a="1"/>
  <c r="GO11" i="4" a="1"/>
  <c r="HG9" i="4" a="1"/>
  <c r="GA14" i="4" a="1"/>
  <c r="GC13" i="4" a="1"/>
  <c r="GQ15" i="4" a="1"/>
  <c r="BC70" i="3"/>
  <c r="BC81" i="3"/>
  <c r="BC91" i="3"/>
  <c r="BD87" i="3"/>
  <c r="HG13" i="4" a="1"/>
  <c r="FS7" i="4" a="1"/>
  <c r="GP13" i="4" a="1"/>
  <c r="FN16" i="4" a="1"/>
  <c r="GL14" i="4" a="1"/>
  <c r="GS15" i="4" a="1"/>
  <c r="BC68" i="3"/>
  <c r="BD79" i="3"/>
  <c r="BC95" i="3"/>
  <c r="BQ73" i="3"/>
  <c r="BQ69" i="3"/>
  <c r="BS88" i="3"/>
  <c r="BR60" i="3"/>
  <c r="BT78" i="3"/>
  <c r="BN63" i="3"/>
  <c r="BO56" i="3"/>
  <c r="BG48" i="3"/>
  <c r="BI71" i="3"/>
  <c r="BF70" i="3"/>
  <c r="CL166" i="1" s="1"/>
  <c r="BJ94" i="3"/>
  <c r="BK75" i="3"/>
  <c r="BK97" i="3"/>
  <c r="FL5" i="4" a="1"/>
  <c r="FU7" i="4" a="1"/>
  <c r="FQ7" i="4" a="1"/>
  <c r="GJ12" i="4" a="1"/>
  <c r="FH5" i="4" a="1"/>
  <c r="FS8" i="4" a="1"/>
  <c r="FM9" i="4" a="1"/>
  <c r="GC14" i="4" a="1"/>
  <c r="GO5" i="4" a="1"/>
  <c r="HF8" i="4" a="1"/>
  <c r="GH11" i="4" a="1"/>
  <c r="FY5" i="4" a="1"/>
  <c r="GK7" i="4" a="1"/>
  <c r="GW7" i="4" a="1"/>
  <c r="GG12" i="4" a="1"/>
  <c r="GJ5" i="4" a="1"/>
  <c r="GW8" i="4" a="1"/>
  <c r="FN11" i="4" a="1"/>
  <c r="GE6" i="4" a="1"/>
  <c r="FL8" i="4" a="1"/>
  <c r="FT9" i="4" a="1"/>
  <c r="FS9" i="4" a="1"/>
  <c r="HE9" i="4" a="1"/>
  <c r="HD11" i="4" a="1"/>
  <c r="HC12" i="4" a="1"/>
  <c r="GZ13" i="4" a="1"/>
  <c r="GT11" i="4" a="1"/>
  <c r="GV12" i="4" a="1"/>
  <c r="GU13" i="4" a="1"/>
  <c r="GR14" i="4" a="1"/>
  <c r="GG11" i="4" a="1"/>
  <c r="GP14" i="4" a="1"/>
  <c r="GR15" i="4" a="1"/>
  <c r="FP16" i="4" a="1"/>
  <c r="GP16" i="4" a="1"/>
  <c r="FH13" i="4" a="1"/>
  <c r="GJ11" i="4" a="1"/>
  <c r="GQ14" i="4" a="1"/>
  <c r="GI14" i="4" a="1"/>
  <c r="GL12" i="4" a="1"/>
  <c r="HC14" i="4" a="1"/>
  <c r="GU15" i="4" a="1"/>
  <c r="FQ16" i="4" a="1"/>
  <c r="GO16" i="4" a="1"/>
  <c r="BD68" i="3"/>
  <c r="BH67" i="3"/>
  <c r="BR62" i="3"/>
  <c r="BS68" i="3"/>
  <c r="BR75" i="3"/>
  <c r="BT79" i="3"/>
  <c r="BN83" i="3"/>
  <c r="BO86" i="3"/>
  <c r="BH97" i="3"/>
  <c r="BI77" i="3"/>
  <c r="BF56" i="3"/>
  <c r="CL150" i="1" s="1"/>
  <c r="BJ50" i="3"/>
  <c r="BK59" i="3"/>
  <c r="BK47" i="3"/>
  <c r="FP5" i="4" a="1"/>
  <c r="GS7" i="4" a="1"/>
  <c r="HH7" i="4" a="1"/>
  <c r="HE12" i="4" a="1"/>
  <c r="FV5" i="4" a="1"/>
  <c r="GE8" i="4" a="1"/>
  <c r="GP9" i="4" a="1"/>
  <c r="HD14" i="4" a="1"/>
  <c r="FK6" i="4" a="1"/>
  <c r="GB9" i="4" a="1"/>
  <c r="HF11" i="4" a="1"/>
  <c r="GI5" i="4" a="1"/>
  <c r="HD7" i="4" a="1"/>
  <c r="GF8" i="4" a="1"/>
  <c r="HH12" i="4" a="1"/>
  <c r="GK6" i="4" a="1"/>
  <c r="GU5" i="4" a="1"/>
  <c r="GF11" i="4" a="1"/>
  <c r="FZ8" i="4" a="1"/>
  <c r="HH5" i="4" a="1"/>
  <c r="GM9" i="4" a="1"/>
  <c r="GP11" i="4" a="1"/>
  <c r="FG11" i="4" a="1"/>
  <c r="FG12" i="4" a="1"/>
  <c r="HF12" i="4" a="1"/>
  <c r="HE6" i="4" a="1"/>
  <c r="HB11" i="4" a="1"/>
  <c r="HA12" i="4" a="1"/>
  <c r="GX13" i="4" a="1"/>
  <c r="GW14" i="4" a="1"/>
  <c r="GR11" i="4" a="1"/>
  <c r="GU14" i="4" a="1"/>
  <c r="GT15" i="4" a="1"/>
  <c r="FR16" i="4" a="1"/>
  <c r="GR16" i="4" a="1"/>
  <c r="FN14" i="4" a="1"/>
  <c r="HE11" i="4" a="1"/>
  <c r="HG14" i="4" a="1"/>
  <c r="FH15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H48" i="3"/>
  <c r="BV64" i="3"/>
  <c r="BS97" i="3"/>
  <c r="BR90" i="3"/>
  <c r="BT89" i="3"/>
  <c r="BN85" i="3"/>
  <c r="BO64" i="3"/>
  <c r="BH93" i="3"/>
  <c r="BI60" i="3"/>
  <c r="BJ84" i="3"/>
  <c r="BJ65" i="3"/>
  <c r="BK85" i="3"/>
  <c r="BK96" i="3"/>
  <c r="GB5" i="4" a="1"/>
  <c r="FO8" i="4" a="1"/>
  <c r="FR9" i="4" a="1"/>
  <c r="GA13" i="4" a="1"/>
  <c r="GH5" i="4" a="1"/>
  <c r="GQ8" i="4" a="1"/>
  <c r="HB9" i="4" a="1"/>
  <c r="GX8" i="4" a="1"/>
  <c r="GI6" i="4" a="1"/>
  <c r="GM6" i="4" a="1"/>
  <c r="GB12" i="4" a="1"/>
  <c r="FT5" i="4" a="1"/>
  <c r="FU8" i="4" a="1"/>
  <c r="HD8" i="4" a="1"/>
  <c r="HB13" i="4" a="1"/>
  <c r="FG7" i="4" a="1"/>
  <c r="FT6" i="4" a="1"/>
  <c r="GZ6" i="4" a="1"/>
  <c r="GD9" i="4" a="1"/>
  <c r="GA6" i="4" a="1"/>
  <c r="FL7" i="4" a="1"/>
  <c r="FL12" i="4" a="1"/>
  <c r="FK11" i="4" a="1"/>
  <c r="FJ12" i="4" a="1"/>
  <c r="FI13" i="4" a="1"/>
  <c r="GI7" i="4" a="1"/>
  <c r="HG11" i="4" a="1"/>
  <c r="HD12" i="4" a="1"/>
  <c r="HC13" i="4" a="1"/>
  <c r="GZ14" i="4" a="1"/>
  <c r="FK12" i="4" a="1"/>
  <c r="HF14" i="4" a="1"/>
  <c r="GV15" i="4" a="1"/>
  <c r="FT16" i="4" a="1"/>
  <c r="GT16" i="4" a="1"/>
  <c r="GD14" i="4" a="1"/>
  <c r="GI12" i="4" a="1"/>
  <c r="FI15" i="4" a="1"/>
  <c r="FY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C48" i="3"/>
  <c r="FP7" i="4" a="1"/>
  <c r="FL15" i="4" a="1"/>
  <c r="GX15" i="4" a="1"/>
  <c r="FV16" i="4" a="1"/>
  <c r="GV16" i="4" a="1"/>
  <c r="FV15" i="4" a="1"/>
  <c r="GT12" i="4" a="1"/>
  <c r="FM15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Y113" i="2"/>
  <c r="BT91" i="3"/>
  <c r="BS56" i="3"/>
  <c r="BV54" i="3"/>
  <c r="BN95" i="3"/>
  <c r="BP90" i="3"/>
  <c r="BS66" i="3"/>
  <c r="BL85" i="3"/>
  <c r="BM75" i="3"/>
  <c r="BJ68" i="3"/>
  <c r="BJ69" i="3"/>
  <c r="BK66" i="3"/>
  <c r="HG5" i="4" a="1"/>
  <c r="GD7" i="4" a="1"/>
  <c r="FP8" i="4" a="1"/>
  <c r="HF9" i="4" a="1"/>
  <c r="GV14" i="4" a="1"/>
  <c r="HC7" i="4" a="1"/>
  <c r="GN9" i="4" a="1"/>
  <c r="GN7" i="4" a="1"/>
  <c r="FT13" i="4" a="1"/>
  <c r="BL68" i="3"/>
  <c r="BV85" i="3"/>
  <c r="BS96" i="3"/>
  <c r="BR94" i="3"/>
  <c r="BT48" i="3"/>
  <c r="BP95" i="3"/>
  <c r="BS62" i="3"/>
  <c r="BL95" i="3"/>
  <c r="BI87" i="3"/>
  <c r="BJ47" i="3"/>
  <c r="BJ67" i="3"/>
  <c r="BK80" i="3"/>
  <c r="BK63" i="3"/>
  <c r="GQ5" i="4" a="1"/>
  <c r="FY8" i="4" a="1"/>
  <c r="GH9" i="4" a="1"/>
  <c r="GQ13" i="4" a="1"/>
  <c r="HB5" i="4" a="1"/>
  <c r="HC8" i="4" a="1"/>
  <c r="FL11" i="4" a="1"/>
  <c r="GS9" i="4" a="1"/>
  <c r="HB6" i="4" a="1"/>
  <c r="GB7" i="4" a="1"/>
  <c r="GW12" i="4" a="1"/>
  <c r="GF5" i="4" a="1"/>
  <c r="GG8" i="4" a="1"/>
  <c r="GT9" i="4" a="1"/>
  <c r="FX14" i="4" a="1"/>
  <c r="FZ7" i="4" a="1"/>
  <c r="GR6" i="4" a="1"/>
  <c r="GY7" i="4" a="1"/>
  <c r="FK5" i="4" a="1"/>
  <c r="FK8" i="4" a="1"/>
  <c r="GR12" i="4" a="1"/>
  <c r="FO11" i="4" a="1"/>
  <c r="FO12" i="4" a="1"/>
  <c r="FQ13" i="4" a="1"/>
  <c r="GT7" i="4" a="1"/>
  <c r="FH12" i="4" a="1"/>
  <c r="FG13" i="4" a="1"/>
  <c r="HF13" i="4" a="1"/>
  <c r="HE14" i="4" a="1"/>
  <c r="FV12" i="4" a="1"/>
  <c r="BL94" i="3"/>
  <c r="BK71" i="3"/>
  <c r="GM5" i="4" a="1"/>
  <c r="GX9" i="4" a="1"/>
  <c r="FH14" i="4" a="1"/>
  <c r="GC6" i="4" a="1"/>
  <c r="HC5" i="4" a="1"/>
  <c r="FX7" i="4" a="1"/>
  <c r="GL7" i="4" a="1"/>
  <c r="FW5" i="4" a="1"/>
  <c r="GJ8" i="4" a="1"/>
  <c r="FS11" i="4" a="1"/>
  <c r="FM12" i="4" a="1"/>
  <c r="GQ12" i="4" a="1"/>
  <c r="FX16" i="4" a="1"/>
  <c r="GD8" i="4" a="1"/>
  <c r="BC63" i="3"/>
  <c r="CH173" i="1" l="1"/>
  <c r="CI173" i="1" s="1"/>
  <c r="AA235" i="1"/>
  <c r="CO212" i="1"/>
  <c r="CO216" i="1"/>
  <c r="CY22" i="1"/>
  <c r="CX28" i="1"/>
  <c r="CT13" i="1"/>
  <c r="CS13" i="1"/>
  <c r="CS17" i="1" s="1"/>
  <c r="CS36" i="1" s="1"/>
  <c r="AB22" i="1"/>
  <c r="AB28" i="1" s="1"/>
  <c r="AB17" i="1"/>
  <c r="CX213" i="1"/>
  <c r="CL126" i="1"/>
  <c r="CL127" i="1" s="1"/>
  <c r="CL161" i="1"/>
  <c r="CL44" i="1"/>
  <c r="CO48" i="1"/>
  <c r="CS48" i="1" s="1"/>
  <c r="CW48" i="1" s="1"/>
  <c r="DA48" i="1" s="1"/>
  <c r="CL194" i="1"/>
  <c r="CL201" i="1"/>
  <c r="CL189" i="1"/>
  <c r="CL218" i="1" s="1"/>
  <c r="CL217" i="1" s="1"/>
  <c r="CM217" i="1" s="1"/>
  <c r="CN217" i="1" s="1"/>
  <c r="CL153" i="1"/>
  <c r="CL162" i="1" s="1"/>
  <c r="CL181" i="1"/>
  <c r="CL171" i="1"/>
  <c r="X212" i="1"/>
  <c r="CK38" i="1"/>
  <c r="CK54" i="1"/>
  <c r="CK55" i="1" s="1"/>
  <c r="JV16" i="4" s="1"/>
  <c r="CJ182" i="1"/>
  <c r="JS15" i="4" s="1"/>
  <c r="KD16" i="4" s="1"/>
  <c r="CJ192" i="1"/>
  <c r="CJ183" i="1"/>
  <c r="KC16" i="4" s="1"/>
  <c r="CJ173" i="1"/>
  <c r="CJ235" i="1" s="1"/>
  <c r="CJ150" i="1"/>
  <c r="CK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JT16" i="4" s="1"/>
  <c r="KE14" i="4" s="1"/>
  <c r="KA9" i="4" s="1"/>
  <c r="KB9" i="4" s="1"/>
  <c r="CJ167" i="1"/>
  <c r="CK61" i="1" s="1"/>
  <c r="KB16" i="4" s="1"/>
  <c r="CJ176" i="1"/>
  <c r="CJ185" i="1"/>
  <c r="JR16" i="4" s="1"/>
  <c r="JU9" i="4" s="1"/>
  <c r="X101" i="1"/>
  <c r="KA16" i="4" s="1"/>
  <c r="CJ196" i="1"/>
  <c r="CK196" i="1" s="1"/>
  <c r="CM196" i="1" s="1"/>
  <c r="CN196" i="1" s="1"/>
  <c r="CO196" i="1" s="1"/>
  <c r="CP196" i="1" s="1"/>
  <c r="CQ196" i="1" s="1"/>
  <c r="CR196" i="1" s="1"/>
  <c r="CS196" i="1" s="1"/>
  <c r="CT196" i="1" s="1"/>
  <c r="CU196" i="1" s="1"/>
  <c r="CV196" i="1" s="1"/>
  <c r="CJ170" i="1"/>
  <c r="JZ16" i="4" s="1"/>
  <c r="Z102" i="1"/>
  <c r="KE9" i="4" s="1"/>
  <c r="JY9" i="4" s="1"/>
  <c r="CJ102" i="1"/>
  <c r="CJ158" i="1"/>
  <c r="CK158" i="1" s="1"/>
  <c r="CJ155" i="1"/>
  <c r="CK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KG16" i="4" s="1"/>
  <c r="JY16" i="4" s="1"/>
  <c r="JQ16" i="4" s="1"/>
  <c r="KH16" i="4" s="1"/>
  <c r="JY15" i="4" s="1"/>
  <c r="CJ184" i="1"/>
  <c r="JS16" i="4" s="1"/>
  <c r="JV8" i="4" s="1"/>
  <c r="CJ159" i="1"/>
  <c r="CK159" i="1" s="1"/>
  <c r="CM159" i="1" s="1"/>
  <c r="CN159" i="1" s="1"/>
  <c r="CO159" i="1" s="1"/>
  <c r="CP159" i="1" s="1"/>
  <c r="CQ159" i="1" s="1"/>
  <c r="CR159" i="1" s="1"/>
  <c r="CS159" i="1" s="1"/>
  <c r="CT159" i="1" s="1"/>
  <c r="CU159" i="1" s="1"/>
  <c r="CV159" i="1" s="1"/>
  <c r="CW159" i="1" s="1"/>
  <c r="CX159" i="1" s="1"/>
  <c r="CY159" i="1" s="1"/>
  <c r="CZ159" i="1" s="1"/>
  <c r="DA159" i="1" s="1"/>
  <c r="DB159" i="1" s="1"/>
  <c r="CJ168" i="1"/>
  <c r="CK168" i="1" s="1"/>
  <c r="CM168" i="1" s="1"/>
  <c r="CN168" i="1" s="1"/>
  <c r="CO168" i="1" s="1"/>
  <c r="CP168" i="1" s="1"/>
  <c r="CQ168" i="1" s="1"/>
  <c r="CR168" i="1" s="1"/>
  <c r="CS168" i="1" s="1"/>
  <c r="CT168" i="1" s="1"/>
  <c r="CU168" i="1" s="1"/>
  <c r="CV168" i="1" s="1"/>
  <c r="CW168" i="1" s="1"/>
  <c r="CX168" i="1" s="1"/>
  <c r="CY168" i="1" s="1"/>
  <c r="CZ168" i="1" s="1"/>
  <c r="DA168" i="1" s="1"/>
  <c r="DB168" i="1" s="1"/>
  <c r="JW9" i="4" s="1"/>
  <c r="JQ9" i="4" s="1"/>
  <c r="JZ9" i="4" s="1"/>
  <c r="JR9" i="4" s="1"/>
  <c r="CJ187" i="1"/>
  <c r="CJ197" i="1"/>
  <c r="CK197" i="1" s="1"/>
  <c r="CM197" i="1" s="1"/>
  <c r="CN197" i="1" s="1"/>
  <c r="CO197" i="1" s="1"/>
  <c r="CP197" i="1" s="1"/>
  <c r="CQ197" i="1" s="1"/>
  <c r="CR197" i="1" s="1"/>
  <c r="CS197" i="1" s="1"/>
  <c r="CT197" i="1" s="1"/>
  <c r="CU197" i="1" s="1"/>
  <c r="CV197" i="1" s="1"/>
  <c r="CW197" i="1" s="1"/>
  <c r="CX197" i="1" s="1"/>
  <c r="CY197" i="1" s="1"/>
  <c r="CZ197" i="1" s="1"/>
  <c r="DA197" i="1" s="1"/>
  <c r="DB197" i="1" s="1"/>
  <c r="CJ152" i="1"/>
  <c r="CJ179" i="1"/>
  <c r="JX16" i="4" s="1"/>
  <c r="CJ177" i="1"/>
  <c r="CJ151" i="1"/>
  <c r="CK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KE16" i="4" s="1"/>
  <c r="JW16" i="4" s="1"/>
  <c r="KF16" i="4" s="1"/>
  <c r="JS9" i="4" s="1"/>
  <c r="JV9" i="4" s="1"/>
  <c r="KH9" i="4" s="1"/>
  <c r="CJ180" i="1"/>
  <c r="Y102" i="1"/>
  <c r="CI102" i="1"/>
  <c r="Z101" i="1"/>
  <c r="CJ193" i="1"/>
  <c r="CK102" i="1"/>
  <c r="CJ175" i="1"/>
  <c r="CH101" i="1"/>
  <c r="CJ188" i="1"/>
  <c r="CJ157" i="1"/>
  <c r="CK157" i="1" s="1"/>
  <c r="CM157" i="1" s="1"/>
  <c r="CG101" i="1"/>
  <c r="CJ101" i="1"/>
  <c r="CG102" i="1"/>
  <c r="CJ166" i="1"/>
  <c r="CK166" i="1" s="1"/>
  <c r="CM166" i="1" s="1"/>
  <c r="CN166" i="1" s="1"/>
  <c r="CO166" i="1" s="1"/>
  <c r="CP166" i="1" s="1"/>
  <c r="CI101" i="1"/>
  <c r="CK101" i="1"/>
  <c r="CJ160" i="1"/>
  <c r="CK160" i="1" s="1"/>
  <c r="CM160" i="1" s="1"/>
  <c r="CN160" i="1" s="1"/>
  <c r="CO160" i="1" s="1"/>
  <c r="CP160" i="1" s="1"/>
  <c r="CQ160" i="1" s="1"/>
  <c r="CR160" i="1" s="1"/>
  <c r="CS160" i="1" s="1"/>
  <c r="CT160" i="1" s="1"/>
  <c r="CU160" i="1" s="1"/>
  <c r="CV160" i="1" s="1"/>
  <c r="CW160" i="1" s="1"/>
  <c r="CX160" i="1" s="1"/>
  <c r="CY160" i="1" s="1"/>
  <c r="CZ160" i="1" s="1"/>
  <c r="DA160" i="1" s="1"/>
  <c r="DB160" i="1" s="1"/>
  <c r="KD9" i="4" s="1"/>
  <c r="CJ178" i="1"/>
  <c r="CJ213" i="1" s="1"/>
  <c r="CK213" i="1" s="1"/>
  <c r="CH102" i="1"/>
  <c r="CJ186" i="1"/>
  <c r="CJ216" i="1" s="1"/>
  <c r="CK216" i="1" s="1"/>
  <c r="Y216" i="1"/>
  <c r="X286" i="1"/>
  <c r="Z187" i="1"/>
  <c r="CH187" i="1" s="1"/>
  <c r="CH189" i="1" s="1"/>
  <c r="CH218" i="1" s="1"/>
  <c r="CS144" i="1"/>
  <c r="Y194" i="1"/>
  <c r="Z242" i="1" s="1"/>
  <c r="CU21" i="1"/>
  <c r="X216" i="1"/>
  <c r="CH194" i="1"/>
  <c r="CI242" i="1" s="1"/>
  <c r="X264" i="1"/>
  <c r="Y167" i="1"/>
  <c r="Y171" i="1" s="1"/>
  <c r="X213" i="1"/>
  <c r="X285" i="1"/>
  <c r="X38" i="1"/>
  <c r="X44" i="1" s="1"/>
  <c r="Z194" i="1"/>
  <c r="AA242" i="1" s="1"/>
  <c r="X181" i="1"/>
  <c r="Y181" i="1"/>
  <c r="AC9" i="1"/>
  <c r="Y206" i="1"/>
  <c r="AE16" i="1"/>
  <c r="CK126" i="1"/>
  <c r="CK127" i="1" s="1"/>
  <c r="Y212" i="1"/>
  <c r="X206" i="1"/>
  <c r="CH176" i="1"/>
  <c r="Z181" i="1"/>
  <c r="Y285" i="1"/>
  <c r="Y38" i="1"/>
  <c r="Y264" i="1"/>
  <c r="Y286" i="1"/>
  <c r="CH150" i="1"/>
  <c r="CI150" i="1" s="1"/>
  <c r="Z153" i="1"/>
  <c r="AA240" i="1" s="1"/>
  <c r="CH177" i="1"/>
  <c r="Z212" i="1"/>
  <c r="Z264" i="1"/>
  <c r="Z285" i="1"/>
  <c r="Z213" i="1"/>
  <c r="Z286" i="1"/>
  <c r="Z216" i="1"/>
  <c r="CH168" i="1"/>
  <c r="CI168" i="1" s="1"/>
  <c r="Z164" i="1"/>
  <c r="Z167" i="1" s="1"/>
  <c r="CT12" i="1"/>
  <c r="AC12" i="1" s="1"/>
  <c r="AC21" i="1" s="1"/>
  <c r="AC27" i="1" s="1"/>
  <c r="CT11" i="1"/>
  <c r="CT9" i="1"/>
  <c r="CT144" i="1" s="1"/>
  <c r="CY20" i="1"/>
  <c r="CZ26" i="1"/>
  <c r="Y54" i="1"/>
  <c r="Y55" i="1" s="1"/>
  <c r="CG227" i="1"/>
  <c r="CG286" i="1"/>
  <c r="Y189" i="1"/>
  <c r="CH286" i="1"/>
  <c r="CG285" i="1"/>
  <c r="X167" i="1"/>
  <c r="CI264" i="1"/>
  <c r="CI38" i="1"/>
  <c r="CJ126" i="1"/>
  <c r="Y235" i="1"/>
  <c r="Y213" i="1"/>
  <c r="CG38" i="1"/>
  <c r="Z206" i="1"/>
  <c r="Z38" i="1"/>
  <c r="X189" i="1"/>
  <c r="Y153" i="1"/>
  <c r="X161" i="1"/>
  <c r="X194" i="1"/>
  <c r="X153" i="1"/>
  <c r="X208" i="1" s="1"/>
  <c r="Y161" i="1"/>
  <c r="Z54" i="1"/>
  <c r="X54" i="1"/>
  <c r="KB14" i="4"/>
  <c r="CI165" i="1"/>
  <c r="CJ165" i="1" s="1"/>
  <c r="CH285" i="1"/>
  <c r="CJ54" i="1"/>
  <c r="CI161" i="1"/>
  <c r="CG54" i="1"/>
  <c r="CH38" i="1"/>
  <c r="CL39" i="1" s="1"/>
  <c r="CH54" i="1"/>
  <c r="CI285" i="1"/>
  <c r="CJ286" i="1"/>
  <c r="CH264" i="1"/>
  <c r="CJ264" i="1"/>
  <c r="CI286" i="1"/>
  <c r="CH213" i="1"/>
  <c r="CI213" i="1" s="1"/>
  <c r="CH216" i="1"/>
  <c r="CI216" i="1" s="1"/>
  <c r="CJ285" i="1"/>
  <c r="CJ38" i="1"/>
  <c r="Y101" i="1"/>
  <c r="X102" i="1"/>
  <c r="Z235" i="1"/>
  <c r="CI54" i="1"/>
  <c r="CI93" i="1"/>
  <c r="CJ227" i="1"/>
  <c r="Z161" i="1"/>
  <c r="CH93" i="1"/>
  <c r="CG93" i="1"/>
  <c r="CI235" i="1"/>
  <c r="CJ93" i="1"/>
  <c r="CH161" i="1"/>
  <c r="JP15" i="4"/>
  <c r="JP14" i="4"/>
  <c r="JP8" i="4"/>
  <c r="JP7" i="4"/>
  <c r="JP21" i="4"/>
  <c r="CJ105" i="1" s="1"/>
  <c r="JO21" i="4"/>
  <c r="CI105" i="1" s="1"/>
  <c r="JO7" i="4"/>
  <c r="JO15" i="4"/>
  <c r="JO14" i="4"/>
  <c r="JO8" i="4"/>
  <c r="JN21" i="4"/>
  <c r="CH105" i="1" s="1"/>
  <c r="JN15" i="4"/>
  <c r="JN14" i="4"/>
  <c r="JN7" i="4"/>
  <c r="JN8" i="4"/>
  <c r="CB41" i="1"/>
  <c r="JV21" i="4" l="1"/>
  <c r="KG14" i="4" s="1"/>
  <c r="KC9" i="4" s="1"/>
  <c r="JW8" i="4" s="1"/>
  <c r="KB7" i="4" s="1"/>
  <c r="KE21" i="4"/>
  <c r="CK170" i="1"/>
  <c r="CM170" i="1" s="1"/>
  <c r="CN170" i="1" s="1"/>
  <c r="CO170" i="1" s="1"/>
  <c r="CP170" i="1" s="1"/>
  <c r="CQ170" i="1" s="1"/>
  <c r="CR170" i="1" s="1"/>
  <c r="CS170" i="1" s="1"/>
  <c r="CT170" i="1" s="1"/>
  <c r="CU170" i="1" s="1"/>
  <c r="CV170" i="1" s="1"/>
  <c r="CW170" i="1" s="1"/>
  <c r="CX170" i="1" s="1"/>
  <c r="CY170" i="1" s="1"/>
  <c r="CZ170" i="1" s="1"/>
  <c r="DA170" i="1" s="1"/>
  <c r="DB170" i="1" s="1"/>
  <c r="CW196" i="1"/>
  <c r="Z215" i="1"/>
  <c r="AA229" i="1"/>
  <c r="AA221" i="1"/>
  <c r="AA39" i="1"/>
  <c r="AA282" i="1"/>
  <c r="AA239" i="1"/>
  <c r="AA238" i="1" s="1"/>
  <c r="CP212" i="1"/>
  <c r="CP216" i="1"/>
  <c r="KB21" i="4"/>
  <c r="KG9" i="4" s="1"/>
  <c r="KC21" i="4"/>
  <c r="JU16" i="4" s="1"/>
  <c r="KF14" i="4" s="1"/>
  <c r="JR7" i="4" s="1"/>
  <c r="JX9" i="4" s="1"/>
  <c r="JQ7" i="4" s="1"/>
  <c r="KF9" i="4" s="1"/>
  <c r="JT9" i="4" s="1"/>
  <c r="Y61" i="1"/>
  <c r="CH153" i="1"/>
  <c r="X215" i="1"/>
  <c r="Y126" i="1"/>
  <c r="Y44" i="1"/>
  <c r="CL137" i="1"/>
  <c r="CM64" i="1"/>
  <c r="CN218" i="1"/>
  <c r="CO217" i="1"/>
  <c r="CP217" i="1" s="1"/>
  <c r="CQ217" i="1" s="1"/>
  <c r="CR217" i="1" s="1"/>
  <c r="CS217" i="1" s="1"/>
  <c r="CT217" i="1" s="1"/>
  <c r="CU217" i="1" s="1"/>
  <c r="CV217" i="1" s="1"/>
  <c r="CW217" i="1" s="1"/>
  <c r="CX217" i="1" s="1"/>
  <c r="CZ22" i="1"/>
  <c r="CY28" i="1"/>
  <c r="AC13" i="1"/>
  <c r="AC22" i="1" s="1"/>
  <c r="AC28" i="1" s="1"/>
  <c r="CU13" i="1"/>
  <c r="CY213" i="1"/>
  <c r="JW14" i="4"/>
  <c r="KE7" i="4"/>
  <c r="JT8" i="4"/>
  <c r="JT15" i="4"/>
  <c r="JS8" i="4"/>
  <c r="KH8" i="4"/>
  <c r="JU15" i="4"/>
  <c r="JR8" i="4"/>
  <c r="KD14" i="4"/>
  <c r="CK40" i="1"/>
  <c r="KH21" i="4"/>
  <c r="CJ194" i="1"/>
  <c r="JS7" i="4"/>
  <c r="JX8" i="4"/>
  <c r="CK39" i="1"/>
  <c r="X190" i="1"/>
  <c r="CL56" i="1"/>
  <c r="CL31" i="1" s="1"/>
  <c r="CL45" i="1"/>
  <c r="CL279" i="1"/>
  <c r="CL281" i="1"/>
  <c r="CL120" i="1"/>
  <c r="CL190" i="1"/>
  <c r="CL198" i="1" s="1"/>
  <c r="CL199" i="1" s="1"/>
  <c r="CL215" i="1"/>
  <c r="KA7" i="4"/>
  <c r="KD7" i="4"/>
  <c r="KD19" i="4" s="1"/>
  <c r="JV14" i="4"/>
  <c r="KD21" i="4"/>
  <c r="KE15" i="4"/>
  <c r="JR15" i="4"/>
  <c r="JR20" i="4" s="1"/>
  <c r="CL107" i="1" s="1"/>
  <c r="KG8" i="4"/>
  <c r="JT21" i="4"/>
  <c r="JS14" i="4"/>
  <c r="JS19" i="4" s="1"/>
  <c r="JY8" i="4"/>
  <c r="JY20" i="4" s="1"/>
  <c r="KC15" i="4"/>
  <c r="KG15" i="4"/>
  <c r="JY7" i="4"/>
  <c r="KC7" i="4"/>
  <c r="JZ8" i="4"/>
  <c r="JY14" i="4"/>
  <c r="JY19" i="4" s="1"/>
  <c r="JQ21" i="4"/>
  <c r="CK105" i="1" s="1"/>
  <c r="CK130" i="1" s="1"/>
  <c r="JS21" i="4"/>
  <c r="KA15" i="4"/>
  <c r="JT14" i="4"/>
  <c r="JZ15" i="4"/>
  <c r="JZ20" i="4" s="1"/>
  <c r="JU14" i="4"/>
  <c r="JZ21" i="4"/>
  <c r="KC8" i="4"/>
  <c r="CJ153" i="1"/>
  <c r="JV15" i="4"/>
  <c r="JV20" i="4" s="1"/>
  <c r="JW15" i="4"/>
  <c r="CK44" i="1"/>
  <c r="CL221" i="1"/>
  <c r="CL40" i="1"/>
  <c r="CI44" i="1"/>
  <c r="CL277" i="1"/>
  <c r="CL258" i="1"/>
  <c r="CK173" i="1"/>
  <c r="KA8" i="4"/>
  <c r="JW7" i="4"/>
  <c r="KH15" i="4"/>
  <c r="JR21" i="4"/>
  <c r="CL105" i="1" s="1"/>
  <c r="KB15" i="4"/>
  <c r="JX14" i="4"/>
  <c r="JT7" i="4"/>
  <c r="JV7" i="4"/>
  <c r="Z189" i="1"/>
  <c r="AA230" i="1" s="1"/>
  <c r="AA231" i="1" s="1"/>
  <c r="AA232" i="1" s="1"/>
  <c r="JQ15" i="4"/>
  <c r="JU7" i="4"/>
  <c r="JU19" i="4" s="1"/>
  <c r="KC14" i="4"/>
  <c r="KC19" i="4" s="1"/>
  <c r="CJ181" i="1"/>
  <c r="KF7" i="4"/>
  <c r="KH7" i="4"/>
  <c r="KH14" i="4"/>
  <c r="KD8" i="4"/>
  <c r="KB8" i="4"/>
  <c r="JQ8" i="4"/>
  <c r="KE8" i="4"/>
  <c r="KG7" i="4"/>
  <c r="KF8" i="4"/>
  <c r="JZ7" i="4"/>
  <c r="JQ14" i="4"/>
  <c r="JQ19" i="4" s="1"/>
  <c r="CK106" i="1" s="1"/>
  <c r="CK135" i="1" s="1"/>
  <c r="JW21" i="4"/>
  <c r="JX15" i="4"/>
  <c r="KF15" i="4"/>
  <c r="KF20" i="4" s="1"/>
  <c r="JR14" i="4"/>
  <c r="JR19" i="4" s="1"/>
  <c r="CL106" i="1" s="1"/>
  <c r="JY21" i="4"/>
  <c r="KA14" i="4"/>
  <c r="JZ14" i="4"/>
  <c r="JZ19" i="4" s="1"/>
  <c r="JU8" i="4"/>
  <c r="KA21" i="4"/>
  <c r="KD15" i="4"/>
  <c r="CJ189" i="1"/>
  <c r="CJ218" i="1" s="1"/>
  <c r="CJ217" i="1" s="1"/>
  <c r="CK217" i="1" s="1"/>
  <c r="JX7" i="4"/>
  <c r="Y229" i="1"/>
  <c r="CH164" i="1"/>
  <c r="CI164" i="1" s="1"/>
  <c r="CI167" i="1" s="1"/>
  <c r="CJ61" i="1" s="1"/>
  <c r="CN61" i="1" s="1"/>
  <c r="CO61" i="1" s="1"/>
  <c r="CP61" i="1" s="1"/>
  <c r="CU61" i="1" s="1"/>
  <c r="CV61" i="1" s="1"/>
  <c r="CW61" i="1" s="1"/>
  <c r="CX61" i="1" s="1"/>
  <c r="CY61" i="1" s="1"/>
  <c r="CZ61" i="1" s="1"/>
  <c r="DA61" i="1" s="1"/>
  <c r="DB61" i="1" s="1"/>
  <c r="Z214" i="1"/>
  <c r="CJ161" i="1"/>
  <c r="CJ282" i="1" s="1"/>
  <c r="CJ212" i="1"/>
  <c r="CK212" i="1" s="1"/>
  <c r="Y215" i="1"/>
  <c r="Y214" i="1" s="1"/>
  <c r="CJ171" i="1"/>
  <c r="X126" i="1"/>
  <c r="CJ164" i="1"/>
  <c r="CK164" i="1" s="1"/>
  <c r="AC144" i="1"/>
  <c r="AC145" i="1" s="1"/>
  <c r="CT145" i="1"/>
  <c r="CS145" i="1"/>
  <c r="X55" i="1"/>
  <c r="Y39" i="1"/>
  <c r="Y221" i="1"/>
  <c r="Z229" i="1"/>
  <c r="Z208" i="1"/>
  <c r="Z281" i="1"/>
  <c r="CH212" i="1"/>
  <c r="CI212" i="1" s="1"/>
  <c r="CH181" i="1"/>
  <c r="CU12" i="1"/>
  <c r="CT17" i="1"/>
  <c r="CT36" i="1" s="1"/>
  <c r="AC11" i="1"/>
  <c r="CU9" i="1"/>
  <c r="CU11" i="1"/>
  <c r="CZ20" i="1"/>
  <c r="DA26" i="1"/>
  <c r="JS20" i="4"/>
  <c r="Z55" i="1"/>
  <c r="AB166" i="1"/>
  <c r="CQ166" i="1"/>
  <c r="CR166" i="1" s="1"/>
  <c r="CS166" i="1" s="1"/>
  <c r="CT166" i="1" s="1"/>
  <c r="CG55" i="1"/>
  <c r="CG44" i="1"/>
  <c r="X162" i="1"/>
  <c r="CI55" i="1"/>
  <c r="Y218" i="1"/>
  <c r="Y190" i="1"/>
  <c r="Y198" i="1" s="1"/>
  <c r="X171" i="1"/>
  <c r="Y236" i="1" s="1"/>
  <c r="Y234" i="1" s="1"/>
  <c r="X61" i="1"/>
  <c r="CH217" i="1"/>
  <c r="CI217" i="1" s="1"/>
  <c r="X281" i="1"/>
  <c r="Y242" i="1"/>
  <c r="Z221" i="1"/>
  <c r="Z39" i="1"/>
  <c r="Z44" i="1"/>
  <c r="AA46" i="1" s="1"/>
  <c r="Z126" i="1"/>
  <c r="Y208" i="1"/>
  <c r="Y281" i="1"/>
  <c r="X65" i="1"/>
  <c r="X201" i="1"/>
  <c r="X137" i="1" s="1"/>
  <c r="CI239" i="1"/>
  <c r="X218" i="1"/>
  <c r="Y230" i="1"/>
  <c r="JT20" i="4"/>
  <c r="Y282" i="1"/>
  <c r="Y239" i="1"/>
  <c r="Y201" i="1"/>
  <c r="Y137" i="1" s="1"/>
  <c r="CK161" i="1"/>
  <c r="Y65" i="1"/>
  <c r="Y162" i="1"/>
  <c r="Z201" i="1"/>
  <c r="Z137" i="1" s="1"/>
  <c r="Z239" i="1"/>
  <c r="CI40" i="1"/>
  <c r="CJ44" i="1"/>
  <c r="CJ127" i="1"/>
  <c r="CJ130" i="1" s="1"/>
  <c r="CH55" i="1"/>
  <c r="CJ258" i="1"/>
  <c r="CJ40" i="1"/>
  <c r="CJ55" i="1"/>
  <c r="CH44" i="1"/>
  <c r="CL46" i="1" s="1"/>
  <c r="CH40" i="1"/>
  <c r="Z162" i="1"/>
  <c r="Z65" i="1"/>
  <c r="Z282" i="1"/>
  <c r="Y279" i="1"/>
  <c r="Y277" i="1"/>
  <c r="CH201" i="1"/>
  <c r="CI282" i="1"/>
  <c r="CH281" i="1"/>
  <c r="Y46" i="1"/>
  <c r="X56" i="1"/>
  <c r="X45" i="1"/>
  <c r="Y56" i="1"/>
  <c r="Y45" i="1"/>
  <c r="X214" i="1"/>
  <c r="Z171" i="1"/>
  <c r="AA236" i="1" s="1"/>
  <c r="AA234" i="1" s="1"/>
  <c r="Z61" i="1"/>
  <c r="CH162" i="1"/>
  <c r="CN157" i="1"/>
  <c r="CX150" i="1"/>
  <c r="JP20" i="4"/>
  <c r="CJ107" i="1" s="1"/>
  <c r="JP19" i="4"/>
  <c r="CJ106" i="1" s="1"/>
  <c r="JO19" i="4"/>
  <c r="CI106" i="1" s="1"/>
  <c r="JO20" i="4"/>
  <c r="CI107" i="1" s="1"/>
  <c r="CI45" i="1"/>
  <c r="CI56" i="1"/>
  <c r="JN20" i="4"/>
  <c r="CH107" i="1" s="1"/>
  <c r="JN19" i="4"/>
  <c r="CH106" i="1" s="1"/>
  <c r="KE19" i="4" l="1"/>
  <c r="CK47" i="1"/>
  <c r="CK242" i="1"/>
  <c r="CX196" i="1"/>
  <c r="AA243" i="1"/>
  <c r="AA244" i="1" s="1"/>
  <c r="CY217" i="1"/>
  <c r="KG21" i="4"/>
  <c r="JX21" i="4"/>
  <c r="KF21" i="4"/>
  <c r="KG20" i="4"/>
  <c r="JW20" i="4"/>
  <c r="JW19" i="4"/>
  <c r="KH20" i="4"/>
  <c r="KF19" i="4"/>
  <c r="KG19" i="4"/>
  <c r="JX20" i="4"/>
  <c r="KA19" i="4"/>
  <c r="JU21" i="4"/>
  <c r="JU20" i="4"/>
  <c r="KB19" i="4"/>
  <c r="CH120" i="1"/>
  <c r="CH122" i="1" s="1"/>
  <c r="AA246" i="1"/>
  <c r="CQ212" i="1"/>
  <c r="CP218" i="1"/>
  <c r="CQ216" i="1"/>
  <c r="CO218" i="1"/>
  <c r="JQ20" i="4"/>
  <c r="CK107" i="1" s="1"/>
  <c r="CK136" i="1" s="1"/>
  <c r="KH19" i="4"/>
  <c r="DA22" i="1"/>
  <c r="CZ28" i="1"/>
  <c r="CZ217" i="1"/>
  <c r="CZ213" i="1"/>
  <c r="JV19" i="4"/>
  <c r="KE20" i="4"/>
  <c r="KC20" i="4"/>
  <c r="KA20" i="4"/>
  <c r="JT19" i="4"/>
  <c r="CK46" i="1"/>
  <c r="CM55" i="1"/>
  <c r="CL47" i="1"/>
  <c r="CK45" i="1"/>
  <c r="CK56" i="1"/>
  <c r="CH215" i="1"/>
  <c r="CH190" i="1"/>
  <c r="CL265" i="1"/>
  <c r="CL266" i="1" s="1"/>
  <c r="CL62" i="1"/>
  <c r="CL66" i="1" s="1"/>
  <c r="CL57" i="1"/>
  <c r="CL214" i="1"/>
  <c r="CM214" i="1" s="1"/>
  <c r="CN214" i="1" s="1"/>
  <c r="CL219" i="1"/>
  <c r="JX19" i="4"/>
  <c r="KB20" i="4"/>
  <c r="KD20" i="4"/>
  <c r="CJ277" i="1"/>
  <c r="CJ190" i="1"/>
  <c r="CJ198" i="1" s="1"/>
  <c r="Y231" i="1"/>
  <c r="CL132" i="1"/>
  <c r="CL124" i="1"/>
  <c r="CL136" i="1"/>
  <c r="CL139" i="1" s="1"/>
  <c r="CJ281" i="1"/>
  <c r="CJ120" i="1"/>
  <c r="CV21" i="1"/>
  <c r="CV12" i="1" s="1"/>
  <c r="CK235" i="1"/>
  <c r="CL235" i="1"/>
  <c r="CL130" i="1"/>
  <c r="CL122" i="1"/>
  <c r="Z230" i="1"/>
  <c r="Z231" i="1" s="1"/>
  <c r="Z218" i="1"/>
  <c r="CL131" i="1"/>
  <c r="CL123" i="1"/>
  <c r="CL135" i="1"/>
  <c r="CL138" i="1" s="1"/>
  <c r="CL282" i="1"/>
  <c r="CL239" i="1"/>
  <c r="CJ162" i="1"/>
  <c r="Z190" i="1"/>
  <c r="Z198" i="1" s="1"/>
  <c r="Z199" i="1" s="1"/>
  <c r="CJ215" i="1"/>
  <c r="CJ239" i="1"/>
  <c r="CM218" i="1"/>
  <c r="CH167" i="1"/>
  <c r="CI31" i="1"/>
  <c r="CJ279" i="1"/>
  <c r="CU144" i="1"/>
  <c r="CU145" i="1" s="1"/>
  <c r="CK131" i="1"/>
  <c r="DA20" i="1"/>
  <c r="DB26" i="1"/>
  <c r="DB20" i="1" s="1"/>
  <c r="CV13" i="1"/>
  <c r="AC17" i="1"/>
  <c r="AC20" i="1"/>
  <c r="CV11" i="1"/>
  <c r="CV9" i="1"/>
  <c r="CU17" i="1"/>
  <c r="CU36" i="1" s="1"/>
  <c r="CU166" i="1"/>
  <c r="CV166" i="1" s="1"/>
  <c r="CW166" i="1" s="1"/>
  <c r="CX166" i="1" s="1"/>
  <c r="AC166" i="1"/>
  <c r="X277" i="1"/>
  <c r="X279" i="1"/>
  <c r="X198" i="1"/>
  <c r="X199" i="1" s="1"/>
  <c r="Z46" i="1"/>
  <c r="Z45" i="1"/>
  <c r="Z56" i="1"/>
  <c r="CG56" i="1"/>
  <c r="CG45" i="1"/>
  <c r="CK218" i="1"/>
  <c r="Y217" i="1"/>
  <c r="Y219" i="1"/>
  <c r="CI218" i="1"/>
  <c r="CI185" i="1"/>
  <c r="CM173" i="1"/>
  <c r="Y199" i="1"/>
  <c r="CI47" i="1"/>
  <c r="CH45" i="1"/>
  <c r="X217" i="1"/>
  <c r="X219" i="1"/>
  <c r="CM158" i="1"/>
  <c r="CJ47" i="1"/>
  <c r="CJ56" i="1"/>
  <c r="CJ45" i="1"/>
  <c r="CK239" i="1"/>
  <c r="CK282" i="1"/>
  <c r="CH56" i="1"/>
  <c r="CL58" i="1" s="1"/>
  <c r="CH47" i="1"/>
  <c r="CI65" i="1"/>
  <c r="CH137" i="1"/>
  <c r="CI171" i="1"/>
  <c r="CJ236" i="1" s="1"/>
  <c r="CJ234" i="1" s="1"/>
  <c r="Z236" i="1"/>
  <c r="Z234" i="1" s="1"/>
  <c r="Z279" i="1"/>
  <c r="Z277" i="1"/>
  <c r="Y283" i="1"/>
  <c r="Y284" i="1" s="1"/>
  <c r="X265" i="1"/>
  <c r="X266" i="1" s="1"/>
  <c r="X62" i="1"/>
  <c r="X140" i="1"/>
  <c r="X146" i="1" s="1"/>
  <c r="X57" i="1"/>
  <c r="Y58" i="1"/>
  <c r="Y140" i="1"/>
  <c r="Y146" i="1" s="1"/>
  <c r="Y62" i="1"/>
  <c r="Y57" i="1"/>
  <c r="Y265" i="1"/>
  <c r="Y266" i="1" s="1"/>
  <c r="CJ136" i="1"/>
  <c r="CJ132" i="1"/>
  <c r="CH136" i="1"/>
  <c r="CI135" i="1"/>
  <c r="CH135" i="1"/>
  <c r="CI136" i="1"/>
  <c r="CJ135" i="1"/>
  <c r="CJ131" i="1"/>
  <c r="CO157" i="1"/>
  <c r="CY150" i="1"/>
  <c r="CI62" i="1"/>
  <c r="CI265" i="1"/>
  <c r="CI266" i="1" s="1"/>
  <c r="CI57" i="1"/>
  <c r="CY196" i="1" l="1"/>
  <c r="CK132" i="1"/>
  <c r="CH124" i="1"/>
  <c r="CH123" i="1"/>
  <c r="AA58" i="1"/>
  <c r="AA283" i="1"/>
  <c r="AA284" i="1" s="1"/>
  <c r="CR212" i="1"/>
  <c r="CQ218" i="1"/>
  <c r="CR216" i="1"/>
  <c r="CL59" i="1"/>
  <c r="CL283" i="1"/>
  <c r="CH219" i="1"/>
  <c r="CH214" i="1"/>
  <c r="CI214" i="1" s="1"/>
  <c r="CI179" i="1" s="1"/>
  <c r="CJ214" i="1"/>
  <c r="CK214" i="1" s="1"/>
  <c r="CJ219" i="1"/>
  <c r="CN215" i="1"/>
  <c r="CN219" i="1" s="1"/>
  <c r="CO214" i="1"/>
  <c r="DB22" i="1"/>
  <c r="DB28" i="1" s="1"/>
  <c r="DA28" i="1"/>
  <c r="DA213" i="1"/>
  <c r="DA217" i="1"/>
  <c r="AC26" i="1"/>
  <c r="CN55" i="1"/>
  <c r="CK62" i="1"/>
  <c r="CK66" i="1" s="1"/>
  <c r="CK57" i="1"/>
  <c r="CK31" i="1"/>
  <c r="CJ199" i="1"/>
  <c r="Z219" i="1"/>
  <c r="AA222" i="1" s="1"/>
  <c r="AA223" i="1" s="1"/>
  <c r="Z217" i="1"/>
  <c r="CH171" i="1"/>
  <c r="CI61" i="1"/>
  <c r="CL68" i="1"/>
  <c r="CL69" i="1"/>
  <c r="CJ122" i="1"/>
  <c r="CJ124" i="1"/>
  <c r="CJ123" i="1"/>
  <c r="CW21" i="1"/>
  <c r="CW12" i="1" s="1"/>
  <c r="CL140" i="1"/>
  <c r="CL259" i="1"/>
  <c r="CI66" i="1"/>
  <c r="CV144" i="1"/>
  <c r="CV145" i="1" s="1"/>
  <c r="CM215" i="1"/>
  <c r="CM219" i="1" s="1"/>
  <c r="CK59" i="1"/>
  <c r="CJ31" i="1"/>
  <c r="CH31" i="1"/>
  <c r="CK140" i="1"/>
  <c r="CK146" i="1" s="1"/>
  <c r="CK58" i="1"/>
  <c r="CG31" i="1"/>
  <c r="CI283" i="1"/>
  <c r="CI284" i="1" s="1"/>
  <c r="CV17" i="1"/>
  <c r="CV36" i="1" s="1"/>
  <c r="AD7" i="1"/>
  <c r="CW13" i="1"/>
  <c r="AD6" i="1"/>
  <c r="CW11" i="1"/>
  <c r="AD5" i="1"/>
  <c r="CW9" i="1"/>
  <c r="Y222" i="1"/>
  <c r="Y223" i="1" s="1"/>
  <c r="CY166" i="1"/>
  <c r="CZ166" i="1" s="1"/>
  <c r="DA166" i="1" s="1"/>
  <c r="DB166" i="1" s="1"/>
  <c r="AE166" i="1" s="1"/>
  <c r="AD166" i="1"/>
  <c r="Z283" i="1"/>
  <c r="Z284" i="1" s="1"/>
  <c r="Z62" i="1"/>
  <c r="Z140" i="1"/>
  <c r="Z146" i="1" s="1"/>
  <c r="Z57" i="1"/>
  <c r="Z265" i="1"/>
  <c r="Z266" i="1" s="1"/>
  <c r="Z58" i="1"/>
  <c r="CG57" i="1"/>
  <c r="CG62" i="1"/>
  <c r="CG66" i="1" s="1"/>
  <c r="CG265" i="1"/>
  <c r="CG266" i="1" s="1"/>
  <c r="CM235" i="1"/>
  <c r="CN173" i="1"/>
  <c r="CJ59" i="1"/>
  <c r="CJ283" i="1"/>
  <c r="CJ284" i="1" s="1"/>
  <c r="CJ265" i="1"/>
  <c r="CJ266" i="1" s="1"/>
  <c r="CH57" i="1"/>
  <c r="CH62" i="1"/>
  <c r="CH66" i="1" s="1"/>
  <c r="CH59" i="1"/>
  <c r="CH283" i="1"/>
  <c r="CI59" i="1"/>
  <c r="CH265" i="1"/>
  <c r="CH266" i="1" s="1"/>
  <c r="CJ259" i="1"/>
  <c r="CJ140" i="1"/>
  <c r="CJ146" i="1" s="1"/>
  <c r="CJ57" i="1"/>
  <c r="CJ62" i="1"/>
  <c r="CJ66" i="1" s="1"/>
  <c r="CN158" i="1"/>
  <c r="CM161" i="1"/>
  <c r="CM282" i="1" s="1"/>
  <c r="CH138" i="1"/>
  <c r="CH139" i="1"/>
  <c r="CK227" i="1"/>
  <c r="CK165" i="1"/>
  <c r="X66" i="1"/>
  <c r="X83" i="1"/>
  <c r="Y83" i="1"/>
  <c r="Y66" i="1"/>
  <c r="CP157" i="1"/>
  <c r="CZ150" i="1"/>
  <c r="CM73" i="1"/>
  <c r="CN73" i="1" s="1"/>
  <c r="CO73" i="1" s="1"/>
  <c r="CP73" i="1" s="1"/>
  <c r="CQ73" i="1" s="1"/>
  <c r="CR73" i="1" s="1"/>
  <c r="CS73" i="1" s="1"/>
  <c r="CT73" i="1" s="1"/>
  <c r="CU73" i="1" s="1"/>
  <c r="CM74" i="1"/>
  <c r="Z222" i="1" l="1"/>
  <c r="Z223" i="1" s="1"/>
  <c r="CI236" i="1"/>
  <c r="CI234" i="1" s="1"/>
  <c r="CK215" i="1"/>
  <c r="CK219" i="1" s="1"/>
  <c r="CZ196" i="1"/>
  <c r="CL284" i="1"/>
  <c r="CL222" i="1"/>
  <c r="CI215" i="1"/>
  <c r="CS212" i="1"/>
  <c r="CR218" i="1"/>
  <c r="CS216" i="1"/>
  <c r="CO215" i="1"/>
  <c r="CO219" i="1" s="1"/>
  <c r="CP214" i="1"/>
  <c r="CH279" i="1"/>
  <c r="CH198" i="1"/>
  <c r="CH199" i="1" s="1"/>
  <c r="CL83" i="1"/>
  <c r="DB217" i="1"/>
  <c r="DB213" i="1"/>
  <c r="CK69" i="1"/>
  <c r="CK68" i="1"/>
  <c r="CO55" i="1"/>
  <c r="CP55" i="1"/>
  <c r="CI69" i="1"/>
  <c r="CI68" i="1"/>
  <c r="CL70" i="1"/>
  <c r="CL278" i="1" s="1"/>
  <c r="CL267" i="1"/>
  <c r="CL76" i="1"/>
  <c r="CL141" i="1"/>
  <c r="CL142" i="1"/>
  <c r="CL146" i="1"/>
  <c r="CX21" i="1"/>
  <c r="CX12" i="1" s="1"/>
  <c r="AD12" i="1" s="1"/>
  <c r="AD21" i="1" s="1"/>
  <c r="AD27" i="1" s="1"/>
  <c r="CY21" i="1"/>
  <c r="CK167" i="1"/>
  <c r="CL165" i="1"/>
  <c r="CL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W144" i="1"/>
  <c r="CW145" i="1" s="1"/>
  <c r="AD9" i="1"/>
  <c r="CX13" i="1"/>
  <c r="AD13" i="1" s="1"/>
  <c r="AD22" i="1" s="1"/>
  <c r="AD28" i="1" s="1"/>
  <c r="CW17" i="1"/>
  <c r="CW36" i="1" s="1"/>
  <c r="CX9" i="1"/>
  <c r="CX144" i="1" s="1"/>
  <c r="CX11" i="1"/>
  <c r="Z66" i="1"/>
  <c r="Z83" i="1"/>
  <c r="CH68" i="1"/>
  <c r="CH69" i="1"/>
  <c r="CL71" i="1" s="1"/>
  <c r="CG69" i="1"/>
  <c r="CG68" i="1"/>
  <c r="CN235" i="1"/>
  <c r="CO173" i="1"/>
  <c r="CJ69" i="1"/>
  <c r="CJ68" i="1"/>
  <c r="CO158" i="1"/>
  <c r="CN161" i="1"/>
  <c r="CN282" i="1" s="1"/>
  <c r="CM239" i="1"/>
  <c r="Y68" i="1"/>
  <c r="Y69" i="1"/>
  <c r="X68" i="1"/>
  <c r="X69" i="1"/>
  <c r="CQ157" i="1"/>
  <c r="DA150" i="1"/>
  <c r="CE93" i="1"/>
  <c r="AB73" i="1"/>
  <c r="AC73" i="1"/>
  <c r="CV73" i="1"/>
  <c r="CW73" i="1" s="1"/>
  <c r="CX73" i="1" s="1"/>
  <c r="CY73" i="1" s="1"/>
  <c r="AB63" i="1"/>
  <c r="CN74" i="1"/>
  <c r="CO74" i="1" s="1"/>
  <c r="CP74" i="1" s="1"/>
  <c r="CQ74" i="1" s="1"/>
  <c r="DA196" i="1" l="1"/>
  <c r="CL72" i="1"/>
  <c r="CQ55" i="1"/>
  <c r="CT212" i="1"/>
  <c r="CS218" i="1"/>
  <c r="CT216" i="1"/>
  <c r="CP215" i="1"/>
  <c r="CP219" i="1" s="1"/>
  <c r="CQ214" i="1"/>
  <c r="CZ21" i="1"/>
  <c r="CK76" i="1"/>
  <c r="CK70" i="1"/>
  <c r="CK71" i="1"/>
  <c r="CI267" i="1"/>
  <c r="CI70" i="1"/>
  <c r="CI278" i="1" s="1"/>
  <c r="CI76" i="1"/>
  <c r="CL61" i="1"/>
  <c r="CK171" i="1"/>
  <c r="CL80" i="1"/>
  <c r="CL226" i="1"/>
  <c r="CL228" i="1" s="1"/>
  <c r="CL94" i="1"/>
  <c r="CK72" i="1"/>
  <c r="CL260" i="1"/>
  <c r="CI152" i="1"/>
  <c r="CX145" i="1"/>
  <c r="AD144" i="1"/>
  <c r="AD145" i="1" s="1"/>
  <c r="CM45" i="1"/>
  <c r="CN45" i="1" s="1"/>
  <c r="CY13" i="1"/>
  <c r="CY12" i="1"/>
  <c r="CY9" i="1"/>
  <c r="CY11" i="1"/>
  <c r="CX17" i="1"/>
  <c r="CX36" i="1" s="1"/>
  <c r="AD11" i="1"/>
  <c r="CI72" i="1"/>
  <c r="CH76" i="1"/>
  <c r="CH226" i="1" s="1"/>
  <c r="CH228" i="1" s="1"/>
  <c r="CH70" i="1"/>
  <c r="CH278" i="1" s="1"/>
  <c r="CH267" i="1"/>
  <c r="CM68" i="1"/>
  <c r="Z69" i="1"/>
  <c r="Z68" i="1"/>
  <c r="CJ70" i="1"/>
  <c r="CJ278" i="1" s="1"/>
  <c r="CJ72" i="1"/>
  <c r="CJ267" i="1"/>
  <c r="CJ76" i="1"/>
  <c r="CL82" i="1" s="1"/>
  <c r="CJ260" i="1"/>
  <c r="CG76" i="1"/>
  <c r="CG70" i="1"/>
  <c r="CG278" i="1" s="1"/>
  <c r="CG267" i="1"/>
  <c r="CH72" i="1"/>
  <c r="CP173" i="1"/>
  <c r="CO235" i="1"/>
  <c r="CP158" i="1"/>
  <c r="CO161" i="1"/>
  <c r="CO282" i="1" s="1"/>
  <c r="CN239" i="1"/>
  <c r="X267" i="1"/>
  <c r="X70" i="1"/>
  <c r="X278" i="1" s="1"/>
  <c r="Y71" i="1"/>
  <c r="X76" i="1"/>
  <c r="Y267" i="1"/>
  <c r="Y70" i="1"/>
  <c r="Y278" i="1" s="1"/>
  <c r="Y76" i="1"/>
  <c r="CB93" i="1"/>
  <c r="BL93" i="1"/>
  <c r="CR157" i="1"/>
  <c r="CC93" i="1"/>
  <c r="DB150" i="1"/>
  <c r="DB196" i="1"/>
  <c r="AL93" i="1"/>
  <c r="CF93" i="1"/>
  <c r="CD93" i="1"/>
  <c r="BY93" i="1"/>
  <c r="BZ93" i="1"/>
  <c r="CA93" i="1"/>
  <c r="CI153" i="1"/>
  <c r="CI80" i="1"/>
  <c r="CI94" i="1"/>
  <c r="CI226" i="1"/>
  <c r="CI228" i="1" s="1"/>
  <c r="AD73" i="1"/>
  <c r="AB74" i="1"/>
  <c r="CZ73" i="1"/>
  <c r="DA73" i="1" s="1"/>
  <c r="DB73" i="1" s="1"/>
  <c r="AE73" i="1" s="1"/>
  <c r="AC63" i="1"/>
  <c r="CR74" i="1"/>
  <c r="CS74" i="1" s="1"/>
  <c r="CT74" i="1" s="1"/>
  <c r="CU74" i="1" s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J6" i="6" a="1"/>
  <c r="ET15" i="4" a="1"/>
  <c r="EW9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S21" i="3"/>
  <c r="EW7" i="4" a="1"/>
  <c r="AW37" i="3"/>
  <c r="AY7" i="3"/>
  <c r="AZ16" i="3"/>
  <c r="AF30" i="3"/>
  <c r="AF40" i="3"/>
  <c r="AX21" i="3"/>
  <c r="AT29" i="3"/>
  <c r="K5" i="6" a="1"/>
  <c r="AS6" i="3"/>
  <c r="AF34" i="3"/>
  <c r="AS13" i="3"/>
  <c r="AU26" i="3"/>
  <c r="AB5" i="6" a="1"/>
  <c r="AV13" i="3"/>
  <c r="AZ34" i="3"/>
  <c r="EU14" i="4" a="1"/>
  <c r="EO7" i="4" a="1"/>
  <c r="EU6" i="4" a="1"/>
  <c r="EU5" i="4" a="1"/>
  <c r="AY40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EU15" i="4" a="1"/>
  <c r="EO13" i="4" a="1"/>
  <c r="EL7" i="4" a="1"/>
  <c r="ES11" i="4" a="1"/>
  <c r="P5" i="6" a="1"/>
  <c r="AY45" i="3"/>
  <c r="AT22" i="3"/>
  <c r="AT18" i="3"/>
  <c r="W6" i="6" a="1"/>
  <c r="G6" i="6" a="1"/>
  <c r="AZ38" i="3"/>
  <c r="Y6" i="6" a="1"/>
  <c r="EQ9" i="4" a="1"/>
  <c r="EU12" i="4" a="1"/>
  <c r="EO14" i="4" a="1"/>
  <c r="EW14" i="4" a="1"/>
  <c r="ES15" i="4" a="1"/>
  <c r="EQ14" i="4" a="1"/>
  <c r="EL5" i="4" a="1"/>
  <c r="EU9" i="4" a="1"/>
  <c r="ES6" i="4" a="1"/>
  <c r="ET5" i="4" a="1"/>
  <c r="EM16" i="4" a="1"/>
  <c r="M5" i="6" a="1"/>
  <c r="AY30" i="3"/>
  <c r="AW30" i="3"/>
  <c r="AZ7" i="3"/>
  <c r="AZ37" i="3"/>
  <c r="AS41" i="3"/>
  <c r="AT6" i="6" a="1"/>
  <c r="AV12" i="3"/>
  <c r="EN16" i="4" a="1"/>
  <c r="G5" i="6" a="1"/>
  <c r="AY39" i="3"/>
  <c r="EQ7" i="4" a="1"/>
  <c r="EM6" i="4" a="1"/>
  <c r="AZ24" i="3"/>
  <c r="AZ46" i="3"/>
  <c r="AY15" i="3"/>
  <c r="ET12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V5" i="4" a="1"/>
  <c r="AY46" i="3"/>
  <c r="AV6" i="3"/>
  <c r="H6" i="6" a="1"/>
  <c r="AU38" i="3"/>
  <c r="AY14" i="3"/>
  <c r="AO5" i="6" a="1"/>
  <c r="AY22" i="3"/>
  <c r="AZ30" i="3"/>
  <c r="AY10" i="3"/>
  <c r="AF12" i="3"/>
  <c r="AW33" i="3"/>
  <c r="AU35" i="3"/>
  <c r="EU11" i="4" a="1"/>
  <c r="EP6" i="4" a="1"/>
  <c r="AF11" i="3"/>
  <c r="AX5" i="3"/>
  <c r="AY23" i="3"/>
  <c r="AS22" i="3"/>
  <c r="AU40" i="3"/>
  <c r="AV27" i="3"/>
  <c r="AP7" i="3"/>
  <c r="AF5" i="6" a="1"/>
  <c r="EO9" i="4" a="1"/>
  <c r="EV7" i="4" a="1"/>
  <c r="EN9" i="4" a="1"/>
  <c r="AU25" i="3"/>
  <c r="AW11" i="3"/>
  <c r="AW5" i="3"/>
  <c r="H5" i="6" a="1"/>
  <c r="S5" i="6" a="1"/>
  <c r="AF20" i="3"/>
  <c r="AX19" i="3"/>
  <c r="AP5" i="3"/>
  <c r="AV28" i="3"/>
  <c r="AW14" i="3"/>
  <c r="AY34" i="3"/>
  <c r="AT9" i="3"/>
  <c r="AV22" i="3"/>
  <c r="AP5" i="6" a="1"/>
  <c r="AP6" i="3"/>
  <c r="AF14" i="3"/>
  <c r="AV32" i="3"/>
  <c r="AY41" i="3"/>
  <c r="AS5" i="3"/>
  <c r="EQ16" i="4" a="1"/>
  <c r="C5" i="4" a="1"/>
  <c r="ES7" i="4" a="1"/>
  <c r="EO11" i="4" a="1"/>
  <c r="ET13" i="4" a="1"/>
  <c r="EP9" i="4" a="1"/>
  <c r="ES14" i="4" a="1"/>
  <c r="EP7" i="4" a="1"/>
  <c r="EP14" i="4" a="1"/>
  <c r="AL6" i="6" a="1"/>
  <c r="AW24" i="3"/>
  <c r="AR5" i="6" a="1"/>
  <c r="EW11" i="4" a="1"/>
  <c r="AW39" i="3"/>
  <c r="AU22" i="3"/>
  <c r="AY17" i="3"/>
  <c r="AT5" i="6" a="1"/>
  <c r="AW10" i="3"/>
  <c r="AD6" i="6" a="1"/>
  <c r="EP15" i="4" a="1"/>
  <c r="EM8" i="4" a="1"/>
  <c r="EN12" i="4" a="1"/>
  <c r="AY24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L11" i="4" a="1"/>
  <c r="EV6" i="4" a="1"/>
  <c r="EW16" i="4" a="1"/>
  <c r="EL8" i="4" a="1"/>
  <c r="EN13" i="4" a="1"/>
  <c r="EU13" i="4" a="1"/>
  <c r="AT39" i="3"/>
  <c r="AX35" i="3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F7" i="3"/>
  <c r="AV17" i="3"/>
  <c r="AS30" i="3"/>
  <c r="AW19" i="3"/>
  <c r="AV31" i="3"/>
  <c r="AC5" i="6" a="1"/>
  <c r="AV6" i="6" a="1"/>
  <c r="AS10" i="3"/>
  <c r="EP13" i="4" a="1"/>
  <c r="EW15" i="4" a="1"/>
  <c r="ER5" i="4" a="1"/>
  <c r="EL9" i="4" a="1"/>
  <c r="EN11" i="4" a="1"/>
  <c r="AV7" i="3"/>
  <c r="ER14" i="4" a="1"/>
  <c r="EQ6" i="4" a="1"/>
  <c r="AT33" i="3"/>
  <c r="ER7" i="4" a="1"/>
  <c r="AX42" i="3"/>
  <c r="AY37" i="3"/>
  <c r="ER11" i="4" a="1"/>
  <c r="EO6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6" i="3"/>
  <c r="AY38" i="3"/>
  <c r="AW32" i="3"/>
  <c r="AT36" i="3"/>
  <c r="EQ15" i="4" a="1"/>
  <c r="ER8" i="4" a="1"/>
  <c r="EM12" i="4" a="1"/>
  <c r="EV8" i="4" a="1"/>
  <c r="EV12" i="4" a="1"/>
  <c r="ER9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X37" i="3"/>
  <c r="AZ13" i="3"/>
  <c r="C6" i="4" a="1"/>
  <c r="ER15" i="4" a="1"/>
  <c r="EV14" i="4" a="1"/>
  <c r="AU34" i="3"/>
  <c r="I5" i="6" a="1"/>
  <c r="AZ42" i="3"/>
  <c r="AW20" i="3"/>
  <c r="AW31" i="3"/>
  <c r="J5" i="6" a="1"/>
  <c r="AS23" i="3"/>
  <c r="D5" i="6" a="1"/>
  <c r="EW6" i="4" a="1"/>
  <c r="ES5" i="4" a="1"/>
  <c r="EO12" i="4" a="1"/>
  <c r="EP11" i="4" a="1"/>
  <c r="ES12" i="4" a="1"/>
  <c r="AX46" i="3"/>
  <c r="ES13" i="4" a="1"/>
  <c r="O6" i="6" a="1"/>
  <c r="AS45" i="3"/>
  <c r="AU17" i="3"/>
  <c r="C5" i="6" a="1"/>
  <c r="AV46" i="3"/>
  <c r="AN5" i="6" a="1"/>
  <c r="AS16" i="3"/>
  <c r="AS31" i="3"/>
  <c r="AC6" i="6" a="1"/>
  <c r="EO15" i="4" a="1"/>
  <c r="EL6" i="4" a="1"/>
  <c r="EV11" i="4" a="1"/>
  <c r="AT35" i="3"/>
  <c r="AY42" i="3"/>
  <c r="EM5" i="4" a="1"/>
  <c r="EN7" i="4" a="1"/>
  <c r="EL13" i="4" a="1"/>
  <c r="EQ8" i="4" a="1"/>
  <c r="AI6" i="6" a="1"/>
  <c r="AT7" i="3"/>
  <c r="AW21" i="3"/>
  <c r="Z6" i="6" a="1"/>
  <c r="AL5" i="6" a="1"/>
  <c r="AX23" i="3"/>
  <c r="AZ8" i="3"/>
  <c r="AV34" i="3"/>
  <c r="AV35" i="3"/>
  <c r="AF15" i="3"/>
  <c r="ET6" i="4" a="1"/>
  <c r="EW8" i="4" a="1"/>
  <c r="EN6" i="4" a="1"/>
  <c r="EO8" i="4" a="1"/>
  <c r="ES9" i="4" a="1"/>
  <c r="AW15" i="3"/>
  <c r="EU7" i="4" a="1"/>
  <c r="EL12" i="4" a="1"/>
  <c r="AU12" i="3"/>
  <c r="AU7" i="3"/>
  <c r="AV42" i="3"/>
  <c r="AR6" i="6" a="1"/>
  <c r="AS9" i="3"/>
  <c r="AZ5" i="3"/>
  <c r="AF38" i="3"/>
  <c r="AX18" i="3"/>
  <c r="AT19" i="3"/>
  <c r="EN5" i="4" a="1"/>
  <c r="AX13" i="3"/>
  <c r="ER6" i="4" a="1"/>
  <c r="AX9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EV13" i="4" a="1"/>
  <c r="CK236" i="1" l="1"/>
  <c r="CK234" i="1" s="1"/>
  <c r="CL236" i="1"/>
  <c r="CL234" i="1" s="1"/>
  <c r="CN68" i="1"/>
  <c r="CR55" i="1"/>
  <c r="CO68" i="1"/>
  <c r="Z71" i="1"/>
  <c r="AA71" i="1"/>
  <c r="CU212" i="1"/>
  <c r="CT218" i="1"/>
  <c r="CU216" i="1"/>
  <c r="CQ215" i="1"/>
  <c r="CQ219" i="1" s="1"/>
  <c r="CR214" i="1"/>
  <c r="DA21" i="1"/>
  <c r="CK94" i="1"/>
  <c r="CK80" i="1"/>
  <c r="AB164" i="1"/>
  <c r="CY144" i="1"/>
  <c r="CH80" i="1"/>
  <c r="CH94" i="1"/>
  <c r="DB21" i="1"/>
  <c r="CP235" i="1"/>
  <c r="CQ173" i="1"/>
  <c r="Z76" i="1"/>
  <c r="Z226" i="1" s="1"/>
  <c r="Z228" i="1" s="1"/>
  <c r="Z232" i="1" s="1"/>
  <c r="Z246" i="1" s="1"/>
  <c r="Z70" i="1"/>
  <c r="Z278" i="1" s="1"/>
  <c r="Z267" i="1"/>
  <c r="CO45" i="1"/>
  <c r="CP45" i="1" s="1"/>
  <c r="CZ13" i="1"/>
  <c r="CZ12" i="1"/>
  <c r="CY17" i="1"/>
  <c r="CY36" i="1" s="1"/>
  <c r="CZ9" i="1"/>
  <c r="CZ11" i="1"/>
  <c r="AD20" i="1"/>
  <c r="AD26" i="1" s="1"/>
  <c r="AD17" i="1"/>
  <c r="CJ94" i="1"/>
  <c r="CL97" i="1" s="1"/>
  <c r="CL100" i="1" s="1"/>
  <c r="CJ226" i="1"/>
  <c r="CJ228" i="1" s="1"/>
  <c r="CJ80" i="1"/>
  <c r="CJ82" i="1"/>
  <c r="CG226" i="1"/>
  <c r="CG228" i="1" s="1"/>
  <c r="CG80" i="1"/>
  <c r="CG94" i="1"/>
  <c r="CQ158" i="1"/>
  <c r="CP161" i="1"/>
  <c r="CP282" i="1" s="1"/>
  <c r="CO239" i="1"/>
  <c r="BY50" i="1"/>
  <c r="CA37" i="1"/>
  <c r="CE50" i="1"/>
  <c r="CA50" i="1"/>
  <c r="CF50" i="1"/>
  <c r="CD50" i="1"/>
  <c r="BZ50" i="1"/>
  <c r="BL50" i="1"/>
  <c r="CC50" i="1"/>
  <c r="CB50" i="1"/>
  <c r="CF37" i="1"/>
  <c r="CD37" i="1"/>
  <c r="BY37" i="1"/>
  <c r="CE37" i="1"/>
  <c r="BZ37" i="1"/>
  <c r="CC37" i="1"/>
  <c r="CB37" i="1"/>
  <c r="BL37" i="1"/>
  <c r="Y226" i="1"/>
  <c r="Y228" i="1" s="1"/>
  <c r="Y232" i="1" s="1"/>
  <c r="Y246" i="1" s="1"/>
  <c r="Y240" i="1"/>
  <c r="Y238" i="1" s="1"/>
  <c r="Y82" i="1"/>
  <c r="Y80" i="1"/>
  <c r="X226" i="1"/>
  <c r="X228" i="1" s="1"/>
  <c r="X80" i="1"/>
  <c r="X82" i="1"/>
  <c r="Z80" i="1"/>
  <c r="CD53" i="1"/>
  <c r="CC73" i="1"/>
  <c r="CA36" i="1"/>
  <c r="CA264" i="1" s="1"/>
  <c r="CD67" i="1"/>
  <c r="AH7" i="6" s="1"/>
  <c r="CD63" i="1"/>
  <c r="CF64" i="1"/>
  <c r="BY73" i="1"/>
  <c r="BL73" i="1"/>
  <c r="CD74" i="1"/>
  <c r="AV7" i="6" s="1"/>
  <c r="CB48" i="1"/>
  <c r="R7" i="6" s="1"/>
  <c r="X7" i="6" s="1"/>
  <c r="CD73" i="1"/>
  <c r="CD43" i="1"/>
  <c r="V7" i="6" s="1"/>
  <c r="BY43" i="1"/>
  <c r="CB36" i="1"/>
  <c r="CB264" i="1" s="1"/>
  <c r="BY79" i="1"/>
  <c r="BL36" i="1"/>
  <c r="AW7" i="6" s="1"/>
  <c r="BY49" i="1"/>
  <c r="CA41" i="1"/>
  <c r="CB51" i="1"/>
  <c r="BZ64" i="1"/>
  <c r="O7" i="6" s="1"/>
  <c r="BL75" i="1"/>
  <c r="AQ7" i="6" s="1"/>
  <c r="CF36" i="1"/>
  <c r="JJ9" i="4" s="1"/>
  <c r="BY74" i="1"/>
  <c r="AM7" i="6" s="1"/>
  <c r="JM16" i="4" s="1"/>
  <c r="CF75" i="1"/>
  <c r="CA52" i="1"/>
  <c r="BL51" i="1"/>
  <c r="BL74" i="1"/>
  <c r="CF63" i="1"/>
  <c r="BL64" i="1"/>
  <c r="BZ73" i="1"/>
  <c r="CC53" i="1"/>
  <c r="CC49" i="1"/>
  <c r="JM9" i="4" s="1"/>
  <c r="CA49" i="1"/>
  <c r="JL16" i="4" s="1"/>
  <c r="BZ52" i="1"/>
  <c r="CB49" i="1"/>
  <c r="CC41" i="1"/>
  <c r="JK16" i="4" s="1"/>
  <c r="CA79" i="1"/>
  <c r="BZ42" i="1"/>
  <c r="CE43" i="1"/>
  <c r="CC42" i="1"/>
  <c r="C7" i="6" s="1"/>
  <c r="T7" i="6" s="1"/>
  <c r="BY52" i="1"/>
  <c r="CC74" i="1"/>
  <c r="CC36" i="1"/>
  <c r="CC264" i="1" s="1"/>
  <c r="CB63" i="1"/>
  <c r="JL9" i="4" s="1"/>
  <c r="CF67" i="1"/>
  <c r="AL7" i="6" s="1"/>
  <c r="BZ60" i="1"/>
  <c r="BZ227" i="1" s="1"/>
  <c r="BZ63" i="1"/>
  <c r="J7" i="6" s="1"/>
  <c r="BY75" i="1"/>
  <c r="Z7" i="6" s="1"/>
  <c r="BL48" i="1"/>
  <c r="CF41" i="1"/>
  <c r="CF51" i="1"/>
  <c r="BZ41" i="1"/>
  <c r="CA43" i="1"/>
  <c r="CD42" i="1"/>
  <c r="BL49" i="1"/>
  <c r="BY42" i="1"/>
  <c r="CE60" i="1"/>
  <c r="CE227" i="1" s="1"/>
  <c r="AD7" i="6" s="1"/>
  <c r="CF53" i="1"/>
  <c r="CE48" i="1"/>
  <c r="CA75" i="1"/>
  <c r="CD64" i="1"/>
  <c r="CB52" i="1"/>
  <c r="CD75" i="1"/>
  <c r="AP7" i="6" s="1"/>
  <c r="Y7" i="6" s="1"/>
  <c r="CA53" i="1"/>
  <c r="AA7" i="6" s="1"/>
  <c r="AJ7" i="6" s="1"/>
  <c r="BY36" i="1"/>
  <c r="BY51" i="1"/>
  <c r="CB67" i="1"/>
  <c r="CE53" i="1"/>
  <c r="I7" i="6" s="1"/>
  <c r="AK7" i="6" s="1"/>
  <c r="CE42" i="1"/>
  <c r="K7" i="6" s="1"/>
  <c r="F7" i="6" s="1"/>
  <c r="CB73" i="1"/>
  <c r="CF52" i="1"/>
  <c r="AC7" i="6" s="1"/>
  <c r="AE7" i="6" s="1"/>
  <c r="M7" i="6" s="1"/>
  <c r="Q7" i="6" s="1"/>
  <c r="CA74" i="1"/>
  <c r="BZ74" i="1"/>
  <c r="CA64" i="1"/>
  <c r="CF74" i="1"/>
  <c r="AU7" i="6" s="1"/>
  <c r="BL43" i="1"/>
  <c r="CE52" i="1"/>
  <c r="CB60" i="1"/>
  <c r="CB227" i="1" s="1"/>
  <c r="CC75" i="1"/>
  <c r="CC79" i="1"/>
  <c r="AX7" i="6" s="1"/>
  <c r="BZ51" i="1"/>
  <c r="AT7" i="6" s="1"/>
  <c r="S7" i="6" s="1"/>
  <c r="BY41" i="1"/>
  <c r="CE63" i="1"/>
  <c r="CA73" i="1"/>
  <c r="CB75" i="1"/>
  <c r="CA63" i="1"/>
  <c r="CF79" i="1"/>
  <c r="CF49" i="1"/>
  <c r="CA48" i="1"/>
  <c r="AN7" i="6" s="1"/>
  <c r="CE74" i="1"/>
  <c r="CC43" i="1"/>
  <c r="CE79" i="1"/>
  <c r="CF43" i="1"/>
  <c r="G7" i="6" s="1"/>
  <c r="BL60" i="1"/>
  <c r="AF7" i="6" s="1"/>
  <c r="CC48" i="1"/>
  <c r="CD48" i="1"/>
  <c r="JJ16" i="4" s="1"/>
  <c r="BY53" i="1"/>
  <c r="CB74" i="1"/>
  <c r="CE36" i="1"/>
  <c r="AB7" i="6" s="1"/>
  <c r="BL42" i="1"/>
  <c r="CD79" i="1"/>
  <c r="BY48" i="1"/>
  <c r="BZ43" i="1"/>
  <c r="CD49" i="1"/>
  <c r="L7" i="6" s="1"/>
  <c r="BL67" i="1"/>
  <c r="BZ36" i="1"/>
  <c r="BZ264" i="1" s="1"/>
  <c r="CA60" i="1"/>
  <c r="BZ67" i="1"/>
  <c r="BY60" i="1"/>
  <c r="BY227" i="1" s="1"/>
  <c r="AI7" i="6" s="1"/>
  <c r="CC67" i="1"/>
  <c r="D7" i="6" s="1"/>
  <c r="BZ49" i="1"/>
  <c r="AG7" i="6" s="1"/>
  <c r="BZ48" i="1"/>
  <c r="BL79" i="1"/>
  <c r="W7" i="6" s="1"/>
  <c r="CB79" i="1"/>
  <c r="CE75" i="1"/>
  <c r="CF48" i="1"/>
  <c r="CC51" i="1"/>
  <c r="CD51" i="1"/>
  <c r="CE41" i="1"/>
  <c r="BY63" i="1"/>
  <c r="CC63" i="1"/>
  <c r="BZ79" i="1"/>
  <c r="AS7" i="6" s="1"/>
  <c r="BZ75" i="1"/>
  <c r="CE64" i="1"/>
  <c r="CD41" i="1"/>
  <c r="BL63" i="1"/>
  <c r="CB42" i="1"/>
  <c r="CC60" i="1"/>
  <c r="CC227" i="1" s="1"/>
  <c r="BY67" i="1"/>
  <c r="H7" i="6" s="1"/>
  <c r="CA51" i="1"/>
  <c r="BZ53" i="1"/>
  <c r="CD36" i="1"/>
  <c r="CD264" i="1" s="1"/>
  <c r="AR7" i="6" s="1"/>
  <c r="CF42" i="1"/>
  <c r="BL41" i="1"/>
  <c r="BL52" i="1"/>
  <c r="JK9" i="4" s="1"/>
  <c r="AO7" i="6" s="1"/>
  <c r="CA67" i="1"/>
  <c r="BL53" i="1"/>
  <c r="CA42" i="1"/>
  <c r="CE73" i="1"/>
  <c r="CD52" i="1"/>
  <c r="P7" i="6" s="1"/>
  <c r="E7" i="6" s="1"/>
  <c r="U7" i="6" s="1"/>
  <c r="CC52" i="1"/>
  <c r="AY7" i="6" s="1"/>
  <c r="CD60" i="1"/>
  <c r="CB43" i="1"/>
  <c r="CC64" i="1"/>
  <c r="CB64" i="1"/>
  <c r="CE51" i="1"/>
  <c r="CE49" i="1"/>
  <c r="CF60" i="1"/>
  <c r="CF227" i="1" s="1"/>
  <c r="CB53" i="1"/>
  <c r="BY64" i="1"/>
  <c r="CF73" i="1"/>
  <c r="N7" i="6" s="1"/>
  <c r="CI162" i="1"/>
  <c r="CI120" i="1"/>
  <c r="CS157" i="1"/>
  <c r="CJ240" i="1"/>
  <c r="CJ238" i="1" s="1"/>
  <c r="CJ83" i="1"/>
  <c r="CI240" i="1"/>
  <c r="CI238" i="1" s="1"/>
  <c r="AC74" i="1"/>
  <c r="CV74" i="1"/>
  <c r="CW74" i="1" s="1"/>
  <c r="CX74" i="1" s="1"/>
  <c r="CY74" i="1" s="1"/>
  <c r="AD63" i="1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F63" i="3"/>
  <c r="C80" i="3"/>
  <c r="AV96" i="3"/>
  <c r="AU75" i="3"/>
  <c r="AY54" i="3"/>
  <c r="AF62" i="3"/>
  <c r="AS55" i="3"/>
  <c r="AY84" i="3"/>
  <c r="C84" i="3"/>
  <c r="AV66" i="3"/>
  <c r="AV92" i="3"/>
  <c r="AZ68" i="3"/>
  <c r="AF92" i="3"/>
  <c r="AZ75" i="3"/>
  <c r="AW88" i="3"/>
  <c r="AW67" i="3"/>
  <c r="AT62" i="3"/>
  <c r="AZ74" i="3"/>
  <c r="AS70" i="3"/>
  <c r="AF61" i="3"/>
  <c r="AS65" i="3"/>
  <c r="AZ67" i="3"/>
  <c r="AS63" i="3"/>
  <c r="AS56" i="3"/>
  <c r="AF71" i="3"/>
  <c r="AZ81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F70" i="3"/>
  <c r="AY60" i="3"/>
  <c r="AS61" i="3"/>
  <c r="AY91" i="3"/>
  <c r="C76" i="3"/>
  <c r="AS60" i="3"/>
  <c r="AX64" i="3"/>
  <c r="AS88" i="3"/>
  <c r="AS71" i="3"/>
  <c r="AY90" i="3"/>
  <c r="AV56" i="3"/>
  <c r="AU74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U92" i="3"/>
  <c r="AT76" i="3"/>
  <c r="AF91" i="3"/>
  <c r="AV59" i="3"/>
  <c r="AT89" i="3"/>
  <c r="AW78" i="3"/>
  <c r="AX75" i="3"/>
  <c r="AY73" i="3"/>
  <c r="AF60" i="3"/>
  <c r="AV87" i="3"/>
  <c r="AU71" i="3"/>
  <c r="AT75" i="3"/>
  <c r="AW83" i="3"/>
  <c r="AT93" i="3"/>
  <c r="AT81" i="3"/>
  <c r="AZ56" i="3"/>
  <c r="C63" i="3"/>
  <c r="AX59" i="3"/>
  <c r="AU83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S66" i="3"/>
  <c r="AY88" i="3"/>
  <c r="AV47" i="3"/>
  <c r="AY89" i="3"/>
  <c r="C66" i="3"/>
  <c r="AZ64" i="3"/>
  <c r="AT67" i="3"/>
  <c r="AV74" i="3"/>
  <c r="AX71" i="3"/>
  <c r="AW60" i="3"/>
  <c r="C85" i="3"/>
  <c r="AZ70" i="3"/>
  <c r="AU60" i="3"/>
  <c r="AY78" i="3"/>
  <c r="AV88" i="3"/>
  <c r="AU56" i="3"/>
  <c r="AV84" i="3"/>
  <c r="AT86" i="3"/>
  <c r="AT63" i="3"/>
  <c r="AZ76" i="3"/>
  <c r="AX94" i="3"/>
  <c r="AU61" i="3"/>
  <c r="AF79" i="3"/>
  <c r="AW84" i="3"/>
  <c r="AV79" i="3"/>
  <c r="AU49" i="3"/>
  <c r="AW80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V81" i="3"/>
  <c r="AS76" i="3"/>
  <c r="AF93" i="3"/>
  <c r="AT92" i="3"/>
  <c r="AW77" i="3"/>
  <c r="AU91" i="3"/>
  <c r="AX67" i="3"/>
  <c r="AW74" i="3"/>
  <c r="AY85" i="3"/>
  <c r="AX62" i="3"/>
  <c r="AV67" i="3"/>
  <c r="C57" i="3"/>
  <c r="C59" i="3"/>
  <c r="AU76" i="3"/>
  <c r="AW79" i="3"/>
  <c r="AX86" i="3"/>
  <c r="AX87" i="3"/>
  <c r="AZ95" i="3"/>
  <c r="C58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Z88" i="3"/>
  <c r="AY56" i="3"/>
  <c r="AZ82" i="3"/>
  <c r="C77" i="3"/>
  <c r="AV97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Z93" i="3"/>
  <c r="C67" i="3"/>
  <c r="AZ49" i="3"/>
  <c r="AU77" i="3"/>
  <c r="AT65" i="3"/>
  <c r="AF96" i="3"/>
  <c r="AV95" i="3"/>
  <c r="AU67" i="3"/>
  <c r="AZ48" i="3"/>
  <c r="AU64" i="3"/>
  <c r="C87" i="3"/>
  <c r="AY77" i="3"/>
  <c r="AY86" i="3"/>
  <c r="AT9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Y75" i="3"/>
  <c r="AF74" i="3"/>
  <c r="AZ50" i="3"/>
  <c r="AY92" i="3"/>
  <c r="AS62" i="3"/>
  <c r="AV63" i="3"/>
  <c r="AS95" i="3"/>
  <c r="AT85" i="3"/>
  <c r="AX78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Z77" i="3"/>
  <c r="AZ60" i="3"/>
  <c r="AF89" i="3"/>
  <c r="AT61" i="3"/>
  <c r="AW95" i="3"/>
  <c r="AT54" i="3"/>
  <c r="AF66" i="3"/>
  <c r="AU81" i="3"/>
  <c r="AT57" i="3"/>
  <c r="AS48" i="3"/>
  <c r="AX57" i="3"/>
  <c r="AF59" i="3"/>
  <c r="C88" i="3"/>
  <c r="AZ66" i="3"/>
  <c r="AF83" i="3"/>
  <c r="AS50" i="3"/>
  <c r="AU69" i="3"/>
  <c r="AF64" i="3"/>
  <c r="AF95" i="3"/>
  <c r="AX60" i="3"/>
  <c r="AT91" i="3"/>
  <c r="AF82" i="3"/>
  <c r="AY80" i="3"/>
  <c r="AV62" i="3"/>
  <c r="AS81" i="3"/>
  <c r="CS55" i="1" l="1"/>
  <c r="CT55" i="1" s="1"/>
  <c r="CP68" i="1"/>
  <c r="CV212" i="1"/>
  <c r="CU218" i="1"/>
  <c r="CV216" i="1"/>
  <c r="CR215" i="1"/>
  <c r="CR219" i="1" s="1"/>
  <c r="CS214" i="1"/>
  <c r="AC164" i="1"/>
  <c r="CL113" i="1"/>
  <c r="CL114" i="1"/>
  <c r="CL115" i="1"/>
  <c r="Z82" i="1"/>
  <c r="CZ144" i="1"/>
  <c r="Z240" i="1"/>
  <c r="Z238" i="1" s="1"/>
  <c r="Z243" i="1" s="1"/>
  <c r="Z244" i="1" s="1"/>
  <c r="CY145" i="1"/>
  <c r="CK97" i="1"/>
  <c r="CK115" i="1" s="1"/>
  <c r="CJ97" i="1"/>
  <c r="CJ113" i="1" s="1"/>
  <c r="CQ235" i="1"/>
  <c r="CR173" i="1"/>
  <c r="CR235" i="1" s="1"/>
  <c r="CQ45" i="1"/>
  <c r="CR45" i="1" s="1"/>
  <c r="CS45" i="1" s="1"/>
  <c r="DA13" i="1"/>
  <c r="DB13" i="1"/>
  <c r="AE7" i="1"/>
  <c r="DB12" i="1"/>
  <c r="DA12" i="1"/>
  <c r="AE6" i="1"/>
  <c r="DA9" i="1"/>
  <c r="DA144" i="1" s="1"/>
  <c r="AE5" i="1"/>
  <c r="DA11" i="1"/>
  <c r="CZ17" i="1"/>
  <c r="CZ36" i="1" s="1"/>
  <c r="CR158" i="1"/>
  <c r="CQ161" i="1"/>
  <c r="CQ282" i="1" s="1"/>
  <c r="CP239" i="1"/>
  <c r="BZ158" i="1"/>
  <c r="CA158" i="1" s="1"/>
  <c r="BL101" i="1"/>
  <c r="CF102" i="1"/>
  <c r="CB179" i="1"/>
  <c r="CC179" i="1" s="1"/>
  <c r="CD186" i="1"/>
  <c r="CD216" i="1" s="1"/>
  <c r="CE216" i="1" s="1"/>
  <c r="CB197" i="1"/>
  <c r="CC197" i="1" s="1"/>
  <c r="BL157" i="1"/>
  <c r="BM157" i="1" s="1"/>
  <c r="CD166" i="1"/>
  <c r="CD157" i="1"/>
  <c r="CE157" i="1" s="1"/>
  <c r="CF160" i="1"/>
  <c r="CG160" i="1" s="1"/>
  <c r="CB160" i="1"/>
  <c r="CC160" i="1" s="1"/>
  <c r="CB185" i="1"/>
  <c r="CC185" i="1" s="1"/>
  <c r="CB177" i="1"/>
  <c r="CB212" i="1" s="1"/>
  <c r="CC212" i="1" s="1"/>
  <c r="BZ186" i="1"/>
  <c r="BZ216" i="1" s="1"/>
  <c r="CA216" i="1" s="1"/>
  <c r="BZ197" i="1"/>
  <c r="CA197" i="1" s="1"/>
  <c r="BZ187" i="1"/>
  <c r="CA187" i="1" s="1"/>
  <c r="BZ193" i="1"/>
  <c r="BZ183" i="1"/>
  <c r="CA183" i="1" s="1"/>
  <c r="BZ165" i="1"/>
  <c r="BL178" i="1"/>
  <c r="BL213" i="1" s="1"/>
  <c r="BM213" i="1" s="1"/>
  <c r="BL186" i="1"/>
  <c r="BL216" i="1" s="1"/>
  <c r="BM216" i="1" s="1"/>
  <c r="BL155" i="1"/>
  <c r="BM155" i="1" s="1"/>
  <c r="CA101" i="1"/>
  <c r="CF101" i="1"/>
  <c r="CF179" i="1"/>
  <c r="CG179" i="1" s="1"/>
  <c r="CF166" i="1"/>
  <c r="CB102" i="1"/>
  <c r="CF177" i="1"/>
  <c r="CF212" i="1" s="1"/>
  <c r="CG212" i="1" s="1"/>
  <c r="CG177" i="1" s="1"/>
  <c r="CF155" i="1"/>
  <c r="CG155" i="1" s="1"/>
  <c r="CB182" i="1"/>
  <c r="CC182" i="1" s="1"/>
  <c r="CF197" i="1"/>
  <c r="CG197" i="1" s="1"/>
  <c r="CB158" i="1"/>
  <c r="CC158" i="1" s="1"/>
  <c r="CB196" i="1"/>
  <c r="CC196" i="1" s="1"/>
  <c r="CD102" i="1"/>
  <c r="CB192" i="1"/>
  <c r="CD178" i="1"/>
  <c r="CD213" i="1" s="1"/>
  <c r="CE213" i="1" s="1"/>
  <c r="CD155" i="1"/>
  <c r="CE155" i="1" s="1"/>
  <c r="BL158" i="1"/>
  <c r="CD164" i="1"/>
  <c r="CD184" i="1"/>
  <c r="CE184" i="1" s="1"/>
  <c r="CD192" i="1"/>
  <c r="CD175" i="1"/>
  <c r="CE175" i="1" s="1"/>
  <c r="CF173" i="1"/>
  <c r="CF159" i="1"/>
  <c r="CG159" i="1" s="1"/>
  <c r="CB175" i="1"/>
  <c r="CC175" i="1" s="1"/>
  <c r="BL187" i="1"/>
  <c r="BM187" i="1" s="1"/>
  <c r="BL196" i="1"/>
  <c r="BM196" i="1" s="1"/>
  <c r="BL197" i="1"/>
  <c r="CB159" i="1"/>
  <c r="CC159" i="1" s="1"/>
  <c r="CE102" i="1"/>
  <c r="BZ192" i="1"/>
  <c r="BZ196" i="1"/>
  <c r="CA196" i="1" s="1"/>
  <c r="BZ152" i="1"/>
  <c r="BZ160" i="1"/>
  <c r="CA160" i="1" s="1"/>
  <c r="CF178" i="1"/>
  <c r="CF213" i="1" s="1"/>
  <c r="CG213" i="1" s="1"/>
  <c r="CG178" i="1" s="1"/>
  <c r="CF165" i="1"/>
  <c r="CF182" i="1"/>
  <c r="CB152" i="1"/>
  <c r="CB178" i="1"/>
  <c r="CB213" i="1" s="1"/>
  <c r="CC213" i="1" s="1"/>
  <c r="CD193" i="1"/>
  <c r="CD185" i="1"/>
  <c r="CE185" i="1" s="1"/>
  <c r="CB101" i="1"/>
  <c r="BZ188" i="1"/>
  <c r="CA188" i="1" s="1"/>
  <c r="BZ166" i="1"/>
  <c r="BZ150" i="1"/>
  <c r="BZ180" i="1"/>
  <c r="CA180" i="1" s="1"/>
  <c r="BZ102" i="1"/>
  <c r="BZ157" i="1"/>
  <c r="CA157" i="1" s="1"/>
  <c r="BZ159" i="1"/>
  <c r="CA159" i="1" s="1"/>
  <c r="BZ175" i="1"/>
  <c r="CA175" i="1" s="1"/>
  <c r="BZ164" i="1"/>
  <c r="BL166" i="1"/>
  <c r="BL182" i="1"/>
  <c r="BM182" i="1" s="1"/>
  <c r="CF157" i="1"/>
  <c r="CF186" i="1"/>
  <c r="CF216" i="1" s="1"/>
  <c r="CG216" i="1" s="1"/>
  <c r="CG186" i="1" s="1"/>
  <c r="CD187" i="1"/>
  <c r="CE187" i="1" s="1"/>
  <c r="CF187" i="1"/>
  <c r="CG187" i="1" s="1"/>
  <c r="CB164" i="1"/>
  <c r="CB187" i="1"/>
  <c r="CC187" i="1" s="1"/>
  <c r="BY102" i="1"/>
  <c r="CD196" i="1"/>
  <c r="CE196" i="1" s="1"/>
  <c r="CD168" i="1"/>
  <c r="CE168" i="1" s="1"/>
  <c r="BL193" i="1"/>
  <c r="CB186" i="1"/>
  <c r="CB216" i="1" s="1"/>
  <c r="CC216" i="1" s="1"/>
  <c r="CB151" i="1"/>
  <c r="CC151" i="1" s="1"/>
  <c r="BL183" i="1"/>
  <c r="BM183" i="1" s="1"/>
  <c r="CD160" i="1"/>
  <c r="CE160" i="1" s="1"/>
  <c r="CD180" i="1"/>
  <c r="CE180" i="1" s="1"/>
  <c r="CD152" i="1"/>
  <c r="CD179" i="1"/>
  <c r="CE179" i="1" s="1"/>
  <c r="CD188" i="1"/>
  <c r="CE188" i="1" s="1"/>
  <c r="CD173" i="1"/>
  <c r="CE173" i="1" s="1"/>
  <c r="CF150" i="1"/>
  <c r="CF151" i="1"/>
  <c r="CG151" i="1" s="1"/>
  <c r="CF184" i="1"/>
  <c r="CG184" i="1" s="1"/>
  <c r="CF196" i="1"/>
  <c r="CG196" i="1" s="1"/>
  <c r="CB193" i="1"/>
  <c r="CB173" i="1"/>
  <c r="AI102" i="1"/>
  <c r="BL180" i="1"/>
  <c r="BM180" i="1" s="1"/>
  <c r="BL168" i="1"/>
  <c r="BM168" i="1" s="1"/>
  <c r="BL159" i="1"/>
  <c r="BM159" i="1" s="1"/>
  <c r="CB157" i="1"/>
  <c r="CC157" i="1" s="1"/>
  <c r="BL179" i="1"/>
  <c r="BM179" i="1" s="1"/>
  <c r="BZ168" i="1"/>
  <c r="CA168" i="1" s="1"/>
  <c r="BZ101" i="1"/>
  <c r="BL185" i="1"/>
  <c r="BM185" i="1" s="1"/>
  <c r="CB165" i="1"/>
  <c r="CF180" i="1"/>
  <c r="CG180" i="1" s="1"/>
  <c r="CB180" i="1"/>
  <c r="CC180" i="1" s="1"/>
  <c r="CD101" i="1"/>
  <c r="CC102" i="1"/>
  <c r="CD151" i="1"/>
  <c r="CE151" i="1" s="1"/>
  <c r="BL152" i="1"/>
  <c r="CD158" i="1"/>
  <c r="CE158" i="1" s="1"/>
  <c r="CF192" i="1"/>
  <c r="CF185" i="1"/>
  <c r="CG185" i="1" s="1"/>
  <c r="CE101" i="1"/>
  <c r="BZ178" i="1"/>
  <c r="BZ213" i="1" s="1"/>
  <c r="CA213" i="1" s="1"/>
  <c r="BZ155" i="1"/>
  <c r="CA155" i="1" s="1"/>
  <c r="BZ177" i="1"/>
  <c r="BZ212" i="1" s="1"/>
  <c r="CA212" i="1" s="1"/>
  <c r="BZ151" i="1"/>
  <c r="CA151" i="1" s="1"/>
  <c r="BZ182" i="1"/>
  <c r="BZ184" i="1"/>
  <c r="CA184" i="1" s="1"/>
  <c r="BZ179" i="1"/>
  <c r="CA179" i="1" s="1"/>
  <c r="BZ173" i="1"/>
  <c r="CA173" i="1" s="1"/>
  <c r="BZ185" i="1"/>
  <c r="CA185" i="1" s="1"/>
  <c r="BL188" i="1"/>
  <c r="BM188" i="1" s="1"/>
  <c r="BL177" i="1"/>
  <c r="BL212" i="1" s="1"/>
  <c r="BM212" i="1" s="1"/>
  <c r="BL164" i="1"/>
  <c r="BL165" i="1"/>
  <c r="CA102" i="1"/>
  <c r="CF188" i="1"/>
  <c r="CG188" i="1" s="1"/>
  <c r="CF183" i="1"/>
  <c r="CG183" i="1" s="1"/>
  <c r="CF193" i="1"/>
  <c r="CB150" i="1"/>
  <c r="CC150" i="1" s="1"/>
  <c r="CF164" i="1"/>
  <c r="CF152" i="1"/>
  <c r="CG152" i="1" s="1"/>
  <c r="CF158" i="1"/>
  <c r="CG158" i="1" s="1"/>
  <c r="CD159" i="1"/>
  <c r="CE159" i="1" s="1"/>
  <c r="CB188" i="1"/>
  <c r="CC188" i="1" s="1"/>
  <c r="CB168" i="1"/>
  <c r="CC168" i="1" s="1"/>
  <c r="CB184" i="1"/>
  <c r="CC184" i="1" s="1"/>
  <c r="CD150" i="1"/>
  <c r="BL173" i="1"/>
  <c r="CB166" i="1"/>
  <c r="BL160" i="1"/>
  <c r="BM160" i="1" s="1"/>
  <c r="CD165" i="1"/>
  <c r="CD177" i="1"/>
  <c r="CD212" i="1" s="1"/>
  <c r="CE212" i="1" s="1"/>
  <c r="CD183" i="1"/>
  <c r="CE183" i="1" s="1"/>
  <c r="CD182" i="1"/>
  <c r="CE182" i="1" s="1"/>
  <c r="CD197" i="1"/>
  <c r="CE197" i="1" s="1"/>
  <c r="CF168" i="1"/>
  <c r="CG168" i="1" s="1"/>
  <c r="CF175" i="1"/>
  <c r="CG175" i="1" s="1"/>
  <c r="CC101" i="1"/>
  <c r="CB183" i="1"/>
  <c r="CC183" i="1" s="1"/>
  <c r="CB155" i="1"/>
  <c r="CC155" i="1" s="1"/>
  <c r="BL192" i="1"/>
  <c r="BL150" i="1"/>
  <c r="BM150" i="1" s="1"/>
  <c r="BL184" i="1"/>
  <c r="BM184" i="1" s="1"/>
  <c r="BL175" i="1"/>
  <c r="BM175" i="1" s="1"/>
  <c r="BL151" i="1"/>
  <c r="BM151" i="1" s="1"/>
  <c r="BL286" i="1"/>
  <c r="CH126" i="1"/>
  <c r="CH127" i="1" s="1"/>
  <c r="CB170" i="1"/>
  <c r="CC170" i="1" s="1"/>
  <c r="CF170" i="1"/>
  <c r="CG170" i="1" s="1"/>
  <c r="CD170" i="1"/>
  <c r="CE170" i="1" s="1"/>
  <c r="BL170" i="1"/>
  <c r="BM170" i="1" s="1"/>
  <c r="BZ170" i="1"/>
  <c r="CA170" i="1" s="1"/>
  <c r="BL176" i="1"/>
  <c r="CD176" i="1"/>
  <c r="CB176" i="1"/>
  <c r="CF176" i="1"/>
  <c r="BZ176" i="1"/>
  <c r="CA285" i="1"/>
  <c r="JJ21" i="4"/>
  <c r="CD105" i="1" s="1"/>
  <c r="CA38" i="1"/>
  <c r="CA44" i="1" s="1"/>
  <c r="CA45" i="1" s="1"/>
  <c r="JK14" i="4"/>
  <c r="BL38" i="1"/>
  <c r="BL44" i="1" s="1"/>
  <c r="BY38" i="1"/>
  <c r="BY44" i="1" s="1"/>
  <c r="BL227" i="1"/>
  <c r="CF38" i="1"/>
  <c r="AA86" i="1" s="1"/>
  <c r="CF285" i="1"/>
  <c r="JL21" i="4"/>
  <c r="CF105" i="1" s="1"/>
  <c r="Y243" i="1"/>
  <c r="Y244" i="1" s="1"/>
  <c r="CF126" i="1"/>
  <c r="CF127" i="1" s="1"/>
  <c r="CB54" i="1"/>
  <c r="CE264" i="1"/>
  <c r="CC286" i="1"/>
  <c r="CA54" i="1"/>
  <c r="CE285" i="1"/>
  <c r="CC285" i="1"/>
  <c r="JM7" i="4"/>
  <c r="CA286" i="1"/>
  <c r="JJ8" i="4"/>
  <c r="CF54" i="1"/>
  <c r="BZ285" i="1"/>
  <c r="BZ38" i="1"/>
  <c r="CA227" i="1"/>
  <c r="CD286" i="1"/>
  <c r="CB126" i="1"/>
  <c r="CB127" i="1" s="1"/>
  <c r="JK21" i="4"/>
  <c r="CE105" i="1" s="1"/>
  <c r="JK15" i="4"/>
  <c r="CD285" i="1"/>
  <c r="JL14" i="4"/>
  <c r="CC54" i="1"/>
  <c r="BY54" i="1"/>
  <c r="CI126" i="1"/>
  <c r="CI127" i="1" s="1"/>
  <c r="CI130" i="1" s="1"/>
  <c r="CF264" i="1"/>
  <c r="BY286" i="1"/>
  <c r="JL8" i="4"/>
  <c r="CE54" i="1"/>
  <c r="BL285" i="1"/>
  <c r="CE126" i="1"/>
  <c r="CE127" i="1" s="1"/>
  <c r="CD38" i="1"/>
  <c r="CD44" i="1" s="1"/>
  <c r="CH46" i="1" s="1"/>
  <c r="CC38" i="1"/>
  <c r="CD227" i="1"/>
  <c r="CE38" i="1"/>
  <c r="CG126" i="1"/>
  <c r="CG127" i="1" s="1"/>
  <c r="CD126" i="1"/>
  <c r="CD127" i="1" s="1"/>
  <c r="CB38" i="1"/>
  <c r="CB44" i="1" s="1"/>
  <c r="CB285" i="1"/>
  <c r="CC126" i="1"/>
  <c r="CC127" i="1" s="1"/>
  <c r="JJ15" i="4"/>
  <c r="CB286" i="1"/>
  <c r="BY285" i="1"/>
  <c r="CD54" i="1"/>
  <c r="JM8" i="4"/>
  <c r="JL7" i="4"/>
  <c r="CF286" i="1"/>
  <c r="JJ7" i="4"/>
  <c r="JK8" i="4"/>
  <c r="JM21" i="4"/>
  <c r="CG105" i="1" s="1"/>
  <c r="BZ286" i="1"/>
  <c r="CE286" i="1"/>
  <c r="JK7" i="4"/>
  <c r="BL54" i="1"/>
  <c r="JL15" i="4"/>
  <c r="BZ54" i="1"/>
  <c r="JM14" i="4"/>
  <c r="JM15" i="4"/>
  <c r="JJ14" i="4"/>
  <c r="CI122" i="1"/>
  <c r="CI124" i="1"/>
  <c r="CI123" i="1"/>
  <c r="CT157" i="1"/>
  <c r="AD74" i="1"/>
  <c r="CZ74" i="1"/>
  <c r="DA74" i="1" s="1"/>
  <c r="DB74" i="1" s="1"/>
  <c r="AE63" i="1"/>
  <c r="U36" i="1"/>
  <c r="V36" i="1"/>
  <c r="W36" i="1"/>
  <c r="CQ68" i="1" l="1"/>
  <c r="CR68" i="1"/>
  <c r="CW212" i="1"/>
  <c r="CV218" i="1"/>
  <c r="CW216" i="1"/>
  <c r="CS215" i="1"/>
  <c r="CS219" i="1" s="1"/>
  <c r="CT214" i="1"/>
  <c r="AD164" i="1"/>
  <c r="AE164" i="1"/>
  <c r="DA145" i="1"/>
  <c r="CK113" i="1"/>
  <c r="CK114" i="1"/>
  <c r="CZ145" i="1"/>
  <c r="CJ115" i="1"/>
  <c r="CJ114" i="1"/>
  <c r="CS173" i="1"/>
  <c r="CS235" i="1" s="1"/>
  <c r="AE12" i="1"/>
  <c r="AE21" i="1" s="1"/>
  <c r="AE27" i="1" s="1"/>
  <c r="CU55" i="1"/>
  <c r="CV55" i="1" s="1"/>
  <c r="CW55" i="1" s="1"/>
  <c r="CX55" i="1" s="1"/>
  <c r="DA17" i="1"/>
  <c r="DA36" i="1" s="1"/>
  <c r="AE9" i="1"/>
  <c r="DB11" i="1"/>
  <c r="DB9" i="1"/>
  <c r="DB144" i="1" s="1"/>
  <c r="AE13" i="1"/>
  <c r="AE22" i="1" s="1"/>
  <c r="AE28" i="1" s="1"/>
  <c r="CS158" i="1"/>
  <c r="CR161" i="1"/>
  <c r="CR282" i="1" s="1"/>
  <c r="CQ239" i="1"/>
  <c r="BZ194" i="1"/>
  <c r="BL194" i="1"/>
  <c r="CB235" i="1"/>
  <c r="CA150" i="1"/>
  <c r="BZ153" i="1"/>
  <c r="BZ120" i="1" s="1"/>
  <c r="BL153" i="1"/>
  <c r="BL120" i="1" s="1"/>
  <c r="CB194" i="1"/>
  <c r="CC242" i="1" s="1"/>
  <c r="CG157" i="1"/>
  <c r="CG161" i="1" s="1"/>
  <c r="CF161" i="1"/>
  <c r="CD167" i="1"/>
  <c r="CE61" i="1" s="1"/>
  <c r="CC173" i="1"/>
  <c r="CE150" i="1"/>
  <c r="CD153" i="1"/>
  <c r="CD120" i="1" s="1"/>
  <c r="CD122" i="1" s="1"/>
  <c r="BM173" i="1"/>
  <c r="BM235" i="1" s="1"/>
  <c r="CD194" i="1"/>
  <c r="CF235" i="1"/>
  <c r="CE161" i="1"/>
  <c r="BM158" i="1"/>
  <c r="BM161" i="1" s="1"/>
  <c r="BL161" i="1"/>
  <c r="CG173" i="1"/>
  <c r="CG182" i="1"/>
  <c r="CG189" i="1" s="1"/>
  <c r="CF189" i="1"/>
  <c r="CF218" i="1" s="1"/>
  <c r="CF217" i="1" s="1"/>
  <c r="CG150" i="1"/>
  <c r="CG153" i="1" s="1"/>
  <c r="CF153" i="1"/>
  <c r="CF120" i="1" s="1"/>
  <c r="CF122" i="1" s="1"/>
  <c r="CA182" i="1"/>
  <c r="BZ189" i="1"/>
  <c r="BZ218" i="1" s="1"/>
  <c r="BZ217" i="1" s="1"/>
  <c r="BZ167" i="1"/>
  <c r="BZ171" i="1" s="1"/>
  <c r="CA161" i="1"/>
  <c r="CB167" i="1"/>
  <c r="CF194" i="1"/>
  <c r="BL167" i="1"/>
  <c r="CF167" i="1"/>
  <c r="CF171" i="1" s="1"/>
  <c r="CC161" i="1"/>
  <c r="CB161" i="1"/>
  <c r="CE235" i="1"/>
  <c r="BZ161" i="1"/>
  <c r="CB189" i="1"/>
  <c r="CB218" i="1" s="1"/>
  <c r="CB217" i="1" s="1"/>
  <c r="BL189" i="1"/>
  <c r="BL218" i="1" s="1"/>
  <c r="BL217" i="1" s="1"/>
  <c r="CD189" i="1"/>
  <c r="CD218" i="1" s="1"/>
  <c r="CD217" i="1" s="1"/>
  <c r="CB153" i="1"/>
  <c r="CD161" i="1"/>
  <c r="CH130" i="1"/>
  <c r="CH131" i="1"/>
  <c r="CH132" i="1"/>
  <c r="BM176" i="1"/>
  <c r="BL181" i="1"/>
  <c r="CE176" i="1"/>
  <c r="CD181" i="1"/>
  <c r="CC176" i="1"/>
  <c r="CB181" i="1"/>
  <c r="CG176" i="1"/>
  <c r="CG181" i="1" s="1"/>
  <c r="CG215" i="1" s="1"/>
  <c r="CG214" i="1" s="1"/>
  <c r="CF181" i="1"/>
  <c r="CA176" i="1"/>
  <c r="BZ181" i="1"/>
  <c r="CD130" i="1"/>
  <c r="CA55" i="1"/>
  <c r="CA40" i="1"/>
  <c r="JK19" i="4"/>
  <c r="CE106" i="1" s="1"/>
  <c r="BL55" i="1"/>
  <c r="CC39" i="1"/>
  <c r="CC55" i="1"/>
  <c r="CI258" i="1"/>
  <c r="CF44" i="1"/>
  <c r="CG40" i="1"/>
  <c r="CJ39" i="1"/>
  <c r="BY55" i="1"/>
  <c r="JL20" i="4"/>
  <c r="CF107" i="1" s="1"/>
  <c r="CF132" i="1" s="1"/>
  <c r="BZ44" i="1"/>
  <c r="CD46" i="1" s="1"/>
  <c r="CF55" i="1"/>
  <c r="Y86" i="1"/>
  <c r="JJ19" i="4"/>
  <c r="CD106" i="1" s="1"/>
  <c r="CD135" i="1" s="1"/>
  <c r="JM20" i="4"/>
  <c r="CG107" i="1" s="1"/>
  <c r="CD55" i="1"/>
  <c r="JM19" i="4"/>
  <c r="CG106" i="1" s="1"/>
  <c r="CE186" i="1"/>
  <c r="CE189" i="1" s="1"/>
  <c r="CE218" i="1" s="1"/>
  <c r="CE217" i="1" s="1"/>
  <c r="CF130" i="1"/>
  <c r="JJ20" i="4"/>
  <c r="CD107" i="1" s="1"/>
  <c r="CD136" i="1" s="1"/>
  <c r="JL19" i="4"/>
  <c r="CF106" i="1" s="1"/>
  <c r="JK20" i="4"/>
  <c r="CE107" i="1" s="1"/>
  <c r="CE136" i="1" s="1"/>
  <c r="CA56" i="1"/>
  <c r="CD221" i="1"/>
  <c r="CD39" i="1"/>
  <c r="BZ40" i="1"/>
  <c r="CD258" i="1"/>
  <c r="BZ55" i="1"/>
  <c r="CE177" i="1"/>
  <c r="CE221" i="1"/>
  <c r="CG221" i="1"/>
  <c r="CF39" i="1"/>
  <c r="CH258" i="1"/>
  <c r="CJ221" i="1"/>
  <c r="CE55" i="1"/>
  <c r="CC44" i="1"/>
  <c r="CC47" i="1" s="1"/>
  <c r="CF258" i="1"/>
  <c r="CB40" i="1"/>
  <c r="CH277" i="1"/>
  <c r="Z86" i="1"/>
  <c r="CE39" i="1"/>
  <c r="CG130" i="1"/>
  <c r="CE130" i="1"/>
  <c r="CG258" i="1"/>
  <c r="CF40" i="1"/>
  <c r="CF221" i="1"/>
  <c r="CE258" i="1"/>
  <c r="CC40" i="1"/>
  <c r="CC258" i="1"/>
  <c r="CE178" i="1"/>
  <c r="CB55" i="1"/>
  <c r="CB45" i="1"/>
  <c r="CB56" i="1"/>
  <c r="CB31" i="1" s="1"/>
  <c r="CB47" i="1"/>
  <c r="CD56" i="1"/>
  <c r="CD40" i="1"/>
  <c r="CH39" i="1"/>
  <c r="CI221" i="1"/>
  <c r="CI131" i="1"/>
  <c r="CE44" i="1"/>
  <c r="CE47" i="1" s="1"/>
  <c r="CI39" i="1"/>
  <c r="CD45" i="1"/>
  <c r="CI132" i="1"/>
  <c r="CG39" i="1"/>
  <c r="CE40" i="1"/>
  <c r="CH221" i="1"/>
  <c r="CA235" i="1"/>
  <c r="BL45" i="1"/>
  <c r="BL56" i="1"/>
  <c r="BY45" i="1"/>
  <c r="BY56" i="1"/>
  <c r="BY31" i="1" s="1"/>
  <c r="CT45" i="1"/>
  <c r="CU45" i="1" s="1"/>
  <c r="CU157" i="1"/>
  <c r="AE74" i="1"/>
  <c r="V264" i="1"/>
  <c r="W264" i="1"/>
  <c r="U264" i="1"/>
  <c r="CS68" i="1" l="1"/>
  <c r="CF56" i="1"/>
  <c r="AA87" i="1"/>
  <c r="CX212" i="1"/>
  <c r="CW218" i="1"/>
  <c r="CX216" i="1"/>
  <c r="CT215" i="1"/>
  <c r="CT219" i="1" s="1"/>
  <c r="CU214" i="1"/>
  <c r="CT173" i="1"/>
  <c r="AE144" i="1"/>
  <c r="AE145" i="1" s="1"/>
  <c r="DB145" i="1"/>
  <c r="CA265" i="1"/>
  <c r="CA266" i="1" s="1"/>
  <c r="CA31" i="1"/>
  <c r="CH58" i="1"/>
  <c r="CD31" i="1"/>
  <c r="AE11" i="1"/>
  <c r="DB17" i="1"/>
  <c r="DB36" i="1" s="1"/>
  <c r="CD235" i="1"/>
  <c r="CC235" i="1"/>
  <c r="CG282" i="1"/>
  <c r="CH235" i="1"/>
  <c r="CG235" i="1"/>
  <c r="CA242" i="1"/>
  <c r="BZ281" i="1"/>
  <c r="CT158" i="1"/>
  <c r="CS161" i="1"/>
  <c r="CS282" i="1" s="1"/>
  <c r="CD239" i="1"/>
  <c r="CF282" i="1"/>
  <c r="BM242" i="1"/>
  <c r="BL281" i="1"/>
  <c r="CF239" i="1"/>
  <c r="CF162" i="1"/>
  <c r="CR239" i="1"/>
  <c r="BL162" i="1"/>
  <c r="BL201" i="1"/>
  <c r="BL137" i="1" s="1"/>
  <c r="CA61" i="1"/>
  <c r="CA167" i="1"/>
  <c r="CB171" i="1"/>
  <c r="CC61" i="1"/>
  <c r="CC167" i="1"/>
  <c r="BZ201" i="1"/>
  <c r="BZ162" i="1"/>
  <c r="CF123" i="1"/>
  <c r="CD171" i="1"/>
  <c r="CE167" i="1"/>
  <c r="CE242" i="1"/>
  <c r="CD281" i="1"/>
  <c r="CA282" i="1"/>
  <c r="CA239" i="1"/>
  <c r="BM239" i="1"/>
  <c r="BM282" i="1"/>
  <c r="CH240" i="1"/>
  <c r="CG120" i="1"/>
  <c r="CG123" i="1" s="1"/>
  <c r="CG240" i="1"/>
  <c r="CG242" i="1"/>
  <c r="CF201" i="1"/>
  <c r="CF281" i="1"/>
  <c r="BM167" i="1"/>
  <c r="BM171" i="1" s="1"/>
  <c r="BL171" i="1"/>
  <c r="BL279" i="1" s="1"/>
  <c r="CG61" i="1"/>
  <c r="CG167" i="1"/>
  <c r="CH282" i="1"/>
  <c r="CH284" i="1" s="1"/>
  <c r="CH239" i="1"/>
  <c r="CG162" i="1"/>
  <c r="CG239" i="1"/>
  <c r="CB282" i="1"/>
  <c r="CB162" i="1"/>
  <c r="CB201" i="1"/>
  <c r="CB239" i="1"/>
  <c r="CB120" i="1"/>
  <c r="CB281" i="1"/>
  <c r="CC282" i="1"/>
  <c r="CC239" i="1"/>
  <c r="CE239" i="1"/>
  <c r="CD282" i="1"/>
  <c r="CD162" i="1"/>
  <c r="CD201" i="1"/>
  <c r="CE282" i="1"/>
  <c r="BL215" i="1"/>
  <c r="BL190" i="1"/>
  <c r="CD215" i="1"/>
  <c r="CD190" i="1"/>
  <c r="CB215" i="1"/>
  <c r="CB190" i="1"/>
  <c r="CF215" i="1"/>
  <c r="CF190" i="1"/>
  <c r="CF198" i="1" s="1"/>
  <c r="BZ215" i="1"/>
  <c r="BZ190" i="1"/>
  <c r="BZ198" i="1" s="1"/>
  <c r="CE131" i="1"/>
  <c r="CE135" i="1"/>
  <c r="BZ47" i="1"/>
  <c r="BZ56" i="1"/>
  <c r="BZ31" i="1" s="1"/>
  <c r="BZ45" i="1"/>
  <c r="CA47" i="1"/>
  <c r="CG218" i="1"/>
  <c r="CH230" i="1"/>
  <c r="CG230" i="1"/>
  <c r="CJ46" i="1"/>
  <c r="CF45" i="1"/>
  <c r="CG47" i="1"/>
  <c r="CF46" i="1"/>
  <c r="BZ279" i="1"/>
  <c r="CF279" i="1"/>
  <c r="CF277" i="1"/>
  <c r="CF136" i="1"/>
  <c r="CF124" i="1"/>
  <c r="CG136" i="1"/>
  <c r="CG132" i="1"/>
  <c r="CG135" i="1"/>
  <c r="CG131" i="1"/>
  <c r="CF135" i="1"/>
  <c r="CF131" i="1"/>
  <c r="CG46" i="1"/>
  <c r="CC45" i="1"/>
  <c r="Y87" i="1"/>
  <c r="CC56" i="1"/>
  <c r="CD47" i="1"/>
  <c r="CC46" i="1"/>
  <c r="CD124" i="1"/>
  <c r="CD131" i="1"/>
  <c r="CE181" i="1"/>
  <c r="CD123" i="1"/>
  <c r="CE230" i="1"/>
  <c r="CG229" i="1"/>
  <c r="CD132" i="1"/>
  <c r="CF230" i="1"/>
  <c r="CA62" i="1"/>
  <c r="CA66" i="1" s="1"/>
  <c r="CA69" i="1" s="1"/>
  <c r="CA76" i="1" s="1"/>
  <c r="CA226" i="1" s="1"/>
  <c r="CA228" i="1" s="1"/>
  <c r="CA57" i="1"/>
  <c r="CE132" i="1"/>
  <c r="CG190" i="1"/>
  <c r="CH229" i="1"/>
  <c r="CD57" i="1"/>
  <c r="CB57" i="1"/>
  <c r="CB265" i="1"/>
  <c r="CB266" i="1" s="1"/>
  <c r="CB62" i="1"/>
  <c r="CB66" i="1" s="1"/>
  <c r="CB59" i="1"/>
  <c r="CB283" i="1"/>
  <c r="CD265" i="1"/>
  <c r="CD266" i="1" s="1"/>
  <c r="CD62" i="1"/>
  <c r="CD66" i="1" s="1"/>
  <c r="CD69" i="1" s="1"/>
  <c r="CD267" i="1" s="1"/>
  <c r="CF47" i="1"/>
  <c r="CE46" i="1"/>
  <c r="CI46" i="1"/>
  <c r="Z87" i="1"/>
  <c r="CE56" i="1"/>
  <c r="CE45" i="1"/>
  <c r="BY62" i="1"/>
  <c r="BY66" i="1" s="1"/>
  <c r="BY57" i="1"/>
  <c r="BL62" i="1"/>
  <c r="BL66" i="1" s="1"/>
  <c r="BL57" i="1"/>
  <c r="CV45" i="1"/>
  <c r="CY55" i="1"/>
  <c r="CZ55" i="1" s="1"/>
  <c r="CV157" i="1"/>
  <c r="AB183" i="1"/>
  <c r="A1" i="1"/>
  <c r="CJ58" i="1" l="1"/>
  <c r="CG59" i="1"/>
  <c r="CI140" i="1"/>
  <c r="CI146" i="1" s="1"/>
  <c r="CF57" i="1"/>
  <c r="CF62" i="1"/>
  <c r="CI259" i="1"/>
  <c r="CG283" i="1"/>
  <c r="CF265" i="1"/>
  <c r="CF266" i="1" s="1"/>
  <c r="CF58" i="1"/>
  <c r="AA88" i="1"/>
  <c r="CF31" i="1"/>
  <c r="CT68" i="1"/>
  <c r="CY212" i="1"/>
  <c r="CX218" i="1"/>
  <c r="CY216" i="1"/>
  <c r="CU215" i="1"/>
  <c r="CU219" i="1" s="1"/>
  <c r="CV214" i="1"/>
  <c r="CG284" i="1"/>
  <c r="CT235" i="1"/>
  <c r="CU173" i="1"/>
  <c r="CC62" i="1"/>
  <c r="CC66" i="1" s="1"/>
  <c r="CC69" i="1" s="1"/>
  <c r="CC31" i="1"/>
  <c r="CG259" i="1"/>
  <c r="CE31" i="1"/>
  <c r="CF199" i="1"/>
  <c r="AE17" i="1"/>
  <c r="AE20" i="1"/>
  <c r="AE26" i="1" s="1"/>
  <c r="CA171" i="1"/>
  <c r="CB61" i="1"/>
  <c r="CB198" i="1"/>
  <c r="CB199" i="1" s="1"/>
  <c r="CD198" i="1"/>
  <c r="CD199" i="1" s="1"/>
  <c r="CU158" i="1"/>
  <c r="CT161" i="1"/>
  <c r="CT282" i="1" s="1"/>
  <c r="CB279" i="1"/>
  <c r="CB277" i="1"/>
  <c r="CE171" i="1"/>
  <c r="CF61" i="1"/>
  <c r="CS239" i="1"/>
  <c r="CB284" i="1"/>
  <c r="CG238" i="1"/>
  <c r="BZ199" i="1"/>
  <c r="CD61" i="1"/>
  <c r="CC171" i="1"/>
  <c r="BZ137" i="1"/>
  <c r="CA65" i="1"/>
  <c r="CD277" i="1"/>
  <c r="CD279" i="1"/>
  <c r="CH238" i="1"/>
  <c r="CG122" i="1"/>
  <c r="CG124" i="1"/>
  <c r="CF137" i="1"/>
  <c r="CG65" i="1"/>
  <c r="CH61" i="1"/>
  <c r="CG171" i="1"/>
  <c r="CB137" i="1"/>
  <c r="CC65" i="1"/>
  <c r="CD137" i="1"/>
  <c r="CE65" i="1"/>
  <c r="CF214" i="1"/>
  <c r="CF219" i="1"/>
  <c r="CJ222" i="1" s="1"/>
  <c r="BL219" i="1"/>
  <c r="BL214" i="1"/>
  <c r="CD219" i="1"/>
  <c r="CD214" i="1"/>
  <c r="CB219" i="1"/>
  <c r="CB214" i="1"/>
  <c r="BZ214" i="1"/>
  <c r="BZ219" i="1"/>
  <c r="CG231" i="1"/>
  <c r="CG232" i="1" s="1"/>
  <c r="BZ57" i="1"/>
  <c r="BZ62" i="1"/>
  <c r="CA283" i="1"/>
  <c r="CA284" i="1" s="1"/>
  <c r="CA59" i="1"/>
  <c r="BZ265" i="1"/>
  <c r="BZ266" i="1" s="1"/>
  <c r="CD58" i="1"/>
  <c r="BZ59" i="1"/>
  <c r="BZ283" i="1"/>
  <c r="CB140" i="1"/>
  <c r="CB146" i="1" s="1"/>
  <c r="CH231" i="1"/>
  <c r="CH232" i="1" s="1"/>
  <c r="CD140" i="1"/>
  <c r="CD146" i="1" s="1"/>
  <c r="CC283" i="1"/>
  <c r="CC284" i="1" s="1"/>
  <c r="CE229" i="1"/>
  <c r="CE231" i="1" s="1"/>
  <c r="CE190" i="1"/>
  <c r="CG217" i="1"/>
  <c r="CG219" i="1"/>
  <c r="CC265" i="1"/>
  <c r="CC266" i="1" s="1"/>
  <c r="CG58" i="1"/>
  <c r="Y88" i="1"/>
  <c r="CC57" i="1"/>
  <c r="CC259" i="1"/>
  <c r="CD283" i="1"/>
  <c r="CD284" i="1" s="1"/>
  <c r="CC140" i="1"/>
  <c r="CC146" i="1" s="1"/>
  <c r="CD259" i="1"/>
  <c r="CC59" i="1"/>
  <c r="CD59" i="1"/>
  <c r="CC58" i="1"/>
  <c r="CE215" i="1"/>
  <c r="CF229" i="1"/>
  <c r="CF231" i="1" s="1"/>
  <c r="CA68" i="1"/>
  <c r="CA94" i="1"/>
  <c r="CA152" i="1"/>
  <c r="CA153" i="1" s="1"/>
  <c r="CA120" i="1" s="1"/>
  <c r="CH71" i="1"/>
  <c r="CD68" i="1"/>
  <c r="CA80" i="1"/>
  <c r="CA267" i="1"/>
  <c r="CA70" i="1"/>
  <c r="CA278" i="1" s="1"/>
  <c r="CD70" i="1"/>
  <c r="CD278" i="1" s="1"/>
  <c r="CF140" i="1"/>
  <c r="CF146" i="1" s="1"/>
  <c r="CD76" i="1"/>
  <c r="CD80" i="1" s="1"/>
  <c r="CE59" i="1"/>
  <c r="CE140" i="1"/>
  <c r="CE146" i="1" s="1"/>
  <c r="CE259" i="1"/>
  <c r="CB68" i="1"/>
  <c r="CB69" i="1"/>
  <c r="CE283" i="1"/>
  <c r="CE284" i="1" s="1"/>
  <c r="CF283" i="1"/>
  <c r="CF284" i="1" s="1"/>
  <c r="CE265" i="1"/>
  <c r="CE266" i="1" s="1"/>
  <c r="Z88" i="1"/>
  <c r="CE58" i="1"/>
  <c r="CH140" i="1"/>
  <c r="CH146" i="1" s="1"/>
  <c r="CE57" i="1"/>
  <c r="CG140" i="1"/>
  <c r="CG146" i="1" s="1"/>
  <c r="CE62" i="1"/>
  <c r="CH259" i="1"/>
  <c r="CF59" i="1"/>
  <c r="CI58" i="1"/>
  <c r="CF259" i="1"/>
  <c r="BL69" i="1"/>
  <c r="BL68" i="1"/>
  <c r="BY68" i="1"/>
  <c r="BY69" i="1"/>
  <c r="DA55" i="1"/>
  <c r="DB55" i="1" s="1"/>
  <c r="CW45" i="1"/>
  <c r="CX45" i="1" s="1"/>
  <c r="CW157" i="1"/>
  <c r="AC183" i="1"/>
  <c r="CF66" i="1" l="1"/>
  <c r="CI83" i="1"/>
  <c r="CU68" i="1"/>
  <c r="CV68" i="1"/>
  <c r="CW68" i="1"/>
  <c r="CZ212" i="1"/>
  <c r="CY218" i="1"/>
  <c r="CZ216" i="1"/>
  <c r="CV215" i="1"/>
  <c r="CV219" i="1" s="1"/>
  <c r="CW214" i="1"/>
  <c r="CV173" i="1"/>
  <c r="CU235" i="1"/>
  <c r="CC68" i="1"/>
  <c r="CD83" i="1"/>
  <c r="CD139" i="1"/>
  <c r="CD142" i="1" s="1"/>
  <c r="CD138" i="1"/>
  <c r="CD141" i="1" s="1"/>
  <c r="CA236" i="1"/>
  <c r="CA234" i="1" s="1"/>
  <c r="CB236" i="1"/>
  <c r="CB234" i="1" s="1"/>
  <c r="CE236" i="1"/>
  <c r="CE234" i="1" s="1"/>
  <c r="CF236" i="1"/>
  <c r="CF234" i="1" s="1"/>
  <c r="CH236" i="1"/>
  <c r="CH234" i="1" s="1"/>
  <c r="CH246" i="1" s="1"/>
  <c r="CG236" i="1"/>
  <c r="CG234" i="1" s="1"/>
  <c r="CV158" i="1"/>
  <c r="CU161" i="1"/>
  <c r="CU282" i="1" s="1"/>
  <c r="CT239" i="1"/>
  <c r="CD236" i="1"/>
  <c r="CD234" i="1" s="1"/>
  <c r="CC236" i="1"/>
  <c r="CC234" i="1" s="1"/>
  <c r="CF222" i="1"/>
  <c r="CF138" i="1"/>
  <c r="CF141" i="1" s="1"/>
  <c r="CF139" i="1"/>
  <c r="CF142" i="1" s="1"/>
  <c r="CM39" i="1"/>
  <c r="CD222" i="1"/>
  <c r="CH222" i="1"/>
  <c r="BZ66" i="1"/>
  <c r="CB83" i="1"/>
  <c r="CD260" i="1"/>
  <c r="CF69" i="1"/>
  <c r="CF68" i="1"/>
  <c r="CC71" i="1"/>
  <c r="CG71" i="1"/>
  <c r="CC267" i="1"/>
  <c r="CC76" i="1"/>
  <c r="CC70" i="1"/>
  <c r="CC278" i="1" s="1"/>
  <c r="CD72" i="1"/>
  <c r="CE214" i="1"/>
  <c r="CE219" i="1"/>
  <c r="CA240" i="1"/>
  <c r="CA238" i="1" s="1"/>
  <c r="CA162" i="1"/>
  <c r="CC72" i="1"/>
  <c r="CD226" i="1"/>
  <c r="CD228" i="1" s="1"/>
  <c r="Y89" i="1"/>
  <c r="CD94" i="1"/>
  <c r="CH141" i="1"/>
  <c r="CH142" i="1"/>
  <c r="CF83" i="1"/>
  <c r="CH83" i="1"/>
  <c r="CG83" i="1"/>
  <c r="CE66" i="1"/>
  <c r="CB76" i="1"/>
  <c r="CB72" i="1"/>
  <c r="CB267" i="1"/>
  <c r="CB70" i="1"/>
  <c r="CB278" i="1" s="1"/>
  <c r="BL76" i="1"/>
  <c r="BL70" i="1"/>
  <c r="BL278" i="1" s="1"/>
  <c r="CM92" i="1"/>
  <c r="CN92" i="1" s="1"/>
  <c r="CO92" i="1" s="1"/>
  <c r="CP92" i="1" s="1"/>
  <c r="CQ92" i="1" s="1"/>
  <c r="CR92" i="1" s="1"/>
  <c r="CS92" i="1" s="1"/>
  <c r="CT92" i="1" s="1"/>
  <c r="CU92" i="1" s="1"/>
  <c r="CV92" i="1" s="1"/>
  <c r="CW92" i="1" s="1"/>
  <c r="CX92" i="1" s="1"/>
  <c r="CY92" i="1" s="1"/>
  <c r="CZ92" i="1" s="1"/>
  <c r="DA92" i="1" s="1"/>
  <c r="DB92" i="1" s="1"/>
  <c r="BY70" i="1"/>
  <c r="BY278" i="1" s="1"/>
  <c r="BY76" i="1"/>
  <c r="CY45" i="1"/>
  <c r="CZ45" i="1" s="1"/>
  <c r="CX157" i="1"/>
  <c r="AE183" i="1"/>
  <c r="AD183" i="1"/>
  <c r="CX68" i="1" l="1"/>
  <c r="CF267" i="1"/>
  <c r="AA89" i="1"/>
  <c r="DA212" i="1"/>
  <c r="CZ218" i="1"/>
  <c r="DA216" i="1"/>
  <c r="CW215" i="1"/>
  <c r="CW219" i="1" s="1"/>
  <c r="CX214" i="1"/>
  <c r="CW173" i="1"/>
  <c r="CV235" i="1"/>
  <c r="CG246" i="1"/>
  <c r="CG243" i="1"/>
  <c r="CG193" i="1" s="1"/>
  <c r="CG194" i="1" s="1"/>
  <c r="CG244" i="1" s="1"/>
  <c r="CW158" i="1"/>
  <c r="CV161" i="1"/>
  <c r="CV282" i="1" s="1"/>
  <c r="CU239" i="1"/>
  <c r="CN39" i="1"/>
  <c r="CF71" i="1"/>
  <c r="CF70" i="1"/>
  <c r="CF278" i="1" s="1"/>
  <c r="BZ69" i="1"/>
  <c r="BZ68" i="1"/>
  <c r="CJ71" i="1"/>
  <c r="CG72" i="1"/>
  <c r="CI260" i="1"/>
  <c r="CF76" i="1"/>
  <c r="CD82" i="1"/>
  <c r="CC80" i="1"/>
  <c r="CC152" i="1"/>
  <c r="CC153" i="1" s="1"/>
  <c r="CC94" i="1"/>
  <c r="CC226" i="1"/>
  <c r="CC228" i="1" s="1"/>
  <c r="CB94" i="1"/>
  <c r="CB80" i="1"/>
  <c r="CB226" i="1"/>
  <c r="CB228" i="1" s="1"/>
  <c r="CB240" i="1"/>
  <c r="CB238" i="1" s="1"/>
  <c r="CE69" i="1"/>
  <c r="CE68" i="1"/>
  <c r="BY226" i="1"/>
  <c r="BY228" i="1" s="1"/>
  <c r="BY80" i="1"/>
  <c r="BY94" i="1"/>
  <c r="BL226" i="1"/>
  <c r="BL228" i="1" s="1"/>
  <c r="BL94" i="1"/>
  <c r="BL80" i="1"/>
  <c r="DA45" i="1"/>
  <c r="DB45" i="1" s="1"/>
  <c r="CY157" i="1"/>
  <c r="AB159" i="1"/>
  <c r="AB169" i="1"/>
  <c r="AB168" i="1"/>
  <c r="AB160" i="1"/>
  <c r="AB155" i="1"/>
  <c r="AB184" i="1"/>
  <c r="AB176" i="1"/>
  <c r="AB151" i="1"/>
  <c r="CY68" i="1" l="1"/>
  <c r="CZ68" i="1" s="1"/>
  <c r="DB212" i="1"/>
  <c r="DA218" i="1"/>
  <c r="DB216" i="1"/>
  <c r="DB218" i="1" s="1"/>
  <c r="CX215" i="1"/>
  <c r="CX219" i="1" s="1"/>
  <c r="CY214" i="1"/>
  <c r="CX173" i="1"/>
  <c r="CW235" i="1"/>
  <c r="CX158" i="1"/>
  <c r="CW161" i="1"/>
  <c r="CW282" i="1" s="1"/>
  <c r="CV239" i="1"/>
  <c r="CO39" i="1"/>
  <c r="CD97" i="1"/>
  <c r="CD114" i="1" s="1"/>
  <c r="BZ70" i="1"/>
  <c r="BZ278" i="1" s="1"/>
  <c r="BZ72" i="1"/>
  <c r="CC260" i="1"/>
  <c r="BZ76" i="1"/>
  <c r="CC82" i="1" s="1"/>
  <c r="BZ267" i="1"/>
  <c r="CD71" i="1"/>
  <c r="CA72" i="1"/>
  <c r="CG281" i="1"/>
  <c r="CH242" i="1"/>
  <c r="CH243" i="1" s="1"/>
  <c r="CH244" i="1" s="1"/>
  <c r="CG277" i="1"/>
  <c r="CG279" i="1"/>
  <c r="CG198" i="1"/>
  <c r="CG199" i="1" s="1"/>
  <c r="CG201" i="1"/>
  <c r="CF226" i="1"/>
  <c r="CF228" i="1" s="1"/>
  <c r="CF232" i="1" s="1"/>
  <c r="CF246" i="1" s="1"/>
  <c r="CF80" i="1"/>
  <c r="CF94" i="1"/>
  <c r="CI97" i="1" s="1"/>
  <c r="CI82" i="1"/>
  <c r="CC120" i="1"/>
  <c r="CC162" i="1"/>
  <c r="CC83" i="1" s="1"/>
  <c r="CC240" i="1"/>
  <c r="CC238" i="1" s="1"/>
  <c r="CD240" i="1"/>
  <c r="CD238" i="1" s="1"/>
  <c r="CG260" i="1"/>
  <c r="CI71" i="1"/>
  <c r="CH260" i="1"/>
  <c r="CE72" i="1"/>
  <c r="CE70" i="1"/>
  <c r="CE278" i="1" s="1"/>
  <c r="CE71" i="1"/>
  <c r="CF72" i="1"/>
  <c r="CE76" i="1"/>
  <c r="CF260" i="1"/>
  <c r="CE260" i="1"/>
  <c r="Z89" i="1"/>
  <c r="CE267" i="1"/>
  <c r="CZ157" i="1"/>
  <c r="AC169" i="1"/>
  <c r="AC159" i="1"/>
  <c r="AB197" i="1"/>
  <c r="AC155" i="1"/>
  <c r="AC184" i="1"/>
  <c r="AB180" i="1"/>
  <c r="AB187" i="1"/>
  <c r="AC176" i="1"/>
  <c r="AC160" i="1"/>
  <c r="AB188" i="1"/>
  <c r="AC151" i="1"/>
  <c r="AC168" i="1"/>
  <c r="DA68" i="1" l="1"/>
  <c r="DB68" i="1"/>
  <c r="CY215" i="1"/>
  <c r="CY219" i="1" s="1"/>
  <c r="CZ214" i="1"/>
  <c r="CY173" i="1"/>
  <c r="CX235" i="1"/>
  <c r="CY158" i="1"/>
  <c r="CX161" i="1"/>
  <c r="CX282" i="1" s="1"/>
  <c r="CW239" i="1"/>
  <c r="CP39" i="1"/>
  <c r="CQ39" i="1" s="1"/>
  <c r="CR39" i="1" s="1"/>
  <c r="CS39" i="1" s="1"/>
  <c r="CD113" i="1"/>
  <c r="CD115" i="1"/>
  <c r="CB82" i="1"/>
  <c r="BZ94" i="1"/>
  <c r="BZ80" i="1"/>
  <c r="BZ226" i="1"/>
  <c r="BZ228" i="1" s="1"/>
  <c r="CH65" i="1"/>
  <c r="CG137" i="1"/>
  <c r="CI115" i="1"/>
  <c r="CI113" i="1"/>
  <c r="CI114" i="1"/>
  <c r="CL118" i="1" s="1"/>
  <c r="CE80" i="1"/>
  <c r="CE152" i="1"/>
  <c r="CE153" i="1" s="1"/>
  <c r="CE82" i="1" s="1"/>
  <c r="CE226" i="1"/>
  <c r="CE228" i="1" s="1"/>
  <c r="CE232" i="1" s="1"/>
  <c r="CE246" i="1" s="1"/>
  <c r="CE94" i="1"/>
  <c r="CF82" i="1"/>
  <c r="CG82" i="1"/>
  <c r="CH82" i="1"/>
  <c r="DA157" i="1"/>
  <c r="AE169" i="1"/>
  <c r="AD169" i="1"/>
  <c r="AE159" i="1"/>
  <c r="AD159" i="1"/>
  <c r="AC197" i="1"/>
  <c r="AE184" i="1"/>
  <c r="AD184" i="1"/>
  <c r="AE176" i="1"/>
  <c r="AD176" i="1"/>
  <c r="AD151" i="1"/>
  <c r="AE151" i="1"/>
  <c r="AC187" i="1"/>
  <c r="AE160" i="1"/>
  <c r="AD160" i="1"/>
  <c r="AE168" i="1"/>
  <c r="AD168" i="1"/>
  <c r="AC188" i="1"/>
  <c r="AC180" i="1"/>
  <c r="AE155" i="1"/>
  <c r="AD155" i="1"/>
  <c r="CZ215" i="1" l="1"/>
  <c r="CZ219" i="1" s="1"/>
  <c r="DA214" i="1"/>
  <c r="CY235" i="1"/>
  <c r="CZ173" i="1"/>
  <c r="CZ158" i="1"/>
  <c r="CY161" i="1"/>
  <c r="CX239" i="1"/>
  <c r="CC97" i="1"/>
  <c r="CB97" i="1"/>
  <c r="CG139" i="1"/>
  <c r="CG142" i="1" s="1"/>
  <c r="CG138" i="1"/>
  <c r="CG141" i="1" s="1"/>
  <c r="CF97" i="1"/>
  <c r="CH97" i="1"/>
  <c r="CL98" i="1" s="1"/>
  <c r="CG97" i="1"/>
  <c r="CK98" i="1" s="1"/>
  <c r="CE97" i="1"/>
  <c r="CE120" i="1"/>
  <c r="CF240" i="1"/>
  <c r="CF238" i="1" s="1"/>
  <c r="CE162" i="1"/>
  <c r="CE83" i="1" s="1"/>
  <c r="CE240" i="1"/>
  <c r="CE238" i="1" s="1"/>
  <c r="CE243" i="1" s="1"/>
  <c r="CE193" i="1" s="1"/>
  <c r="CE194" i="1" s="1"/>
  <c r="CE198" i="1" s="1"/>
  <c r="CT39" i="1"/>
  <c r="DB157" i="1"/>
  <c r="AE197" i="1"/>
  <c r="AD197" i="1"/>
  <c r="AE187" i="1"/>
  <c r="AD187" i="1"/>
  <c r="AE188" i="1"/>
  <c r="AD188" i="1"/>
  <c r="AE180" i="1"/>
  <c r="AD180" i="1"/>
  <c r="BY264" i="1"/>
  <c r="DA215" i="1" l="1"/>
  <c r="DA219" i="1" s="1"/>
  <c r="DB214" i="1"/>
  <c r="DB215" i="1" s="1"/>
  <c r="DB219" i="1" s="1"/>
  <c r="CZ235" i="1"/>
  <c r="DA173" i="1"/>
  <c r="DA158" i="1"/>
  <c r="CZ161" i="1"/>
  <c r="CY282" i="1"/>
  <c r="CY239" i="1"/>
  <c r="CE122" i="1"/>
  <c r="CE123" i="1"/>
  <c r="CE124" i="1"/>
  <c r="CE277" i="1"/>
  <c r="CE113" i="1"/>
  <c r="CE114" i="1"/>
  <c r="CI98" i="1"/>
  <c r="CE115" i="1"/>
  <c r="CE281" i="1"/>
  <c r="CG98" i="1"/>
  <c r="CG113" i="1"/>
  <c r="CG115" i="1"/>
  <c r="CG114" i="1"/>
  <c r="CE201" i="1"/>
  <c r="CE137" i="1" s="1"/>
  <c r="CE139" i="1" s="1"/>
  <c r="CE142" i="1" s="1"/>
  <c r="CF242" i="1"/>
  <c r="CF243" i="1" s="1"/>
  <c r="CF244" i="1" s="1"/>
  <c r="CE279" i="1"/>
  <c r="CH98" i="1"/>
  <c r="CH114" i="1"/>
  <c r="CK118" i="1" s="1"/>
  <c r="CH113" i="1"/>
  <c r="CH115" i="1"/>
  <c r="CE244" i="1"/>
  <c r="CF98" i="1"/>
  <c r="CJ98" i="1"/>
  <c r="CF115" i="1"/>
  <c r="CF113" i="1"/>
  <c r="CF114" i="1"/>
  <c r="CU39" i="1"/>
  <c r="CV39" i="1" s="1"/>
  <c r="CE199" i="1"/>
  <c r="AB48" i="1"/>
  <c r="DB173" i="1" l="1"/>
  <c r="DB235" i="1" s="1"/>
  <c r="DA235" i="1"/>
  <c r="CZ282" i="1"/>
  <c r="CZ239" i="1"/>
  <c r="DB158" i="1"/>
  <c r="DB161" i="1" s="1"/>
  <c r="DA161" i="1"/>
  <c r="CJ118" i="1"/>
  <c r="CH118" i="1"/>
  <c r="CF65" i="1"/>
  <c r="CI118" i="1"/>
  <c r="CG118" i="1"/>
  <c r="CW39" i="1"/>
  <c r="CE138" i="1"/>
  <c r="CE141" i="1" s="1"/>
  <c r="AC48" i="1"/>
  <c r="BY265" i="1"/>
  <c r="BY266" i="1" s="1"/>
  <c r="DB239" i="1" l="1"/>
  <c r="DB282" i="1"/>
  <c r="DA282" i="1"/>
  <c r="DA239" i="1"/>
  <c r="CX39" i="1"/>
  <c r="CY39" i="1" s="1"/>
  <c r="CZ39" i="1" s="1"/>
  <c r="AD48" i="1"/>
  <c r="BY267" i="1"/>
  <c r="DA39" i="1" l="1"/>
  <c r="DB39" i="1" s="1"/>
  <c r="AE48" i="1"/>
  <c r="BI93" i="1" l="1"/>
  <c r="AT93" i="1"/>
  <c r="BT93" i="1"/>
  <c r="AV93" i="1"/>
  <c r="AX93" i="1"/>
  <c r="AR93" i="1"/>
  <c r="AO93" i="1" l="1"/>
  <c r="BK93" i="1"/>
  <c r="AN93" i="1"/>
  <c r="AW93" i="1"/>
  <c r="BB93" i="1"/>
  <c r="BM93" i="1"/>
  <c r="BQ93" i="1"/>
  <c r="AJ93" i="1"/>
  <c r="BS93" i="1"/>
  <c r="BR93" i="1"/>
  <c r="BO93" i="1"/>
  <c r="AM93" i="1"/>
  <c r="AI93" i="1"/>
  <c r="AP93" i="1"/>
  <c r="AZ93" i="1"/>
  <c r="AS93" i="1"/>
  <c r="BN93" i="1"/>
  <c r="BU93" i="1"/>
  <c r="BA93" i="1"/>
  <c r="BC93" i="1"/>
  <c r="AU93" i="1"/>
  <c r="BW93" i="1"/>
  <c r="BP93" i="1"/>
  <c r="BJ93" i="1"/>
  <c r="BH93" i="1"/>
  <c r="BX93" i="1"/>
  <c r="BG93" i="1"/>
  <c r="AQ93" i="1"/>
  <c r="AY93" i="1"/>
  <c r="AK93" i="1"/>
  <c r="BE93" i="1"/>
  <c r="BD93" i="1"/>
  <c r="BV93" i="1"/>
  <c r="BF93" i="1"/>
  <c r="BL264" i="1" l="1"/>
  <c r="AB173" i="1" l="1"/>
  <c r="CN105" i="1" l="1"/>
  <c r="AB235" i="1"/>
  <c r="CO105" i="1" l="1"/>
  <c r="CM91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K9" i="2"/>
  <c r="N21" i="2"/>
  <c r="J16" i="2"/>
  <c r="N8" i="2"/>
  <c r="M21" i="2"/>
  <c r="J34" i="2"/>
  <c r="E9" i="3"/>
  <c r="F20" i="3"/>
  <c r="AD15" i="3"/>
  <c r="D12" i="3"/>
  <c r="AB45" i="3"/>
  <c r="AD8" i="3"/>
  <c r="Z45" i="3"/>
  <c r="F24" i="3"/>
  <c r="AR39" i="3"/>
  <c r="E12" i="3"/>
  <c r="Y46" i="3"/>
  <c r="K45" i="3"/>
  <c r="EH5" i="4" a="1"/>
  <c r="AF7" i="4" a="1"/>
  <c r="BU6" i="4" a="1"/>
  <c r="AK9" i="4" a="1"/>
  <c r="DG12" i="4" a="1"/>
  <c r="DL15" i="4" a="1"/>
  <c r="CZ12" i="4" a="1"/>
  <c r="BQ7" i="4" a="1"/>
  <c r="C9" i="4" a="1"/>
  <c r="CQ14" i="4" a="1"/>
  <c r="DM12" i="4" a="1"/>
  <c r="AH8" i="4" a="1"/>
  <c r="DM15" i="4" a="1"/>
  <c r="AE6" i="4" a="1"/>
  <c r="AG15" i="4" a="1"/>
  <c r="AQ13" i="4" a="1"/>
  <c r="CV6" i="4" a="1"/>
  <c r="BR5" i="4" a="1"/>
  <c r="AG9" i="4" a="1"/>
  <c r="X15" i="4" a="1"/>
  <c r="AD5" i="4" a="1"/>
  <c r="C7" i="4" a="1"/>
  <c r="ED9" i="4" a="1"/>
  <c r="CP13" i="4" a="1"/>
  <c r="BS12" i="4" a="1"/>
  <c r="U9" i="4" a="1"/>
  <c r="EA8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N7" i="2"/>
  <c r="Q36" i="2"/>
  <c r="F32" i="2"/>
  <c r="AR79" i="3"/>
  <c r="D14" i="2"/>
  <c r="AR82" i="3"/>
  <c r="AR19" i="3"/>
  <c r="D24" i="3"/>
  <c r="D26" i="3"/>
  <c r="AD13" i="3"/>
  <c r="D30" i="3"/>
  <c r="F13" i="3"/>
  <c r="G18" i="3"/>
  <c r="F34" i="3"/>
  <c r="M45" i="3"/>
  <c r="V22" i="2"/>
  <c r="AR49" i="3"/>
  <c r="C23" i="2"/>
  <c r="P12" i="2"/>
  <c r="H5" i="2"/>
  <c r="AR77" i="3"/>
  <c r="F39" i="3"/>
  <c r="D36" i="3"/>
  <c r="T46" i="3"/>
  <c r="AN45" i="3"/>
  <c r="D39" i="3"/>
  <c r="F31" i="3"/>
  <c r="G6" i="3"/>
  <c r="P46" i="3"/>
  <c r="F9" i="3"/>
  <c r="AR26" i="3"/>
  <c r="G20" i="3"/>
  <c r="D46" i="3"/>
  <c r="R16" i="4" a="1"/>
  <c r="DA11" i="4" a="1"/>
  <c r="Y5" i="4" a="1"/>
  <c r="BV14" i="4" a="1"/>
  <c r="DK7" i="4" a="1"/>
  <c r="DV5" i="4" a="1"/>
  <c r="DG8" i="4" a="1"/>
  <c r="BZ8" i="4" a="1"/>
  <c r="CX14" i="4" a="1"/>
  <c r="EG14" i="4" a="1"/>
  <c r="AK14" i="4" a="1"/>
  <c r="BZ5" i="4" a="1"/>
  <c r="BE12" i="4" a="1"/>
  <c r="X7" i="4" a="1"/>
  <c r="CV9" i="4" a="1"/>
  <c r="CO9" i="4" a="1"/>
  <c r="T14" i="2"/>
  <c r="J5" i="2"/>
  <c r="K19" i="2"/>
  <c r="K14" i="2"/>
  <c r="I13" i="2"/>
  <c r="AR81" i="3"/>
  <c r="W45" i="3"/>
  <c r="E28" i="3"/>
  <c r="D34" i="3"/>
  <c r="F42" i="3"/>
  <c r="G45" i="3"/>
  <c r="AD14" i="3"/>
  <c r="AP46" i="3"/>
  <c r="G10" i="3"/>
  <c r="AO6" i="3"/>
  <c r="E7" i="3"/>
  <c r="Q46" i="3"/>
  <c r="I45" i="3"/>
  <c r="F11" i="4" a="1"/>
  <c r="BY7" i="4" a="1"/>
  <c r="Z8" i="4" a="1"/>
  <c r="DH14" i="4" a="1"/>
  <c r="CB7" i="4" a="1"/>
  <c r="D8" i="4" a="1"/>
  <c r="AK8" i="4" a="1"/>
  <c r="I14" i="4" a="1"/>
  <c r="CD5" i="4" a="1"/>
  <c r="DQ16" i="4" a="1"/>
  <c r="BG8" i="4" a="1"/>
  <c r="BA5" i="4" a="1"/>
  <c r="M7" i="4" a="1"/>
  <c r="DF7" i="4" a="1"/>
  <c r="BS7" i="4" a="1"/>
  <c r="DL6" i="4" a="1"/>
  <c r="CZ15" i="4" a="1"/>
  <c r="DE15" i="4" a="1"/>
  <c r="BI6" i="4" a="1"/>
  <c r="CW7" i="4" a="1"/>
  <c r="DX13" i="4" a="1"/>
  <c r="X8" i="4" a="1"/>
  <c r="CN7" i="4" a="1"/>
  <c r="BI7" i="4" a="1"/>
  <c r="DF11" i="4" a="1"/>
  <c r="Q5" i="4" a="1"/>
  <c r="Y6" i="4" a="1"/>
  <c r="D15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I22" i="2"/>
  <c r="P18" i="2"/>
  <c r="M31" i="2"/>
  <c r="P21" i="2"/>
  <c r="F15" i="2"/>
  <c r="V15" i="2"/>
  <c r="AR22" i="3"/>
  <c r="AD17" i="3"/>
  <c r="E18" i="3"/>
  <c r="AR42" i="3"/>
  <c r="AH46" i="3"/>
  <c r="AG46" i="3"/>
  <c r="AL45" i="3"/>
  <c r="E36" i="3"/>
  <c r="AJ45" i="3"/>
  <c r="F30" i="3"/>
  <c r="D18" i="3"/>
  <c r="G22" i="3"/>
  <c r="BO14" i="4" a="1"/>
  <c r="DL9" i="4" a="1"/>
  <c r="BK8" i="4" a="1"/>
  <c r="AV9" i="4" a="1"/>
  <c r="AN7" i="4" a="1"/>
  <c r="S11" i="4" a="1"/>
  <c r="BH5" i="4" a="1"/>
  <c r="DS12" i="4" a="1"/>
  <c r="AF16" i="4" a="1"/>
  <c r="BB13" i="4" a="1"/>
  <c r="DI14" i="4" a="1"/>
  <c r="EE14" i="4" a="1"/>
  <c r="BM15" i="4" a="1"/>
  <c r="CX6" i="4" a="1"/>
  <c r="DO12" i="4" a="1"/>
  <c r="I11" i="4" a="1"/>
  <c r="P16" i="4" a="1"/>
  <c r="AV16" i="4" a="1"/>
  <c r="BY5" i="4" a="1"/>
  <c r="DX6" i="4" a="1"/>
  <c r="BI16" i="4" a="1"/>
  <c r="DL11" i="4" a="1"/>
  <c r="AF8" i="4" a="1"/>
  <c r="BO5" i="4" a="1"/>
  <c r="DK13" i="4" a="1"/>
  <c r="AI8" i="4" a="1"/>
  <c r="CM7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N6" i="2"/>
  <c r="U28" i="2"/>
  <c r="R7" i="2"/>
  <c r="X35" i="2"/>
  <c r="H25" i="2"/>
  <c r="E45" i="2"/>
  <c r="F17" i="3"/>
  <c r="D16" i="3"/>
  <c r="I46" i="3"/>
  <c r="D21" i="3"/>
  <c r="D10" i="3"/>
  <c r="O45" i="3"/>
  <c r="AR46" i="3"/>
  <c r="G13" i="3"/>
  <c r="AR14" i="3"/>
  <c r="E46" i="3"/>
  <c r="AB46" i="3"/>
  <c r="D28" i="3"/>
  <c r="CI14" i="4" a="1"/>
  <c r="BF11" i="4" a="1"/>
  <c r="AK11" i="4" a="1"/>
  <c r="CF16" i="4" a="1"/>
  <c r="AI14" i="4" a="1"/>
  <c r="BX8" i="4" a="1"/>
  <c r="AD8" i="4" a="1"/>
  <c r="BP7" i="4" a="1"/>
  <c r="Q12" i="4" a="1"/>
  <c r="DH15" i="4" a="1"/>
  <c r="CG12" i="4" a="1"/>
  <c r="CA15" i="4" a="1"/>
  <c r="CY16" i="4" a="1"/>
  <c r="BK6" i="4" a="1"/>
  <c r="AA12" i="4" a="1"/>
  <c r="DI8" i="4" a="1"/>
  <c r="BH6" i="4" a="1"/>
  <c r="DE12" i="4" a="1"/>
  <c r="AM5" i="4" a="1"/>
  <c r="AF9" i="4" a="1"/>
  <c r="F16" i="4" a="1"/>
  <c r="AY9" i="4" a="1"/>
  <c r="CM13" i="4" a="1"/>
  <c r="DQ11" i="4" a="1"/>
  <c r="DG5" i="4" a="1"/>
  <c r="DP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W15" i="2"/>
  <c r="V17" i="2"/>
  <c r="AR48" i="3"/>
  <c r="W34" i="2"/>
  <c r="K15" i="2"/>
  <c r="G13" i="2"/>
  <c r="D37" i="3"/>
  <c r="E41" i="3"/>
  <c r="E32" i="3"/>
  <c r="G46" i="3"/>
  <c r="AR17" i="3"/>
  <c r="F6" i="3"/>
  <c r="M46" i="3"/>
  <c r="E24" i="3"/>
  <c r="E16" i="3"/>
  <c r="D20" i="3"/>
  <c r="E27" i="3"/>
  <c r="AK45" i="3"/>
  <c r="DO5" i="4" a="1"/>
  <c r="CY15" i="4" a="1"/>
  <c r="CC11" i="4" a="1"/>
  <c r="BJ12" i="4" a="1"/>
  <c r="BW11" i="4" a="1"/>
  <c r="DU7" i="4" a="1"/>
  <c r="AN8" i="4" a="1"/>
  <c r="AJ14" i="4" a="1"/>
  <c r="BG5" i="4" a="1"/>
  <c r="CT14" i="4" a="1"/>
  <c r="EK5" i="4" a="1"/>
  <c r="CQ13" i="4" a="1"/>
  <c r="ED14" i="4" a="1"/>
  <c r="CN8" i="4" a="1"/>
  <c r="CJ5" i="4" a="1"/>
  <c r="DC7" i="4" a="1"/>
  <c r="AO5" i="4" a="1"/>
  <c r="DG11" i="4" a="1"/>
  <c r="AY7" i="4" a="1"/>
  <c r="DQ9" i="4" a="1"/>
  <c r="AK6" i="4" a="1"/>
  <c r="BL8" i="4" a="1"/>
  <c r="EK8" i="4" a="1"/>
  <c r="DN12" i="4" a="1"/>
  <c r="EE11" i="4" a="1"/>
  <c r="CE5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C18" i="2"/>
  <c r="U33" i="2"/>
  <c r="AR75" i="3"/>
  <c r="C11" i="2"/>
  <c r="U9" i="2"/>
  <c r="AR78" i="3"/>
  <c r="S46" i="3"/>
  <c r="G5" i="3"/>
  <c r="AD18" i="3"/>
  <c r="AR11" i="3"/>
  <c r="AR25" i="3"/>
  <c r="E33" i="3"/>
  <c r="U26" i="2"/>
  <c r="H14" i="2"/>
  <c r="AR58" i="3"/>
  <c r="N20" i="2"/>
  <c r="J30" i="2"/>
  <c r="AG45" i="3"/>
  <c r="F36" i="3"/>
  <c r="AR9" i="3"/>
  <c r="AP45" i="3"/>
  <c r="AR40" i="3"/>
  <c r="V46" i="3"/>
  <c r="Q45" i="3"/>
  <c r="AR45" i="3"/>
  <c r="E31" i="3"/>
  <c r="AR31" i="3"/>
  <c r="AH45" i="3"/>
  <c r="AR23" i="3"/>
  <c r="R45" i="3"/>
  <c r="X13" i="4" a="1"/>
  <c r="DM5" i="4" a="1"/>
  <c r="F12" i="4" a="1"/>
  <c r="CF7" i="4" a="1"/>
  <c r="BU12" i="4" a="1"/>
  <c r="DT12" i="4" a="1"/>
  <c r="DB14" i="4" a="1"/>
  <c r="DP14" i="4" a="1"/>
  <c r="CO6" i="4" a="1"/>
  <c r="CB13" i="4" a="1"/>
  <c r="DG15" i="4" a="1"/>
  <c r="EG16" i="4" a="1"/>
  <c r="R14" i="4" a="1"/>
  <c r="AC14" i="4" a="1"/>
  <c r="BH12" i="4" a="1"/>
  <c r="R11" i="4" a="1"/>
  <c r="CH7" i="4" a="1"/>
  <c r="O7" i="4" a="1"/>
  <c r="AC12" i="4" a="1"/>
  <c r="BZ9" i="4" a="1"/>
  <c r="BQ9" i="4" a="1"/>
  <c r="BE7" i="4" a="1"/>
  <c r="BC5" i="4" a="1"/>
  <c r="BE6" i="4" a="1"/>
  <c r="BY15" i="4" a="1"/>
  <c r="AZ8" i="4" a="1"/>
  <c r="DS6" i="4" a="1"/>
  <c r="BB16" i="4" a="1"/>
  <c r="EG6" i="4" a="1"/>
  <c r="BG12" i="4" a="1"/>
  <c r="T12" i="4" a="1"/>
  <c r="BA7" i="4" a="1"/>
  <c r="AY11" i="4" a="1"/>
  <c r="T6" i="2"/>
  <c r="R19" i="2"/>
  <c r="AR83" i="3"/>
  <c r="N32" i="2"/>
  <c r="J17" i="2"/>
  <c r="J23" i="2"/>
  <c r="F22" i="2"/>
  <c r="C13" i="2"/>
  <c r="U31" i="2"/>
  <c r="G17" i="3"/>
  <c r="AI46" i="3"/>
  <c r="E39" i="3"/>
  <c r="D40" i="3"/>
  <c r="T45" i="3"/>
  <c r="C46" i="3"/>
  <c r="D9" i="3"/>
  <c r="AD7" i="3"/>
  <c r="AD9" i="3"/>
  <c r="F5" i="3"/>
  <c r="D25" i="3"/>
  <c r="D14" i="3"/>
  <c r="F28" i="3"/>
  <c r="EJ14" i="4" a="1"/>
  <c r="EC15" i="4" a="1"/>
  <c r="AG7" i="4" a="1"/>
  <c r="J16" i="4" a="1"/>
  <c r="BI13" i="4" a="1"/>
  <c r="BF7" i="4" a="1"/>
  <c r="CG16" i="4" a="1"/>
  <c r="AB13" i="4" a="1"/>
  <c r="CF9" i="4" a="1"/>
  <c r="S15" i="4" a="1"/>
  <c r="EG5" i="4" a="1"/>
  <c r="EA5" i="4" a="1"/>
  <c r="AD11" i="4" a="1"/>
  <c r="BT13" i="4" a="1"/>
  <c r="V12" i="4" a="1"/>
  <c r="AE7" i="4" a="1"/>
  <c r="DY8" i="4" a="1"/>
  <c r="CK14" i="4" a="1"/>
  <c r="CX15" i="4" a="1"/>
  <c r="CI13" i="4" a="1"/>
  <c r="CU9" i="4" a="1"/>
  <c r="DZ12" i="4" a="1"/>
  <c r="DF13" i="4" a="1"/>
  <c r="EI6" i="4" a="1"/>
  <c r="DG16" i="4" a="1"/>
  <c r="DU5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H10" i="2"/>
  <c r="AI45" i="3"/>
  <c r="F37" i="3"/>
  <c r="F40" i="3"/>
  <c r="BN7" i="4" a="1"/>
  <c r="E14" i="4" a="1"/>
  <c r="DY11" i="4" a="1"/>
  <c r="CT8" i="4" a="1"/>
  <c r="DQ13" i="4" a="1"/>
  <c r="CJ9" i="4" a="1"/>
  <c r="BI5" i="4" a="1"/>
  <c r="BH14" i="4" a="1"/>
  <c r="AK5" i="4" a="1"/>
  <c r="EH15" i="4" a="1"/>
  <c r="Y15" i="4" a="1"/>
  <c r="D11" i="2"/>
  <c r="AE45" i="3"/>
  <c r="N46" i="3"/>
  <c r="D41" i="3"/>
  <c r="Y16" i="4" a="1"/>
  <c r="EG12" i="4" a="1"/>
  <c r="BV13" i="4" a="1"/>
  <c r="BN16" i="4" a="1"/>
  <c r="M5" i="4" a="1"/>
  <c r="AQ15" i="4" a="1"/>
  <c r="C8" i="4" a="1"/>
  <c r="CF14" i="4" a="1"/>
  <c r="T8" i="4" a="1"/>
  <c r="BU13" i="4" a="1"/>
  <c r="BK11" i="4" a="1"/>
  <c r="K16" i="4" a="1"/>
  <c r="DL5" i="4" a="1"/>
  <c r="AZ6" i="4" a="1"/>
  <c r="DS5" i="4" a="1"/>
  <c r="BH16" i="4" a="1"/>
  <c r="N12" i="4" a="1"/>
  <c r="BD11" i="4" a="1"/>
  <c r="CS5" i="4" a="1"/>
  <c r="DN6" i="4" a="1"/>
  <c r="CJ12" i="4" a="1"/>
  <c r="DD12" i="4" a="1"/>
  <c r="BN9" i="4" a="1"/>
  <c r="T9" i="4" a="1"/>
  <c r="N7" i="4" a="1"/>
  <c r="CF13" i="4" a="1"/>
  <c r="AV5" i="4" a="1"/>
  <c r="I12" i="4" a="1"/>
  <c r="ED5" i="4" a="1"/>
  <c r="BX13" i="4" a="1"/>
  <c r="DO11" i="4" a="1"/>
  <c r="BL11" i="4" a="1"/>
  <c r="DA13" i="4" a="1"/>
  <c r="CV7" i="4" a="1"/>
  <c r="CL15" i="4" a="1"/>
  <c r="DT5" i="4" a="1"/>
  <c r="CD7" i="4" a="1"/>
  <c r="U7" i="4" a="1"/>
  <c r="CV11" i="4" a="1"/>
  <c r="CX8" i="4" a="1"/>
  <c r="CP6" i="4" a="1"/>
  <c r="DJ5" i="4" a="1"/>
  <c r="AY8" i="4" a="1"/>
  <c r="BR8" i="4" a="1"/>
  <c r="CR11" i="4" a="1"/>
  <c r="O14" i="4" a="1"/>
  <c r="CP16" i="4" a="1"/>
  <c r="BU11" i="4" a="1"/>
  <c r="DY9" i="4" a="1"/>
  <c r="DH16" i="4" a="1"/>
  <c r="AG5" i="4" a="1"/>
  <c r="AT11" i="4" a="1"/>
  <c r="CC15" i="4" a="1"/>
  <c r="DV9" i="4" a="1"/>
  <c r="AO6" i="4" a="1"/>
  <c r="DA15" i="4" a="1"/>
  <c r="I6" i="4" a="1"/>
  <c r="DK12" i="4" a="1"/>
  <c r="CZ6" i="4" a="1"/>
  <c r="AO15" i="4" a="1"/>
  <c r="CJ15" i="4" a="1"/>
  <c r="AJ15" i="4" a="1"/>
  <c r="DN11" i="4" a="1"/>
  <c r="S6" i="4" a="1"/>
  <c r="DD16" i="4" a="1"/>
  <c r="DO7" i="4" a="1"/>
  <c r="DM7" i="4" a="1"/>
  <c r="AS12" i="4" a="1"/>
  <c r="DT8" i="4" a="1"/>
  <c r="CV8" i="4" a="1"/>
  <c r="AQ11" i="4" a="1"/>
  <c r="CZ14" i="4" a="1"/>
  <c r="H13" i="4" a="1"/>
  <c r="EK11" i="4" a="1"/>
  <c r="BO6" i="4" a="1"/>
  <c r="AC7" i="4" a="1"/>
  <c r="AI12" i="4" a="1"/>
  <c r="AV13" i="4" a="1"/>
  <c r="AJ6" i="4" a="1"/>
  <c r="CH9" i="4" a="1"/>
  <c r="D5" i="4" a="1"/>
  <c r="AH14" i="4" a="1"/>
  <c r="V11" i="4" a="1"/>
  <c r="CP7" i="4" a="1"/>
  <c r="AA8" i="4" a="1"/>
  <c r="DF9" i="4" a="1"/>
  <c r="DB6" i="4" a="1"/>
  <c r="CZ5" i="4" a="1"/>
  <c r="BD16" i="4" a="1"/>
  <c r="EC13" i="4" a="1"/>
  <c r="J15" i="4" a="1"/>
  <c r="AW9" i="4" a="1"/>
  <c r="Y14" i="4" a="1"/>
  <c r="CE14" i="4" a="1"/>
  <c r="CJ7" i="4" a="1"/>
  <c r="BJ13" i="4" a="1"/>
  <c r="AU8" i="4" a="1"/>
  <c r="EI11" i="4" a="1"/>
  <c r="AL9" i="4" a="1"/>
  <c r="AF14" i="4" a="1"/>
  <c r="BY6" i="4" a="1"/>
  <c r="BC6" i="4" a="1"/>
  <c r="AT12" i="4" a="1"/>
  <c r="EJ9" i="4" a="1"/>
  <c r="W16" i="4" a="1"/>
  <c r="BI8" i="4" a="1"/>
  <c r="DH11" i="4" a="1"/>
  <c r="CG15" i="4" a="1"/>
  <c r="U13" i="4" a="1"/>
  <c r="DW16" i="4" a="1"/>
  <c r="DS14" i="4" a="1"/>
  <c r="AR91" i="3"/>
  <c r="R46" i="3"/>
  <c r="AO45" i="3"/>
  <c r="F41" i="3"/>
  <c r="J8" i="4" a="1"/>
  <c r="AC11" i="4" a="1"/>
  <c r="BC12" i="4" a="1"/>
  <c r="R13" i="4" a="1"/>
  <c r="CS8" i="4" a="1"/>
  <c r="CV12" i="4" a="1"/>
  <c r="CU8" i="4" a="1"/>
  <c r="BD5" i="4" a="1"/>
  <c r="V5" i="4" a="1"/>
  <c r="AU13" i="4" a="1"/>
  <c r="AM6" i="4" a="1"/>
  <c r="EJ12" i="4" a="1"/>
  <c r="DJ6" i="4" a="1"/>
  <c r="L6" i="4" a="1"/>
  <c r="BE5" i="4" a="1"/>
  <c r="DH6" i="4" a="1"/>
  <c r="AN13" i="4" a="1"/>
  <c r="E9" i="4" a="1"/>
  <c r="Y12" i="4" a="1"/>
  <c r="AX15" i="4" a="1"/>
  <c r="CP9" i="4" a="1"/>
  <c r="DF14" i="4" a="1"/>
  <c r="BC13" i="4" a="1"/>
  <c r="AB6" i="4" a="1"/>
  <c r="AJ7" i="4" a="1"/>
  <c r="BO9" i="4" a="1"/>
  <c r="AE11" i="4" a="1"/>
  <c r="CO15" i="4" a="1"/>
  <c r="DA12" i="4" a="1"/>
  <c r="DJ9" i="4" a="1"/>
  <c r="K6" i="4" a="1"/>
  <c r="AN12" i="4" a="1"/>
  <c r="CD14" i="4" a="1"/>
  <c r="E13" i="4" a="1"/>
  <c r="AD6" i="4" a="1"/>
  <c r="CV15" i="4" a="1"/>
  <c r="S7" i="4" a="1"/>
  <c r="CH5" i="4" a="1"/>
  <c r="DU9" i="4" a="1"/>
  <c r="H16" i="4" a="1"/>
  <c r="N15" i="4" a="1"/>
  <c r="BT12" i="4" a="1"/>
  <c r="CN6" i="4" a="1"/>
  <c r="AD13" i="4" a="1"/>
  <c r="ED8" i="4" a="1"/>
  <c r="AU9" i="4" a="1"/>
  <c r="BO7" i="4" a="1"/>
  <c r="CU12" i="4" a="1"/>
  <c r="DW11" i="4" a="1"/>
  <c r="CV16" i="4" a="1"/>
  <c r="J11" i="4" a="1"/>
  <c r="H7" i="4" a="1"/>
  <c r="CU15" i="4" a="1"/>
  <c r="Z12" i="4" a="1"/>
  <c r="AB8" i="4" a="1"/>
  <c r="AF15" i="4" a="1"/>
  <c r="K27" i="2"/>
  <c r="E21" i="3"/>
  <c r="AR8" i="3"/>
  <c r="F38" i="3"/>
  <c r="BL13" i="4" a="1"/>
  <c r="CR8" i="4" a="1"/>
  <c r="DP9" i="4" a="1"/>
  <c r="DN9" i="4" a="1"/>
  <c r="DY16" i="4" a="1"/>
  <c r="CU6" i="4" a="1"/>
  <c r="W13" i="4" a="1"/>
  <c r="DP11" i="4" a="1"/>
  <c r="AP15" i="4" a="1"/>
  <c r="DJ14" i="4" a="1"/>
  <c r="BS15" i="4" a="1"/>
  <c r="CP8" i="4" a="1"/>
  <c r="V16" i="4" a="1"/>
  <c r="Z5" i="4" a="1"/>
  <c r="EH13" i="4" a="1"/>
  <c r="BT16" i="4" a="1"/>
  <c r="AZ12" i="4" a="1"/>
  <c r="EG7" i="4" a="1"/>
  <c r="AO9" i="4" a="1"/>
  <c r="BM9" i="4" a="1"/>
  <c r="CQ11" i="4" a="1"/>
  <c r="DC14" i="4" a="1"/>
  <c r="AS13" i="4" a="1"/>
  <c r="DX12" i="4" a="1"/>
  <c r="DO8" i="4" a="1"/>
  <c r="EK16" i="4" a="1"/>
  <c r="DP6" i="4" a="1"/>
  <c r="AL7" i="4" a="1"/>
  <c r="AP14" i="4" a="1"/>
  <c r="BL15" i="4" a="1"/>
  <c r="O5" i="4" a="1"/>
  <c r="Q7" i="4" a="1"/>
  <c r="H9" i="4" a="1"/>
  <c r="AO16" i="4" a="1"/>
  <c r="BE16" i="4" a="1"/>
  <c r="DB11" i="4" a="1"/>
  <c r="CG13" i="4" a="1"/>
  <c r="EB9" i="4" a="1"/>
  <c r="BK16" i="4" a="1"/>
  <c r="DS11" i="4" a="1"/>
  <c r="U32" i="2"/>
  <c r="D11" i="3"/>
  <c r="F16" i="3"/>
  <c r="AR16" i="3"/>
  <c r="EJ5" i="4" a="1"/>
  <c r="AG12" i="4" a="1"/>
  <c r="BW15" i="4" a="1"/>
  <c r="AB11" i="4" a="1"/>
  <c r="DZ16" i="4" a="1"/>
  <c r="CC8" i="4" a="1"/>
  <c r="AX6" i="4" a="1"/>
  <c r="AB9" i="4" a="1"/>
  <c r="G12" i="4" a="1"/>
  <c r="CA9" i="4" a="1"/>
  <c r="CT7" i="4" a="1"/>
  <c r="BA6" i="4" a="1"/>
  <c r="AK12" i="4" a="1"/>
  <c r="DO9" i="4" a="1"/>
  <c r="AR8" i="4" a="1"/>
  <c r="DP8" i="4" a="1"/>
  <c r="AB15" i="4" a="1"/>
  <c r="AS9" i="4" a="1"/>
  <c r="EC9" i="4" a="1"/>
  <c r="BI14" i="4" a="1"/>
  <c r="AO7" i="4" a="1"/>
  <c r="BG15" i="4" a="1"/>
  <c r="CR6" i="4" a="1"/>
  <c r="R8" i="4" a="1"/>
  <c r="C16" i="4" a="1"/>
  <c r="DL16" i="4" a="1"/>
  <c r="CF15" i="4" a="1"/>
  <c r="H14" i="4" a="1"/>
  <c r="DC16" i="4" a="1"/>
  <c r="CG6" i="4" a="1"/>
  <c r="DO15" i="4" a="1"/>
  <c r="BT14" i="4" a="1"/>
  <c r="F6" i="4" a="1"/>
  <c r="Z9" i="4" a="1"/>
  <c r="EK14" i="4" a="1"/>
  <c r="CX16" i="4" a="1"/>
  <c r="DL7" i="4" a="1"/>
  <c r="EA11" i="4" a="1"/>
  <c r="CH12" i="4" a="1"/>
  <c r="T5" i="4" a="1"/>
  <c r="V13" i="4" a="1"/>
  <c r="EG8" i="4" a="1"/>
  <c r="DR15" i="4" a="1"/>
  <c r="CS16" i="4" a="1"/>
  <c r="DS9" i="4" a="1"/>
  <c r="BF16" i="4" a="1"/>
  <c r="AN5" i="4" a="1"/>
  <c r="DB9" i="4" a="1"/>
  <c r="H8" i="4" a="1"/>
  <c r="AM14" i="4" a="1"/>
  <c r="CU7" i="4" a="1"/>
  <c r="BA13" i="4" a="1"/>
  <c r="BQ12" i="4" a="1"/>
  <c r="CU13" i="4" a="1"/>
  <c r="R15" i="4" a="1"/>
  <c r="EI13" i="4" a="1"/>
  <c r="BW14" i="4" a="1"/>
  <c r="BW9" i="4" a="1"/>
  <c r="CE15" i="4" a="1"/>
  <c r="K13" i="4" a="1"/>
  <c r="AP8" i="4" a="1"/>
  <c r="S13" i="4" a="1"/>
  <c r="CK12" i="4" a="1"/>
  <c r="DA5" i="4" a="1"/>
  <c r="BU5" i="4" a="1"/>
  <c r="BN14" i="4" a="1"/>
  <c r="DW12" i="4" a="1"/>
  <c r="AX5" i="4" a="1"/>
  <c r="DK8" i="4" a="1"/>
  <c r="AW8" i="4" a="1"/>
  <c r="AF12" i="4" a="1"/>
  <c r="EB12" i="4" a="1"/>
  <c r="CW6" i="4" a="1"/>
  <c r="CT16" i="4" a="1"/>
  <c r="CP5" i="4" a="1"/>
  <c r="AA15" i="4" a="1"/>
  <c r="CW12" i="4" a="1"/>
  <c r="BQ13" i="4" a="1"/>
  <c r="DI11" i="4" a="1"/>
  <c r="DU15" i="4" a="1"/>
  <c r="DS7" i="4" a="1"/>
  <c r="BX15" i="4" a="1"/>
  <c r="EI7" i="4" a="1"/>
  <c r="DI12" i="4" a="1"/>
  <c r="CE16" i="4" a="1"/>
  <c r="Q6" i="4" a="1"/>
  <c r="BI11" i="4" a="1"/>
  <c r="CU11" i="4" a="1"/>
  <c r="BU15" i="4" a="1"/>
  <c r="DN13" i="4" a="1"/>
  <c r="AL11" i="4" a="1"/>
  <c r="AW6" i="4" a="1"/>
  <c r="DU12" i="4" a="1"/>
  <c r="AP12" i="4" a="1"/>
  <c r="BP13" i="4" a="1"/>
  <c r="CN5" i="4" a="1"/>
  <c r="DZ5" i="4" a="1"/>
  <c r="BF6" i="4" a="1"/>
  <c r="EJ8" i="4" a="1"/>
  <c r="BL6" i="4" a="1"/>
  <c r="DV14" i="4" a="1"/>
  <c r="J13" i="4" a="1"/>
  <c r="DY13" i="4" a="1"/>
  <c r="AD14" i="4" a="1"/>
  <c r="DL8" i="4" a="1"/>
  <c r="Z11" i="4" a="1"/>
  <c r="E21" i="2"/>
  <c r="AR27" i="3"/>
  <c r="G12" i="3"/>
  <c r="N9" i="4" a="1"/>
  <c r="BC9" i="4" a="1"/>
  <c r="BE11" i="4" a="1"/>
  <c r="EI14" i="4" a="1"/>
  <c r="Q14" i="4" a="1"/>
  <c r="AO11" i="4" a="1"/>
  <c r="CA8" i="4" a="1"/>
  <c r="AL5" i="4" a="1"/>
  <c r="CM6" i="4" a="1"/>
  <c r="AH15" i="4" a="1"/>
  <c r="BS16" i="4" a="1"/>
  <c r="CT12" i="4" a="1"/>
  <c r="CJ11" i="4" a="1"/>
  <c r="DB8" i="4" a="1"/>
  <c r="CB5" i="4" a="1"/>
  <c r="DK16" i="4" a="1"/>
  <c r="AA9" i="4" a="1"/>
  <c r="EF14" i="4" a="1"/>
  <c r="EA16" i="4" a="1"/>
  <c r="BF14" i="4" a="1"/>
  <c r="CD9" i="4" a="1"/>
  <c r="BD12" i="4" a="1"/>
  <c r="F13" i="4" a="1"/>
  <c r="DQ7" i="4" a="1"/>
  <c r="BT15" i="4" a="1"/>
  <c r="BT5" i="4" a="1"/>
  <c r="C13" i="4" a="1"/>
  <c r="AH9" i="4" a="1"/>
  <c r="ED11" i="4" a="1"/>
  <c r="BR7" i="4" a="1"/>
  <c r="CY14" i="4" a="1"/>
  <c r="DW7" i="4" a="1"/>
  <c r="CY9" i="4" a="1"/>
  <c r="I9" i="4" a="1"/>
  <c r="DX14" i="4" a="1"/>
  <c r="BD14" i="4" a="1"/>
  <c r="AY13" i="4" a="1"/>
  <c r="BY9" i="4" a="1"/>
  <c r="CJ6" i="4" a="1"/>
  <c r="BZ12" i="4" a="1"/>
  <c r="E15" i="4" a="1"/>
  <c r="EC6" i="4" a="1"/>
  <c r="DG6" i="4" a="1"/>
  <c r="BK7" i="4" a="1"/>
  <c r="DE9" i="4" a="1"/>
  <c r="N8" i="4" a="1"/>
  <c r="BV12" i="4" a="1"/>
  <c r="BI12" i="4" a="1"/>
  <c r="AC8" i="4" a="1"/>
  <c r="EB14" i="4" a="1"/>
  <c r="AF6" i="4" a="1"/>
  <c r="AA5" i="4" a="1"/>
  <c r="S14" i="4" a="1"/>
  <c r="CR15" i="4" a="1"/>
  <c r="CB6" i="4" a="1"/>
  <c r="AU6" i="4" a="1"/>
  <c r="AE5" i="4" a="1"/>
  <c r="AM9" i="4" a="1"/>
  <c r="BE14" i="4" a="1"/>
  <c r="BW5" i="4" a="1"/>
  <c r="BY12" i="4" a="1"/>
  <c r="EH12" i="4" a="1"/>
  <c r="BF8" i="4" a="1"/>
  <c r="CG11" i="4" a="1"/>
  <c r="AR6" i="4" a="1"/>
  <c r="BG9" i="4" a="1"/>
  <c r="N5" i="4" a="1"/>
  <c r="N16" i="4" a="1"/>
  <c r="DD15" i="4" a="1"/>
  <c r="DR11" i="4" a="1"/>
  <c r="DM13" i="4" a="1"/>
  <c r="BC16" i="4" a="1"/>
  <c r="CV13" i="4" a="1"/>
  <c r="W14" i="4" a="1"/>
  <c r="AR37" i="3"/>
  <c r="AL46" i="3"/>
  <c r="F15" i="3"/>
  <c r="DT7" i="4" a="1"/>
  <c r="AO12" i="4" a="1"/>
  <c r="BZ15" i="4" a="1"/>
  <c r="BK13" i="4" a="1"/>
  <c r="AK13" i="4" a="1"/>
  <c r="D13" i="4" a="1"/>
  <c r="BE8" i="4" a="1"/>
  <c r="DP16" i="4" a="1"/>
  <c r="BK12" i="4" a="1"/>
  <c r="CS15" i="4" a="1"/>
  <c r="DA8" i="4" a="1"/>
  <c r="DZ6" i="4" a="1"/>
  <c r="BJ5" i="4" a="1"/>
  <c r="EE16" i="4" a="1"/>
  <c r="AV8" i="4" a="1"/>
  <c r="CW9" i="4" a="1"/>
  <c r="BQ11" i="4" a="1"/>
  <c r="I7" i="4" a="1"/>
  <c r="CI16" i="4" a="1"/>
  <c r="AN15" i="4" a="1"/>
  <c r="AG11" i="4" a="1"/>
  <c r="DF6" i="4" a="1"/>
  <c r="CL6" i="4" a="1"/>
  <c r="BP15" i="4" a="1"/>
  <c r="AZ9" i="4" a="1"/>
  <c r="DX11" i="4" a="1"/>
  <c r="AU15" i="4" a="1"/>
  <c r="AQ16" i="4" a="1"/>
  <c r="L13" i="4" a="1"/>
  <c r="CI11" i="4" a="1"/>
  <c r="DT13" i="4" a="1"/>
  <c r="BQ16" i="4" a="1"/>
  <c r="CC6" i="4" a="1"/>
  <c r="AV14" i="4" a="1"/>
  <c r="BT8" i="4" a="1"/>
  <c r="DS16" i="4" a="1"/>
  <c r="AW13" i="4" a="1"/>
  <c r="CS13" i="4" a="1"/>
  <c r="AA14" i="4" a="1"/>
  <c r="AG13" i="4" a="1"/>
  <c r="CL5" i="4" a="1"/>
  <c r="AW11" i="4" a="1"/>
  <c r="AS16" i="4" a="1"/>
  <c r="BM12" i="4" a="1"/>
  <c r="CL13" i="4" a="1"/>
  <c r="AC13" i="4" a="1"/>
  <c r="AM12" i="4" a="1"/>
  <c r="X12" i="4" a="1"/>
  <c r="DN5" i="4" a="1"/>
  <c r="O16" i="4" a="1"/>
  <c r="DY12" i="4" a="1"/>
  <c r="ED13" i="4" a="1"/>
  <c r="BL5" i="4" a="1"/>
  <c r="BQ6" i="4" a="1"/>
  <c r="S16" i="4" a="1"/>
  <c r="DB5" i="4" a="1"/>
  <c r="DA16" i="4" a="1"/>
  <c r="EG15" i="4" a="1"/>
  <c r="C12" i="4" a="1"/>
  <c r="Q16" i="4" a="1"/>
  <c r="EI15" i="4" a="1"/>
  <c r="AN14" i="4" a="1"/>
  <c r="EK13" i="4" a="1"/>
  <c r="Q11" i="4" a="1"/>
  <c r="DV13" i="4" a="1"/>
  <c r="CM11" i="4" a="1"/>
  <c r="BZ14" i="4" a="1"/>
  <c r="AF5" i="4" a="1"/>
  <c r="AH11" i="4" a="1"/>
  <c r="DC6" i="4" a="1"/>
  <c r="Z14" i="4" a="1"/>
  <c r="DE5" i="4" a="1"/>
  <c r="DY15" i="4" a="1"/>
  <c r="AY12" i="4" a="1"/>
  <c r="CA6" i="4" a="1"/>
  <c r="DZ13" i="4" a="1"/>
  <c r="BY11" i="4" a="1"/>
  <c r="AB14" i="4" a="1"/>
  <c r="DL12" i="4" a="1"/>
  <c r="CX5" i="4" a="1"/>
  <c r="CH16" i="4" a="1"/>
  <c r="EG9" i="4" a="1"/>
  <c r="AV6" i="4" a="1"/>
  <c r="DU13" i="4" a="1"/>
  <c r="EE9" i="4" a="1"/>
  <c r="AR14" i="4" a="1"/>
  <c r="DM9" i="4" a="1"/>
  <c r="AO8" i="4" a="1"/>
  <c r="DB15" i="4" a="1"/>
  <c r="DI6" i="4" a="1"/>
  <c r="CO12" i="4" a="1"/>
  <c r="DE13" i="4" a="1"/>
  <c r="CP11" i="4" a="1"/>
  <c r="BO11" i="4" a="1"/>
  <c r="DP13" i="4" a="1"/>
  <c r="AA46" i="3"/>
  <c r="D32" i="3"/>
  <c r="F21" i="3"/>
  <c r="AZ14" i="4" a="1"/>
  <c r="BX9" i="4" a="1"/>
  <c r="DF15" i="4" a="1"/>
  <c r="AZ7" i="4" a="1"/>
  <c r="U16" i="4" a="1"/>
  <c r="K14" i="4" a="1"/>
  <c r="P9" i="4" a="1"/>
  <c r="DD13" i="4" a="1"/>
  <c r="AU11" i="4" a="1"/>
  <c r="EE12" i="4" a="1"/>
  <c r="CF6" i="4" a="1"/>
  <c r="BJ9" i="4" a="1"/>
  <c r="CC13" i="4" a="1"/>
  <c r="BP5" i="4" a="1"/>
  <c r="D9" i="4" a="1"/>
  <c r="EI12" i="4" a="1"/>
  <c r="BS14" i="4" a="1"/>
  <c r="BV11" i="4" a="1"/>
  <c r="G11" i="4" a="1"/>
  <c r="AL6" i="4" a="1"/>
  <c r="CE13" i="4" a="1"/>
  <c r="F7" i="4" a="1"/>
  <c r="AV11" i="4" a="1"/>
  <c r="AE15" i="4" a="1"/>
  <c r="O8" i="4" a="1"/>
  <c r="CN9" i="4" a="1"/>
  <c r="AX14" i="4" a="1"/>
  <c r="E12" i="4" a="1"/>
  <c r="DZ9" i="4" a="1"/>
  <c r="EE15" i="4" a="1"/>
  <c r="DC8" i="4" a="1"/>
  <c r="AS11" i="4" a="1"/>
  <c r="DZ7" i="4" a="1"/>
  <c r="EA14" i="4" a="1"/>
  <c r="DU6" i="4" a="1"/>
  <c r="EE8" i="4" a="1"/>
  <c r="M12" i="4" a="1"/>
  <c r="CE8" i="4" a="1"/>
  <c r="DC5" i="4" a="1"/>
  <c r="DI15" i="4" a="1"/>
  <c r="BG16" i="4" a="1"/>
  <c r="CU16" i="4" a="1"/>
  <c r="EK7" i="4" a="1"/>
  <c r="AZ16" i="4" a="1"/>
  <c r="AB7" i="4" a="1"/>
  <c r="M15" i="4" a="1"/>
  <c r="AE14" i="4" a="1"/>
  <c r="AP6" i="4" a="1"/>
  <c r="DJ13" i="4" a="1"/>
  <c r="DD7" i="4" a="1"/>
  <c r="CY11" i="4" a="1"/>
  <c r="BA8" i="4" a="1"/>
  <c r="L15" i="4" a="1"/>
  <c r="BQ14" i="4" a="1"/>
  <c r="CL14" i="4" a="1"/>
  <c r="EE5" i="4" a="1"/>
  <c r="T14" i="4" a="1"/>
  <c r="AV7" i="4" a="1"/>
  <c r="AG6" i="4" a="1"/>
  <c r="Q9" i="4" a="1"/>
  <c r="DT15" i="4" a="1"/>
  <c r="ED7" i="4" a="1"/>
  <c r="AR15" i="4" a="1"/>
  <c r="CB8" i="4" a="1"/>
  <c r="Z6" i="4" a="1"/>
  <c r="DH9" i="4" a="1"/>
  <c r="AM16" i="4" a="1"/>
  <c r="DE7" i="4" a="1"/>
  <c r="CE12" i="4" a="1"/>
  <c r="AL16" i="4" a="1"/>
  <c r="BA12" i="4" a="1"/>
  <c r="EB13" i="4" a="1"/>
  <c r="G16" i="4" a="1"/>
  <c r="BF15" i="4" a="1"/>
  <c r="BS9" i="4" a="1"/>
  <c r="G11" i="3"/>
  <c r="G15" i="3"/>
  <c r="E15" i="3"/>
  <c r="BV7" i="4" a="1"/>
  <c r="CT11" i="4" a="1"/>
  <c r="DR16" i="4" a="1"/>
  <c r="V15" i="4" a="1"/>
  <c r="R6" i="4" a="1"/>
  <c r="BP11" i="4" a="1"/>
  <c r="M14" i="4" a="1"/>
  <c r="CP14" i="4" a="1"/>
  <c r="EB8" i="4" a="1"/>
  <c r="CR5" i="4" a="1"/>
  <c r="DR12" i="4" a="1"/>
  <c r="N13" i="4" a="1"/>
  <c r="AW14" i="4" a="1"/>
  <c r="CJ13" i="4" a="1"/>
  <c r="U12" i="4" a="1"/>
  <c r="BY14" i="4" a="1"/>
  <c r="AA6" i="4" a="1"/>
  <c r="BW12" i="4" a="1"/>
  <c r="EB6" i="4" a="1"/>
  <c r="DN15" i="4" a="1"/>
  <c r="EB16" i="4" a="1"/>
  <c r="EC8" i="4" a="1"/>
  <c r="CH13" i="4" a="1"/>
  <c r="BJ7" i="4" a="1"/>
  <c r="EI5" i="4" a="1"/>
  <c r="EA6" i="4" a="1"/>
  <c r="K12" i="4" a="1"/>
  <c r="CE11" i="4" a="1"/>
  <c r="BN6" i="4" a="1"/>
  <c r="AU12" i="4" a="1"/>
  <c r="O9" i="4" a="1"/>
  <c r="CW5" i="4" a="1"/>
  <c r="DT14" i="4" a="1"/>
  <c r="BE13" i="4" a="1"/>
  <c r="BF5" i="4" a="1"/>
  <c r="EI8" i="4" a="1"/>
  <c r="DQ12" i="4" a="1"/>
  <c r="Q15" i="4" a="1"/>
  <c r="DW8" i="4" a="1"/>
  <c r="EH14" i="4" a="1"/>
  <c r="CA13" i="4" a="1"/>
  <c r="BH11" i="4" a="1"/>
  <c r="DK11" i="4" a="1"/>
  <c r="CS11" i="4" a="1"/>
  <c r="CZ7" i="4" a="1"/>
  <c r="DS15" i="4" a="1"/>
  <c r="BS8" i="4" a="1"/>
  <c r="CR14" i="4" a="1"/>
  <c r="BQ5" i="4" a="1"/>
  <c r="D7" i="4" a="1"/>
  <c r="CO14" i="4" a="1"/>
  <c r="DK9" i="4" a="1"/>
  <c r="C14" i="4" a="1"/>
  <c r="BN12" i="4" a="1"/>
  <c r="AS7" i="4" a="1"/>
  <c r="D19" i="3"/>
  <c r="F11" i="3"/>
  <c r="AD16" i="3"/>
  <c r="DO14" i="4" a="1"/>
  <c r="Z15" i="4" a="1"/>
  <c r="C15" i="4" a="1"/>
  <c r="AC16" i="4" a="1"/>
  <c r="BU8" i="4" a="1"/>
  <c r="AC15" i="4" a="1"/>
  <c r="DI16" i="4" a="1"/>
  <c r="BR13" i="4" a="1"/>
  <c r="AH5" i="4" a="1"/>
  <c r="DQ14" i="4" a="1"/>
  <c r="CN15" i="4" a="1"/>
  <c r="AI5" i="4" a="1"/>
  <c r="BM14" i="4" a="1"/>
  <c r="EI9" i="4" a="1"/>
  <c r="AT8" i="4" a="1"/>
  <c r="DX8" i="4" a="1"/>
  <c r="F15" i="4" a="1"/>
  <c r="EA7" i="4" a="1"/>
  <c r="AS15" i="4" a="1"/>
  <c r="L16" i="4" a="1"/>
  <c r="D12" i="4" a="1"/>
  <c r="DB12" i="4" a="1"/>
  <c r="EH7" i="4" a="1"/>
  <c r="U6" i="4" a="1"/>
  <c r="CC14" i="4" a="1"/>
  <c r="AY5" i="4" a="1"/>
  <c r="BS11" i="4" a="1"/>
  <c r="AC9" i="4" a="1"/>
  <c r="V9" i="4" a="1"/>
  <c r="BW13" i="4" a="1"/>
  <c r="X14" i="4" a="1"/>
  <c r="CO7" i="4" a="1"/>
  <c r="BK5" i="4" a="1"/>
  <c r="BT6" i="4" a="1"/>
  <c r="P5" i="4" a="1"/>
  <c r="U15" i="4" a="1"/>
  <c r="DX15" i="4" a="1"/>
  <c r="BD9" i="4" a="1"/>
  <c r="BY16" i="4" a="1"/>
  <c r="BZ16" i="4" a="1"/>
  <c r="EF8" i="4" a="1"/>
  <c r="AT9" i="4" a="1"/>
  <c r="CK8" i="4" a="1"/>
  <c r="EC16" i="4" a="1"/>
  <c r="BA11" i="4" a="1"/>
  <c r="CE9" i="4" a="1"/>
  <c r="CF5" i="4" a="1"/>
  <c r="BD13" i="4" a="1"/>
  <c r="EB7" i="4" a="1"/>
  <c r="E7" i="4" a="1"/>
  <c r="AN16" i="4" a="1"/>
  <c r="AJ11" i="4" a="1"/>
  <c r="DN16" i="4" a="1"/>
  <c r="AW16" i="4" a="1"/>
  <c r="BC11" i="4" a="1"/>
  <c r="O13" i="4" a="1"/>
  <c r="CL9" i="4" a="1"/>
  <c r="AU16" i="4" a="1"/>
  <c r="DW5" i="4" a="1"/>
  <c r="DW14" i="4" a="1"/>
  <c r="AZ5" i="4" a="1"/>
  <c r="CB16" i="4" a="1"/>
  <c r="AE8" i="4" a="1"/>
  <c r="DR13" i="4" a="1"/>
  <c r="CM5" i="4" a="1"/>
  <c r="BM7" i="4" a="1"/>
  <c r="T11" i="4" a="1"/>
  <c r="CW8" i="4" a="1"/>
  <c r="DF8" i="4" a="1"/>
  <c r="C45" i="3"/>
  <c r="D45" i="3"/>
  <c r="G8" i="3"/>
  <c r="BF9" i="4" a="1"/>
  <c r="BE15" i="4" a="1"/>
  <c r="AI11" i="4" a="1"/>
  <c r="AP9" i="4" a="1"/>
  <c r="BX16" i="4" a="1"/>
  <c r="CO13" i="4" a="1"/>
  <c r="CB9" i="4" a="1"/>
  <c r="EF13" i="4" a="1"/>
  <c r="EJ13" i="4" a="1"/>
  <c r="CK6" i="4" a="1"/>
  <c r="U11" i="4" a="1"/>
  <c r="BW7" i="4" a="1"/>
  <c r="V8" i="4" a="1"/>
  <c r="CE7" i="4" a="1"/>
  <c r="AC5" i="4" a="1"/>
  <c r="DR14" i="4" a="1"/>
  <c r="DR7" i="4" a="1"/>
  <c r="AK16" i="4" a="1"/>
  <c r="P11" i="4" a="1"/>
  <c r="L14" i="4" a="1"/>
  <c r="Z13" i="4" a="1"/>
  <c r="DW9" i="4" a="1"/>
  <c r="BU16" i="4" a="1"/>
  <c r="L12" i="4" a="1"/>
  <c r="G5" i="4" a="1"/>
  <c r="AQ6" i="4" a="1"/>
  <c r="CB11" i="4" a="1"/>
  <c r="G31" i="3"/>
  <c r="F27" i="3"/>
  <c r="U46" i="3"/>
  <c r="CI7" i="4" a="1"/>
  <c r="D14" i="4" a="1"/>
  <c r="BL9" i="4" a="1"/>
  <c r="EK15" i="4" a="1"/>
  <c r="P7" i="4" a="1"/>
  <c r="BT9" i="4" a="1"/>
  <c r="J7" i="4" a="1"/>
  <c r="DW6" i="4" a="1"/>
  <c r="X6" i="4" a="1"/>
  <c r="CQ8" i="4" a="1"/>
  <c r="BB6" i="4" a="1"/>
  <c r="DF16" i="4" a="1"/>
  <c r="DQ15" i="4" a="1"/>
  <c r="CL16" i="4" a="1"/>
  <c r="AV15" i="4" a="1"/>
  <c r="CT5" i="4" a="1"/>
  <c r="Q13" i="4" a="1"/>
  <c r="DT6" i="4" a="1"/>
  <c r="CZ9" i="4" a="1"/>
  <c r="BQ15" i="4" a="1"/>
  <c r="N14" i="4" a="1"/>
  <c r="DG7" i="4" a="1"/>
  <c r="CF11" i="4" a="1"/>
  <c r="M16" i="4" a="1"/>
  <c r="DC13" i="4" a="1"/>
  <c r="R5" i="4" a="1"/>
  <c r="EK12" i="4" a="1"/>
  <c r="CD12" i="4" a="1"/>
  <c r="W15" i="4" a="1"/>
  <c r="BE9" i="4" a="1"/>
  <c r="CQ12" i="4" a="1"/>
  <c r="DJ7" i="4" a="1"/>
  <c r="AH7" i="4" a="1"/>
  <c r="CY13" i="4" a="1"/>
  <c r="DK6" i="4" a="1"/>
  <c r="N6" i="4" a="1"/>
  <c r="DQ6" i="4" a="1"/>
  <c r="BL14" i="4" a="1"/>
  <c r="BH8" i="4" a="1"/>
  <c r="BN15" i="4" a="1"/>
  <c r="V7" i="4" a="1"/>
  <c r="EK9" i="4" a="1"/>
  <c r="DV12" i="4" a="1"/>
  <c r="CH11" i="4" a="1"/>
  <c r="DK15" i="4" a="1"/>
  <c r="R12" i="4" a="1"/>
  <c r="AM13" i="4" a="1"/>
  <c r="CK7" i="4" a="1"/>
  <c r="BN5" i="4" a="1"/>
  <c r="DU14" i="4" a="1"/>
  <c r="H11" i="4" a="1"/>
  <c r="P15" i="4" a="1"/>
  <c r="DD14" i="4" a="1"/>
  <c r="BG14" i="4" a="1"/>
  <c r="CX13" i="4" a="1"/>
  <c r="CC9" i="4" a="1"/>
  <c r="CK16" i="4" a="1"/>
  <c r="K5" i="4" a="1"/>
  <c r="DJ12" i="4" a="1"/>
  <c r="EE7" i="4" a="1"/>
  <c r="EG13" i="4" a="1"/>
  <c r="CQ16" i="4" a="1"/>
  <c r="AM15" i="4" a="1"/>
  <c r="ED12" i="4" a="1"/>
  <c r="BK14" i="4" a="1"/>
  <c r="CI6" i="4" a="1"/>
  <c r="DA6" i="4" a="1"/>
  <c r="CO11" i="4" a="1"/>
  <c r="BA16" i="4" a="1"/>
  <c r="CS9" i="4" a="1"/>
  <c r="EA15" i="4" a="1"/>
  <c r="CE6" i="4" a="1"/>
  <c r="BZ11" i="4" a="1"/>
  <c r="CS7" i="4" a="1"/>
  <c r="DP7" i="4" a="1"/>
  <c r="CL12" i="4" a="1"/>
  <c r="BJ6" i="4" a="1"/>
  <c r="O11" i="4" a="1"/>
  <c r="BP16" i="4" a="1"/>
  <c r="DB7" i="4" a="1"/>
  <c r="F9" i="4" a="1"/>
  <c r="AS5" i="4" a="1"/>
  <c r="P6" i="4" a="1"/>
  <c r="EE6" i="4" a="1"/>
  <c r="CB15" i="4" a="1"/>
  <c r="DR6" i="4" a="1"/>
  <c r="AX9" i="4" a="1"/>
  <c r="DH13" i="4" a="1"/>
  <c r="I8" i="4" a="1"/>
  <c r="AF13" i="4" a="1"/>
  <c r="AF11" i="4" a="1"/>
  <c r="AQ9" i="4" a="1"/>
  <c r="CT6" i="4" a="1"/>
  <c r="DJ8" i="4" a="1"/>
  <c r="CO16" i="4" a="1"/>
  <c r="Q8" i="4" a="1"/>
  <c r="AP5" i="4" a="1"/>
  <c r="X16" i="4" a="1"/>
  <c r="DD8" i="4" a="1"/>
  <c r="BV6" i="4" a="1"/>
  <c r="CA16" i="4" a="1"/>
  <c r="DN7" i="4" a="1"/>
  <c r="DJ11" i="4" a="1"/>
  <c r="CR7" i="4" a="1"/>
  <c r="BU9" i="4" a="1"/>
  <c r="AG8" i="4" a="1"/>
  <c r="BR9" i="4" a="1"/>
  <c r="AZ11" i="4" a="1"/>
  <c r="CZ13" i="4" a="1"/>
  <c r="EG11" i="4" a="1"/>
  <c r="E5" i="4" a="1"/>
  <c r="EH11" i="4" a="1"/>
  <c r="AN6" i="4" a="1"/>
  <c r="CA14" i="4" a="1"/>
  <c r="E11" i="4" a="1"/>
  <c r="AT7" i="4" a="1"/>
  <c r="CQ9" i="4" a="1"/>
  <c r="D85" i="3"/>
  <c r="E57" i="3"/>
  <c r="E70" i="3"/>
  <c r="D92" i="3"/>
  <c r="E87" i="3"/>
  <c r="D94" i="3"/>
  <c r="F93" i="3"/>
  <c r="G65" i="3"/>
  <c r="E85" i="3"/>
  <c r="F71" i="3"/>
  <c r="G90" i="3"/>
  <c r="D61" i="3"/>
  <c r="E60" i="3"/>
  <c r="F75" i="3"/>
  <c r="F78" i="3"/>
  <c r="G92" i="3"/>
  <c r="D80" i="3"/>
  <c r="F97" i="3"/>
  <c r="D88" i="3"/>
  <c r="D78" i="3"/>
  <c r="E77" i="3"/>
  <c r="G88" i="3"/>
  <c r="D62" i="3"/>
  <c r="F94" i="3"/>
  <c r="D97" i="3"/>
  <c r="E91" i="3"/>
  <c r="F60" i="3"/>
  <c r="D64" i="3"/>
  <c r="G96" i="3"/>
  <c r="E71" i="3"/>
  <c r="D69" i="3"/>
  <c r="F49" i="3"/>
  <c r="G80" i="3"/>
  <c r="E67" i="3"/>
  <c r="F91" i="3"/>
  <c r="F61" i="3"/>
  <c r="G76" i="3"/>
  <c r="F76" i="3"/>
  <c r="E93" i="3"/>
  <c r="D86" i="3"/>
  <c r="F65" i="3"/>
  <c r="G68" i="3"/>
  <c r="D76" i="3"/>
  <c r="F67" i="3"/>
  <c r="E74" i="3"/>
  <c r="D66" i="3"/>
  <c r="E82" i="3"/>
  <c r="G63" i="3"/>
  <c r="E62" i="3"/>
  <c r="D84" i="3"/>
  <c r="D55" i="3"/>
  <c r="F82" i="3"/>
  <c r="E97" i="3"/>
  <c r="D59" i="3"/>
  <c r="F77" i="3"/>
  <c r="E58" i="3"/>
  <c r="F81" i="3"/>
  <c r="D65" i="3"/>
  <c r="F63" i="3"/>
  <c r="G94" i="3"/>
  <c r="E95" i="3"/>
  <c r="D90" i="3"/>
  <c r="F79" i="3"/>
  <c r="G55" i="3"/>
  <c r="E55" i="3"/>
  <c r="D93" i="3"/>
  <c r="F89" i="3"/>
  <c r="G54" i="3"/>
  <c r="F66" i="3"/>
  <c r="E84" i="3"/>
  <c r="G66" i="3"/>
  <c r="E89" i="3"/>
  <c r="F59" i="3"/>
  <c r="E66" i="3"/>
  <c r="G79" i="3"/>
  <c r="D74" i="3"/>
  <c r="E92" i="3"/>
  <c r="G70" i="3"/>
  <c r="D77" i="3"/>
  <c r="G93" i="3"/>
  <c r="F96" i="3"/>
  <c r="G84" i="3"/>
  <c r="E90" i="3"/>
  <c r="D67" i="3"/>
  <c r="F88" i="3"/>
  <c r="G86" i="3"/>
  <c r="E61" i="3"/>
  <c r="D63" i="3"/>
  <c r="E56" i="3"/>
  <c r="G81" i="3"/>
  <c r="D91" i="3"/>
  <c r="E65" i="3"/>
  <c r="D79" i="3"/>
  <c r="E78" i="3"/>
  <c r="G95" i="3"/>
  <c r="D96" i="3"/>
  <c r="E75" i="3"/>
  <c r="F83" i="3"/>
  <c r="G71" i="3"/>
  <c r="E83" i="3"/>
  <c r="E96" i="3"/>
  <c r="G87" i="3"/>
  <c r="G74" i="3"/>
  <c r="E73" i="3"/>
  <c r="G89" i="3"/>
  <c r="D82" i="3"/>
  <c r="D71" i="3"/>
  <c r="F73" i="3"/>
  <c r="D54" i="3"/>
  <c r="E72" i="3"/>
  <c r="D60" i="3"/>
  <c r="G59" i="3"/>
  <c r="E54" i="3"/>
  <c r="D95" i="3"/>
  <c r="D89" i="3"/>
  <c r="G60" i="3"/>
  <c r="D72" i="3"/>
  <c r="F69" i="3"/>
  <c r="G58" i="3"/>
  <c r="E69" i="3"/>
  <c r="D58" i="3"/>
  <c r="G67" i="3"/>
  <c r="D87" i="3"/>
  <c r="G78" i="3"/>
  <c r="E76" i="3"/>
  <c r="F58" i="3"/>
  <c r="G83" i="3"/>
  <c r="G56" i="3"/>
  <c r="F55" i="3"/>
  <c r="G69" i="3"/>
  <c r="G73" i="3"/>
  <c r="D68" i="3"/>
  <c r="F62" i="3"/>
  <c r="G77" i="3"/>
  <c r="E81" i="3"/>
  <c r="D83" i="3"/>
  <c r="F86" i="3"/>
  <c r="G82" i="3"/>
  <c r="D75" i="3"/>
  <c r="G72" i="3"/>
  <c r="F74" i="3"/>
  <c r="F64" i="3"/>
  <c r="F95" i="3"/>
  <c r="E86" i="3"/>
  <c r="E63" i="3"/>
  <c r="G85" i="3"/>
  <c r="E79" i="3"/>
  <c r="F50" i="3"/>
  <c r="D73" i="3"/>
  <c r="G64" i="3"/>
  <c r="D56" i="3"/>
  <c r="D81" i="3"/>
  <c r="F80" i="3"/>
  <c r="G57" i="3"/>
  <c r="E59" i="3"/>
  <c r="F54" i="3"/>
  <c r="G97" i="3"/>
  <c r="E88" i="3"/>
  <c r="E80" i="3"/>
  <c r="F87" i="3"/>
  <c r="F48" i="3"/>
  <c r="E64" i="3"/>
  <c r="D57" i="3"/>
  <c r="F85" i="3"/>
  <c r="F57" i="3"/>
  <c r="F90" i="3"/>
  <c r="F84" i="3"/>
  <c r="G75" i="3"/>
  <c r="E68" i="3"/>
  <c r="F47" i="3"/>
  <c r="E94" i="3"/>
  <c r="F72" i="3"/>
  <c r="F68" i="3"/>
  <c r="G62" i="3"/>
  <c r="F92" i="3"/>
  <c r="G91" i="3"/>
  <c r="G61" i="3"/>
  <c r="D70" i="3"/>
  <c r="HV16" i="4" s="1"/>
  <c r="IS16" i="4" s="1"/>
  <c r="HP9" i="4" s="1"/>
  <c r="IO9" i="4" s="1"/>
  <c r="JI9" i="4" s="1"/>
  <c r="IG9" i="4" s="1"/>
  <c r="IR16" i="4" s="1"/>
  <c r="IL9" i="4" s="1"/>
  <c r="IB9" i="4" s="1"/>
  <c r="IR9" i="4" s="1"/>
  <c r="IN16" i="4" s="1"/>
  <c r="HR16" i="4" s="1"/>
  <c r="CM93" i="1"/>
  <c r="CP105" i="1" l="1"/>
  <c r="CN91" i="1"/>
  <c r="F56" i="3"/>
  <c r="AL150" i="1" s="1"/>
  <c r="AM150" i="1" s="1"/>
  <c r="AD57" i="3"/>
  <c r="BJ151" i="1" s="1"/>
  <c r="BK151" i="1" s="1"/>
  <c r="F70" i="3"/>
  <c r="AL166" i="1" s="1"/>
  <c r="AD78" i="3"/>
  <c r="BJ175" i="1" s="1"/>
  <c r="BK175" i="1" s="1"/>
  <c r="AD56" i="3"/>
  <c r="BJ150" i="1" s="1"/>
  <c r="AD73" i="3"/>
  <c r="AD83" i="3"/>
  <c r="BJ193" i="1" s="1"/>
  <c r="AD79" i="3"/>
  <c r="BJ176" i="1" s="1"/>
  <c r="AD87" i="3"/>
  <c r="BJ185" i="1" s="1"/>
  <c r="BK185" i="1" s="1"/>
  <c r="AD80" i="3"/>
  <c r="BJ192" i="1" s="1"/>
  <c r="AD63" i="3"/>
  <c r="BJ158" i="1" s="1"/>
  <c r="BK158" i="1" s="1"/>
  <c r="AD58" i="3"/>
  <c r="BJ152" i="1" s="1"/>
  <c r="AD74" i="3"/>
  <c r="BJ170" i="1" s="1"/>
  <c r="BK170" i="1" s="1"/>
  <c r="AD71" i="3"/>
  <c r="AD82" i="3"/>
  <c r="BJ178" i="1" s="1"/>
  <c r="AD72" i="3"/>
  <c r="BJ168" i="1" s="1"/>
  <c r="BK168" i="1" s="1"/>
  <c r="AD70" i="3"/>
  <c r="BJ166" i="1" s="1"/>
  <c r="AD65" i="3"/>
  <c r="BJ183" i="1" s="1"/>
  <c r="BK183" i="1" s="1"/>
  <c r="AD92" i="3"/>
  <c r="BJ188" i="1" s="1"/>
  <c r="BK188" i="1" s="1"/>
  <c r="AD61" i="3"/>
  <c r="AD93" i="3"/>
  <c r="AD55" i="3"/>
  <c r="AD76" i="3"/>
  <c r="AD94" i="3"/>
  <c r="AD95" i="3"/>
  <c r="BJ197" i="1" s="1"/>
  <c r="AD67" i="3"/>
  <c r="AD77" i="3"/>
  <c r="BJ173" i="1" s="1"/>
  <c r="BK173" i="1" s="1"/>
  <c r="BL235" i="1" s="1"/>
  <c r="AD90" i="3"/>
  <c r="BJ159" i="1" s="1"/>
  <c r="BK159" i="1" s="1"/>
  <c r="AD81" i="3"/>
  <c r="BJ177" i="1" s="1"/>
  <c r="AD60" i="3"/>
  <c r="BJ155" i="1" s="1"/>
  <c r="BK155" i="1" s="1"/>
  <c r="AD91" i="3"/>
  <c r="BJ187" i="1" s="1"/>
  <c r="BK187" i="1" s="1"/>
  <c r="AD66" i="3"/>
  <c r="BJ184" i="1" s="1"/>
  <c r="BK184" i="1" s="1"/>
  <c r="AD54" i="3"/>
  <c r="AD89" i="3"/>
  <c r="BJ186" i="1" s="1"/>
  <c r="AD86" i="3"/>
  <c r="AD97" i="3"/>
  <c r="AD68" i="3"/>
  <c r="BJ164" i="1" s="1"/>
  <c r="AD62" i="3"/>
  <c r="BJ157" i="1" s="1"/>
  <c r="BK157" i="1" s="1"/>
  <c r="AD59" i="3"/>
  <c r="AD64" i="3"/>
  <c r="BJ182" i="1" s="1"/>
  <c r="AD96" i="3"/>
  <c r="BJ196" i="1" s="1"/>
  <c r="BK196" i="1" s="1"/>
  <c r="AD84" i="3"/>
  <c r="BJ179" i="1" s="1"/>
  <c r="BK179" i="1" s="1"/>
  <c r="AD69" i="3"/>
  <c r="BJ165" i="1" s="1"/>
  <c r="AD85" i="3"/>
  <c r="BJ180" i="1" s="1"/>
  <c r="BK180" i="1" s="1"/>
  <c r="AD88" i="3"/>
  <c r="BJ160" i="1" s="1"/>
  <c r="BK160" i="1" s="1"/>
  <c r="AD75" i="3"/>
  <c r="BJ48" i="1"/>
  <c r="AL43" i="1"/>
  <c r="HS9" i="4" s="1"/>
  <c r="JF16" i="4" s="1"/>
  <c r="JB15" i="4" s="1"/>
  <c r="AK52" i="1"/>
  <c r="AM52" i="1"/>
  <c r="AM43" i="1"/>
  <c r="IA16" i="4" s="1"/>
  <c r="AL50" i="1"/>
  <c r="IX15" i="4" s="1"/>
  <c r="JA9" i="4" s="1"/>
  <c r="JG9" i="4" s="1"/>
  <c r="IW16" i="4" s="1"/>
  <c r="AL52" i="1"/>
  <c r="IA9" i="4" s="1"/>
  <c r="HQ9" i="4" s="1"/>
  <c r="HW9" i="4" s="1"/>
  <c r="AM42" i="1"/>
  <c r="IM9" i="4" s="1"/>
  <c r="JC9" i="4" s="1"/>
  <c r="IV16" i="4" s="1"/>
  <c r="IC9" i="4" s="1"/>
  <c r="BX48" i="1"/>
  <c r="AL48" i="1"/>
  <c r="AJ43" i="1"/>
  <c r="T73" i="1"/>
  <c r="II16" i="4" s="1"/>
  <c r="BX36" i="1"/>
  <c r="CA126" i="1" s="1"/>
  <c r="CA127" i="1" s="1"/>
  <c r="AK50" i="1"/>
  <c r="J60" i="1"/>
  <c r="J227" i="1" s="1"/>
  <c r="IV15" i="4" s="1"/>
  <c r="IZ9" i="4" s="1"/>
  <c r="HR8" i="4" s="1"/>
  <c r="BX187" i="1"/>
  <c r="BY187" i="1" s="1"/>
  <c r="JB7" i="4" s="1"/>
  <c r="IX16" i="4" s="1"/>
  <c r="JD9" i="4" s="1"/>
  <c r="JE9" i="4" s="1"/>
  <c r="IJ9" i="4" s="1"/>
  <c r="IH16" i="4" s="1"/>
  <c r="C41" i="1"/>
  <c r="IF9" i="4" s="1"/>
  <c r="HY16" i="4" s="1"/>
  <c r="IY16" i="4" s="1"/>
  <c r="IU9" i="4" s="1"/>
  <c r="IP9" i="4" s="1"/>
  <c r="AL60" i="1"/>
  <c r="AL227" i="1" s="1"/>
  <c r="AJ51" i="1"/>
  <c r="AJ64" i="1"/>
  <c r="AM49" i="1"/>
  <c r="B52" i="1"/>
  <c r="I63" i="1"/>
  <c r="I49" i="1"/>
  <c r="M73" i="1"/>
  <c r="BX193" i="1"/>
  <c r="Q50" i="1"/>
  <c r="S36" i="1"/>
  <c r="S264" i="1" s="1"/>
  <c r="IF16" i="4" s="1"/>
  <c r="BX63" i="1"/>
  <c r="I67" i="1"/>
  <c r="BX152" i="1"/>
  <c r="BY152" i="1" s="1"/>
  <c r="G48" i="1"/>
  <c r="BX64" i="1"/>
  <c r="BX43" i="1"/>
  <c r="BJ53" i="1"/>
  <c r="BX175" i="1"/>
  <c r="BY175" i="1" s="1"/>
  <c r="B41" i="1"/>
  <c r="T74" i="1"/>
  <c r="B53" i="1"/>
  <c r="HT9" i="4" s="1"/>
  <c r="IW9" i="4" s="1"/>
  <c r="IJ7" i="4" s="1"/>
  <c r="JA16" i="4" s="1"/>
  <c r="AJ37" i="1"/>
  <c r="AK48" i="1"/>
  <c r="AL36" i="1"/>
  <c r="AL286" i="1" s="1"/>
  <c r="BX49" i="1"/>
  <c r="F52" i="1"/>
  <c r="J51" i="1"/>
  <c r="U49" i="1"/>
  <c r="V51" i="1"/>
  <c r="IC8" i="4" s="1"/>
  <c r="IH9" i="4" s="1"/>
  <c r="JH9" i="4" s="1"/>
  <c r="JA8" i="4" s="1"/>
  <c r="II15" i="4" s="1"/>
  <c r="IM16" i="4" s="1"/>
  <c r="AJ60" i="1"/>
  <c r="AJ227" i="1" s="1"/>
  <c r="BX51" i="1"/>
  <c r="AJ41" i="1"/>
  <c r="AJ50" i="1"/>
  <c r="AJ48" i="1"/>
  <c r="AL49" i="1"/>
  <c r="D155" i="1"/>
  <c r="G64" i="1"/>
  <c r="W79" i="1"/>
  <c r="Q37" i="1"/>
  <c r="M36" i="1"/>
  <c r="M264" i="1" s="1"/>
  <c r="IE16" i="4" s="1"/>
  <c r="AJ53" i="1"/>
  <c r="BX79" i="1"/>
  <c r="AK53" i="1"/>
  <c r="BJ49" i="1"/>
  <c r="U51" i="1"/>
  <c r="E51" i="1"/>
  <c r="O53" i="1"/>
  <c r="IQ9" i="4" s="1"/>
  <c r="IV9" i="4" s="1"/>
  <c r="II9" i="4" s="1"/>
  <c r="IY9" i="4" s="1"/>
  <c r="IT16" i="4" s="1"/>
  <c r="HW16" i="4" s="1"/>
  <c r="HW21" i="4" s="1"/>
  <c r="AQ105" i="1" s="1"/>
  <c r="IZ16" i="4" s="1"/>
  <c r="AM41" i="1"/>
  <c r="BJ51" i="1"/>
  <c r="AL79" i="1"/>
  <c r="AJ73" i="1"/>
  <c r="AK60" i="1"/>
  <c r="AK227" i="1" s="1"/>
  <c r="BX177" i="1"/>
  <c r="H52" i="1"/>
  <c r="J48" i="1"/>
  <c r="J50" i="1"/>
  <c r="S48" i="1"/>
  <c r="IS9" i="4" s="1"/>
  <c r="IA14" i="4" s="1"/>
  <c r="JH14" i="4" s="1"/>
  <c r="HT16" i="4" s="1"/>
  <c r="HT21" i="4" s="1"/>
  <c r="AN105" i="1" s="1"/>
  <c r="AM37" i="1"/>
  <c r="BX75" i="1"/>
  <c r="AM36" i="1"/>
  <c r="AM264" i="1" s="1"/>
  <c r="BX173" i="1"/>
  <c r="BY173" i="1" s="1"/>
  <c r="BZ235" i="1" s="1"/>
  <c r="O43" i="1"/>
  <c r="B63" i="1"/>
  <c r="BX101" i="1"/>
  <c r="AL73" i="1"/>
  <c r="AM53" i="1"/>
  <c r="AJ75" i="1"/>
  <c r="BX178" i="1"/>
  <c r="C48" i="1"/>
  <c r="BX176" i="1"/>
  <c r="BY176" i="1" s="1"/>
  <c r="E73" i="1"/>
  <c r="M37" i="1"/>
  <c r="HZ16" i="4" s="1"/>
  <c r="AK42" i="1"/>
  <c r="AJ42" i="1"/>
  <c r="BJ52" i="1"/>
  <c r="AL37" i="1"/>
  <c r="HR9" i="4" s="1"/>
  <c r="AL74" i="1"/>
  <c r="AL75" i="1"/>
  <c r="AJ74" i="1"/>
  <c r="BX60" i="1"/>
  <c r="BX227" i="1" s="1"/>
  <c r="AK67" i="1"/>
  <c r="AJ36" i="1"/>
  <c r="AJ264" i="1" s="1"/>
  <c r="AK79" i="1"/>
  <c r="AJ52" i="1"/>
  <c r="AK37" i="1"/>
  <c r="AK75" i="1"/>
  <c r="AK64" i="1"/>
  <c r="B67" i="1"/>
  <c r="W75" i="1"/>
  <c r="BX197" i="1"/>
  <c r="BY197" i="1" s="1"/>
  <c r="S41" i="1"/>
  <c r="O64" i="1"/>
  <c r="B48" i="1"/>
  <c r="D63" i="1"/>
  <c r="K36" i="1"/>
  <c r="K264" i="1" s="1"/>
  <c r="F41" i="1"/>
  <c r="O73" i="1"/>
  <c r="G41" i="1"/>
  <c r="E50" i="1"/>
  <c r="C74" i="1"/>
  <c r="G60" i="1"/>
  <c r="G227" i="1" s="1"/>
  <c r="F64" i="1"/>
  <c r="T52" i="1"/>
  <c r="W165" i="1"/>
  <c r="R51" i="1"/>
  <c r="I37" i="1"/>
  <c r="M48" i="1"/>
  <c r="M79" i="1"/>
  <c r="V43" i="1"/>
  <c r="H50" i="1"/>
  <c r="J49" i="1"/>
  <c r="O63" i="1"/>
  <c r="T41" i="1"/>
  <c r="T64" i="1"/>
  <c r="S43" i="1"/>
  <c r="E36" i="1"/>
  <c r="E264" i="1" s="1"/>
  <c r="Q74" i="1"/>
  <c r="J74" i="1"/>
  <c r="P160" i="1"/>
  <c r="C73" i="1"/>
  <c r="M41" i="1"/>
  <c r="F49" i="1"/>
  <c r="C50" i="1"/>
  <c r="W50" i="1"/>
  <c r="S79" i="1"/>
  <c r="W60" i="1"/>
  <c r="N41" i="1"/>
  <c r="O36" i="1"/>
  <c r="O264" i="1" s="1"/>
  <c r="G36" i="1"/>
  <c r="G264" i="1" s="1"/>
  <c r="K73" i="1"/>
  <c r="I64" i="1"/>
  <c r="S67" i="1"/>
  <c r="I51" i="1"/>
  <c r="E79" i="1"/>
  <c r="J63" i="1"/>
  <c r="F74" i="1"/>
  <c r="P67" i="1"/>
  <c r="K43" i="1"/>
  <c r="R64" i="1"/>
  <c r="L53" i="1"/>
  <c r="T43" i="1"/>
  <c r="IX9" i="4" s="1"/>
  <c r="JD16" i="4" s="1"/>
  <c r="JD21" i="4" s="1"/>
  <c r="BX105" i="1" s="1"/>
  <c r="BX74" i="1"/>
  <c r="BX41" i="1"/>
  <c r="AM63" i="1"/>
  <c r="AM50" i="1"/>
  <c r="BX52" i="1"/>
  <c r="AM51" i="1"/>
  <c r="AL42" i="1"/>
  <c r="AL64" i="1"/>
  <c r="BJ41" i="1"/>
  <c r="BX73" i="1"/>
  <c r="M51" i="1"/>
  <c r="W43" i="1"/>
  <c r="C64" i="1"/>
  <c r="P186" i="1"/>
  <c r="G74" i="1"/>
  <c r="V50" i="1"/>
  <c r="BX192" i="1"/>
  <c r="P188" i="1"/>
  <c r="J53" i="1"/>
  <c r="D37" i="1"/>
  <c r="BY101" i="1"/>
  <c r="D49" i="1"/>
  <c r="L41" i="1"/>
  <c r="L37" i="1"/>
  <c r="O52" i="1"/>
  <c r="F48" i="1"/>
  <c r="G63" i="1"/>
  <c r="S75" i="1"/>
  <c r="V67" i="1"/>
  <c r="M74" i="1"/>
  <c r="Q52" i="1"/>
  <c r="N64" i="1"/>
  <c r="S51" i="1"/>
  <c r="M60" i="1"/>
  <c r="M227" i="1" s="1"/>
  <c r="N50" i="1"/>
  <c r="V49" i="1"/>
  <c r="U79" i="1"/>
  <c r="N36" i="1"/>
  <c r="N264" i="1" s="1"/>
  <c r="N37" i="1"/>
  <c r="J41" i="1"/>
  <c r="P53" i="1"/>
  <c r="T50" i="1"/>
  <c r="E52" i="1"/>
  <c r="BJ43" i="1"/>
  <c r="BX67" i="1"/>
  <c r="AK73" i="1"/>
  <c r="BX53" i="1"/>
  <c r="BJ42" i="1"/>
  <c r="AK74" i="1"/>
  <c r="AK63" i="1"/>
  <c r="AJ67" i="1"/>
  <c r="BX42" i="1"/>
  <c r="N48" i="1"/>
  <c r="K60" i="1"/>
  <c r="K227" i="1" s="1"/>
  <c r="G79" i="1"/>
  <c r="H41" i="1"/>
  <c r="U50" i="1"/>
  <c r="L67" i="1"/>
  <c r="Q41" i="1"/>
  <c r="BX165" i="1"/>
  <c r="Q49" i="1"/>
  <c r="I73" i="1"/>
  <c r="H64" i="1"/>
  <c r="G51" i="1"/>
  <c r="O79" i="1"/>
  <c r="L73" i="1"/>
  <c r="S50" i="1"/>
  <c r="K53" i="1"/>
  <c r="F60" i="1"/>
  <c r="U53" i="1"/>
  <c r="M50" i="1"/>
  <c r="I50" i="1"/>
  <c r="F73" i="1"/>
  <c r="Q63" i="1"/>
  <c r="C37" i="1"/>
  <c r="N43" i="1"/>
  <c r="Q75" i="1"/>
  <c r="N51" i="1"/>
  <c r="J73" i="1"/>
  <c r="N49" i="1"/>
  <c r="O37" i="1"/>
  <c r="K49" i="1"/>
  <c r="E192" i="1"/>
  <c r="H48" i="1"/>
  <c r="P36" i="1"/>
  <c r="P264" i="1" s="1"/>
  <c r="F63" i="1"/>
  <c r="L48" i="1"/>
  <c r="I41" i="1"/>
  <c r="BX155" i="1"/>
  <c r="BY155" i="1" s="1"/>
  <c r="U41" i="1"/>
  <c r="Q60" i="1"/>
  <c r="Q227" i="1" s="1"/>
  <c r="N63" i="1"/>
  <c r="D43" i="1"/>
  <c r="W67" i="1"/>
  <c r="E75" i="1"/>
  <c r="L52" i="1"/>
  <c r="Q48" i="1"/>
  <c r="F79" i="1"/>
  <c r="H49" i="1"/>
  <c r="H79" i="1"/>
  <c r="P60" i="1"/>
  <c r="P227" i="1" s="1"/>
  <c r="R50" i="1"/>
  <c r="J37" i="1"/>
  <c r="K50" i="1"/>
  <c r="U63" i="1"/>
  <c r="V79" i="1"/>
  <c r="R49" i="1"/>
  <c r="P48" i="1"/>
  <c r="C75" i="1"/>
  <c r="K74" i="1"/>
  <c r="J52" i="1"/>
  <c r="D50" i="1"/>
  <c r="T67" i="1"/>
  <c r="R43" i="1"/>
  <c r="B36" i="1"/>
  <c r="B264" i="1" s="1"/>
  <c r="W41" i="1"/>
  <c r="K63" i="1"/>
  <c r="P193" i="1"/>
  <c r="N73" i="1"/>
  <c r="T75" i="1"/>
  <c r="T60" i="1"/>
  <c r="T227" i="1" s="1"/>
  <c r="E63" i="1"/>
  <c r="F53" i="1"/>
  <c r="B43" i="1"/>
  <c r="L36" i="1"/>
  <c r="L264" i="1" s="1"/>
  <c r="E48" i="1"/>
  <c r="D60" i="1"/>
  <c r="D227" i="1" s="1"/>
  <c r="BX185" i="1"/>
  <c r="BY185" i="1" s="1"/>
  <c r="D53" i="1"/>
  <c r="P37" i="1"/>
  <c r="L49" i="1"/>
  <c r="H37" i="1"/>
  <c r="V37" i="1"/>
  <c r="V38" i="1" s="1"/>
  <c r="C53" i="1"/>
  <c r="U52" i="1"/>
  <c r="P75" i="1"/>
  <c r="H67" i="1"/>
  <c r="R36" i="1"/>
  <c r="R264" i="1" s="1"/>
  <c r="S53" i="1"/>
  <c r="F67" i="1"/>
  <c r="C79" i="1"/>
  <c r="M49" i="1"/>
  <c r="C51" i="1"/>
  <c r="V73" i="1"/>
  <c r="O48" i="1"/>
  <c r="G196" i="1"/>
  <c r="T79" i="1"/>
  <c r="O51" i="1"/>
  <c r="V52" i="1"/>
  <c r="N79" i="1"/>
  <c r="F50" i="1"/>
  <c r="T51" i="1"/>
  <c r="F36" i="1"/>
  <c r="D74" i="1"/>
  <c r="W37" i="1"/>
  <c r="W38" i="1" s="1"/>
  <c r="BX151" i="1"/>
  <c r="BY151" i="1" s="1"/>
  <c r="B37" i="1"/>
  <c r="P73" i="1"/>
  <c r="V48" i="1"/>
  <c r="C52" i="1"/>
  <c r="D51" i="1"/>
  <c r="L51" i="1"/>
  <c r="R37" i="1"/>
  <c r="O67" i="1"/>
  <c r="G53" i="1"/>
  <c r="G37" i="1"/>
  <c r="S52" i="1"/>
  <c r="O74" i="1"/>
  <c r="V75" i="1"/>
  <c r="V41" i="1"/>
  <c r="T37" i="1"/>
  <c r="G186" i="1"/>
  <c r="C43" i="1"/>
  <c r="G52" i="1"/>
  <c r="H51" i="1"/>
  <c r="P43" i="1"/>
  <c r="R52" i="1"/>
  <c r="E49" i="1"/>
  <c r="P74" i="1"/>
  <c r="T53" i="1"/>
  <c r="I74" i="1"/>
  <c r="F75" i="1"/>
  <c r="M53" i="1"/>
  <c r="T63" i="1"/>
  <c r="T48" i="1"/>
  <c r="P50" i="1"/>
  <c r="H63" i="1"/>
  <c r="U75" i="1"/>
  <c r="AK51" i="1"/>
  <c r="AL67" i="1"/>
  <c r="BX196" i="1"/>
  <c r="BY196" i="1" s="1"/>
  <c r="U64" i="1"/>
  <c r="U285" i="1" s="1"/>
  <c r="S49" i="1"/>
  <c r="B51" i="1"/>
  <c r="BX179" i="1"/>
  <c r="BY179" i="1" s="1"/>
  <c r="W73" i="1"/>
  <c r="BX164" i="1"/>
  <c r="BX102" i="1"/>
  <c r="BX159" i="1"/>
  <c r="BY159" i="1" s="1"/>
  <c r="K41" i="1"/>
  <c r="BX186" i="1"/>
  <c r="B64" i="1"/>
  <c r="B79" i="1"/>
  <c r="V74" i="1"/>
  <c r="L43" i="1"/>
  <c r="K51" i="1"/>
  <c r="I43" i="1"/>
  <c r="D75" i="1"/>
  <c r="S37" i="1"/>
  <c r="N67" i="1"/>
  <c r="C49" i="1"/>
  <c r="D48" i="1"/>
  <c r="J75" i="1"/>
  <c r="B49" i="1"/>
  <c r="Q186" i="1"/>
  <c r="W63" i="1"/>
  <c r="C157" i="1"/>
  <c r="U43" i="1"/>
  <c r="T36" i="1"/>
  <c r="T264" i="1" s="1"/>
  <c r="W150" i="1"/>
  <c r="R79" i="1"/>
  <c r="BX183" i="1"/>
  <c r="BY183" i="1" s="1"/>
  <c r="I48" i="1"/>
  <c r="S73" i="1"/>
  <c r="BX168" i="1"/>
  <c r="BY168" i="1" s="1"/>
  <c r="BX160" i="1"/>
  <c r="BY160" i="1" s="1"/>
  <c r="BX150" i="1"/>
  <c r="BY150" i="1" s="1"/>
  <c r="G73" i="1"/>
  <c r="K67" i="1"/>
  <c r="J36" i="1"/>
  <c r="B73" i="1"/>
  <c r="E74" i="1"/>
  <c r="L75" i="1"/>
  <c r="Q51" i="1"/>
  <c r="S60" i="1"/>
  <c r="S227" i="1" s="1"/>
  <c r="E64" i="1"/>
  <c r="W51" i="1"/>
  <c r="I36" i="1"/>
  <c r="I264" i="1" s="1"/>
  <c r="E41" i="1"/>
  <c r="H73" i="1"/>
  <c r="U74" i="1"/>
  <c r="Q36" i="1"/>
  <c r="Q53" i="1"/>
  <c r="J43" i="1"/>
  <c r="E60" i="1"/>
  <c r="E227" i="1" s="1"/>
  <c r="O60" i="1"/>
  <c r="O227" i="1" s="1"/>
  <c r="U37" i="1"/>
  <c r="U38" i="1" s="1"/>
  <c r="G75" i="1"/>
  <c r="W48" i="1"/>
  <c r="R60" i="1"/>
  <c r="R227" i="1" s="1"/>
  <c r="I53" i="1"/>
  <c r="H60" i="1"/>
  <c r="H227" i="1" s="1"/>
  <c r="W74" i="1"/>
  <c r="IY14" i="4" s="1"/>
  <c r="JH16" i="4" s="1"/>
  <c r="JH21" i="4" s="1"/>
  <c r="CB105" i="1" s="1"/>
  <c r="IS8" i="4" s="1"/>
  <c r="HX9" i="4" s="1"/>
  <c r="BJ36" i="1"/>
  <c r="BJ264" i="1" s="1"/>
  <c r="AL63" i="1"/>
  <c r="BX37" i="1"/>
  <c r="AJ63" i="1"/>
  <c r="AK36" i="1"/>
  <c r="AJ49" i="1"/>
  <c r="BX50" i="1"/>
  <c r="AL53" i="1"/>
  <c r="BX184" i="1"/>
  <c r="BY184" i="1" s="1"/>
  <c r="R41" i="1"/>
  <c r="U60" i="1"/>
  <c r="B74" i="1"/>
  <c r="F43" i="1"/>
  <c r="C67" i="1"/>
  <c r="BX180" i="1"/>
  <c r="BY180" i="1" s="1"/>
  <c r="S64" i="1"/>
  <c r="BX188" i="1"/>
  <c r="BY188" i="1" s="1"/>
  <c r="BX182" i="1"/>
  <c r="BY182" i="1" s="1"/>
  <c r="L63" i="1"/>
  <c r="K64" i="1"/>
  <c r="K48" i="1"/>
  <c r="D36" i="1"/>
  <c r="D264" i="1" s="1"/>
  <c r="J152" i="1"/>
  <c r="D41" i="1"/>
  <c r="P63" i="1"/>
  <c r="V60" i="1"/>
  <c r="E43" i="1"/>
  <c r="W53" i="1"/>
  <c r="W64" i="1"/>
  <c r="W285" i="1" s="1"/>
  <c r="E37" i="1"/>
  <c r="H75" i="1"/>
  <c r="R67" i="1"/>
  <c r="L60" i="1"/>
  <c r="V53" i="1"/>
  <c r="L64" i="1"/>
  <c r="D67" i="1"/>
  <c r="Q73" i="1"/>
  <c r="G50" i="1"/>
  <c r="V63" i="1"/>
  <c r="L50" i="1"/>
  <c r="W52" i="1"/>
  <c r="K79" i="1"/>
  <c r="Q43" i="1"/>
  <c r="Q64" i="1"/>
  <c r="R74" i="1"/>
  <c r="Q79" i="1"/>
  <c r="F51" i="1"/>
  <c r="T49" i="1"/>
  <c r="F37" i="1"/>
  <c r="R73" i="1"/>
  <c r="U73" i="1"/>
  <c r="BX170" i="1"/>
  <c r="BY170" i="1" s="1"/>
  <c r="H36" i="1"/>
  <c r="H264" i="1" s="1"/>
  <c r="M52" i="1"/>
  <c r="BL102" i="1"/>
  <c r="BX166" i="1"/>
  <c r="R53" i="1"/>
  <c r="P64" i="1"/>
  <c r="I79" i="1"/>
  <c r="C60" i="1"/>
  <c r="C227" i="1" s="1"/>
  <c r="P52" i="1"/>
  <c r="M67" i="1"/>
  <c r="D64" i="1"/>
  <c r="O41" i="1"/>
  <c r="L79" i="1"/>
  <c r="O50" i="1"/>
  <c r="C63" i="1"/>
  <c r="J79" i="1"/>
  <c r="N53" i="1"/>
  <c r="B60" i="1"/>
  <c r="B50" i="1"/>
  <c r="L74" i="1"/>
  <c r="P49" i="1"/>
  <c r="N74" i="1"/>
  <c r="H53" i="1"/>
  <c r="G67" i="1"/>
  <c r="K37" i="1"/>
  <c r="P79" i="1"/>
  <c r="I52" i="1"/>
  <c r="D73" i="1"/>
  <c r="K75" i="1"/>
  <c r="N52" i="1"/>
  <c r="G49" i="1"/>
  <c r="HV8" i="4" s="1"/>
  <c r="JI7" i="4" s="1"/>
  <c r="IB16" i="4" s="1"/>
  <c r="IB21" i="4" s="1"/>
  <c r="AV105" i="1" s="1"/>
  <c r="JD8" i="4" s="1"/>
  <c r="IZ8" i="4" s="1"/>
  <c r="IM7" i="4" s="1"/>
  <c r="JA14" i="4" s="1"/>
  <c r="ID14" i="4" s="1"/>
  <c r="IR15" i="4" s="1"/>
  <c r="AM64" i="1"/>
  <c r="AM67" i="1"/>
  <c r="AM48" i="1"/>
  <c r="AM60" i="1"/>
  <c r="AM227" i="1" s="1"/>
  <c r="AJ79" i="1"/>
  <c r="AK49" i="1"/>
  <c r="AL51" i="1"/>
  <c r="AK41" i="1"/>
  <c r="AK43" i="1"/>
  <c r="AL41" i="1"/>
  <c r="E53" i="1"/>
  <c r="E67" i="1"/>
  <c r="Q67" i="1"/>
  <c r="D52" i="1"/>
  <c r="BX158" i="1"/>
  <c r="BY158" i="1" s="1"/>
  <c r="R75" i="1"/>
  <c r="R48" i="1"/>
  <c r="U67" i="1"/>
  <c r="M43" i="1"/>
  <c r="I75" i="1"/>
  <c r="BX157" i="1"/>
  <c r="BY157" i="1" s="1"/>
  <c r="S63" i="1"/>
  <c r="M63" i="1"/>
  <c r="B75" i="1"/>
  <c r="W49" i="1"/>
  <c r="H74" i="1"/>
  <c r="O75" i="1"/>
  <c r="P51" i="1"/>
  <c r="N75" i="1"/>
  <c r="J67" i="1"/>
  <c r="O49" i="1"/>
  <c r="J64" i="1"/>
  <c r="D79" i="1"/>
  <c r="R63" i="1"/>
  <c r="U48" i="1"/>
  <c r="H43" i="1"/>
  <c r="S74" i="1"/>
  <c r="P41" i="1"/>
  <c r="M64" i="1"/>
  <c r="M285" i="1" s="1"/>
  <c r="M75" i="1"/>
  <c r="N60" i="1"/>
  <c r="N227" i="1" s="1"/>
  <c r="K52" i="1"/>
  <c r="I60" i="1"/>
  <c r="G43" i="1"/>
  <c r="C36" i="1"/>
  <c r="C264" i="1" s="1"/>
  <c r="V64" i="1"/>
  <c r="V285" i="1" s="1"/>
  <c r="AL188" i="1"/>
  <c r="AM188" i="1" s="1"/>
  <c r="AL102" i="1"/>
  <c r="AJ157" i="1"/>
  <c r="AK157" i="1" s="1"/>
  <c r="AJ196" i="1"/>
  <c r="AK196" i="1" s="1"/>
  <c r="AJ160" i="1"/>
  <c r="AK160" i="1" s="1"/>
  <c r="AJ192" i="1"/>
  <c r="AJ155" i="1"/>
  <c r="AK155" i="1" s="1"/>
  <c r="AL178" i="1"/>
  <c r="AL183" i="1"/>
  <c r="AM183" i="1" s="1"/>
  <c r="AL175" i="1"/>
  <c r="AM175" i="1" s="1"/>
  <c r="AL164" i="1"/>
  <c r="AL158" i="1"/>
  <c r="AM158" i="1" s="1"/>
  <c r="AL197" i="1"/>
  <c r="AM197" i="1" s="1"/>
  <c r="AL182" i="1"/>
  <c r="AM182" i="1" s="1"/>
  <c r="AL152" i="1"/>
  <c r="AJ183" i="1"/>
  <c r="AK183" i="1" s="1"/>
  <c r="AJ186" i="1"/>
  <c r="AJ184" i="1"/>
  <c r="AK184" i="1" s="1"/>
  <c r="AL168" i="1"/>
  <c r="AM168" i="1" s="1"/>
  <c r="AJ182" i="1"/>
  <c r="AK182" i="1" s="1"/>
  <c r="AL196" i="1"/>
  <c r="AM196" i="1" s="1"/>
  <c r="AJ185" i="1"/>
  <c r="AK185" i="1" s="1"/>
  <c r="AJ175" i="1"/>
  <c r="AK175" i="1" s="1"/>
  <c r="AJ187" i="1"/>
  <c r="AK187" i="1" s="1"/>
  <c r="AL184" i="1"/>
  <c r="AM184" i="1" s="1"/>
  <c r="AL155" i="1"/>
  <c r="AM155" i="1" s="1"/>
  <c r="AL186" i="1"/>
  <c r="AL179" i="1"/>
  <c r="AM179" i="1" s="1"/>
  <c r="AL185" i="1"/>
  <c r="AM185" i="1" s="1"/>
  <c r="AL192" i="1"/>
  <c r="AL177" i="1"/>
  <c r="AJ166" i="1"/>
  <c r="AJ177" i="1"/>
  <c r="AJ178" i="1"/>
  <c r="AJ193" i="1"/>
  <c r="AJ152" i="1"/>
  <c r="AJ179" i="1"/>
  <c r="AK179" i="1" s="1"/>
  <c r="AJ158" i="1"/>
  <c r="AK158" i="1" s="1"/>
  <c r="AL187" i="1"/>
  <c r="AM187" i="1" s="1"/>
  <c r="AJ150" i="1"/>
  <c r="AK150" i="1" s="1"/>
  <c r="AL159" i="1"/>
  <c r="AM159" i="1" s="1"/>
  <c r="AL151" i="1"/>
  <c r="AM151" i="1" s="1"/>
  <c r="AL157" i="1"/>
  <c r="AM157" i="1" s="1"/>
  <c r="AL165" i="1"/>
  <c r="AL193" i="1"/>
  <c r="AL160" i="1"/>
  <c r="AM160" i="1" s="1"/>
  <c r="AL101" i="1"/>
  <c r="AL180" i="1"/>
  <c r="AM180" i="1" s="1"/>
  <c r="AJ197" i="1"/>
  <c r="AK197" i="1" s="1"/>
  <c r="AJ159" i="1"/>
  <c r="AK159" i="1" s="1"/>
  <c r="AJ165" i="1"/>
  <c r="AJ188" i="1"/>
  <c r="AK188" i="1" s="1"/>
  <c r="AJ151" i="1"/>
  <c r="AK151" i="1" s="1"/>
  <c r="AJ173" i="1"/>
  <c r="AK173" i="1" s="1"/>
  <c r="AL173" i="1"/>
  <c r="AM173" i="1" s="1"/>
  <c r="AM235" i="1" s="1"/>
  <c r="AJ164" i="1"/>
  <c r="AJ168" i="1"/>
  <c r="AK168" i="1" s="1"/>
  <c r="AJ180" i="1"/>
  <c r="AK180" i="1" s="1"/>
  <c r="AJ176" i="1"/>
  <c r="AK176" i="1" s="1"/>
  <c r="AJ170" i="1"/>
  <c r="AK170" i="1" s="1"/>
  <c r="AL170" i="1"/>
  <c r="AM170" i="1" s="1"/>
  <c r="AL176" i="1"/>
  <c r="IL15" i="4"/>
  <c r="JE15" i="4"/>
  <c r="IF14" i="4"/>
  <c r="JI14" i="4"/>
  <c r="HQ8" i="4"/>
  <c r="IF7" i="4"/>
  <c r="JC7" i="4"/>
  <c r="JC8" i="4"/>
  <c r="HV7" i="4"/>
  <c r="IN7" i="4"/>
  <c r="HV14" i="4"/>
  <c r="JH7" i="4"/>
  <c r="IQ15" i="4"/>
  <c r="JD7" i="4"/>
  <c r="IV14" i="4"/>
  <c r="IX14" i="4"/>
  <c r="HY8" i="4"/>
  <c r="IU15" i="4"/>
  <c r="HV15" i="4"/>
  <c r="IU8" i="4"/>
  <c r="HS7" i="4"/>
  <c r="JB8" i="4"/>
  <c r="IW8" i="4"/>
  <c r="JA7" i="4"/>
  <c r="HS14" i="4"/>
  <c r="IE7" i="4"/>
  <c r="JI15" i="4"/>
  <c r="JG14" i="4"/>
  <c r="IQ8" i="4"/>
  <c r="IB15" i="4"/>
  <c r="IB7" i="4"/>
  <c r="HX14" i="4"/>
  <c r="JF7" i="4"/>
  <c r="HT7" i="4"/>
  <c r="HX8" i="4"/>
  <c r="IK15" i="4"/>
  <c r="JD14" i="4"/>
  <c r="JE8" i="4"/>
  <c r="HY14" i="4"/>
  <c r="IN14" i="4"/>
  <c r="IE8" i="4"/>
  <c r="HZ15" i="4"/>
  <c r="IF15" i="4"/>
  <c r="IW15" i="4"/>
  <c r="IO14" i="4"/>
  <c r="IO7" i="4"/>
  <c r="HW8" i="4"/>
  <c r="IY7" i="4"/>
  <c r="IG14" i="4"/>
  <c r="HY15" i="4"/>
  <c r="IS14" i="4"/>
  <c r="IY8" i="4"/>
  <c r="IV7" i="4"/>
  <c r="HR21" i="4"/>
  <c r="AL105" i="1" s="1"/>
  <c r="HU7" i="4"/>
  <c r="IA7" i="4"/>
  <c r="IB8" i="4"/>
  <c r="IE15" i="4"/>
  <c r="HS15" i="4"/>
  <c r="ID7" i="4"/>
  <c r="II8" i="4"/>
  <c r="IC7" i="4"/>
  <c r="JA15" i="4"/>
  <c r="HW14" i="4"/>
  <c r="HQ7" i="4"/>
  <c r="IX8" i="4"/>
  <c r="IM8" i="4"/>
  <c r="IH14" i="4"/>
  <c r="IU7" i="4"/>
  <c r="IM14" i="4"/>
  <c r="JD15" i="4"/>
  <c r="IP14" i="4"/>
  <c r="IH7" i="4"/>
  <c r="JF14" i="4"/>
  <c r="IM15" i="4"/>
  <c r="HS8" i="4"/>
  <c r="HU15" i="4"/>
  <c r="IL8" i="4"/>
  <c r="IS7" i="4"/>
  <c r="IK8" i="4"/>
  <c r="HT8" i="4"/>
  <c r="IS21" i="4"/>
  <c r="BM105" i="1" s="1"/>
  <c r="IR7" i="4"/>
  <c r="IJ14" i="4"/>
  <c r="IR21" i="4"/>
  <c r="BL105" i="1" s="1"/>
  <c r="BL122" i="1" s="1"/>
  <c r="JC15" i="4"/>
  <c r="HP14" i="4"/>
  <c r="IQ7" i="4"/>
  <c r="JC14" i="4"/>
  <c r="IP7" i="4"/>
  <c r="IG15" i="4"/>
  <c r="JE14" i="4"/>
  <c r="HP7" i="4"/>
  <c r="HP19" i="4" s="1"/>
  <c r="AJ106" i="1" s="1"/>
  <c r="IS15" i="4"/>
  <c r="IW7" i="4"/>
  <c r="JG8" i="4"/>
  <c r="IT14" i="4"/>
  <c r="IH15" i="4"/>
  <c r="JG7" i="4"/>
  <c r="IF8" i="4"/>
  <c r="IX7" i="4"/>
  <c r="IL14" i="4"/>
  <c r="IC14" i="4"/>
  <c r="HZ7" i="4"/>
  <c r="HX7" i="4"/>
  <c r="ID15" i="4"/>
  <c r="ID8" i="4"/>
  <c r="HU14" i="4"/>
  <c r="II7" i="4"/>
  <c r="HP15" i="4"/>
  <c r="JE7" i="4"/>
  <c r="IW14" i="4"/>
  <c r="IO8" i="4"/>
  <c r="HT14" i="4"/>
  <c r="HW15" i="4"/>
  <c r="HT15" i="4"/>
  <c r="IT8" i="4"/>
  <c r="IK7" i="4"/>
  <c r="IV8" i="4"/>
  <c r="IC15" i="4"/>
  <c r="IC20" i="4" s="1"/>
  <c r="AW107" i="1" s="1"/>
  <c r="AW136" i="1" s="1"/>
  <c r="JB14" i="4"/>
  <c r="JB19" i="4" s="1"/>
  <c r="BV106" i="1" s="1"/>
  <c r="BV135" i="1" s="1"/>
  <c r="HR7" i="4"/>
  <c r="IZ7" i="4"/>
  <c r="IR8" i="4"/>
  <c r="HY7" i="4"/>
  <c r="IT7" i="4"/>
  <c r="IQ14" i="4"/>
  <c r="HX15" i="4"/>
  <c r="HX20" i="4" s="1"/>
  <c r="AR107" i="1" s="1"/>
  <c r="AR136" i="1" s="1"/>
  <c r="II14" i="4"/>
  <c r="HR14" i="4"/>
  <c r="IA15" i="4"/>
  <c r="IG8" i="4"/>
  <c r="IJ15" i="4"/>
  <c r="IZ14" i="4"/>
  <c r="IZ19" i="4" s="1"/>
  <c r="BT106" i="1" s="1"/>
  <c r="BT135" i="1" s="1"/>
  <c r="IK14" i="4"/>
  <c r="IK19" i="4" s="1"/>
  <c r="BE106" i="1" s="1"/>
  <c r="BE135" i="1" s="1"/>
  <c r="HQ15" i="4"/>
  <c r="HU8" i="4"/>
  <c r="IV21" i="4"/>
  <c r="BP105" i="1" s="1"/>
  <c r="IR14" i="4"/>
  <c r="IT15" i="4"/>
  <c r="IT20" i="4" s="1"/>
  <c r="BN107" i="1" s="1"/>
  <c r="BN136" i="1" s="1"/>
  <c r="IA8" i="4"/>
  <c r="HP8" i="4"/>
  <c r="IY15" i="4"/>
  <c r="IY20" i="4" s="1"/>
  <c r="BS107" i="1" s="1"/>
  <c r="BS136" i="1" s="1"/>
  <c r="JG15" i="4"/>
  <c r="JG20" i="4" s="1"/>
  <c r="CA107" i="1" s="1"/>
  <c r="JH8" i="4"/>
  <c r="HQ14" i="4"/>
  <c r="HQ19" i="4" s="1"/>
  <c r="AK106" i="1" s="1"/>
  <c r="IP8" i="4"/>
  <c r="IL7" i="4"/>
  <c r="JF8" i="4"/>
  <c r="IU14" i="4"/>
  <c r="IB14" i="4"/>
  <c r="JF15" i="4"/>
  <c r="IG7" i="4"/>
  <c r="IJ8" i="4"/>
  <c r="HR15" i="4"/>
  <c r="IX21" i="4"/>
  <c r="BR105" i="1" s="1"/>
  <c r="HW7" i="4"/>
  <c r="IN8" i="4"/>
  <c r="BX285" i="1"/>
  <c r="BX264" i="1"/>
  <c r="CM60" i="1"/>
  <c r="AB105" i="1"/>
  <c r="CQ105" i="1"/>
  <c r="AC173" i="1"/>
  <c r="CN93" i="1"/>
  <c r="CO91" i="1"/>
  <c r="B285" i="1" l="1"/>
  <c r="IY21" i="4"/>
  <c r="BS105" i="1" s="1"/>
  <c r="P286" i="1"/>
  <c r="Q216" i="1"/>
  <c r="H286" i="1"/>
  <c r="Q264" i="1"/>
  <c r="P285" i="1"/>
  <c r="U44" i="1"/>
  <c r="U45" i="1" s="1"/>
  <c r="J38" i="1"/>
  <c r="AL54" i="1"/>
  <c r="L286" i="1"/>
  <c r="BX213" i="1"/>
  <c r="BY213" i="1" s="1"/>
  <c r="BX38" i="1"/>
  <c r="BX286" i="1"/>
  <c r="U126" i="1"/>
  <c r="V221" i="1"/>
  <c r="AJ212" i="1"/>
  <c r="V39" i="1"/>
  <c r="D285" i="1"/>
  <c r="Q286" i="1"/>
  <c r="R286" i="1"/>
  <c r="T286" i="1"/>
  <c r="S286" i="1"/>
  <c r="T285" i="1"/>
  <c r="AJ216" i="1"/>
  <c r="L227" i="1"/>
  <c r="AM126" i="1"/>
  <c r="AM127" i="1" s="1"/>
  <c r="AM286" i="1"/>
  <c r="AM38" i="1"/>
  <c r="AM44" i="1" s="1"/>
  <c r="I285" i="1"/>
  <c r="I38" i="1"/>
  <c r="Q38" i="1"/>
  <c r="AJ65" i="1"/>
  <c r="B286" i="1"/>
  <c r="M286" i="1"/>
  <c r="L285" i="1"/>
  <c r="D286" i="1"/>
  <c r="K54" i="1"/>
  <c r="N285" i="1"/>
  <c r="R38" i="1"/>
  <c r="B38" i="1"/>
  <c r="B44" i="1" s="1"/>
  <c r="B45" i="1" s="1"/>
  <c r="T38" i="1"/>
  <c r="U39" i="1" s="1"/>
  <c r="G216" i="1"/>
  <c r="K285" i="1"/>
  <c r="AM54" i="1"/>
  <c r="AL216" i="1"/>
  <c r="AM216" i="1" s="1"/>
  <c r="IF20" i="4"/>
  <c r="AZ107" i="1" s="1"/>
  <c r="AZ136" i="1" s="1"/>
  <c r="HX19" i="4"/>
  <c r="AR106" i="1" s="1"/>
  <c r="AR135" i="1" s="1"/>
  <c r="IV20" i="4"/>
  <c r="BP107" i="1" s="1"/>
  <c r="BP136" i="1" s="1"/>
  <c r="HY19" i="4"/>
  <c r="AS106" i="1" s="1"/>
  <c r="AS135" i="1" s="1"/>
  <c r="F285" i="1"/>
  <c r="G285" i="1"/>
  <c r="BX212" i="1"/>
  <c r="BY212" i="1" s="1"/>
  <c r="BX167" i="1"/>
  <c r="S285" i="1"/>
  <c r="AL264" i="1"/>
  <c r="E38" i="1"/>
  <c r="AJ54" i="1"/>
  <c r="V54" i="1"/>
  <c r="V55" i="1" s="1"/>
  <c r="J54" i="1"/>
  <c r="L54" i="1"/>
  <c r="M38" i="1"/>
  <c r="K286" i="1"/>
  <c r="K38" i="1"/>
  <c r="K126" i="1" s="1"/>
  <c r="AL38" i="1"/>
  <c r="AL55" i="1" s="1"/>
  <c r="L38" i="1"/>
  <c r="W39" i="1"/>
  <c r="H38" i="1"/>
  <c r="N38" i="1"/>
  <c r="W221" i="1"/>
  <c r="AJ61" i="1"/>
  <c r="I54" i="1"/>
  <c r="C54" i="1"/>
  <c r="F54" i="1"/>
  <c r="S54" i="1"/>
  <c r="AJ38" i="1"/>
  <c r="AJ44" i="1" s="1"/>
  <c r="AJ45" i="1" s="1"/>
  <c r="O54" i="1"/>
  <c r="G54" i="1"/>
  <c r="E54" i="1"/>
  <c r="R54" i="1"/>
  <c r="AL285" i="1"/>
  <c r="BX44" i="1"/>
  <c r="BX216" i="1"/>
  <c r="BY216" i="1" s="1"/>
  <c r="BY161" i="1"/>
  <c r="BZ239" i="1" s="1"/>
  <c r="G286" i="1"/>
  <c r="G38" i="1"/>
  <c r="G44" i="1" s="1"/>
  <c r="O286" i="1"/>
  <c r="D38" i="1"/>
  <c r="BX161" i="1"/>
  <c r="BJ212" i="1"/>
  <c r="BK212" i="1" s="1"/>
  <c r="BX54" i="1"/>
  <c r="Q285" i="1"/>
  <c r="O38" i="1"/>
  <c r="P38" i="1"/>
  <c r="T54" i="1"/>
  <c r="P54" i="1"/>
  <c r="IR20" i="4"/>
  <c r="BL107" i="1" s="1"/>
  <c r="BL124" i="1" s="1"/>
  <c r="Q54" i="1"/>
  <c r="R285" i="1"/>
  <c r="N54" i="1"/>
  <c r="D54" i="1"/>
  <c r="S38" i="1"/>
  <c r="AM285" i="1"/>
  <c r="H54" i="1"/>
  <c r="H285" i="1"/>
  <c r="B54" i="1"/>
  <c r="M44" i="1"/>
  <c r="M45" i="1" s="1"/>
  <c r="AK54" i="1"/>
  <c r="C286" i="1"/>
  <c r="N286" i="1"/>
  <c r="AL44" i="1"/>
  <c r="AL45" i="1" s="1"/>
  <c r="U54" i="1"/>
  <c r="H44" i="1"/>
  <c r="H45" i="1" s="1"/>
  <c r="J285" i="1"/>
  <c r="BY153" i="1"/>
  <c r="BX194" i="1"/>
  <c r="BY242" i="1" s="1"/>
  <c r="AL213" i="1"/>
  <c r="AM213" i="1" s="1"/>
  <c r="AL212" i="1"/>
  <c r="AM212" i="1" s="1"/>
  <c r="BX153" i="1"/>
  <c r="BX120" i="1" s="1"/>
  <c r="BX181" i="1"/>
  <c r="BX215" i="1" s="1"/>
  <c r="BX189" i="1"/>
  <c r="BX218" i="1" s="1"/>
  <c r="IA21" i="4"/>
  <c r="AU105" i="1" s="1"/>
  <c r="IU16" i="4"/>
  <c r="IW21" i="4"/>
  <c r="BQ105" i="1" s="1"/>
  <c r="HS16" i="4"/>
  <c r="HS21" i="4" s="1"/>
  <c r="AM105" i="1" s="1"/>
  <c r="IH21" i="4"/>
  <c r="BB105" i="1" s="1"/>
  <c r="IJ16" i="4"/>
  <c r="IJ21" i="4" s="1"/>
  <c r="BD105" i="1" s="1"/>
  <c r="IF21" i="4"/>
  <c r="AZ105" i="1" s="1"/>
  <c r="IN15" i="4"/>
  <c r="JA21" i="4"/>
  <c r="BU105" i="1" s="1"/>
  <c r="IP15" i="4"/>
  <c r="IM21" i="4"/>
  <c r="BG105" i="1" s="1"/>
  <c r="JH15" i="4"/>
  <c r="IO16" i="4"/>
  <c r="IZ21" i="4"/>
  <c r="BT105" i="1" s="1"/>
  <c r="HZ9" i="4"/>
  <c r="W227" i="1"/>
  <c r="W286" i="1"/>
  <c r="F227" i="1"/>
  <c r="F286" i="1"/>
  <c r="V44" i="1"/>
  <c r="V126" i="1"/>
  <c r="F38" i="1"/>
  <c r="F264" i="1"/>
  <c r="W126" i="1"/>
  <c r="W44" i="1"/>
  <c r="X221" i="1"/>
  <c r="X39" i="1"/>
  <c r="J264" i="1"/>
  <c r="J286" i="1"/>
  <c r="AK264" i="1"/>
  <c r="AK38" i="1"/>
  <c r="U227" i="1"/>
  <c r="U286" i="1"/>
  <c r="V286" i="1"/>
  <c r="V227" i="1"/>
  <c r="I286" i="1"/>
  <c r="I227" i="1"/>
  <c r="II21" i="4"/>
  <c r="BC105" i="1" s="1"/>
  <c r="JF9" i="4" s="1"/>
  <c r="O285" i="1"/>
  <c r="P216" i="1"/>
  <c r="IL19" i="4"/>
  <c r="BF106" i="1" s="1"/>
  <c r="BF135" i="1" s="1"/>
  <c r="BJ216" i="1"/>
  <c r="BK216" i="1" s="1"/>
  <c r="C285" i="1"/>
  <c r="W54" i="1"/>
  <c r="W55" i="1" s="1"/>
  <c r="BJ167" i="1"/>
  <c r="BJ194" i="1"/>
  <c r="BK242" i="1" s="1"/>
  <c r="M54" i="1"/>
  <c r="C38" i="1"/>
  <c r="ID20" i="4"/>
  <c r="AX107" i="1" s="1"/>
  <c r="AX136" i="1" s="1"/>
  <c r="HU19" i="4"/>
  <c r="AO106" i="1" s="1"/>
  <c r="AO135" i="1" s="1"/>
  <c r="HP20" i="4"/>
  <c r="AJ107" i="1" s="1"/>
  <c r="JE19" i="4"/>
  <c r="BY106" i="1" s="1"/>
  <c r="HT19" i="4"/>
  <c r="AN106" i="1" s="1"/>
  <c r="AN135" i="1" s="1"/>
  <c r="HW20" i="4"/>
  <c r="AQ107" i="1" s="1"/>
  <c r="AQ136" i="1" s="1"/>
  <c r="IA20" i="4"/>
  <c r="AU107" i="1" s="1"/>
  <c r="AU136" i="1" s="1"/>
  <c r="IJ20" i="4"/>
  <c r="BD107" i="1" s="1"/>
  <c r="BD136" i="1" s="1"/>
  <c r="BK150" i="1"/>
  <c r="BJ153" i="1"/>
  <c r="AJ194" i="1"/>
  <c r="AK242" i="1" s="1"/>
  <c r="AM161" i="1"/>
  <c r="AL194" i="1"/>
  <c r="AM242" i="1" s="1"/>
  <c r="BJ189" i="1"/>
  <c r="BJ218" i="1" s="1"/>
  <c r="AL167" i="1"/>
  <c r="AM167" i="1" s="1"/>
  <c r="AM171" i="1" s="1"/>
  <c r="BK182" i="1"/>
  <c r="BJ161" i="1"/>
  <c r="AJ161" i="1"/>
  <c r="AL189" i="1"/>
  <c r="AL218" i="1" s="1"/>
  <c r="AJ235" i="1"/>
  <c r="AL153" i="1"/>
  <c r="AL161" i="1"/>
  <c r="AI229" i="1"/>
  <c r="AI231" i="1" s="1"/>
  <c r="AJ167" i="1"/>
  <c r="AK61" i="1" s="1"/>
  <c r="AJ181" i="1"/>
  <c r="AJ213" i="1"/>
  <c r="AK213" i="1" s="1"/>
  <c r="AK161" i="1"/>
  <c r="AJ153" i="1"/>
  <c r="AJ189" i="1"/>
  <c r="BK176" i="1"/>
  <c r="BJ181" i="1"/>
  <c r="AM176" i="1"/>
  <c r="AL181" i="1"/>
  <c r="CB122" i="1"/>
  <c r="CB130" i="1"/>
  <c r="CB113" i="1"/>
  <c r="IU20" i="4"/>
  <c r="BO107" i="1" s="1"/>
  <c r="BO136" i="1" s="1"/>
  <c r="JF19" i="4"/>
  <c r="BZ106" i="1" s="1"/>
  <c r="IF19" i="4"/>
  <c r="AZ106" i="1" s="1"/>
  <c r="AZ135" i="1" s="1"/>
  <c r="IL20" i="4"/>
  <c r="BF107" i="1" s="1"/>
  <c r="BF136" i="1" s="1"/>
  <c r="HR20" i="4"/>
  <c r="AL107" i="1" s="1"/>
  <c r="IX19" i="4"/>
  <c r="BR106" i="1" s="1"/>
  <c r="BR135" i="1" s="1"/>
  <c r="HS19" i="4"/>
  <c r="AM106" i="1" s="1"/>
  <c r="J44" i="1"/>
  <c r="J45" i="1" s="1"/>
  <c r="J126" i="1"/>
  <c r="IB19" i="4"/>
  <c r="AV106" i="1" s="1"/>
  <c r="AV135" i="1" s="1"/>
  <c r="JA19" i="4"/>
  <c r="BU106" i="1" s="1"/>
  <c r="BU135" i="1" s="1"/>
  <c r="JD19" i="4"/>
  <c r="BX106" i="1" s="1"/>
  <c r="JE20" i="4"/>
  <c r="BY107" i="1" s="1"/>
  <c r="BY136" i="1" s="1"/>
  <c r="IW20" i="4"/>
  <c r="BQ107" i="1" s="1"/>
  <c r="BQ136" i="1" s="1"/>
  <c r="II19" i="4"/>
  <c r="BC106" i="1" s="1"/>
  <c r="BC135" i="1" s="1"/>
  <c r="JC20" i="4"/>
  <c r="BW107" i="1" s="1"/>
  <c r="BW136" i="1" s="1"/>
  <c r="IA19" i="4"/>
  <c r="AU106" i="1" s="1"/>
  <c r="AU135" i="1" s="1"/>
  <c r="JC19" i="4"/>
  <c r="BW106" i="1" s="1"/>
  <c r="BW135" i="1" s="1"/>
  <c r="II20" i="4"/>
  <c r="BC107" i="1" s="1"/>
  <c r="BC136" i="1" s="1"/>
  <c r="IC19" i="4"/>
  <c r="AW106" i="1" s="1"/>
  <c r="AW135" i="1" s="1"/>
  <c r="IS20" i="4"/>
  <c r="BM107" i="1" s="1"/>
  <c r="BM136" i="1" s="1"/>
  <c r="IR19" i="4"/>
  <c r="BL106" i="1" s="1"/>
  <c r="HQ20" i="4"/>
  <c r="AK107" i="1" s="1"/>
  <c r="HV20" i="4"/>
  <c r="AP107" i="1" s="1"/>
  <c r="AP136" i="1" s="1"/>
  <c r="JH19" i="4"/>
  <c r="CB106" i="1" s="1"/>
  <c r="HY20" i="4"/>
  <c r="AS107" i="1" s="1"/>
  <c r="AS136" i="1" s="1"/>
  <c r="IN19" i="4"/>
  <c r="BH106" i="1" s="1"/>
  <c r="BH135" i="1" s="1"/>
  <c r="JI19" i="4"/>
  <c r="CC106" i="1" s="1"/>
  <c r="IM20" i="4"/>
  <c r="BG107" i="1" s="1"/>
  <c r="BG136" i="1" s="1"/>
  <c r="JB20" i="4"/>
  <c r="BV107" i="1" s="1"/>
  <c r="BV136" i="1" s="1"/>
  <c r="IV19" i="4"/>
  <c r="BP106" i="1" s="1"/>
  <c r="BP135" i="1" s="1"/>
  <c r="IS19" i="4"/>
  <c r="BM106" i="1" s="1"/>
  <c r="BM135" i="1" s="1"/>
  <c r="IX20" i="4"/>
  <c r="BR107" i="1" s="1"/>
  <c r="BR136" i="1" s="1"/>
  <c r="JF20" i="4"/>
  <c r="BZ107" i="1" s="1"/>
  <c r="HV19" i="4"/>
  <c r="AP106" i="1" s="1"/>
  <c r="AP135" i="1" s="1"/>
  <c r="JA20" i="4"/>
  <c r="BU107" i="1" s="1"/>
  <c r="BU136" i="1" s="1"/>
  <c r="ID19" i="4"/>
  <c r="AX106" i="1" s="1"/>
  <c r="AX135" i="1" s="1"/>
  <c r="IG19" i="4"/>
  <c r="BA106" i="1" s="1"/>
  <c r="BA135" i="1" s="1"/>
  <c r="IK20" i="4"/>
  <c r="BE107" i="1" s="1"/>
  <c r="BE136" i="1" s="1"/>
  <c r="IQ20" i="4"/>
  <c r="BK107" i="1" s="1"/>
  <c r="BK136" i="1" s="1"/>
  <c r="IP19" i="4"/>
  <c r="BJ106" i="1" s="1"/>
  <c r="BJ135" i="1" s="1"/>
  <c r="IE20" i="4"/>
  <c r="AY107" i="1" s="1"/>
  <c r="AY136" i="1" s="1"/>
  <c r="IY19" i="4"/>
  <c r="BS106" i="1" s="1"/>
  <c r="BS135" i="1" s="1"/>
  <c r="JG19" i="4"/>
  <c r="CA106" i="1" s="1"/>
  <c r="IU19" i="4"/>
  <c r="BO106" i="1" s="1"/>
  <c r="BO135" i="1" s="1"/>
  <c r="IQ19" i="4"/>
  <c r="BK106" i="1" s="1"/>
  <c r="BK135" i="1" s="1"/>
  <c r="IJ19" i="4"/>
  <c r="BD106" i="1" s="1"/>
  <c r="BD135" i="1" s="1"/>
  <c r="IO19" i="4"/>
  <c r="BI106" i="1" s="1"/>
  <c r="BI135" i="1" s="1"/>
  <c r="IB20" i="4"/>
  <c r="AV107" i="1" s="1"/>
  <c r="AV136" i="1" s="1"/>
  <c r="IM19" i="4"/>
  <c r="BG106" i="1" s="1"/>
  <c r="BG135" i="1" s="1"/>
  <c r="HW19" i="4"/>
  <c r="AQ106" i="1" s="1"/>
  <c r="AQ135" i="1" s="1"/>
  <c r="HS20" i="4"/>
  <c r="AM107" i="1" s="1"/>
  <c r="JD20" i="4"/>
  <c r="BX107" i="1" s="1"/>
  <c r="BX136" i="1" s="1"/>
  <c r="IH19" i="4"/>
  <c r="BB106" i="1" s="1"/>
  <c r="BB135" i="1" s="1"/>
  <c r="AL235" i="1"/>
  <c r="AK235" i="1"/>
  <c r="BK235" i="1"/>
  <c r="BY235" i="1"/>
  <c r="BJ213" i="1"/>
  <c r="BK213" i="1" s="1"/>
  <c r="BK161" i="1"/>
  <c r="HT20" i="4"/>
  <c r="AN107" i="1" s="1"/>
  <c r="AN136" i="1" s="1"/>
  <c r="IW19" i="4"/>
  <c r="BQ106" i="1" s="1"/>
  <c r="BQ135" i="1" s="1"/>
  <c r="IT19" i="4"/>
  <c r="BN106" i="1" s="1"/>
  <c r="BN135" i="1" s="1"/>
  <c r="IG20" i="4"/>
  <c r="BA107" i="1" s="1"/>
  <c r="BA136" i="1" s="1"/>
  <c r="HU20" i="4"/>
  <c r="AO107" i="1" s="1"/>
  <c r="AO136" i="1" s="1"/>
  <c r="HR19" i="4"/>
  <c r="AL106" i="1" s="1"/>
  <c r="CM132" i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CM131" i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CA124" i="1"/>
  <c r="CA136" i="1"/>
  <c r="CA132" i="1"/>
  <c r="CM227" i="1"/>
  <c r="CM165" i="1"/>
  <c r="CM167" i="1" s="1"/>
  <c r="CM171" i="1" s="1"/>
  <c r="CM236" i="1" s="1"/>
  <c r="CM234" i="1" s="1"/>
  <c r="CR105" i="1"/>
  <c r="AC235" i="1"/>
  <c r="AB182" i="1"/>
  <c r="AB150" i="1"/>
  <c r="CO93" i="1"/>
  <c r="CP91" i="1"/>
  <c r="I39" i="1" l="1"/>
  <c r="AM45" i="1"/>
  <c r="J39" i="1"/>
  <c r="I44" i="1"/>
  <c r="I45" i="1" s="1"/>
  <c r="CC221" i="1"/>
  <c r="BY40" i="1"/>
  <c r="CB39" i="1"/>
  <c r="J221" i="1"/>
  <c r="I126" i="1"/>
  <c r="CA258" i="1"/>
  <c r="AL217" i="1"/>
  <c r="Q44" i="1"/>
  <c r="Q45" i="1" s="1"/>
  <c r="AM56" i="1"/>
  <c r="BY167" i="1"/>
  <c r="BY61" i="1"/>
  <c r="R44" i="1"/>
  <c r="R45" i="1" s="1"/>
  <c r="R39" i="1"/>
  <c r="L44" i="1"/>
  <c r="L126" i="1"/>
  <c r="M221" i="1"/>
  <c r="BX122" i="1"/>
  <c r="E55" i="1"/>
  <c r="T44" i="1"/>
  <c r="U221" i="1"/>
  <c r="T126" i="1"/>
  <c r="BX281" i="1"/>
  <c r="AM55" i="1"/>
  <c r="M39" i="1"/>
  <c r="I221" i="1"/>
  <c r="M126" i="1"/>
  <c r="N221" i="1"/>
  <c r="E221" i="1"/>
  <c r="E126" i="1"/>
  <c r="E39" i="1"/>
  <c r="E44" i="1"/>
  <c r="G126" i="1"/>
  <c r="H221" i="1"/>
  <c r="K39" i="1"/>
  <c r="Q126" i="1"/>
  <c r="D44" i="1"/>
  <c r="L39" i="1"/>
  <c r="AJ55" i="1"/>
  <c r="BX171" i="1"/>
  <c r="R126" i="1"/>
  <c r="R221" i="1"/>
  <c r="BX123" i="1"/>
  <c r="BY282" i="1"/>
  <c r="AJ56" i="1"/>
  <c r="AM40" i="1"/>
  <c r="H39" i="1"/>
  <c r="K221" i="1"/>
  <c r="N44" i="1"/>
  <c r="H126" i="1"/>
  <c r="N39" i="1"/>
  <c r="N126" i="1"/>
  <c r="L221" i="1"/>
  <c r="K44" i="1"/>
  <c r="BZ282" i="1"/>
  <c r="BZ284" i="1" s="1"/>
  <c r="BY239" i="1"/>
  <c r="AL136" i="1"/>
  <c r="AM131" i="1"/>
  <c r="AM135" i="1"/>
  <c r="BZ123" i="1"/>
  <c r="BZ117" i="1"/>
  <c r="BZ135" i="1"/>
  <c r="BZ138" i="1" s="1"/>
  <c r="BX117" i="1"/>
  <c r="BX135" i="1"/>
  <c r="BX45" i="1"/>
  <c r="CB46" i="1"/>
  <c r="BY47" i="1"/>
  <c r="G45" i="1"/>
  <c r="D55" i="1"/>
  <c r="BX55" i="1"/>
  <c r="O44" i="1"/>
  <c r="O45" i="1" s="1"/>
  <c r="O126" i="1"/>
  <c r="Q221" i="1"/>
  <c r="P126" i="1"/>
  <c r="P44" i="1"/>
  <c r="P39" i="1"/>
  <c r="P221" i="1"/>
  <c r="Q39" i="1"/>
  <c r="O221" i="1"/>
  <c r="S39" i="1"/>
  <c r="S221" i="1"/>
  <c r="S126" i="1"/>
  <c r="S44" i="1"/>
  <c r="S45" i="1" s="1"/>
  <c r="T39" i="1"/>
  <c r="T221" i="1"/>
  <c r="AL56" i="1"/>
  <c r="O39" i="1"/>
  <c r="AM47" i="1"/>
  <c r="G221" i="1"/>
  <c r="B55" i="1"/>
  <c r="B56" i="1"/>
  <c r="B57" i="1" s="1"/>
  <c r="BL136" i="1"/>
  <c r="BL139" i="1" s="1"/>
  <c r="BX56" i="1"/>
  <c r="BX31" i="1" s="1"/>
  <c r="H46" i="1"/>
  <c r="BX214" i="1"/>
  <c r="BX162" i="1"/>
  <c r="BZ240" i="1"/>
  <c r="BZ238" i="1" s="1"/>
  <c r="BY240" i="1"/>
  <c r="BY120" i="1"/>
  <c r="BX217" i="1"/>
  <c r="BX201" i="1"/>
  <c r="BX219" i="1"/>
  <c r="CB222" i="1" s="1"/>
  <c r="BY162" i="1"/>
  <c r="BX190" i="1"/>
  <c r="BL239" i="1"/>
  <c r="BL282" i="1"/>
  <c r="AJ239" i="1"/>
  <c r="AL120" i="1"/>
  <c r="AL239" i="1"/>
  <c r="AJ230" i="1"/>
  <c r="AJ218" i="1"/>
  <c r="AK167" i="1"/>
  <c r="AJ190" i="1"/>
  <c r="AJ171" i="1"/>
  <c r="AL282" i="1"/>
  <c r="AL162" i="1"/>
  <c r="AJ229" i="1"/>
  <c r="AJ215" i="1"/>
  <c r="BJ215" i="1"/>
  <c r="AL215" i="1"/>
  <c r="AL190" i="1"/>
  <c r="IU21" i="4"/>
  <c r="BO105" i="1" s="1"/>
  <c r="IE14" i="4"/>
  <c r="AM130" i="1"/>
  <c r="IC16" i="4"/>
  <c r="IN20" i="4"/>
  <c r="BH107" i="1" s="1"/>
  <c r="BH136" i="1" s="1"/>
  <c r="IK9" i="4"/>
  <c r="IN9" i="4" s="1"/>
  <c r="IN21" i="4" s="1"/>
  <c r="BH105" i="1" s="1"/>
  <c r="IP20" i="4"/>
  <c r="BJ107" i="1" s="1"/>
  <c r="BJ136" i="1" s="1"/>
  <c r="HX16" i="4"/>
  <c r="JH20" i="4"/>
  <c r="CB107" i="1" s="1"/>
  <c r="HV9" i="4"/>
  <c r="HV21" i="4" s="1"/>
  <c r="AP105" i="1" s="1"/>
  <c r="IE9" i="4" s="1"/>
  <c r="IO21" i="4"/>
  <c r="BI105" i="1" s="1"/>
  <c r="ID16" i="4"/>
  <c r="HZ21" i="4"/>
  <c r="AT105" i="1" s="1"/>
  <c r="HQ16" i="4" s="1"/>
  <c r="HQ21" i="4" s="1"/>
  <c r="AK105" i="1" s="1"/>
  <c r="HU9" i="4" s="1"/>
  <c r="IT9" i="4"/>
  <c r="W46" i="1"/>
  <c r="V56" i="1"/>
  <c r="V45" i="1"/>
  <c r="F39" i="1"/>
  <c r="F221" i="1"/>
  <c r="F44" i="1"/>
  <c r="F126" i="1"/>
  <c r="W56" i="1"/>
  <c r="W45" i="1"/>
  <c r="X46" i="1"/>
  <c r="AK44" i="1"/>
  <c r="AK55" i="1"/>
  <c r="JF21" i="4"/>
  <c r="BZ105" i="1" s="1"/>
  <c r="BZ122" i="1" s="1"/>
  <c r="IG16" i="4"/>
  <c r="BJ217" i="1"/>
  <c r="AK40" i="1"/>
  <c r="C55" i="1"/>
  <c r="D39" i="1"/>
  <c r="C44" i="1"/>
  <c r="D221" i="1"/>
  <c r="V46" i="1"/>
  <c r="AL40" i="1"/>
  <c r="G39" i="1"/>
  <c r="AM258" i="1"/>
  <c r="C39" i="1"/>
  <c r="C221" i="1"/>
  <c r="AJ162" i="1"/>
  <c r="BK282" i="1"/>
  <c r="AK239" i="1"/>
  <c r="AM282" i="1"/>
  <c r="BK167" i="1"/>
  <c r="BJ171" i="1"/>
  <c r="BJ279" i="1" s="1"/>
  <c r="BJ120" i="1"/>
  <c r="BJ281" i="1"/>
  <c r="AJ201" i="1"/>
  <c r="AK65" i="1" s="1"/>
  <c r="AM61" i="1"/>
  <c r="AL171" i="1"/>
  <c r="AL124" i="1"/>
  <c r="AL281" i="1"/>
  <c r="AM239" i="1"/>
  <c r="AL201" i="1"/>
  <c r="BJ162" i="1"/>
  <c r="BJ201" i="1"/>
  <c r="BJ137" i="1" s="1"/>
  <c r="BK239" i="1"/>
  <c r="BJ190" i="1"/>
  <c r="AM136" i="1"/>
  <c r="AM132" i="1"/>
  <c r="BL135" i="1"/>
  <c r="BL138" i="1" s="1"/>
  <c r="BL123" i="1"/>
  <c r="CB114" i="1"/>
  <c r="CB131" i="1"/>
  <c r="CB123" i="1"/>
  <c r="CB135" i="1"/>
  <c r="CB138" i="1" s="1"/>
  <c r="CB141" i="1" s="1"/>
  <c r="CC123" i="1"/>
  <c r="CC135" i="1"/>
  <c r="CC131" i="1"/>
  <c r="CC114" i="1"/>
  <c r="CF118" i="1" s="1"/>
  <c r="AL135" i="1"/>
  <c r="BZ136" i="1"/>
  <c r="BZ139" i="1" s="1"/>
  <c r="BZ124" i="1"/>
  <c r="P46" i="1"/>
  <c r="BX124" i="1"/>
  <c r="CA131" i="1"/>
  <c r="CA135" i="1"/>
  <c r="CA123" i="1"/>
  <c r="BY135" i="1"/>
  <c r="BY117" i="1"/>
  <c r="P45" i="1"/>
  <c r="AL57" i="1"/>
  <c r="BX137" i="1"/>
  <c r="BY65" i="1"/>
  <c r="AL62" i="1"/>
  <c r="AL66" i="1" s="1"/>
  <c r="AL265" i="1"/>
  <c r="AL266" i="1" s="1"/>
  <c r="B140" i="1"/>
  <c r="AK171" i="1"/>
  <c r="AL61" i="1"/>
  <c r="AL122" i="1"/>
  <c r="AL123" i="1"/>
  <c r="AJ236" i="1"/>
  <c r="AJ234" i="1" s="1"/>
  <c r="BJ219" i="1"/>
  <c r="BJ214" i="1"/>
  <c r="AL214" i="1"/>
  <c r="AL219" i="1"/>
  <c r="BX57" i="1"/>
  <c r="BX62" i="1"/>
  <c r="CB58" i="1"/>
  <c r="CA140" i="1"/>
  <c r="CA146" i="1" s="1"/>
  <c r="BX265" i="1"/>
  <c r="BX266" i="1" s="1"/>
  <c r="BY59" i="1"/>
  <c r="BY283" i="1"/>
  <c r="CN60" i="1"/>
  <c r="CS105" i="1"/>
  <c r="AB196" i="1"/>
  <c r="CP93" i="1"/>
  <c r="CQ91" i="1"/>
  <c r="AC150" i="1"/>
  <c r="AC182" i="1"/>
  <c r="CB258" i="1"/>
  <c r="BQ1" i="1"/>
  <c r="BR1" i="1" s="1"/>
  <c r="BS1" i="1" s="1"/>
  <c r="BT1" i="1" s="1"/>
  <c r="S46" i="1" l="1"/>
  <c r="T46" i="1"/>
  <c r="U46" i="1"/>
  <c r="T45" i="1"/>
  <c r="D45" i="1"/>
  <c r="D56" i="1"/>
  <c r="E46" i="1"/>
  <c r="R46" i="1"/>
  <c r="Q46" i="1"/>
  <c r="E56" i="1"/>
  <c r="E57" i="1" s="1"/>
  <c r="E45" i="1"/>
  <c r="BX198" i="1"/>
  <c r="BX199" i="1" s="1"/>
  <c r="BZ61" i="1"/>
  <c r="BY171" i="1"/>
  <c r="AM59" i="1"/>
  <c r="I46" i="1"/>
  <c r="J46" i="1"/>
  <c r="BY284" i="1"/>
  <c r="AM62" i="1"/>
  <c r="AM66" i="1" s="1"/>
  <c r="AM57" i="1"/>
  <c r="AM265" i="1"/>
  <c r="AM266" i="1" s="1"/>
  <c r="AM283" i="1"/>
  <c r="L45" i="1"/>
  <c r="M46" i="1"/>
  <c r="AJ62" i="1"/>
  <c r="AJ66" i="1" s="1"/>
  <c r="AJ265" i="1"/>
  <c r="AJ266" i="1" s="1"/>
  <c r="BX279" i="1"/>
  <c r="K45" i="1"/>
  <c r="L46" i="1"/>
  <c r="K46" i="1"/>
  <c r="AJ57" i="1"/>
  <c r="O46" i="1"/>
  <c r="N46" i="1"/>
  <c r="N45" i="1"/>
  <c r="AL137" i="1"/>
  <c r="AM65" i="1"/>
  <c r="F46" i="1"/>
  <c r="BY238" i="1"/>
  <c r="BY123" i="1"/>
  <c r="BY124" i="1"/>
  <c r="AJ198" i="1"/>
  <c r="AJ231" i="1"/>
  <c r="CE118" i="1"/>
  <c r="AJ199" i="1"/>
  <c r="AL198" i="1"/>
  <c r="AL199" i="1" s="1"/>
  <c r="AM284" i="1"/>
  <c r="BL61" i="1"/>
  <c r="BK171" i="1"/>
  <c r="BL236" i="1" s="1"/>
  <c r="BL234" i="1" s="1"/>
  <c r="BJ123" i="1"/>
  <c r="BJ124" i="1"/>
  <c r="AM236" i="1"/>
  <c r="AM234" i="1" s="1"/>
  <c r="AL279" i="1"/>
  <c r="BJ138" i="1"/>
  <c r="BJ139" i="1"/>
  <c r="IE19" i="4"/>
  <c r="AY106" i="1" s="1"/>
  <c r="AY135" i="1" s="1"/>
  <c r="HU16" i="4"/>
  <c r="HU21" i="4" s="1"/>
  <c r="AO105" i="1" s="1"/>
  <c r="HY9" i="4" s="1"/>
  <c r="IC21" i="4"/>
  <c r="AW105" i="1" s="1"/>
  <c r="JC16" i="4"/>
  <c r="HX21" i="4"/>
  <c r="AR105" i="1" s="1"/>
  <c r="JI8" i="4"/>
  <c r="JI20" i="4" s="1"/>
  <c r="CC107" i="1" s="1"/>
  <c r="CB115" i="1"/>
  <c r="CB132" i="1"/>
  <c r="CB136" i="1"/>
  <c r="CB139" i="1" s="1"/>
  <c r="CB142" i="1" s="1"/>
  <c r="CB124" i="1"/>
  <c r="IE21" i="4"/>
  <c r="AY105" i="1" s="1"/>
  <c r="HP16" i="4"/>
  <c r="ID9" i="4"/>
  <c r="HY21" i="4"/>
  <c r="AS105" i="1" s="1"/>
  <c r="HZ8" i="4"/>
  <c r="HZ20" i="4" s="1"/>
  <c r="AT107" i="1" s="1"/>
  <c r="AT136" i="1" s="1"/>
  <c r="IT21" i="4"/>
  <c r="BN105" i="1" s="1"/>
  <c r="IH8" i="4"/>
  <c r="IH20" i="4" s="1"/>
  <c r="BB107" i="1" s="1"/>
  <c r="BB136" i="1" s="1"/>
  <c r="W58" i="1"/>
  <c r="V57" i="1"/>
  <c r="V265" i="1"/>
  <c r="V266" i="1" s="1"/>
  <c r="V140" i="1"/>
  <c r="V146" i="1" s="1"/>
  <c r="V62" i="1"/>
  <c r="V66" i="1" s="1"/>
  <c r="G46" i="1"/>
  <c r="F45" i="1"/>
  <c r="W283" i="1"/>
  <c r="W140" i="1"/>
  <c r="W146" i="1" s="1"/>
  <c r="W57" i="1"/>
  <c r="W62" i="1"/>
  <c r="W66" i="1" s="1"/>
  <c r="X283" i="1"/>
  <c r="X58" i="1"/>
  <c r="W265" i="1"/>
  <c r="W266" i="1" s="1"/>
  <c r="AK47" i="1"/>
  <c r="AK45" i="1"/>
  <c r="AK56" i="1"/>
  <c r="AL47" i="1"/>
  <c r="JI16" i="4"/>
  <c r="JI21" i="4" s="1"/>
  <c r="CC105" i="1" s="1"/>
  <c r="IG21" i="4"/>
  <c r="BA105" i="1" s="1"/>
  <c r="C45" i="1"/>
  <c r="D46" i="1"/>
  <c r="C56" i="1"/>
  <c r="C46" i="1"/>
  <c r="BX138" i="1"/>
  <c r="BX139" i="1"/>
  <c r="AL68" i="1"/>
  <c r="AL69" i="1"/>
  <c r="AK236" i="1"/>
  <c r="AK234" i="1" s="1"/>
  <c r="AL236" i="1"/>
  <c r="AL234" i="1" s="1"/>
  <c r="BX66" i="1"/>
  <c r="CA83" i="1"/>
  <c r="CN165" i="1"/>
  <c r="CN167" i="1" s="1"/>
  <c r="CO60" i="1" s="1"/>
  <c r="CT105" i="1"/>
  <c r="AB170" i="1"/>
  <c r="AD182" i="1"/>
  <c r="AE182" i="1"/>
  <c r="AD150" i="1"/>
  <c r="AE150" i="1"/>
  <c r="CQ93" i="1"/>
  <c r="CR91" i="1"/>
  <c r="AC196" i="1"/>
  <c r="BU1" i="1"/>
  <c r="Q55" i="1"/>
  <c r="P55" i="1"/>
  <c r="O55" i="1"/>
  <c r="I55" i="1"/>
  <c r="H55" i="1"/>
  <c r="G55" i="1"/>
  <c r="U55" i="1"/>
  <c r="T55" i="1"/>
  <c r="S55" i="1"/>
  <c r="R55" i="1"/>
  <c r="N55" i="1"/>
  <c r="M55" i="1"/>
  <c r="L55" i="1"/>
  <c r="K55" i="1"/>
  <c r="J55" i="1"/>
  <c r="F55" i="1"/>
  <c r="D140" i="1" l="1"/>
  <c r="E58" i="1"/>
  <c r="D265" i="1"/>
  <c r="D266" i="1" s="1"/>
  <c r="D62" i="1"/>
  <c r="D66" i="1" s="1"/>
  <c r="D57" i="1"/>
  <c r="BY236" i="1"/>
  <c r="BY234" i="1" s="1"/>
  <c r="BZ236" i="1"/>
  <c r="BZ234" i="1" s="1"/>
  <c r="AM68" i="1"/>
  <c r="AM69" i="1"/>
  <c r="AM70" i="1" s="1"/>
  <c r="AM278" i="1" s="1"/>
  <c r="AJ69" i="1"/>
  <c r="AJ68" i="1"/>
  <c r="AL139" i="1"/>
  <c r="AL138" i="1"/>
  <c r="AL267" i="1"/>
  <c r="AL76" i="1"/>
  <c r="AL70" i="1"/>
  <c r="AL278" i="1" s="1"/>
  <c r="JC21" i="4"/>
  <c r="BW105" i="1" s="1"/>
  <c r="IK16" i="4"/>
  <c r="CC115" i="1"/>
  <c r="CC136" i="1"/>
  <c r="CC132" i="1"/>
  <c r="CC124" i="1"/>
  <c r="HP21" i="4"/>
  <c r="AJ105" i="1" s="1"/>
  <c r="IO15" i="4"/>
  <c r="V68" i="1"/>
  <c r="V69" i="1"/>
  <c r="W68" i="1"/>
  <c r="W69" i="1"/>
  <c r="AK59" i="1"/>
  <c r="AM140" i="1"/>
  <c r="AK62" i="1"/>
  <c r="AK66" i="1" s="1"/>
  <c r="AK57" i="1"/>
  <c r="AL59" i="1"/>
  <c r="AK265" i="1"/>
  <c r="AK266" i="1" s="1"/>
  <c r="AM259" i="1"/>
  <c r="AL283" i="1"/>
  <c r="AL284" i="1" s="1"/>
  <c r="CC122" i="1"/>
  <c r="CC130" i="1"/>
  <c r="CC113" i="1"/>
  <c r="IL16" i="4" s="1"/>
  <c r="C57" i="1"/>
  <c r="C58" i="1"/>
  <c r="D283" i="1"/>
  <c r="D58" i="1"/>
  <c r="C283" i="1"/>
  <c r="ID21" i="4"/>
  <c r="AX105" i="1" s="1"/>
  <c r="BX68" i="1"/>
  <c r="BX69" i="1"/>
  <c r="CO227" i="1"/>
  <c r="CO165" i="1"/>
  <c r="CN171" i="1"/>
  <c r="CN227" i="1"/>
  <c r="AC105" i="1"/>
  <c r="CU105" i="1"/>
  <c r="AD196" i="1"/>
  <c r="AE196" i="1"/>
  <c r="AD173" i="1"/>
  <c r="CR93" i="1"/>
  <c r="CS91" i="1"/>
  <c r="AC170" i="1"/>
  <c r="BV1" i="1"/>
  <c r="BW1" i="1" s="1"/>
  <c r="BX1" i="1" s="1"/>
  <c r="B265" i="1"/>
  <c r="B266" i="1" s="1"/>
  <c r="BL265" i="1"/>
  <c r="BL266" i="1" s="1"/>
  <c r="G56" i="1"/>
  <c r="O56" i="1"/>
  <c r="H56" i="1"/>
  <c r="P56" i="1"/>
  <c r="I56" i="1"/>
  <c r="Q56" i="1"/>
  <c r="J56" i="1"/>
  <c r="R56" i="1"/>
  <c r="K56" i="1"/>
  <c r="S56" i="1"/>
  <c r="L56" i="1"/>
  <c r="T56" i="1"/>
  <c r="M56" i="1"/>
  <c r="U56" i="1"/>
  <c r="F56" i="1"/>
  <c r="F283" i="1" s="1"/>
  <c r="N56" i="1"/>
  <c r="D68" i="1" l="1"/>
  <c r="D69" i="1"/>
  <c r="AM72" i="1"/>
  <c r="AL226" i="1"/>
  <c r="AL228" i="1" s="1"/>
  <c r="AL94" i="1"/>
  <c r="AL80" i="1"/>
  <c r="AM267" i="1"/>
  <c r="AJ267" i="1"/>
  <c r="AJ76" i="1"/>
  <c r="AJ70" i="1"/>
  <c r="IK21" i="4"/>
  <c r="BE105" i="1" s="1"/>
  <c r="IQ16" i="4"/>
  <c r="IO20" i="4"/>
  <c r="BI107" i="1" s="1"/>
  <c r="BI136" i="1" s="1"/>
  <c r="IZ15" i="4"/>
  <c r="V70" i="1"/>
  <c r="V278" i="1" s="1"/>
  <c r="W71" i="1"/>
  <c r="V76" i="1"/>
  <c r="X71" i="1"/>
  <c r="W70" i="1"/>
  <c r="W278" i="1" s="1"/>
  <c r="W267" i="1"/>
  <c r="W76" i="1"/>
  <c r="W80" i="1" s="1"/>
  <c r="AK68" i="1"/>
  <c r="AK69" i="1"/>
  <c r="IL21" i="4"/>
  <c r="BF105" i="1" s="1"/>
  <c r="JE16" i="4"/>
  <c r="T283" i="1"/>
  <c r="P283" i="1"/>
  <c r="CB71" i="1"/>
  <c r="BX267" i="1"/>
  <c r="BX70" i="1"/>
  <c r="BX278" i="1" s="1"/>
  <c r="BX76" i="1"/>
  <c r="BY72" i="1"/>
  <c r="M283" i="1"/>
  <c r="R283" i="1"/>
  <c r="I283" i="1"/>
  <c r="K283" i="1"/>
  <c r="G283" i="1"/>
  <c r="H283" i="1"/>
  <c r="L283" i="1"/>
  <c r="S283" i="1"/>
  <c r="O283" i="1"/>
  <c r="J283" i="1"/>
  <c r="N283" i="1"/>
  <c r="U283" i="1"/>
  <c r="V283" i="1"/>
  <c r="Q283" i="1"/>
  <c r="R140" i="1"/>
  <c r="R146" i="1" s="1"/>
  <c r="S58" i="1"/>
  <c r="T140" i="1"/>
  <c r="T146" i="1" s="1"/>
  <c r="U58" i="1"/>
  <c r="U140" i="1"/>
  <c r="U146" i="1" s="1"/>
  <c r="V58" i="1"/>
  <c r="P140" i="1"/>
  <c r="Q58" i="1"/>
  <c r="Q140" i="1"/>
  <c r="R58" i="1"/>
  <c r="I140" i="1"/>
  <c r="J58" i="1"/>
  <c r="S140" i="1"/>
  <c r="S146" i="1" s="1"/>
  <c r="T58" i="1"/>
  <c r="H140" i="1"/>
  <c r="I58" i="1"/>
  <c r="E140" i="1"/>
  <c r="F58" i="1"/>
  <c r="L140" i="1"/>
  <c r="M58" i="1"/>
  <c r="O140" i="1"/>
  <c r="P58" i="1"/>
  <c r="N140" i="1"/>
  <c r="O58" i="1"/>
  <c r="K140" i="1"/>
  <c r="L58" i="1"/>
  <c r="F140" i="1"/>
  <c r="G58" i="1"/>
  <c r="G140" i="1"/>
  <c r="H58" i="1"/>
  <c r="M140" i="1"/>
  <c r="N58" i="1"/>
  <c r="J140" i="1"/>
  <c r="K58" i="1"/>
  <c r="CN236" i="1"/>
  <c r="CN234" i="1" s="1"/>
  <c r="CO167" i="1"/>
  <c r="CV105" i="1"/>
  <c r="AD235" i="1"/>
  <c r="AB175" i="1"/>
  <c r="AE170" i="1"/>
  <c r="AD170" i="1"/>
  <c r="CT91" i="1"/>
  <c r="CS93" i="1"/>
  <c r="C140" i="1"/>
  <c r="BY1" i="1"/>
  <c r="L57" i="1"/>
  <c r="N57" i="1"/>
  <c r="F57" i="1"/>
  <c r="O57" i="1"/>
  <c r="U62" i="1"/>
  <c r="U66" i="1" s="1"/>
  <c r="U57" i="1"/>
  <c r="G57" i="1"/>
  <c r="S57" i="1"/>
  <c r="M57" i="1"/>
  <c r="R57" i="1"/>
  <c r="J57" i="1"/>
  <c r="I57" i="1"/>
  <c r="P57" i="1"/>
  <c r="H57" i="1"/>
  <c r="K57" i="1"/>
  <c r="T57" i="1"/>
  <c r="Q57" i="1"/>
  <c r="T265" i="1"/>
  <c r="T266" i="1" s="1"/>
  <c r="Q265" i="1"/>
  <c r="Q266" i="1" s="1"/>
  <c r="K265" i="1"/>
  <c r="K266" i="1" s="1"/>
  <c r="O265" i="1"/>
  <c r="O266" i="1" s="1"/>
  <c r="U265" i="1"/>
  <c r="U266" i="1" s="1"/>
  <c r="L265" i="1"/>
  <c r="L266" i="1" s="1"/>
  <c r="C265" i="1"/>
  <c r="C266" i="1" s="1"/>
  <c r="I265" i="1"/>
  <c r="I266" i="1" s="1"/>
  <c r="G265" i="1"/>
  <c r="G266" i="1" s="1"/>
  <c r="R265" i="1"/>
  <c r="R266" i="1" s="1"/>
  <c r="P265" i="1"/>
  <c r="P266" i="1" s="1"/>
  <c r="F265" i="1"/>
  <c r="F266" i="1" s="1"/>
  <c r="M265" i="1"/>
  <c r="M266" i="1" s="1"/>
  <c r="N265" i="1"/>
  <c r="N266" i="1" s="1"/>
  <c r="E265" i="1"/>
  <c r="E266" i="1" s="1"/>
  <c r="S265" i="1"/>
  <c r="S266" i="1" s="1"/>
  <c r="J265" i="1"/>
  <c r="J266" i="1" s="1"/>
  <c r="H265" i="1"/>
  <c r="H266" i="1" s="1"/>
  <c r="B62" i="1"/>
  <c r="L62" i="1"/>
  <c r="Q62" i="1"/>
  <c r="T62" i="1"/>
  <c r="N62" i="1"/>
  <c r="S62" i="1"/>
  <c r="F62" i="1"/>
  <c r="K62" i="1"/>
  <c r="H62" i="1"/>
  <c r="I62" i="1"/>
  <c r="P62" i="1"/>
  <c r="C62" i="1"/>
  <c r="O62" i="1"/>
  <c r="R62" i="1"/>
  <c r="M62" i="1"/>
  <c r="G62" i="1"/>
  <c r="E62" i="1"/>
  <c r="J62" i="1"/>
  <c r="D76" i="1" l="1"/>
  <c r="D70" i="1"/>
  <c r="D267" i="1"/>
  <c r="AJ94" i="1"/>
  <c r="AJ80" i="1"/>
  <c r="AJ240" i="1"/>
  <c r="AJ238" i="1" s="1"/>
  <c r="AJ226" i="1"/>
  <c r="AJ228" i="1" s="1"/>
  <c r="AJ232" i="1" s="1"/>
  <c r="AJ246" i="1" s="1"/>
  <c r="IQ21" i="4"/>
  <c r="BK105" i="1" s="1"/>
  <c r="JG16" i="4"/>
  <c r="IZ20" i="4"/>
  <c r="BT107" i="1" s="1"/>
  <c r="BT136" i="1" s="1"/>
  <c r="HZ14" i="4"/>
  <c r="AK72" i="1"/>
  <c r="AK76" i="1"/>
  <c r="AK267" i="1"/>
  <c r="AL72" i="1"/>
  <c r="AM260" i="1"/>
  <c r="AK70" i="1"/>
  <c r="JE21" i="4"/>
  <c r="BY105" i="1" s="1"/>
  <c r="BY122" i="1" s="1"/>
  <c r="JB9" i="4"/>
  <c r="CA82" i="1"/>
  <c r="BX94" i="1"/>
  <c r="CA97" i="1" s="1"/>
  <c r="BX226" i="1"/>
  <c r="BX228" i="1" s="1"/>
  <c r="BX80" i="1"/>
  <c r="BK197" i="1"/>
  <c r="BM197" i="1"/>
  <c r="CO171" i="1"/>
  <c r="CP60" i="1"/>
  <c r="CW105" i="1"/>
  <c r="AE173" i="1"/>
  <c r="AE235" i="1" s="1"/>
  <c r="CT93" i="1"/>
  <c r="CU91" i="1"/>
  <c r="BZ1" i="1"/>
  <c r="U69" i="1"/>
  <c r="V71" i="1" s="1"/>
  <c r="U68" i="1"/>
  <c r="P66" i="1"/>
  <c r="P69" i="1" s="1"/>
  <c r="R66" i="1"/>
  <c r="R69" i="1" s="1"/>
  <c r="E66" i="1"/>
  <c r="S66" i="1"/>
  <c r="S68" i="1" s="1"/>
  <c r="G66" i="1"/>
  <c r="G69" i="1" s="1"/>
  <c r="K66" i="1"/>
  <c r="K69" i="1" s="1"/>
  <c r="B66" i="1"/>
  <c r="O66" i="1"/>
  <c r="O69" i="1" s="1"/>
  <c r="H66" i="1"/>
  <c r="H69" i="1" s="1"/>
  <c r="N66" i="1"/>
  <c r="N69" i="1" s="1"/>
  <c r="L66" i="1"/>
  <c r="L68" i="1" s="1"/>
  <c r="C66" i="1"/>
  <c r="M66" i="1"/>
  <c r="M68" i="1" s="1"/>
  <c r="T66" i="1"/>
  <c r="T69" i="1" s="1"/>
  <c r="F66" i="1"/>
  <c r="F68" i="1" s="1"/>
  <c r="J66" i="1"/>
  <c r="J68" i="1" s="1"/>
  <c r="I66" i="1"/>
  <c r="I68" i="1" s="1"/>
  <c r="Q66" i="1"/>
  <c r="Q69" i="1" s="1"/>
  <c r="V267" i="1"/>
  <c r="D226" i="1" l="1"/>
  <c r="D228" i="1" s="1"/>
  <c r="D80" i="1"/>
  <c r="AJ243" i="1"/>
  <c r="AJ244" i="1" s="1"/>
  <c r="JG21" i="4"/>
  <c r="CA105" i="1" s="1"/>
  <c r="JB16" i="4"/>
  <c r="JB21" i="4" s="1"/>
  <c r="BV105" i="1" s="1"/>
  <c r="HZ19" i="4"/>
  <c r="AT106" i="1" s="1"/>
  <c r="AT135" i="1" s="1"/>
  <c r="IP16" i="4"/>
  <c r="IP21" i="4" s="1"/>
  <c r="BJ105" i="1" s="1"/>
  <c r="BJ122" i="1" s="1"/>
  <c r="AK80" i="1"/>
  <c r="AK94" i="1"/>
  <c r="AK226" i="1"/>
  <c r="AK228" i="1" s="1"/>
  <c r="AK152" i="1"/>
  <c r="AK153" i="1" s="1"/>
  <c r="R71" i="1"/>
  <c r="CE98" i="1"/>
  <c r="CA115" i="1"/>
  <c r="CA114" i="1"/>
  <c r="CD118" i="1" s="1"/>
  <c r="BW117" i="1"/>
  <c r="CA113" i="1"/>
  <c r="U71" i="1"/>
  <c r="O71" i="1"/>
  <c r="AB60" i="1"/>
  <c r="B69" i="1"/>
  <c r="B68" i="1"/>
  <c r="C69" i="1"/>
  <c r="C68" i="1"/>
  <c r="E69" i="1"/>
  <c r="E76" i="1" s="1"/>
  <c r="E68" i="1"/>
  <c r="P71" i="1"/>
  <c r="H71" i="1"/>
  <c r="Q71" i="1"/>
  <c r="BJ198" i="1"/>
  <c r="BJ199" i="1" s="1"/>
  <c r="BL198" i="1"/>
  <c r="BL199" i="1" s="1"/>
  <c r="CP227" i="1"/>
  <c r="CP165" i="1"/>
  <c r="CO236" i="1"/>
  <c r="CO234" i="1" s="1"/>
  <c r="CX105" i="1"/>
  <c r="CV91" i="1"/>
  <c r="CU93" i="1"/>
  <c r="CA1" i="1"/>
  <c r="CB1" i="1" s="1"/>
  <c r="O68" i="1"/>
  <c r="BL267" i="1"/>
  <c r="S69" i="1"/>
  <c r="U70" i="1"/>
  <c r="U278" i="1" s="1"/>
  <c r="P70" i="1"/>
  <c r="P278" i="1" s="1"/>
  <c r="Q76" i="1"/>
  <c r="Q70" i="1"/>
  <c r="Q278" i="1" s="1"/>
  <c r="L69" i="1"/>
  <c r="P68" i="1"/>
  <c r="H70" i="1"/>
  <c r="H278" i="1" s="1"/>
  <c r="G70" i="1"/>
  <c r="G278" i="1" s="1"/>
  <c r="U76" i="1"/>
  <c r="N70" i="1"/>
  <c r="N278" i="1" s="1"/>
  <c r="R70" i="1"/>
  <c r="R278" i="1" s="1"/>
  <c r="K70" i="1"/>
  <c r="K278" i="1" s="1"/>
  <c r="O76" i="1"/>
  <c r="O70" i="1"/>
  <c r="O278" i="1" s="1"/>
  <c r="T76" i="1"/>
  <c r="T70" i="1"/>
  <c r="T278" i="1" s="1"/>
  <c r="R68" i="1"/>
  <c r="K68" i="1"/>
  <c r="N68" i="1"/>
  <c r="G68" i="1"/>
  <c r="H68" i="1"/>
  <c r="J69" i="1"/>
  <c r="K71" i="1" s="1"/>
  <c r="M69" i="1"/>
  <c r="N71" i="1" s="1"/>
  <c r="T68" i="1"/>
  <c r="F69" i="1"/>
  <c r="G71" i="1" s="1"/>
  <c r="I69" i="1"/>
  <c r="I71" i="1" s="1"/>
  <c r="O267" i="1"/>
  <c r="Q68" i="1"/>
  <c r="P267" i="1"/>
  <c r="P76" i="1"/>
  <c r="K267" i="1"/>
  <c r="K76" i="1"/>
  <c r="H267" i="1"/>
  <c r="H76" i="1"/>
  <c r="R76" i="1"/>
  <c r="N76" i="1"/>
  <c r="G76" i="1"/>
  <c r="G267" i="1"/>
  <c r="R267" i="1"/>
  <c r="N267" i="1"/>
  <c r="Q267" i="1"/>
  <c r="U267" i="1"/>
  <c r="T267" i="1"/>
  <c r="V80" i="1"/>
  <c r="V226" i="1"/>
  <c r="V228" i="1" s="1"/>
  <c r="CA130" i="1" l="1"/>
  <c r="CA122" i="1"/>
  <c r="AL240" i="1"/>
  <c r="AL238" i="1" s="1"/>
  <c r="AK240" i="1"/>
  <c r="AK238" i="1" s="1"/>
  <c r="AK162" i="1"/>
  <c r="E267" i="1"/>
  <c r="AB227" i="1"/>
  <c r="E70" i="1"/>
  <c r="E278" i="1" s="1"/>
  <c r="E71" i="1"/>
  <c r="D71" i="1"/>
  <c r="C70" i="1"/>
  <c r="B70" i="1"/>
  <c r="C71" i="1"/>
  <c r="F71" i="1"/>
  <c r="M71" i="1"/>
  <c r="S70" i="1"/>
  <c r="S278" i="1" s="1"/>
  <c r="T71" i="1"/>
  <c r="L71" i="1"/>
  <c r="J71" i="1"/>
  <c r="S71" i="1"/>
  <c r="AB165" i="1"/>
  <c r="AB167" i="1" s="1"/>
  <c r="AB61" i="1" s="1"/>
  <c r="CP167" i="1"/>
  <c r="AD105" i="1"/>
  <c r="CY105" i="1"/>
  <c r="CV93" i="1"/>
  <c r="CW91" i="1"/>
  <c r="CC1" i="1"/>
  <c r="K80" i="1"/>
  <c r="G80" i="1"/>
  <c r="E80" i="1"/>
  <c r="S76" i="1"/>
  <c r="S267" i="1"/>
  <c r="L267" i="1"/>
  <c r="L76" i="1"/>
  <c r="O226" i="1"/>
  <c r="O228" i="1" s="1"/>
  <c r="O80" i="1"/>
  <c r="B267" i="1"/>
  <c r="B76" i="1"/>
  <c r="M76" i="1"/>
  <c r="M70" i="1"/>
  <c r="M278" i="1" s="1"/>
  <c r="C267" i="1"/>
  <c r="I76" i="1"/>
  <c r="I70" i="1"/>
  <c r="I278" i="1" s="1"/>
  <c r="J76" i="1"/>
  <c r="J70" i="1"/>
  <c r="J278" i="1" s="1"/>
  <c r="F76" i="1"/>
  <c r="F70" i="1"/>
  <c r="F278" i="1" s="1"/>
  <c r="L70" i="1"/>
  <c r="L278" i="1" s="1"/>
  <c r="J267" i="1"/>
  <c r="E226" i="1"/>
  <c r="E228" i="1" s="1"/>
  <c r="R226" i="1"/>
  <c r="R228" i="1" s="1"/>
  <c r="M267" i="1"/>
  <c r="R80" i="1"/>
  <c r="I267" i="1"/>
  <c r="H80" i="1"/>
  <c r="H226" i="1"/>
  <c r="H228" i="1" s="1"/>
  <c r="F267" i="1"/>
  <c r="C76" i="1"/>
  <c r="N226" i="1"/>
  <c r="N228" i="1" s="1"/>
  <c r="N80" i="1"/>
  <c r="G226" i="1"/>
  <c r="G228" i="1" s="1"/>
  <c r="P80" i="1"/>
  <c r="K226" i="1"/>
  <c r="K228" i="1" s="1"/>
  <c r="P226" i="1"/>
  <c r="P228" i="1" s="1"/>
  <c r="U80" i="1"/>
  <c r="U226" i="1"/>
  <c r="U228" i="1" s="1"/>
  <c r="Q80" i="1"/>
  <c r="Q226" i="1"/>
  <c r="Q228" i="1" s="1"/>
  <c r="T80" i="1"/>
  <c r="T226" i="1"/>
  <c r="T228" i="1" s="1"/>
  <c r="CP171" i="1" l="1"/>
  <c r="CP236" i="1" s="1"/>
  <c r="CP234" i="1" s="1"/>
  <c r="CQ60" i="1"/>
  <c r="CZ105" i="1"/>
  <c r="AC175" i="1"/>
  <c r="CX91" i="1"/>
  <c r="CW93" i="1"/>
  <c r="CD1" i="1"/>
  <c r="CE1" i="1" s="1"/>
  <c r="CF1" i="1" s="1"/>
  <c r="CG1" i="1" s="1"/>
  <c r="CH1" i="1" s="1"/>
  <c r="CI1" i="1" s="1"/>
  <c r="CJ1" i="1" s="1"/>
  <c r="CK1" i="1" s="1"/>
  <c r="L226" i="1"/>
  <c r="L228" i="1" s="1"/>
  <c r="J226" i="1"/>
  <c r="J228" i="1" s="1"/>
  <c r="M226" i="1"/>
  <c r="M228" i="1" s="1"/>
  <c r="B80" i="1"/>
  <c r="F80" i="1"/>
  <c r="I80" i="1"/>
  <c r="C80" i="1"/>
  <c r="L80" i="1"/>
  <c r="S80" i="1"/>
  <c r="J80" i="1"/>
  <c r="S226" i="1"/>
  <c r="S228" i="1" s="1"/>
  <c r="M80" i="1"/>
  <c r="I226" i="1"/>
  <c r="I228" i="1" s="1"/>
  <c r="F226" i="1"/>
  <c r="F228" i="1" s="1"/>
  <c r="C226" i="1"/>
  <c r="C228" i="1" s="1"/>
  <c r="CQ227" i="1" l="1"/>
  <c r="CQ165" i="1"/>
  <c r="DA105" i="1"/>
  <c r="CX93" i="1"/>
  <c r="CY91" i="1"/>
  <c r="AB157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F104" i="2"/>
  <c r="H78" i="2"/>
  <c r="V61" i="2"/>
  <c r="L55" i="2"/>
  <c r="W77" i="2"/>
  <c r="S112" i="2"/>
  <c r="Q95" i="2"/>
  <c r="W56" i="2"/>
  <c r="H87" i="2"/>
  <c r="V90" i="2"/>
  <c r="J91" i="2"/>
  <c r="C45" i="2"/>
  <c r="D54" i="2"/>
  <c r="G93" i="2"/>
  <c r="X42" i="2"/>
  <c r="W51" i="2"/>
  <c r="T106" i="2"/>
  <c r="G50" i="2"/>
  <c r="J113" i="2"/>
  <c r="M43" i="2"/>
  <c r="O112" i="2"/>
  <c r="D82" i="2"/>
  <c r="N91" i="2"/>
  <c r="V70" i="2"/>
  <c r="J77" i="2"/>
  <c r="C44" i="2"/>
  <c r="R94" i="2"/>
  <c r="F77" i="2"/>
  <c r="H88" i="2"/>
  <c r="X78" i="2"/>
  <c r="G64" i="2"/>
  <c r="Q73" i="2"/>
  <c r="R97" i="2"/>
  <c r="K63" i="2"/>
  <c r="W112" i="2"/>
  <c r="O108" i="2"/>
  <c r="S98" i="2"/>
  <c r="AB61" i="3"/>
  <c r="AB78" i="3"/>
  <c r="AP55" i="3"/>
  <c r="AB71" i="3"/>
  <c r="AB54" i="3"/>
  <c r="AP72" i="3"/>
  <c r="AP73" i="3"/>
  <c r="W5" i="3"/>
  <c r="C37" i="3"/>
  <c r="H41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AI14" i="3"/>
  <c r="K26" i="3"/>
  <c r="U16" i="3"/>
  <c r="C26" i="3"/>
  <c r="AP21" i="3"/>
  <c r="AA35" i="3"/>
  <c r="AA33" i="3"/>
  <c r="AD33" i="3"/>
  <c r="T19" i="3"/>
  <c r="AJ26" i="3"/>
  <c r="C31" i="3"/>
  <c r="AA20" i="3"/>
  <c r="Y5" i="3"/>
  <c r="W20" i="3"/>
  <c r="AN39" i="3"/>
  <c r="AL5" i="3"/>
  <c r="AG14" i="3"/>
  <c r="Q8" i="3"/>
  <c r="R16" i="3"/>
  <c r="P42" i="3"/>
  <c r="AB28" i="3"/>
  <c r="AJ39" i="3"/>
  <c r="L7" i="3"/>
  <c r="AL24" i="3"/>
  <c r="K7" i="3"/>
  <c r="H48" i="2"/>
  <c r="Q109" i="2"/>
  <c r="Q96" i="2"/>
  <c r="X98" i="2"/>
  <c r="L50" i="2"/>
  <c r="M45" i="2"/>
  <c r="K88" i="2"/>
  <c r="C74" i="2"/>
  <c r="W92" i="2"/>
  <c r="H85" i="2"/>
  <c r="R64" i="2"/>
  <c r="W111" i="2"/>
  <c r="O46" i="2"/>
  <c r="T81" i="2"/>
  <c r="H89" i="2"/>
  <c r="N74" i="2"/>
  <c r="K48" i="2"/>
  <c r="X55" i="2"/>
  <c r="E105" i="2"/>
  <c r="H62" i="2"/>
  <c r="P53" i="2"/>
  <c r="I87" i="2"/>
  <c r="E74" i="2"/>
  <c r="H61" i="2"/>
  <c r="S59" i="2"/>
  <c r="O52" i="2"/>
  <c r="I110" i="2"/>
  <c r="N110" i="2"/>
  <c r="J90" i="2"/>
  <c r="K83" i="2"/>
  <c r="N67" i="2"/>
  <c r="I58" i="2"/>
  <c r="G69" i="2"/>
  <c r="G60" i="2"/>
  <c r="M108" i="2"/>
  <c r="F97" i="2"/>
  <c r="L78" i="2"/>
  <c r="AB81" i="3"/>
  <c r="AP86" i="3"/>
  <c r="AP59" i="3"/>
  <c r="AP91" i="3"/>
  <c r="AB82" i="3"/>
  <c r="AB70" i="3"/>
  <c r="AB85" i="3"/>
  <c r="P32" i="3"/>
  <c r="L19" i="3"/>
  <c r="Y22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AN77" i="3" s="1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I97" i="3" s="1"/>
  <c r="AJ7" i="3"/>
  <c r="AA27" i="3"/>
  <c r="AC31" i="3"/>
  <c r="AI20" i="3"/>
  <c r="S39" i="3"/>
  <c r="AL36" i="3"/>
  <c r="X40" i="3"/>
  <c r="AM17" i="3"/>
  <c r="AA7" i="3"/>
  <c r="Y26" i="3"/>
  <c r="S29" i="3"/>
  <c r="W17" i="3"/>
  <c r="K17" i="3"/>
  <c r="Z5" i="3"/>
  <c r="T29" i="3"/>
  <c r="AB8" i="3"/>
  <c r="AC40" i="3"/>
  <c r="K32" i="3"/>
  <c r="AB9" i="3"/>
  <c r="X19" i="3"/>
  <c r="C35" i="3"/>
  <c r="AQ20" i="3"/>
  <c r="AQ17" i="3"/>
  <c r="AG11" i="3"/>
  <c r="S13" i="3"/>
  <c r="Z33" i="3"/>
  <c r="AO41" i="3"/>
  <c r="S21" i="3"/>
  <c r="X21" i="3"/>
  <c r="AM29" i="3"/>
  <c r="AJ28" i="3"/>
  <c r="AI18" i="3"/>
  <c r="AD47" i="3"/>
  <c r="AC28" i="3"/>
  <c r="AI25" i="3"/>
  <c r="AG19" i="3"/>
  <c r="S5" i="3"/>
  <c r="AN18" i="3"/>
  <c r="AL23" i="3"/>
  <c r="D47" i="3"/>
  <c r="C48" i="2"/>
  <c r="P59" i="2"/>
  <c r="U41" i="2"/>
  <c r="O71" i="2"/>
  <c r="V52" i="2"/>
  <c r="C76" i="2"/>
  <c r="H81" i="2"/>
  <c r="I84" i="2"/>
  <c r="J108" i="2"/>
  <c r="H50" i="2"/>
  <c r="J99" i="2"/>
  <c r="U87" i="2"/>
  <c r="U73" i="2"/>
  <c r="S88" i="2"/>
  <c r="C107" i="2"/>
  <c r="J74" i="2"/>
  <c r="P43" i="2"/>
  <c r="R70" i="2"/>
  <c r="J111" i="2"/>
  <c r="E72" i="2"/>
  <c r="T89" i="2"/>
  <c r="K89" i="2"/>
  <c r="I111" i="2"/>
  <c r="G87" i="2"/>
  <c r="H108" i="2"/>
  <c r="T93" i="2"/>
  <c r="R45" i="2"/>
  <c r="N71" i="2"/>
  <c r="O70" i="2"/>
  <c r="J45" i="2"/>
  <c r="C51" i="2"/>
  <c r="P77" i="2"/>
  <c r="H109" i="2"/>
  <c r="R50" i="2"/>
  <c r="S64" i="2"/>
  <c r="F67" i="2"/>
  <c r="F93" i="2"/>
  <c r="AB60" i="3"/>
  <c r="AB48" i="3"/>
  <c r="AP71" i="3"/>
  <c r="AP58" i="3"/>
  <c r="AP74" i="3"/>
  <c r="AP77" i="3"/>
  <c r="AB95" i="3"/>
  <c r="I22" i="3"/>
  <c r="N24" i="3"/>
  <c r="C2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X61" i="3" s="1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M27" i="3"/>
  <c r="AI22" i="3"/>
  <c r="C14" i="3"/>
  <c r="U5" i="3"/>
  <c r="K34" i="3"/>
  <c r="R11" i="3"/>
  <c r="X11" i="3"/>
  <c r="C16" i="3"/>
  <c r="L24" i="3"/>
  <c r="J35" i="3"/>
  <c r="AG29" i="3"/>
  <c r="AA39" i="3"/>
  <c r="AO37" i="3"/>
  <c r="C11" i="3"/>
  <c r="N8" i="3"/>
  <c r="Z26" i="3"/>
  <c r="AH32" i="3"/>
  <c r="AA13" i="3"/>
  <c r="U26" i="3"/>
  <c r="AB25" i="3"/>
  <c r="I24" i="3"/>
  <c r="O25" i="3"/>
  <c r="Z22" i="3"/>
  <c r="U34" i="3"/>
  <c r="AI39" i="3"/>
  <c r="I27" i="3"/>
  <c r="AI8" i="3"/>
  <c r="K11" i="3"/>
  <c r="S8" i="3"/>
  <c r="D49" i="3"/>
  <c r="AH5" i="3"/>
  <c r="AH80" i="3" s="1"/>
  <c r="S96" i="2"/>
  <c r="H82" i="2"/>
  <c r="V43" i="2"/>
  <c r="S89" i="2"/>
  <c r="F52" i="2"/>
  <c r="U56" i="2"/>
  <c r="D105" i="2"/>
  <c r="X47" i="2"/>
  <c r="S105" i="2"/>
  <c r="D84" i="2"/>
  <c r="T79" i="2"/>
  <c r="R49" i="2"/>
  <c r="X95" i="2"/>
  <c r="K51" i="2"/>
  <c r="J84" i="2"/>
  <c r="L79" i="2"/>
  <c r="U95" i="2"/>
  <c r="N95" i="2"/>
  <c r="O53" i="2"/>
  <c r="K68" i="2"/>
  <c r="M84" i="2"/>
  <c r="M70" i="2"/>
  <c r="K69" i="2"/>
  <c r="S47" i="2"/>
  <c r="W110" i="2"/>
  <c r="Q86" i="2"/>
  <c r="U86" i="2"/>
  <c r="P57" i="2"/>
  <c r="F59" i="2"/>
  <c r="C61" i="2"/>
  <c r="G79" i="2"/>
  <c r="I40" i="2"/>
  <c r="N98" i="2"/>
  <c r="S95" i="2"/>
  <c r="O109" i="2"/>
  <c r="L109" i="2"/>
  <c r="V79" i="2"/>
  <c r="AP84" i="3"/>
  <c r="AB77" i="3"/>
  <c r="AP78" i="3"/>
  <c r="AB75" i="3"/>
  <c r="AP54" i="3"/>
  <c r="AP89" i="3"/>
  <c r="AB74" i="3"/>
  <c r="K13" i="3"/>
  <c r="M35" i="3"/>
  <c r="AQ13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G12" i="3"/>
  <c r="N93" i="2"/>
  <c r="L92" i="2"/>
  <c r="J104" i="2"/>
  <c r="I82" i="2"/>
  <c r="D110" i="2"/>
  <c r="N105" i="2"/>
  <c r="W44" i="2"/>
  <c r="V110" i="2"/>
  <c r="M69" i="2"/>
  <c r="L74" i="2"/>
  <c r="I53" i="2"/>
  <c r="F60" i="2"/>
  <c r="S97" i="2"/>
  <c r="I97" i="2"/>
  <c r="E108" i="2"/>
  <c r="C62" i="2"/>
  <c r="O51" i="2"/>
  <c r="W41" i="2"/>
  <c r="V112" i="2"/>
  <c r="U112" i="2"/>
  <c r="V93" i="2"/>
  <c r="L66" i="2"/>
  <c r="T71" i="2"/>
  <c r="S52" i="2"/>
  <c r="V53" i="2"/>
  <c r="Q60" i="2"/>
  <c r="Q50" i="2"/>
  <c r="X86" i="2"/>
  <c r="R68" i="2"/>
  <c r="D94" i="2"/>
  <c r="N44" i="2"/>
  <c r="H77" i="2"/>
  <c r="L67" i="2"/>
  <c r="W96" i="2"/>
  <c r="N92" i="2"/>
  <c r="M42" i="2"/>
  <c r="N77" i="2"/>
  <c r="AP70" i="3"/>
  <c r="AP97" i="3"/>
  <c r="C47" i="3"/>
  <c r="AP47" i="3"/>
  <c r="AP85" i="3"/>
  <c r="AB64" i="3"/>
  <c r="H20" i="3"/>
  <c r="AI6" i="3"/>
  <c r="AJ38" i="3"/>
  <c r="U21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K79" i="2"/>
  <c r="L52" i="2"/>
  <c r="Q67" i="2"/>
  <c r="E65" i="2"/>
  <c r="U58" i="2"/>
  <c r="R88" i="2"/>
  <c r="X44" i="2"/>
  <c r="P47" i="2"/>
  <c r="R51" i="2"/>
  <c r="L45" i="2"/>
  <c r="Q93" i="2"/>
  <c r="E55" i="2"/>
  <c r="E51" i="2"/>
  <c r="L53" i="2"/>
  <c r="J68" i="2"/>
  <c r="F44" i="2"/>
  <c r="T87" i="2"/>
  <c r="O44" i="2"/>
  <c r="G59" i="2"/>
  <c r="X105" i="2"/>
  <c r="N42" i="2"/>
  <c r="O64" i="2"/>
  <c r="I55" i="2"/>
  <c r="G54" i="2"/>
  <c r="V46" i="2"/>
  <c r="V59" i="2"/>
  <c r="G74" i="2"/>
  <c r="X104" i="2"/>
  <c r="W104" i="2"/>
  <c r="T58" i="2"/>
  <c r="P56" i="2"/>
  <c r="I44" i="2"/>
  <c r="S66" i="2"/>
  <c r="N61" i="2"/>
  <c r="T110" i="2"/>
  <c r="X84" i="2"/>
  <c r="U113" i="2"/>
  <c r="AP56" i="3"/>
  <c r="AB72" i="3"/>
  <c r="AB79" i="3"/>
  <c r="AP92" i="3"/>
  <c r="AP80" i="3"/>
  <c r="AP67" i="3"/>
  <c r="T23" i="3"/>
  <c r="AG39" i="3"/>
  <c r="AI12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M50" i="2"/>
  <c r="X64" i="2"/>
  <c r="J59" i="2"/>
  <c r="K44" i="2"/>
  <c r="Q77" i="2"/>
  <c r="M113" i="2"/>
  <c r="K99" i="2"/>
  <c r="C64" i="2"/>
  <c r="U88" i="2"/>
  <c r="N80" i="2"/>
  <c r="G95" i="2"/>
  <c r="R112" i="2"/>
  <c r="K66" i="2"/>
  <c r="L57" i="2"/>
  <c r="W106" i="2"/>
  <c r="N111" i="2"/>
  <c r="E83" i="2"/>
  <c r="O92" i="2"/>
  <c r="L104" i="2"/>
  <c r="K40" i="2"/>
  <c r="D95" i="2"/>
  <c r="L99" i="2"/>
  <c r="U93" i="2"/>
  <c r="K57" i="2"/>
  <c r="T96" i="2"/>
  <c r="H58" i="2"/>
  <c r="O67" i="2"/>
  <c r="G67" i="2"/>
  <c r="T74" i="2"/>
  <c r="D41" i="2"/>
  <c r="W79" i="2"/>
  <c r="K58" i="2"/>
  <c r="S54" i="2"/>
  <c r="P45" i="2"/>
  <c r="O62" i="2"/>
  <c r="M59" i="2"/>
  <c r="L83" i="2"/>
  <c r="AB73" i="3"/>
  <c r="AB47" i="3"/>
  <c r="AB94" i="3"/>
  <c r="AP81" i="3"/>
  <c r="AP76" i="3"/>
  <c r="AB91" i="3"/>
  <c r="C28" i="3"/>
  <c r="AN8" i="3"/>
  <c r="V16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AA41" i="3"/>
  <c r="W10" i="3"/>
  <c r="AL8" i="3"/>
  <c r="AD26" i="3"/>
  <c r="AK14" i="3"/>
  <c r="S85" i="2"/>
  <c r="N78" i="2"/>
  <c r="D57" i="2"/>
  <c r="G89" i="2"/>
  <c r="V73" i="2"/>
  <c r="E79" i="2"/>
  <c r="M78" i="2"/>
  <c r="U45" i="2"/>
  <c r="T46" i="2"/>
  <c r="C43" i="2"/>
  <c r="C99" i="2"/>
  <c r="D91" i="2"/>
  <c r="S48" i="2"/>
  <c r="H56" i="2"/>
  <c r="X67" i="2"/>
  <c r="O59" i="2"/>
  <c r="U61" i="2"/>
  <c r="D55" i="2"/>
  <c r="E93" i="2"/>
  <c r="O93" i="2"/>
  <c r="W78" i="2"/>
  <c r="K71" i="2"/>
  <c r="D58" i="2"/>
  <c r="E80" i="2"/>
  <c r="F98" i="2"/>
  <c r="V108" i="2"/>
  <c r="T52" i="2"/>
  <c r="V97" i="2"/>
  <c r="S111" i="2"/>
  <c r="C66" i="2"/>
  <c r="E48" i="2"/>
  <c r="Q51" i="2"/>
  <c r="H76" i="2"/>
  <c r="E77" i="2"/>
  <c r="V83" i="2"/>
  <c r="G83" i="2"/>
  <c r="V95" i="2"/>
  <c r="AP96" i="3"/>
  <c r="AP48" i="3"/>
  <c r="AB50" i="3"/>
  <c r="AP62" i="3"/>
  <c r="AB49" i="3"/>
  <c r="AB66" i="3"/>
  <c r="H34" i="3"/>
  <c r="AP12" i="3"/>
  <c r="L32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H41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L6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F65" i="2"/>
  <c r="I52" i="2"/>
  <c r="P97" i="2"/>
  <c r="L91" i="2"/>
  <c r="L43" i="2"/>
  <c r="F92" i="2"/>
  <c r="I96" i="2"/>
  <c r="L110" i="2"/>
  <c r="G112" i="2"/>
  <c r="S68" i="2"/>
  <c r="Q81" i="2"/>
  <c r="G91" i="2"/>
  <c r="K53" i="2"/>
  <c r="G52" i="2"/>
  <c r="R93" i="2"/>
  <c r="O110" i="2"/>
  <c r="P44" i="2"/>
  <c r="F54" i="2"/>
  <c r="J58" i="2"/>
  <c r="N86" i="2"/>
  <c r="F79" i="2"/>
  <c r="E59" i="2"/>
  <c r="H47" i="2"/>
  <c r="R43" i="2"/>
  <c r="C40" i="2"/>
  <c r="K46" i="2"/>
  <c r="L106" i="2"/>
  <c r="P110" i="2"/>
  <c r="L42" i="2"/>
  <c r="H45" i="2"/>
  <c r="G55" i="2"/>
  <c r="U108" i="2"/>
  <c r="I79" i="2"/>
  <c r="C56" i="2"/>
  <c r="F82" i="2"/>
  <c r="F69" i="2"/>
  <c r="C87" i="2"/>
  <c r="AP75" i="3"/>
  <c r="AP90" i="3"/>
  <c r="AP65" i="3"/>
  <c r="AP82" i="3"/>
  <c r="AB97" i="3"/>
  <c r="AP49" i="3"/>
  <c r="C21" i="3"/>
  <c r="T8" i="3"/>
  <c r="AC18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J53" i="2"/>
  <c r="W90" i="2"/>
  <c r="Q49" i="2"/>
  <c r="E60" i="2"/>
  <c r="R61" i="2"/>
  <c r="Q70" i="2"/>
  <c r="R85" i="2"/>
  <c r="N40" i="2"/>
  <c r="R105" i="2"/>
  <c r="V71" i="2"/>
  <c r="V62" i="2"/>
  <c r="C57" i="2"/>
  <c r="D96" i="2"/>
  <c r="V69" i="2"/>
  <c r="S45" i="2"/>
  <c r="E54" i="2"/>
  <c r="C105" i="2"/>
  <c r="V56" i="2"/>
  <c r="C54" i="2"/>
  <c r="S41" i="2"/>
  <c r="Q107" i="2"/>
  <c r="W82" i="2"/>
  <c r="O104" i="2"/>
  <c r="T91" i="2"/>
  <c r="H80" i="2"/>
  <c r="D40" i="2"/>
  <c r="D56" i="2"/>
  <c r="G42" i="2"/>
  <c r="J60" i="2"/>
  <c r="N46" i="2"/>
  <c r="J95" i="2"/>
  <c r="X112" i="2"/>
  <c r="F81" i="2"/>
  <c r="C85" i="2"/>
  <c r="H65" i="2"/>
  <c r="H105" i="2"/>
  <c r="Q52" i="2"/>
  <c r="O42" i="2"/>
  <c r="P78" i="2"/>
  <c r="V86" i="2"/>
  <c r="G57" i="2"/>
  <c r="W49" i="2"/>
  <c r="M60" i="2"/>
  <c r="F86" i="2"/>
  <c r="I86" i="2"/>
  <c r="E111" i="2"/>
  <c r="V50" i="2"/>
  <c r="P82" i="2"/>
  <c r="T47" i="2"/>
  <c r="J42" i="2"/>
  <c r="V41" i="2"/>
  <c r="K96" i="2"/>
  <c r="N99" i="2"/>
  <c r="F64" i="2"/>
  <c r="T56" i="2"/>
  <c r="E40" i="2"/>
  <c r="S110" i="2"/>
  <c r="H106" i="2"/>
  <c r="W86" i="2"/>
  <c r="I69" i="2"/>
  <c r="G94" i="2"/>
  <c r="G86" i="2"/>
  <c r="G78" i="2"/>
  <c r="D113" i="2"/>
  <c r="V45" i="2"/>
  <c r="X81" i="2"/>
  <c r="N57" i="2"/>
  <c r="O47" i="2"/>
  <c r="U51" i="2"/>
  <c r="AP68" i="3"/>
  <c r="AP66" i="3"/>
  <c r="AB90" i="3"/>
  <c r="AB96" i="3"/>
  <c r="AB87" i="3"/>
  <c r="AP50" i="3"/>
  <c r="AP69" i="3"/>
  <c r="Z30" i="3"/>
  <c r="J36" i="3"/>
  <c r="AH23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D69" i="2"/>
  <c r="L108" i="2"/>
  <c r="P60" i="2"/>
  <c r="K111" i="2"/>
  <c r="AP94" i="3"/>
  <c r="G36" i="3"/>
  <c r="AD35" i="3"/>
  <c r="J37" i="3"/>
  <c r="AO21" i="3"/>
  <c r="AC42" i="3"/>
  <c r="AA42" i="3"/>
  <c r="N20" i="3"/>
  <c r="T22" i="3"/>
  <c r="C42" i="3"/>
  <c r="V38" i="3"/>
  <c r="AO10" i="3"/>
  <c r="AC16" i="3"/>
  <c r="AD48" i="3"/>
  <c r="Y36" i="3"/>
  <c r="Y32" i="3"/>
  <c r="C6" i="3"/>
  <c r="M8" i="3"/>
  <c r="AN38" i="3"/>
  <c r="AN28" i="3"/>
  <c r="R41" i="3"/>
  <c r="R27" i="3"/>
  <c r="AG20" i="3"/>
  <c r="Y35" i="3"/>
  <c r="AA29" i="3"/>
  <c r="X8" i="3"/>
  <c r="V5" i="3"/>
  <c r="AJ19" i="3"/>
  <c r="AP27" i="3"/>
  <c r="AB40" i="3"/>
  <c r="Z14" i="3"/>
  <c r="AA15" i="3"/>
  <c r="T27" i="3"/>
  <c r="AE40" i="3"/>
  <c r="AJ21" i="3"/>
  <c r="AG13" i="3"/>
  <c r="Z27" i="3"/>
  <c r="J26" i="3"/>
  <c r="Q25" i="3"/>
  <c r="Y21" i="3"/>
  <c r="P33" i="3"/>
  <c r="AH6" i="3"/>
  <c r="AC15" i="3"/>
  <c r="AH38" i="3"/>
  <c r="AC32" i="3"/>
  <c r="AJ42" i="3"/>
  <c r="Z17" i="3"/>
  <c r="S14" i="3"/>
  <c r="W23" i="3"/>
  <c r="Z16" i="3"/>
  <c r="AM36" i="3"/>
  <c r="X41" i="3"/>
  <c r="J22" i="3"/>
  <c r="AA24" i="3"/>
  <c r="AI26" i="3"/>
  <c r="AP35" i="3"/>
  <c r="U40" i="3"/>
  <c r="S70" i="2"/>
  <c r="Q90" i="2"/>
  <c r="F85" i="2"/>
  <c r="M47" i="2"/>
  <c r="C49" i="3"/>
  <c r="AQ39" i="3"/>
  <c r="AB20" i="3"/>
  <c r="N34" i="3"/>
  <c r="H24" i="3"/>
  <c r="AD38" i="3"/>
  <c r="C25" i="3"/>
  <c r="AA6" i="3"/>
  <c r="Q38" i="3"/>
  <c r="C33" i="3"/>
  <c r="C8" i="3"/>
  <c r="AA32" i="3"/>
  <c r="Q9" i="3"/>
  <c r="K18" i="3"/>
  <c r="AK10" i="3"/>
  <c r="O26" i="3"/>
  <c r="P24" i="3"/>
  <c r="Y20" i="3"/>
  <c r="AO28" i="3"/>
  <c r="AO12" i="3"/>
  <c r="AL26" i="3"/>
  <c r="T20" i="3"/>
  <c r="AM10" i="3"/>
  <c r="Q24" i="3"/>
  <c r="P7" i="3"/>
  <c r="H30" i="3"/>
  <c r="J24" i="3"/>
  <c r="AG16" i="3"/>
  <c r="AC11" i="3"/>
  <c r="U32" i="3"/>
  <c r="I31" i="3"/>
  <c r="V10" i="3"/>
  <c r="AL35" i="3"/>
  <c r="W39" i="3"/>
  <c r="R12" i="3"/>
  <c r="AJ9" i="3"/>
  <c r="AG25" i="3"/>
  <c r="U17" i="3"/>
  <c r="U20" i="3"/>
  <c r="V19" i="3"/>
  <c r="H33" i="3"/>
  <c r="AO40" i="3"/>
  <c r="U13" i="3"/>
  <c r="AB83" i="3"/>
  <c r="AL41" i="3"/>
  <c r="L29" i="3"/>
  <c r="S34" i="3"/>
  <c r="AE19" i="3"/>
  <c r="AI31" i="3"/>
  <c r="I40" i="3"/>
  <c r="R21" i="3"/>
  <c r="Z21" i="3"/>
  <c r="AN16" i="3"/>
  <c r="Y12" i="3"/>
  <c r="V21" i="3"/>
  <c r="G34" i="3"/>
  <c r="Q39" i="3"/>
  <c r="AA19" i="3"/>
  <c r="AQ27" i="3"/>
  <c r="L40" i="3"/>
  <c r="AK18" i="3"/>
  <c r="W8" i="3"/>
  <c r="X42" i="3"/>
  <c r="AO27" i="3"/>
  <c r="X39" i="3"/>
  <c r="AD34" i="3"/>
  <c r="K28" i="3"/>
  <c r="P38" i="3"/>
  <c r="AQ28" i="3"/>
  <c r="AA37" i="3"/>
  <c r="L34" i="3"/>
  <c r="P12" i="3"/>
  <c r="T6" i="3"/>
  <c r="M31" i="3"/>
  <c r="AE38" i="3"/>
  <c r="S26" i="3"/>
  <c r="Q37" i="3"/>
  <c r="AN30" i="3"/>
  <c r="AN33" i="3"/>
  <c r="AM24" i="3"/>
  <c r="V13" i="3"/>
  <c r="G49" i="3"/>
  <c r="N7" i="3"/>
  <c r="K12" i="3"/>
  <c r="Q20" i="3"/>
  <c r="Q18" i="3"/>
  <c r="R56" i="2"/>
  <c r="N108" i="2"/>
  <c r="O88" i="2"/>
  <c r="H55" i="2"/>
  <c r="AB86" i="3"/>
  <c r="AP10" i="3"/>
  <c r="AH16" i="3"/>
  <c r="AL30" i="3"/>
  <c r="AM41" i="3"/>
  <c r="AP34" i="3"/>
  <c r="O15" i="3"/>
  <c r="Q23" i="3"/>
  <c r="AE42" i="3"/>
  <c r="S27" i="3"/>
  <c r="AP11" i="3"/>
  <c r="I21" i="3"/>
  <c r="T11" i="3"/>
  <c r="N30" i="3"/>
  <c r="X22" i="3"/>
  <c r="AE28" i="3"/>
  <c r="K10" i="3"/>
  <c r="J20" i="3"/>
  <c r="V30" i="3"/>
  <c r="AP20" i="3"/>
  <c r="AH26" i="3"/>
  <c r="P37" i="3"/>
  <c r="V22" i="3"/>
  <c r="AH27" i="3"/>
  <c r="X37" i="3"/>
  <c r="AL32" i="3"/>
  <c r="Y42" i="3"/>
  <c r="AK8" i="3"/>
  <c r="U38" i="3"/>
  <c r="V17" i="3"/>
  <c r="C36" i="3"/>
  <c r="AJ40" i="3"/>
  <c r="AA28" i="3"/>
  <c r="I17" i="3"/>
  <c r="K37" i="3"/>
  <c r="L21" i="3"/>
  <c r="AO36" i="3"/>
  <c r="K8" i="3"/>
  <c r="N18" i="3"/>
  <c r="M40" i="3"/>
  <c r="M18" i="3"/>
  <c r="S37" i="3"/>
  <c r="Q7" i="3"/>
  <c r="H12" i="3"/>
  <c r="K22" i="3"/>
  <c r="AP38" i="3"/>
  <c r="AK19" i="3"/>
  <c r="T13" i="3"/>
  <c r="Q11" i="3"/>
  <c r="Q10" i="3"/>
  <c r="AD39" i="3"/>
  <c r="J11" i="3"/>
  <c r="T49" i="2"/>
  <c r="I19" i="3"/>
  <c r="AL31" i="3"/>
  <c r="M9" i="3"/>
  <c r="AP22" i="3"/>
  <c r="AD21" i="3"/>
  <c r="AL13" i="3"/>
  <c r="W42" i="3"/>
  <c r="AG24" i="3"/>
  <c r="R5" i="3"/>
  <c r="AM15" i="3"/>
  <c r="P36" i="3"/>
  <c r="AK28" i="3"/>
  <c r="X6" i="3"/>
  <c r="AE35" i="3"/>
  <c r="AM19" i="3"/>
  <c r="AC10" i="3"/>
  <c r="AM38" i="3"/>
  <c r="AB16" i="3"/>
  <c r="AK16" i="3"/>
  <c r="N41" i="3"/>
  <c r="AK26" i="3"/>
  <c r="AB32" i="3"/>
  <c r="AN26" i="3"/>
  <c r="O13" i="3"/>
  <c r="P14" i="3"/>
  <c r="K41" i="3"/>
  <c r="S18" i="3"/>
  <c r="AG35" i="3"/>
  <c r="AH39" i="3"/>
  <c r="N31" i="3"/>
  <c r="O34" i="3"/>
  <c r="AG22" i="3"/>
  <c r="AM42" i="3"/>
  <c r="N22" i="3"/>
  <c r="J14" i="3"/>
  <c r="AD31" i="3"/>
  <c r="AN34" i="3"/>
  <c r="AD40" i="3"/>
  <c r="Q14" i="3"/>
  <c r="AM35" i="3"/>
  <c r="R8" i="3"/>
  <c r="AQ34" i="3"/>
  <c r="Q32" i="3"/>
  <c r="M111" i="2"/>
  <c r="S10" i="3"/>
  <c r="X62" i="2"/>
  <c r="C86" i="2"/>
  <c r="K41" i="2"/>
  <c r="C63" i="2"/>
  <c r="AP64" i="3"/>
  <c r="AO39" i="3"/>
  <c r="AE9" i="3"/>
  <c r="AQ18" i="3"/>
  <c r="R32" i="3"/>
  <c r="AM39" i="3"/>
  <c r="AB18" i="3"/>
  <c r="AI38" i="3"/>
  <c r="U12" i="3"/>
  <c r="Y31" i="3"/>
  <c r="I29" i="3"/>
  <c r="E48" i="3"/>
  <c r="L36" i="3"/>
  <c r="AK20" i="3"/>
  <c r="AQ40" i="3"/>
  <c r="Q41" i="3"/>
  <c r="AA11" i="3"/>
  <c r="AM23" i="3"/>
  <c r="U14" i="3"/>
  <c r="AD36" i="3"/>
  <c r="AA16" i="3"/>
  <c r="AB14" i="3"/>
  <c r="AC12" i="3"/>
  <c r="AK40" i="3"/>
  <c r="C4" i="3"/>
  <c r="AP24" i="3"/>
  <c r="C10" i="3"/>
  <c r="T42" i="3"/>
  <c r="T38" i="3"/>
  <c r="O40" i="3"/>
  <c r="AM18" i="3"/>
  <c r="V14" i="3"/>
  <c r="AM27" i="3"/>
  <c r="V36" i="3"/>
  <c r="AP60" i="3"/>
  <c r="AL16" i="3"/>
  <c r="C24" i="3"/>
  <c r="Z36" i="3"/>
  <c r="R37" i="3"/>
  <c r="Y33" i="3"/>
  <c r="T37" i="3"/>
  <c r="T40" i="3"/>
  <c r="R7" i="3"/>
  <c r="K25" i="3"/>
  <c r="W32" i="3"/>
  <c r="Z18" i="3"/>
  <c r="J28" i="3"/>
  <c r="AL14" i="3"/>
  <c r="AJ29" i="3"/>
  <c r="Z39" i="3"/>
  <c r="AG9" i="3"/>
  <c r="AI17" i="3"/>
  <c r="AD41" i="3"/>
  <c r="P21" i="3"/>
  <c r="G39" i="3"/>
  <c r="AD30" i="3"/>
  <c r="W25" i="3"/>
  <c r="AI13" i="3"/>
  <c r="AH9" i="3"/>
  <c r="M14" i="3"/>
  <c r="AE15" i="3"/>
  <c r="R82" i="2"/>
  <c r="N14" i="3"/>
  <c r="I26" i="3"/>
  <c r="AH11" i="3"/>
  <c r="V80" i="2"/>
  <c r="U60" i="2"/>
  <c r="AP29" i="3"/>
  <c r="V37" i="3"/>
  <c r="S113" i="2"/>
  <c r="AP8" i="3"/>
  <c r="U9" i="3"/>
  <c r="G47" i="3"/>
  <c r="V20" i="3"/>
  <c r="C42" i="2"/>
  <c r="E107" i="2"/>
  <c r="R59" i="2"/>
  <c r="AB57" i="3"/>
  <c r="R29" i="3"/>
  <c r="Z10" i="3"/>
  <c r="M29" i="3"/>
  <c r="Q31" i="3"/>
  <c r="AH24" i="3"/>
  <c r="AK29" i="3"/>
  <c r="R40" i="3"/>
  <c r="S40" i="3"/>
  <c r="W6" i="3"/>
  <c r="Y16" i="3"/>
  <c r="S38" i="3"/>
  <c r="X25" i="3"/>
  <c r="I34" i="3"/>
  <c r="O27" i="3"/>
  <c r="AE29" i="3"/>
  <c r="AE30" i="3"/>
  <c r="H15" i="3"/>
  <c r="U25" i="3"/>
  <c r="AL29" i="3"/>
  <c r="AO18" i="3"/>
  <c r="K6" i="3"/>
  <c r="L42" i="3"/>
  <c r="AN42" i="3"/>
  <c r="K27" i="3"/>
  <c r="S15" i="3"/>
  <c r="N27" i="3"/>
  <c r="T31" i="3"/>
  <c r="I61" i="2"/>
  <c r="V66" i="2"/>
  <c r="U107" i="2"/>
  <c r="AP93" i="3"/>
  <c r="S7" i="3"/>
  <c r="E49" i="3"/>
  <c r="K40" i="3"/>
  <c r="U11" i="3"/>
  <c r="AM14" i="3"/>
  <c r="Z28" i="3"/>
  <c r="AC13" i="3"/>
  <c r="AJ14" i="3"/>
  <c r="I25" i="3"/>
  <c r="AN17" i="3"/>
  <c r="AH10" i="3"/>
  <c r="Q22" i="3"/>
  <c r="AP17" i="3"/>
  <c r="AN29" i="3"/>
  <c r="AL7" i="3"/>
  <c r="Z23" i="3"/>
  <c r="AL12" i="3"/>
  <c r="AE17" i="3"/>
  <c r="AJ18" i="3"/>
  <c r="Q30" i="3"/>
  <c r="C20" i="3"/>
  <c r="N13" i="3"/>
  <c r="O36" i="3"/>
  <c r="V26" i="3"/>
  <c r="J30" i="3"/>
  <c r="AC30" i="3"/>
  <c r="Y15" i="3"/>
  <c r="AI40" i="3"/>
  <c r="N17" i="3"/>
  <c r="AJ37" i="3"/>
  <c r="AO19" i="3"/>
  <c r="R19" i="3"/>
  <c r="AJ27" i="3"/>
  <c r="AC34" i="3"/>
  <c r="AN15" i="3"/>
  <c r="AL19" i="3"/>
  <c r="Y41" i="3"/>
  <c r="J10" i="3"/>
  <c r="AO5" i="3"/>
  <c r="J31" i="3"/>
  <c r="J19" i="3"/>
  <c r="V39" i="3"/>
  <c r="L35" i="3"/>
  <c r="AI37" i="3"/>
  <c r="T9" i="3"/>
  <c r="AG33" i="3"/>
  <c r="J39" i="3"/>
  <c r="I11" i="3"/>
  <c r="I72" i="2"/>
  <c r="M95" i="2"/>
  <c r="H97" i="2"/>
  <c r="AP83" i="3"/>
  <c r="O22" i="3"/>
  <c r="V8" i="3"/>
  <c r="AD28" i="3"/>
  <c r="AH42" i="3"/>
  <c r="AM40" i="3"/>
  <c r="M20" i="3"/>
  <c r="AK24" i="3"/>
  <c r="R6" i="3"/>
  <c r="AI34" i="3"/>
  <c r="N32" i="3"/>
  <c r="AC17" i="3"/>
  <c r="AN19" i="3"/>
  <c r="X26" i="3"/>
  <c r="Q40" i="3"/>
  <c r="W13" i="3"/>
  <c r="AJ12" i="3"/>
  <c r="AO9" i="3"/>
  <c r="H23" i="3"/>
  <c r="AL40" i="3"/>
  <c r="AL25" i="3"/>
  <c r="J6" i="3"/>
  <c r="W94" i="2"/>
  <c r="U46" i="2"/>
  <c r="G51" i="2"/>
  <c r="AB93" i="3"/>
  <c r="AL33" i="3"/>
  <c r="R36" i="3"/>
  <c r="I36" i="3"/>
  <c r="Z11" i="3"/>
  <c r="AC29" i="3"/>
  <c r="AM26" i="3"/>
  <c r="H21" i="3"/>
  <c r="AK22" i="3"/>
  <c r="AC7" i="3"/>
  <c r="AL39" i="3"/>
  <c r="AB42" i="3"/>
  <c r="E50" i="3"/>
  <c r="M30" i="3"/>
  <c r="AJ32" i="3"/>
  <c r="L27" i="3"/>
  <c r="AO30" i="3"/>
  <c r="I10" i="3"/>
  <c r="L9" i="3"/>
  <c r="P15" i="3"/>
  <c r="J5" i="3"/>
  <c r="AE37" i="3"/>
  <c r="Z41" i="3"/>
  <c r="R34" i="3"/>
  <c r="M42" i="3"/>
  <c r="H26" i="3"/>
  <c r="AC38" i="3"/>
  <c r="H39" i="3"/>
  <c r="C39" i="3"/>
  <c r="AN21" i="3"/>
  <c r="Y10" i="3"/>
  <c r="M16" i="3"/>
  <c r="X23" i="3"/>
  <c r="AJ6" i="3"/>
  <c r="H22" i="3"/>
  <c r="AP63" i="3"/>
  <c r="O72" i="2"/>
  <c r="X61" i="2"/>
  <c r="O61" i="2"/>
  <c r="AP57" i="3"/>
  <c r="O39" i="3"/>
  <c r="L25" i="3"/>
  <c r="S33" i="3"/>
  <c r="AP30" i="3"/>
  <c r="K35" i="3"/>
  <c r="N10" i="3"/>
  <c r="G32" i="3"/>
  <c r="O19" i="3"/>
  <c r="AQ26" i="3"/>
  <c r="C18" i="3"/>
  <c r="H42" i="3"/>
  <c r="AQ22" i="3"/>
  <c r="I18" i="3"/>
  <c r="AQ30" i="3"/>
  <c r="AI35" i="3"/>
  <c r="AA22" i="3"/>
  <c r="N11" i="3"/>
  <c r="AN36" i="3"/>
  <c r="AG40" i="3"/>
  <c r="AQ7" i="3"/>
  <c r="L58" i="2"/>
  <c r="X43" i="2"/>
  <c r="X85" i="2"/>
  <c r="AP87" i="3"/>
  <c r="AM16" i="3"/>
  <c r="AK21" i="3"/>
  <c r="K29" i="3"/>
  <c r="U24" i="3"/>
  <c r="AH36" i="3"/>
  <c r="AA31" i="3"/>
  <c r="L20" i="3"/>
  <c r="AB30" i="3"/>
  <c r="C15" i="3"/>
  <c r="AG8" i="3"/>
  <c r="C40" i="3"/>
  <c r="L38" i="3"/>
  <c r="S24" i="3"/>
  <c r="AL21" i="3"/>
  <c r="AG34" i="3"/>
  <c r="AB27" i="3"/>
  <c r="Z40" i="3"/>
  <c r="R23" i="3"/>
  <c r="AK35" i="3"/>
  <c r="L17" i="3"/>
  <c r="O32" i="3"/>
  <c r="AC21" i="3"/>
  <c r="Z42" i="3"/>
  <c r="AQ5" i="3"/>
  <c r="AQ64" i="3" s="1"/>
  <c r="AA18" i="3"/>
  <c r="N16" i="3"/>
  <c r="T18" i="3"/>
  <c r="D48" i="3"/>
  <c r="V42" i="3"/>
  <c r="AO42" i="3"/>
  <c r="AK23" i="3"/>
  <c r="I32" i="3"/>
  <c r="S20" i="3"/>
  <c r="AK25" i="3"/>
  <c r="K9" i="3"/>
  <c r="P9" i="3"/>
  <c r="AA26" i="3"/>
  <c r="AH12" i="3"/>
  <c r="AQ11" i="3"/>
  <c r="M41" i="3"/>
  <c r="K5" i="3"/>
  <c r="N25" i="3"/>
  <c r="N23" i="3"/>
  <c r="V40" i="3"/>
  <c r="AG18" i="3"/>
  <c r="AM7" i="3"/>
  <c r="AD29" i="3"/>
  <c r="AB15" i="3"/>
  <c r="I28" i="3"/>
  <c r="M39" i="3"/>
  <c r="AM9" i="3"/>
  <c r="AJ36" i="3"/>
  <c r="X9" i="3"/>
  <c r="N37" i="3"/>
  <c r="AC41" i="3"/>
  <c r="L10" i="3"/>
  <c r="AM83" i="3"/>
  <c r="H75" i="3"/>
  <c r="AN64" i="3"/>
  <c r="M96" i="3"/>
  <c r="H97" i="3"/>
  <c r="AE72" i="3"/>
  <c r="O50" i="3"/>
  <c r="AO97" i="3"/>
  <c r="N77" i="3"/>
  <c r="U48" i="3"/>
  <c r="U86" i="3"/>
  <c r="K90" i="3"/>
  <c r="AM80" i="3"/>
  <c r="L66" i="3"/>
  <c r="L59" i="3"/>
  <c r="AI84" i="3"/>
  <c r="O66" i="3"/>
  <c r="H58" i="3"/>
  <c r="AE84" i="3"/>
  <c r="M95" i="3"/>
  <c r="AN60" i="3"/>
  <c r="M59" i="3"/>
  <c r="AO50" i="3"/>
  <c r="N71" i="3"/>
  <c r="M48" i="3"/>
  <c r="V79" i="3"/>
  <c r="AM67" i="3"/>
  <c r="H92" i="3"/>
  <c r="H76" i="3"/>
  <c r="L82" i="3"/>
  <c r="Q75" i="3"/>
  <c r="X54" i="3"/>
  <c r="AA95" i="3"/>
  <c r="AK89" i="3"/>
  <c r="AH56" i="3"/>
  <c r="AH64" i="3"/>
  <c r="AK60" i="3"/>
  <c r="H49" i="3"/>
  <c r="AI89" i="3"/>
  <c r="N94" i="3"/>
  <c r="L61" i="3"/>
  <c r="L70" i="3"/>
  <c r="M67" i="3"/>
  <c r="V56" i="3"/>
  <c r="AA93" i="3"/>
  <c r="N78" i="3"/>
  <c r="AM60" i="3"/>
  <c r="AN70" i="3"/>
  <c r="AO48" i="3"/>
  <c r="AH83" i="3"/>
  <c r="AI78" i="3"/>
  <c r="H68" i="3"/>
  <c r="O96" i="3"/>
  <c r="AA65" i="3"/>
  <c r="L68" i="3"/>
  <c r="O78" i="3"/>
  <c r="O87" i="3"/>
  <c r="H82" i="3"/>
  <c r="Q82" i="3"/>
  <c r="O81" i="3"/>
  <c r="AE55" i="3"/>
  <c r="N59" i="3"/>
  <c r="AM78" i="3"/>
  <c r="X67" i="3"/>
  <c r="U64" i="3"/>
  <c r="L67" i="3"/>
  <c r="AA89" i="3"/>
  <c r="O69" i="3"/>
  <c r="AM71" i="3"/>
  <c r="AO83" i="3"/>
  <c r="AH76" i="3"/>
  <c r="M69" i="3"/>
  <c r="V95" i="3"/>
  <c r="U88" i="3"/>
  <c r="Q62" i="3"/>
  <c r="O97" i="3"/>
  <c r="AI92" i="3"/>
  <c r="Q69" i="3"/>
  <c r="AI66" i="3"/>
  <c r="N76" i="3"/>
  <c r="K73" i="3"/>
  <c r="AH85" i="3"/>
  <c r="Q84" i="3"/>
  <c r="AH91" i="3"/>
  <c r="M63" i="3"/>
  <c r="O82" i="3"/>
  <c r="AO55" i="3"/>
  <c r="AN61" i="3"/>
  <c r="X96" i="3"/>
  <c r="AM57" i="3"/>
  <c r="L74" i="3"/>
  <c r="L85" i="3"/>
  <c r="AA77" i="3"/>
  <c r="AK84" i="3"/>
  <c r="H59" i="3"/>
  <c r="H83" i="3"/>
  <c r="L87" i="3"/>
  <c r="L71" i="3"/>
  <c r="AN93" i="3"/>
  <c r="O89" i="3"/>
  <c r="AA62" i="3"/>
  <c r="H48" i="3"/>
  <c r="AA59" i="3"/>
  <c r="R88" i="3"/>
  <c r="AH74" i="3"/>
  <c r="R61" i="3"/>
  <c r="O75" i="3"/>
  <c r="U54" i="3"/>
  <c r="L90" i="3"/>
  <c r="N79" i="3"/>
  <c r="AM66" i="3"/>
  <c r="L75" i="3"/>
  <c r="L50" i="3"/>
  <c r="AO64" i="3"/>
  <c r="M62" i="3"/>
  <c r="AQ54" i="3"/>
  <c r="AA47" i="3"/>
  <c r="X77" i="3"/>
  <c r="AM90" i="3"/>
  <c r="K84" i="3"/>
  <c r="Q79" i="3"/>
  <c r="K68" i="3"/>
  <c r="AH82" i="3"/>
  <c r="V74" i="3"/>
  <c r="V91" i="3"/>
  <c r="R68" i="3"/>
  <c r="AH54" i="3"/>
  <c r="AM65" i="3"/>
  <c r="L55" i="3"/>
  <c r="AI48" i="3"/>
  <c r="AA78" i="3"/>
  <c r="AH78" i="3"/>
  <c r="AE60" i="3"/>
  <c r="AK73" i="3"/>
  <c r="U89" i="3"/>
  <c r="K57" i="3"/>
  <c r="AA84" i="3"/>
  <c r="V75" i="3"/>
  <c r="AO57" i="3"/>
  <c r="AH97" i="3"/>
  <c r="M81" i="3"/>
  <c r="AO85" i="3"/>
  <c r="Q95" i="3"/>
  <c r="AC80" i="3"/>
  <c r="M90" i="3"/>
  <c r="N80" i="3"/>
  <c r="AA75" i="3"/>
  <c r="U49" i="3"/>
  <c r="AQ71" i="3"/>
  <c r="X72" i="3"/>
  <c r="L94" i="3"/>
  <c r="AO82" i="3"/>
  <c r="N56" i="3"/>
  <c r="K64" i="3"/>
  <c r="N48" i="3"/>
  <c r="AA85" i="3"/>
  <c r="S76" i="3"/>
  <c r="L93" i="3"/>
  <c r="Q88" i="3"/>
  <c r="AH69" i="3"/>
  <c r="O58" i="3"/>
  <c r="AN59" i="3"/>
  <c r="N86" i="3"/>
  <c r="M65" i="3"/>
  <c r="T87" i="3"/>
  <c r="AE64" i="3"/>
  <c r="M47" i="3"/>
  <c r="AO69" i="3"/>
  <c r="N67" i="3"/>
  <c r="H87" i="3"/>
  <c r="X58" i="3"/>
  <c r="AM72" i="3"/>
  <c r="U73" i="3"/>
  <c r="O61" i="3"/>
  <c r="M75" i="3"/>
  <c r="M77" i="3"/>
  <c r="AM55" i="3"/>
  <c r="AH55" i="3"/>
  <c r="Q73" i="3"/>
  <c r="M57" i="3"/>
  <c r="X83" i="3"/>
  <c r="AJ88" i="3"/>
  <c r="L95" i="3"/>
  <c r="S60" i="3"/>
  <c r="AQ95" i="3"/>
  <c r="H74" i="3"/>
  <c r="X50" i="3"/>
  <c r="L76" i="3"/>
  <c r="M66" i="3"/>
  <c r="AN66" i="3"/>
  <c r="T92" i="3"/>
  <c r="AQ77" i="3"/>
  <c r="O79" i="3"/>
  <c r="U90" i="3"/>
  <c r="AC76" i="3"/>
  <c r="AJ77" i="3"/>
  <c r="AH95" i="3"/>
  <c r="S64" i="3"/>
  <c r="AM70" i="3"/>
  <c r="T82" i="3"/>
  <c r="R85" i="3"/>
  <c r="M94" i="3"/>
  <c r="X69" i="3"/>
  <c r="AN96" i="3"/>
  <c r="M87" i="3"/>
  <c r="Q96" i="3"/>
  <c r="AM92" i="3"/>
  <c r="Q76" i="3"/>
  <c r="U97" i="3"/>
  <c r="R84" i="3"/>
  <c r="K61" i="3"/>
  <c r="AN74" i="3"/>
  <c r="AO71" i="3"/>
  <c r="I48" i="3"/>
  <c r="N50" i="3"/>
  <c r="K62" i="3"/>
  <c r="AA88" i="3"/>
  <c r="M92" i="3"/>
  <c r="H69" i="3"/>
  <c r="R74" i="3"/>
  <c r="AI97" i="3"/>
  <c r="H85" i="3"/>
  <c r="AE68" i="3"/>
  <c r="L63" i="3"/>
  <c r="X89" i="3"/>
  <c r="Q68" i="3"/>
  <c r="AQ94" i="3"/>
  <c r="U58" i="3"/>
  <c r="AC57" i="3"/>
  <c r="AI71" i="3"/>
  <c r="AO78" i="3"/>
  <c r="M72" i="3"/>
  <c r="Q94" i="3"/>
  <c r="O64" i="3"/>
  <c r="R49" i="3"/>
  <c r="AO80" i="3"/>
  <c r="Q66" i="3"/>
  <c r="T84" i="3"/>
  <c r="L56" i="3"/>
  <c r="AE47" i="3"/>
  <c r="AE49" i="3"/>
  <c r="U85" i="3"/>
  <c r="AC58" i="3"/>
  <c r="V64" i="3"/>
  <c r="AN72" i="3"/>
  <c r="AQ81" i="3"/>
  <c r="AN58" i="3"/>
  <c r="Q61" i="3"/>
  <c r="AI83" i="3"/>
  <c r="H65" i="3"/>
  <c r="AC87" i="3"/>
  <c r="X68" i="3"/>
  <c r="U83" i="3"/>
  <c r="P67" i="3"/>
  <c r="O55" i="3"/>
  <c r="AG55" i="3"/>
  <c r="N61" i="3"/>
  <c r="Q80" i="3"/>
  <c r="K82" i="3"/>
  <c r="N90" i="3"/>
  <c r="AN73" i="3"/>
  <c r="L49" i="3"/>
  <c r="AK79" i="3"/>
  <c r="AH88" i="3"/>
  <c r="X85" i="3"/>
  <c r="U65" i="3"/>
  <c r="AO63" i="3"/>
  <c r="M80" i="3"/>
  <c r="AA57" i="3"/>
  <c r="AK57" i="3"/>
  <c r="P75" i="3"/>
  <c r="N65" i="3"/>
  <c r="O65" i="3"/>
  <c r="AM85" i="3"/>
  <c r="M68" i="3"/>
  <c r="AN81" i="3"/>
  <c r="R87" i="3"/>
  <c r="AN87" i="3"/>
  <c r="AE77" i="3"/>
  <c r="X74" i="3"/>
  <c r="N49" i="3"/>
  <c r="L80" i="3"/>
  <c r="L77" i="3"/>
  <c r="Z73" i="3"/>
  <c r="AN78" i="3"/>
  <c r="Q70" i="3"/>
  <c r="X47" i="3"/>
  <c r="AG81" i="3"/>
  <c r="Q81" i="3"/>
  <c r="R86" i="3"/>
  <c r="AN95" i="3"/>
  <c r="AO49" i="3"/>
  <c r="Q74" i="3"/>
  <c r="AQ58" i="3"/>
  <c r="Q71" i="3"/>
  <c r="AI87" i="3"/>
  <c r="O63" i="3"/>
  <c r="M60" i="3"/>
  <c r="O83" i="3"/>
  <c r="X49" i="3"/>
  <c r="H96" i="3"/>
  <c r="P84" i="3"/>
  <c r="J90" i="3"/>
  <c r="AC75" i="3"/>
  <c r="O86" i="3"/>
  <c r="AI88" i="3"/>
  <c r="J60" i="3"/>
  <c r="AO58" i="3"/>
  <c r="N91" i="3"/>
  <c r="AM91" i="3"/>
  <c r="AN94" i="3"/>
  <c r="U69" i="3"/>
  <c r="AO68" i="3"/>
  <c r="AH70" i="3"/>
  <c r="V61" i="3"/>
  <c r="X65" i="3"/>
  <c r="AQ82" i="3"/>
  <c r="AE90" i="3"/>
  <c r="Q97" i="3"/>
  <c r="AE56" i="3"/>
  <c r="U94" i="3"/>
  <c r="X56" i="3"/>
  <c r="AI49" i="3"/>
  <c r="AN88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AQ60" i="3"/>
  <c r="P72" i="3"/>
  <c r="AH58" i="3"/>
  <c r="AA92" i="3"/>
  <c r="AK80" i="3"/>
  <c r="AI63" i="3"/>
  <c r="AI47" i="3"/>
  <c r="L88" i="3"/>
  <c r="H80" i="3"/>
  <c r="O84" i="3"/>
  <c r="T65" i="3"/>
  <c r="N84" i="3"/>
  <c r="AN83" i="3"/>
  <c r="U67" i="3"/>
  <c r="V71" i="3"/>
  <c r="AN80" i="3"/>
  <c r="AI86" i="3"/>
  <c r="AH63" i="3"/>
  <c r="M73" i="3"/>
  <c r="M84" i="3"/>
  <c r="R94" i="3"/>
  <c r="N75" i="3"/>
  <c r="T71" i="3"/>
  <c r="U82" i="3"/>
  <c r="AN68" i="3"/>
  <c r="AK85" i="3"/>
  <c r="AN92" i="3"/>
  <c r="AQ67" i="3"/>
  <c r="AI93" i="3"/>
  <c r="M71" i="3"/>
  <c r="AO65" i="3"/>
  <c r="K50" i="3"/>
  <c r="K67" i="3"/>
  <c r="R73" i="3"/>
  <c r="O49" i="3"/>
  <c r="AE94" i="3"/>
  <c r="Q92" i="3"/>
  <c r="AQ50" i="3"/>
  <c r="AQ89" i="3"/>
  <c r="H57" i="3"/>
  <c r="AH47" i="3"/>
  <c r="K95" i="3"/>
  <c r="H56" i="3"/>
  <c r="U70" i="3"/>
  <c r="N69" i="3"/>
  <c r="AC83" i="3"/>
  <c r="L69" i="3"/>
  <c r="L72" i="3"/>
  <c r="AC97" i="3"/>
  <c r="T49" i="3"/>
  <c r="J87" i="3"/>
  <c r="AA76" i="3"/>
  <c r="AE70" i="3"/>
  <c r="K63" i="3"/>
  <c r="U62" i="3"/>
  <c r="R70" i="3"/>
  <c r="AH68" i="3"/>
  <c r="X57" i="3"/>
  <c r="V97" i="3"/>
  <c r="AN62" i="3"/>
  <c r="AH7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AC71" i="3"/>
  <c r="N97" i="3"/>
  <c r="AM96" i="3"/>
  <c r="R78" i="3"/>
  <c r="V66" i="3"/>
  <c r="U84" i="3"/>
  <c r="AH50" i="3"/>
  <c r="AN48" i="3"/>
  <c r="AQ92" i="3"/>
  <c r="J73" i="3"/>
  <c r="X86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AN89" i="3"/>
  <c r="AH84" i="3"/>
  <c r="AI68" i="3"/>
  <c r="AA81" i="3"/>
  <c r="H55" i="3"/>
  <c r="V69" i="3"/>
  <c r="X97" i="3"/>
  <c r="Q93" i="3"/>
  <c r="AC79" i="3"/>
  <c r="R79" i="3"/>
  <c r="AH79" i="3"/>
  <c r="O92" i="3"/>
  <c r="U95" i="3"/>
  <c r="R50" i="3"/>
  <c r="Q64" i="3"/>
  <c r="AE58" i="3"/>
  <c r="H79" i="3"/>
  <c r="Q55" i="3"/>
  <c r="AA74" i="3"/>
  <c r="AH61" i="3"/>
  <c r="J77" i="3"/>
  <c r="AC67" i="3"/>
  <c r="AO95" i="3"/>
  <c r="N66" i="3"/>
  <c r="AH90" i="3"/>
  <c r="K78" i="3"/>
  <c r="R66" i="3"/>
  <c r="AH59" i="3"/>
  <c r="P97" i="3"/>
  <c r="AI79" i="3"/>
  <c r="AA94" i="3"/>
  <c r="J78" i="3"/>
  <c r="AM77" i="3"/>
  <c r="R89" i="3"/>
  <c r="M50" i="3"/>
  <c r="AN79" i="3"/>
  <c r="M58" i="3"/>
  <c r="R92" i="3"/>
  <c r="AE48" i="3"/>
  <c r="N81" i="3"/>
  <c r="M55" i="3"/>
  <c r="AQ49" i="3"/>
  <c r="AO87" i="3"/>
  <c r="X64" i="3"/>
  <c r="AA67" i="3"/>
  <c r="AE61" i="3"/>
  <c r="AM84" i="3"/>
  <c r="L92" i="3"/>
  <c r="O95" i="3"/>
  <c r="P60" i="3"/>
  <c r="AE82" i="3"/>
  <c r="AO73" i="3"/>
  <c r="X63" i="3"/>
  <c r="AC68" i="3"/>
  <c r="J66" i="3"/>
  <c r="K75" i="3"/>
  <c r="X93" i="3"/>
  <c r="AH77" i="3"/>
  <c r="V96" i="3"/>
  <c r="H77" i="3"/>
  <c r="X81" i="3"/>
  <c r="AO81" i="3"/>
  <c r="AN76" i="3"/>
  <c r="AH48" i="3"/>
  <c r="AQ97" i="3"/>
  <c r="AK90" i="3"/>
  <c r="U59" i="3"/>
  <c r="AM73" i="3"/>
  <c r="V59" i="3"/>
  <c r="AA68" i="3"/>
  <c r="K71" i="3"/>
  <c r="Q83" i="3"/>
  <c r="K76" i="3"/>
  <c r="N55" i="3"/>
  <c r="AH93" i="3"/>
  <c r="H63" i="3"/>
  <c r="M97" i="3"/>
  <c r="H64" i="3"/>
  <c r="AA58" i="3"/>
  <c r="X91" i="3"/>
  <c r="V57" i="3"/>
  <c r="AC84" i="3"/>
  <c r="N47" i="3"/>
  <c r="AE93" i="3"/>
  <c r="AH66" i="3"/>
  <c r="AN57" i="3"/>
  <c r="K77" i="3"/>
  <c r="AQ59" i="3"/>
  <c r="AC86" i="3"/>
  <c r="U66" i="3"/>
  <c r="AQ57" i="3"/>
  <c r="P76" i="3"/>
  <c r="V85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A72" i="3"/>
  <c r="T96" i="3"/>
  <c r="N92" i="3"/>
  <c r="T69" i="3"/>
  <c r="R90" i="3"/>
  <c r="AN91" i="3"/>
  <c r="V86" i="3"/>
  <c r="U91" i="3"/>
  <c r="AQ73" i="3"/>
  <c r="AQ70" i="3"/>
  <c r="X62" i="3"/>
  <c r="AC63" i="3"/>
  <c r="R82" i="3"/>
  <c r="P54" i="3"/>
  <c r="X60" i="3"/>
  <c r="T94" i="3"/>
  <c r="V77" i="3"/>
  <c r="AK94" i="3"/>
  <c r="AI50" i="3"/>
  <c r="AI61" i="3"/>
  <c r="M74" i="3"/>
  <c r="H90" i="3"/>
  <c r="O94" i="3"/>
  <c r="L57" i="3"/>
  <c r="AA82" i="3"/>
  <c r="M78" i="3"/>
  <c r="K47" i="3"/>
  <c r="AE54" i="3"/>
  <c r="V88" i="3"/>
  <c r="AC81" i="3"/>
  <c r="U80" i="3"/>
  <c r="AQ85" i="3"/>
  <c r="T93" i="3"/>
  <c r="AK86" i="3"/>
  <c r="M82" i="3"/>
  <c r="AE73" i="3"/>
  <c r="AE97" i="3"/>
  <c r="V84" i="3"/>
  <c r="V50" i="3"/>
  <c r="T76" i="3"/>
  <c r="P85" i="3"/>
  <c r="AA70" i="3"/>
  <c r="AQ75" i="3"/>
  <c r="T78" i="3"/>
  <c r="M54" i="3"/>
  <c r="AH60" i="3"/>
  <c r="K49" i="3"/>
  <c r="P73" i="3"/>
  <c r="J76" i="3"/>
  <c r="N68" i="3"/>
  <c r="U76" i="3"/>
  <c r="X84" i="3"/>
  <c r="AC70" i="3"/>
  <c r="N57" i="3"/>
  <c r="P70" i="3"/>
  <c r="O56" i="3"/>
  <c r="AO90" i="3"/>
  <c r="P48" i="3"/>
  <c r="AO61" i="3"/>
  <c r="K69" i="3"/>
  <c r="V93" i="3"/>
  <c r="T89" i="3"/>
  <c r="N95" i="3"/>
  <c r="AM93" i="3"/>
  <c r="AA71" i="3"/>
  <c r="AK55" i="3"/>
  <c r="M89" i="3"/>
  <c r="AN50" i="3"/>
  <c r="J67" i="3"/>
  <c r="AH75" i="3"/>
  <c r="AN55" i="3"/>
  <c r="AQ68" i="3"/>
  <c r="AI75" i="3"/>
  <c r="O54" i="3"/>
  <c r="Q85" i="3"/>
  <c r="M61" i="3"/>
  <c r="AC82" i="3"/>
  <c r="U56" i="3"/>
  <c r="K80" i="3"/>
  <c r="N62" i="3"/>
  <c r="U60" i="3"/>
  <c r="AN86" i="3"/>
  <c r="AQ88" i="3"/>
  <c r="T58" i="3"/>
  <c r="AQ80" i="3"/>
  <c r="X88" i="3"/>
  <c r="H86" i="3"/>
  <c r="AO67" i="3"/>
  <c r="K59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AO72" i="3"/>
  <c r="N82" i="3"/>
  <c r="U77" i="3"/>
  <c r="AO93" i="3"/>
  <c r="T57" i="3"/>
  <c r="X82" i="3"/>
  <c r="H94" i="3"/>
  <c r="P68" i="3"/>
  <c r="P57" i="3"/>
  <c r="AN65" i="3"/>
  <c r="AA54" i="3"/>
  <c r="AQ76" i="3"/>
  <c r="AI72" i="3"/>
  <c r="AK64" i="3"/>
  <c r="P81" i="3"/>
  <c r="J63" i="3"/>
  <c r="AI64" i="3"/>
  <c r="AI58" i="3"/>
  <c r="O60" i="3"/>
  <c r="AA97" i="3"/>
  <c r="O90" i="3"/>
  <c r="AI74" i="3"/>
  <c r="AC56" i="3"/>
  <c r="K79" i="3"/>
  <c r="N83" i="3"/>
  <c r="X92" i="3"/>
  <c r="U74" i="3"/>
  <c r="AC65" i="3"/>
  <c r="P69" i="3"/>
  <c r="T54" i="3"/>
  <c r="X70" i="3"/>
  <c r="AQ86" i="3"/>
  <c r="AA80" i="3"/>
  <c r="Q48" i="3"/>
  <c r="U61" i="3"/>
  <c r="N87" i="3"/>
  <c r="AC94" i="3"/>
  <c r="AN69" i="3"/>
  <c r="AQ96" i="3"/>
  <c r="H78" i="3"/>
  <c r="P78" i="3"/>
  <c r="AM50" i="3"/>
  <c r="AK61" i="3"/>
  <c r="H66" i="3"/>
  <c r="H61" i="3"/>
  <c r="L86" i="3"/>
  <c r="L73" i="3"/>
  <c r="O91" i="3"/>
  <c r="Q63" i="3"/>
  <c r="X78" i="3"/>
  <c r="M83" i="3"/>
  <c r="AO74" i="3"/>
  <c r="N88" i="3"/>
  <c r="M49" i="3"/>
  <c r="V60" i="3"/>
  <c r="X55" i="3"/>
  <c r="U87" i="3"/>
  <c r="AQ79" i="3"/>
  <c r="R76" i="3"/>
  <c r="K56" i="3"/>
  <c r="T70" i="3"/>
  <c r="R72" i="3"/>
  <c r="Q78" i="3"/>
  <c r="AO47" i="3"/>
  <c r="N72" i="3"/>
  <c r="AQ65" i="3"/>
  <c r="R96" i="3"/>
  <c r="M85" i="3"/>
  <c r="L81" i="3"/>
  <c r="AM82" i="3"/>
  <c r="AK72" i="3"/>
  <c r="L83" i="3"/>
  <c r="AA66" i="3"/>
  <c r="L91" i="3"/>
  <c r="J96" i="3"/>
  <c r="J93" i="3"/>
  <c r="AQ83" i="3"/>
  <c r="AC60" i="3"/>
  <c r="V83" i="3"/>
  <c r="J58" i="3"/>
  <c r="AQ74" i="3"/>
  <c r="AK63" i="3"/>
  <c r="AA73" i="3"/>
  <c r="O72" i="3"/>
  <c r="AI91" i="3"/>
  <c r="AQ63" i="3"/>
  <c r="O80" i="3"/>
  <c r="T72" i="3"/>
  <c r="R67" i="3"/>
  <c r="AA49" i="3"/>
  <c r="AO94" i="3"/>
  <c r="AE63" i="3"/>
  <c r="X71" i="3"/>
  <c r="AN47" i="3"/>
  <c r="AC92" i="3"/>
  <c r="AK76" i="3"/>
  <c r="Q77" i="3"/>
  <c r="V73" i="3"/>
  <c r="M79" i="3"/>
  <c r="AO91" i="3"/>
  <c r="T91" i="3"/>
  <c r="R77" i="3"/>
  <c r="AI65" i="3"/>
  <c r="AI90" i="3"/>
  <c r="P58" i="3"/>
  <c r="P92" i="3"/>
  <c r="Q57" i="3"/>
  <c r="M91" i="3"/>
  <c r="P86" i="3"/>
  <c r="AO54" i="3"/>
  <c r="AC55" i="3"/>
  <c r="AN85" i="3"/>
  <c r="X73" i="3"/>
  <c r="V65" i="3"/>
  <c r="AC59" i="3"/>
  <c r="AK66" i="3"/>
  <c r="Q91" i="3"/>
  <c r="AH92" i="3"/>
  <c r="R81" i="3"/>
  <c r="AI85" i="3"/>
  <c r="AM47" i="3"/>
  <c r="H81" i="3"/>
  <c r="H89" i="3"/>
  <c r="H62" i="3"/>
  <c r="AA55" i="3"/>
  <c r="AN90" i="3"/>
  <c r="AO59" i="3"/>
  <c r="AH72" i="3"/>
  <c r="AK48" i="3"/>
  <c r="T80" i="3"/>
  <c r="U63" i="3"/>
  <c r="AC73" i="3"/>
  <c r="AH71" i="3"/>
  <c r="H47" i="3"/>
  <c r="J69" i="3"/>
  <c r="AO79" i="3"/>
  <c r="R63" i="3"/>
  <c r="J82" i="3"/>
  <c r="V81" i="3"/>
  <c r="J54" i="3"/>
  <c r="AK58" i="3"/>
  <c r="V63" i="3"/>
  <c r="R91" i="3"/>
  <c r="AC93" i="3"/>
  <c r="P82" i="3"/>
  <c r="AK74" i="3"/>
  <c r="AK83" i="3"/>
  <c r="AI73" i="3"/>
  <c r="Q56" i="3"/>
  <c r="M86" i="3"/>
  <c r="O67" i="3"/>
  <c r="T86" i="3"/>
  <c r="AA96" i="3"/>
  <c r="AA90" i="3"/>
  <c r="T64" i="3"/>
  <c r="N58" i="3"/>
  <c r="J50" i="3"/>
  <c r="K48" i="3"/>
  <c r="AK82" i="3"/>
  <c r="AA61" i="3"/>
  <c r="AH67" i="3"/>
  <c r="K74" i="3"/>
  <c r="AH86" i="3"/>
  <c r="H95" i="3"/>
  <c r="AC96" i="3"/>
  <c r="AK50" i="3"/>
  <c r="AH81" i="3"/>
  <c r="P83" i="3"/>
  <c r="AM94" i="3"/>
  <c r="AK75" i="3"/>
  <c r="O73" i="3"/>
  <c r="X95" i="3"/>
  <c r="AQ69" i="3"/>
  <c r="AM95" i="3"/>
  <c r="Q65" i="3"/>
  <c r="X48" i="3"/>
  <c r="N63" i="3"/>
  <c r="AN56" i="3"/>
  <c r="AC62" i="3"/>
  <c r="U71" i="3" l="1"/>
  <c r="AM49" i="3"/>
  <c r="AK92" i="3"/>
  <c r="P74" i="3"/>
  <c r="AM54" i="3"/>
  <c r="AN97" i="3"/>
  <c r="AC64" i="3"/>
  <c r="X94" i="3"/>
  <c r="AK97" i="3"/>
  <c r="U93" i="3"/>
  <c r="AN49" i="3"/>
  <c r="AE57" i="3"/>
  <c r="I95" i="3"/>
  <c r="AI55" i="3"/>
  <c r="AI81" i="3"/>
  <c r="Q87" i="3"/>
  <c r="X59" i="3"/>
  <c r="AK69" i="3"/>
  <c r="J85" i="3"/>
  <c r="AN71" i="3"/>
  <c r="O47" i="3"/>
  <c r="AE85" i="3"/>
  <c r="AA87" i="3"/>
  <c r="AM59" i="3"/>
  <c r="AO66" i="3"/>
  <c r="T55" i="3"/>
  <c r="U47" i="3"/>
  <c r="AI60" i="3"/>
  <c r="AE75" i="3"/>
  <c r="U68" i="3"/>
  <c r="AO86" i="3"/>
  <c r="AI76" i="3"/>
  <c r="N85" i="3"/>
  <c r="R48" i="3"/>
  <c r="AM97" i="3"/>
  <c r="O77" i="3"/>
  <c r="Q54" i="3"/>
  <c r="Q59" i="3"/>
  <c r="Q50" i="3"/>
  <c r="K87" i="3"/>
  <c r="AH65" i="3"/>
  <c r="U75" i="3"/>
  <c r="AI62" i="3"/>
  <c r="AK68" i="3"/>
  <c r="AN75" i="3"/>
  <c r="N96" i="3"/>
  <c r="AO96" i="3"/>
  <c r="T62" i="3"/>
  <c r="AA60" i="3"/>
  <c r="N73" i="3"/>
  <c r="J88" i="3"/>
  <c r="AC72" i="3"/>
  <c r="U81" i="3"/>
  <c r="R64" i="3"/>
  <c r="X66" i="3"/>
  <c r="U50" i="3"/>
  <c r="X75" i="3"/>
  <c r="Q49" i="3"/>
  <c r="AE76" i="3"/>
  <c r="AC49" i="3"/>
  <c r="K65" i="3"/>
  <c r="K70" i="3"/>
  <c r="AI94" i="3"/>
  <c r="AM89" i="3"/>
  <c r="AC74" i="3"/>
  <c r="V90" i="3"/>
  <c r="V72" i="3"/>
  <c r="AK77" i="3"/>
  <c r="V92" i="3"/>
  <c r="AQ87" i="3"/>
  <c r="AE79" i="3"/>
  <c r="AQ72" i="3"/>
  <c r="AE80" i="3"/>
  <c r="T63" i="3"/>
  <c r="AC77" i="3"/>
  <c r="AQ56" i="3"/>
  <c r="AQ62" i="3"/>
  <c r="AK62" i="3"/>
  <c r="R69" i="3"/>
  <c r="V89" i="3"/>
  <c r="J86" i="3"/>
  <c r="AM76" i="3"/>
  <c r="AE92" i="3"/>
  <c r="AM68" i="3"/>
  <c r="J64" i="3"/>
  <c r="T61" i="3"/>
  <c r="T77" i="3"/>
  <c r="P65" i="3"/>
  <c r="AE87" i="3"/>
  <c r="AE78" i="3"/>
  <c r="J80" i="3"/>
  <c r="R95" i="3"/>
  <c r="R56" i="3"/>
  <c r="J72" i="3"/>
  <c r="J49" i="3"/>
  <c r="X76" i="3"/>
  <c r="L89" i="3"/>
  <c r="K86" i="3"/>
  <c r="AI82" i="3"/>
  <c r="Q67" i="3"/>
  <c r="J57" i="3"/>
  <c r="T60" i="3"/>
  <c r="M56" i="3"/>
  <c r="M70" i="3"/>
  <c r="U57" i="3"/>
  <c r="O76" i="3"/>
  <c r="M88" i="3"/>
  <c r="M64" i="3"/>
  <c r="AN84" i="3"/>
  <c r="AE62" i="3"/>
  <c r="K81" i="3"/>
  <c r="P95" i="3"/>
  <c r="N74" i="3"/>
  <c r="U72" i="3"/>
  <c r="T97" i="3"/>
  <c r="R47" i="3"/>
  <c r="L54" i="3"/>
  <c r="Q47" i="3"/>
  <c r="AH62" i="3"/>
  <c r="T90" i="3"/>
  <c r="AI67" i="3"/>
  <c r="AH49" i="3"/>
  <c r="AM58" i="3"/>
  <c r="AA86" i="3"/>
  <c r="L60" i="3"/>
  <c r="R75" i="3"/>
  <c r="J61" i="3"/>
  <c r="V82" i="3"/>
  <c r="AK70" i="3"/>
  <c r="K88" i="3"/>
  <c r="N60" i="3"/>
  <c r="AM48" i="3"/>
  <c r="AI59" i="3"/>
  <c r="AM79" i="3"/>
  <c r="P91" i="3"/>
  <c r="AO75" i="3"/>
  <c r="P49" i="3"/>
  <c r="AQ90" i="3"/>
  <c r="AQ66" i="3"/>
  <c r="AO70" i="3"/>
  <c r="J62" i="3"/>
  <c r="W87" i="3"/>
  <c r="W80" i="3"/>
  <c r="AJ74" i="3"/>
  <c r="BP170" i="1" s="1"/>
  <c r="BQ170" i="1" s="1"/>
  <c r="AJ86" i="3"/>
  <c r="AJ80" i="3"/>
  <c r="BP192" i="1" s="1"/>
  <c r="AJ84" i="3"/>
  <c r="BP179" i="1" s="1"/>
  <c r="BQ179" i="1" s="1"/>
  <c r="AJ93" i="3"/>
  <c r="AJ76" i="3"/>
  <c r="AJ55" i="3"/>
  <c r="AJ82" i="3"/>
  <c r="BP178" i="1" s="1"/>
  <c r="AJ81" i="3"/>
  <c r="BP177" i="1" s="1"/>
  <c r="AJ63" i="3"/>
  <c r="BP158" i="1" s="1"/>
  <c r="BQ158" i="1" s="1"/>
  <c r="AJ87" i="3"/>
  <c r="BP185" i="1" s="1"/>
  <c r="BQ185" i="1" s="1"/>
  <c r="AJ70" i="3"/>
  <c r="BP166" i="1" s="1"/>
  <c r="AJ67" i="3"/>
  <c r="AJ79" i="3"/>
  <c r="BP176" i="1" s="1"/>
  <c r="BQ176" i="1" s="1"/>
  <c r="AJ91" i="3"/>
  <c r="BP187" i="1" s="1"/>
  <c r="BQ187" i="1" s="1"/>
  <c r="AJ92" i="3"/>
  <c r="BP188" i="1" s="1"/>
  <c r="BQ188" i="1" s="1"/>
  <c r="AJ97" i="3"/>
  <c r="AJ61" i="3"/>
  <c r="AJ90" i="3"/>
  <c r="BP159" i="1" s="1"/>
  <c r="BQ159" i="1" s="1"/>
  <c r="AJ94" i="3"/>
  <c r="AJ62" i="3"/>
  <c r="BP157" i="1" s="1"/>
  <c r="BQ157" i="1" s="1"/>
  <c r="AJ49" i="3"/>
  <c r="BP101" i="1" s="1"/>
  <c r="AJ64" i="3"/>
  <c r="BP182" i="1" s="1"/>
  <c r="BQ182" i="1" s="1"/>
  <c r="AJ89" i="3"/>
  <c r="BP186" i="1" s="1"/>
  <c r="AJ60" i="3"/>
  <c r="BP155" i="1" s="1"/>
  <c r="BQ155" i="1" s="1"/>
  <c r="AJ95" i="3"/>
  <c r="BP197" i="1" s="1"/>
  <c r="BQ197" i="1" s="1"/>
  <c r="AJ85" i="3"/>
  <c r="BP180" i="1" s="1"/>
  <c r="BQ180" i="1" s="1"/>
  <c r="AJ78" i="3"/>
  <c r="BP175" i="1" s="1"/>
  <c r="BQ175" i="1" s="1"/>
  <c r="AJ56" i="3"/>
  <c r="BP150" i="1" s="1"/>
  <c r="BQ150" i="1" s="1"/>
  <c r="AJ65" i="3"/>
  <c r="BP183" i="1" s="1"/>
  <c r="BQ183" i="1" s="1"/>
  <c r="AJ71" i="3"/>
  <c r="AJ48" i="3"/>
  <c r="AJ69" i="3"/>
  <c r="BP165" i="1" s="1"/>
  <c r="AJ50" i="3"/>
  <c r="BP102" i="1" s="1"/>
  <c r="AJ66" i="3"/>
  <c r="BP184" i="1" s="1"/>
  <c r="BQ184" i="1" s="1"/>
  <c r="AJ68" i="3"/>
  <c r="BP164" i="1" s="1"/>
  <c r="AJ72" i="3"/>
  <c r="BP168" i="1" s="1"/>
  <c r="BQ168" i="1" s="1"/>
  <c r="AJ96" i="3"/>
  <c r="BP196" i="1" s="1"/>
  <c r="BQ196" i="1" s="1"/>
  <c r="AJ54" i="3"/>
  <c r="AJ59" i="3"/>
  <c r="AJ75" i="3"/>
  <c r="AJ47" i="3"/>
  <c r="AJ57" i="3"/>
  <c r="BP151" i="1" s="1"/>
  <c r="BQ151" i="1" s="1"/>
  <c r="AJ83" i="3"/>
  <c r="BP193" i="1" s="1"/>
  <c r="AJ58" i="3"/>
  <c r="BP152" i="1" s="1"/>
  <c r="AJ73" i="3"/>
  <c r="Y87" i="3"/>
  <c r="Y88" i="3"/>
  <c r="AL48" i="3"/>
  <c r="AL55" i="3"/>
  <c r="AL80" i="3"/>
  <c r="BR192" i="1" s="1"/>
  <c r="U92" i="3"/>
  <c r="U55" i="3"/>
  <c r="H50" i="3"/>
  <c r="AN102" i="1" s="1"/>
  <c r="H54" i="3"/>
  <c r="AI69" i="3"/>
  <c r="AI70" i="3"/>
  <c r="T67" i="3"/>
  <c r="T48" i="3"/>
  <c r="T88" i="3"/>
  <c r="AZ160" i="1" s="1"/>
  <c r="BA160" i="1" s="1"/>
  <c r="T81" i="3"/>
  <c r="AZ177" i="1" s="1"/>
  <c r="T59" i="3"/>
  <c r="T85" i="3"/>
  <c r="AZ180" i="1" s="1"/>
  <c r="BA180" i="1" s="1"/>
  <c r="T79" i="3"/>
  <c r="AZ176" i="1" s="1"/>
  <c r="T73" i="3"/>
  <c r="T50" i="3"/>
  <c r="AZ102" i="1" s="1"/>
  <c r="T74" i="3"/>
  <c r="AZ170" i="1" s="1"/>
  <c r="BA170" i="1" s="1"/>
  <c r="T95" i="3"/>
  <c r="AZ197" i="1" s="1"/>
  <c r="BA197" i="1" s="1"/>
  <c r="T66" i="3"/>
  <c r="AZ184" i="1" s="1"/>
  <c r="BA184" i="1" s="1"/>
  <c r="T56" i="3"/>
  <c r="AZ150" i="1" s="1"/>
  <c r="BA150" i="1" s="1"/>
  <c r="AK56" i="3"/>
  <c r="AK59" i="3"/>
  <c r="AK91" i="3"/>
  <c r="AK67" i="3"/>
  <c r="AK88" i="3"/>
  <c r="AK96" i="3"/>
  <c r="AK71" i="3"/>
  <c r="AK87" i="3"/>
  <c r="AK47" i="3"/>
  <c r="AG83" i="3"/>
  <c r="AG91" i="3"/>
  <c r="AG57" i="3"/>
  <c r="P77" i="3"/>
  <c r="AV173" i="1" s="1"/>
  <c r="P59" i="3"/>
  <c r="P71" i="3"/>
  <c r="P61" i="3"/>
  <c r="P63" i="3"/>
  <c r="AV158" i="1" s="1"/>
  <c r="AW158" i="1" s="1"/>
  <c r="P55" i="3"/>
  <c r="AE65" i="3"/>
  <c r="AE86" i="3"/>
  <c r="AE88" i="3"/>
  <c r="AE67" i="3"/>
  <c r="AC66" i="3"/>
  <c r="AC47" i="3"/>
  <c r="AC78" i="3"/>
  <c r="AC91" i="3"/>
  <c r="AC95" i="3"/>
  <c r="AC90" i="3"/>
  <c r="AC50" i="3"/>
  <c r="BI102" i="1" s="1"/>
  <c r="AC89" i="3"/>
  <c r="AC54" i="3"/>
  <c r="V94" i="3"/>
  <c r="V80" i="3"/>
  <c r="BB192" i="1" s="1"/>
  <c r="V47" i="3"/>
  <c r="V87" i="3"/>
  <c r="BB185" i="1" s="1"/>
  <c r="BC185" i="1" s="1"/>
  <c r="V54" i="3"/>
  <c r="V70" i="3"/>
  <c r="BB166" i="1" s="1"/>
  <c r="V68" i="3"/>
  <c r="BB164" i="1" s="1"/>
  <c r="V78" i="3"/>
  <c r="BB175" i="1" s="1"/>
  <c r="BC175" i="1" s="1"/>
  <c r="V58" i="3"/>
  <c r="BB152" i="1" s="1"/>
  <c r="R62" i="3"/>
  <c r="AX157" i="1" s="1"/>
  <c r="R59" i="3"/>
  <c r="R54" i="3"/>
  <c r="R65" i="3"/>
  <c r="AX183" i="1" s="1"/>
  <c r="AY183" i="1" s="1"/>
  <c r="R93" i="3"/>
  <c r="R97" i="3"/>
  <c r="J89" i="3"/>
  <c r="AP186" i="1" s="1"/>
  <c r="J68" i="3"/>
  <c r="AP164" i="1" s="1"/>
  <c r="J56" i="3"/>
  <c r="AP150" i="1" s="1"/>
  <c r="AQ150" i="1" s="1"/>
  <c r="J71" i="3"/>
  <c r="J95" i="3"/>
  <c r="AP197" i="1" s="1"/>
  <c r="AQ197" i="1" s="1"/>
  <c r="J74" i="3"/>
  <c r="AP170" i="1" s="1"/>
  <c r="AQ170" i="1" s="1"/>
  <c r="J91" i="3"/>
  <c r="AP187" i="1" s="1"/>
  <c r="AQ187" i="1" s="1"/>
  <c r="J84" i="3"/>
  <c r="AP179" i="1" s="1"/>
  <c r="AQ179" i="1" s="1"/>
  <c r="J65" i="3"/>
  <c r="AP183" i="1" s="1"/>
  <c r="AQ183" i="1" s="1"/>
  <c r="J55" i="3"/>
  <c r="K66" i="3"/>
  <c r="K97" i="3"/>
  <c r="K89" i="3"/>
  <c r="K85" i="3"/>
  <c r="W49" i="3"/>
  <c r="BC101" i="1" s="1"/>
  <c r="W94" i="3"/>
  <c r="W79" i="3"/>
  <c r="W65" i="3"/>
  <c r="W73" i="3"/>
  <c r="W82" i="3"/>
  <c r="W50" i="3"/>
  <c r="BC102" i="1" s="1"/>
  <c r="W83" i="3"/>
  <c r="W72" i="3"/>
  <c r="W81" i="3"/>
  <c r="W55" i="3"/>
  <c r="W67" i="3"/>
  <c r="W85" i="3"/>
  <c r="W84" i="3"/>
  <c r="W60" i="3"/>
  <c r="W61" i="3"/>
  <c r="W58" i="3"/>
  <c r="W97" i="3"/>
  <c r="W88" i="3"/>
  <c r="W63" i="3"/>
  <c r="W54" i="3"/>
  <c r="W70" i="3"/>
  <c r="W90" i="3"/>
  <c r="W76" i="3"/>
  <c r="W68" i="3"/>
  <c r="W57" i="3"/>
  <c r="W91" i="3"/>
  <c r="W96" i="3"/>
  <c r="W66" i="3"/>
  <c r="W69" i="3"/>
  <c r="W64" i="3"/>
  <c r="W93" i="3"/>
  <c r="W47" i="3"/>
  <c r="W92" i="3"/>
  <c r="W77" i="3"/>
  <c r="W89" i="3"/>
  <c r="W74" i="3"/>
  <c r="W62" i="3"/>
  <c r="W48" i="3"/>
  <c r="W86" i="3"/>
  <c r="W78" i="3"/>
  <c r="W59" i="3"/>
  <c r="W71" i="3"/>
  <c r="W75" i="3"/>
  <c r="W56" i="3"/>
  <c r="W95" i="3"/>
  <c r="Y97" i="3"/>
  <c r="Y84" i="3"/>
  <c r="Y50" i="3"/>
  <c r="BE102" i="1" s="1"/>
  <c r="Y78" i="3"/>
  <c r="Y93" i="3"/>
  <c r="Y54" i="3"/>
  <c r="Y94" i="3"/>
  <c r="Y79" i="3"/>
  <c r="Y69" i="3"/>
  <c r="Y85" i="3"/>
  <c r="Y74" i="3"/>
  <c r="Y72" i="3"/>
  <c r="Y70" i="3"/>
  <c r="Y62" i="3"/>
  <c r="Y55" i="3"/>
  <c r="Y81" i="3"/>
  <c r="Y86" i="3"/>
  <c r="Y58" i="3"/>
  <c r="Y92" i="3"/>
  <c r="Y75" i="3"/>
  <c r="Y48" i="3"/>
  <c r="Y56" i="3"/>
  <c r="Y95" i="3"/>
  <c r="Y59" i="3"/>
  <c r="Y90" i="3"/>
  <c r="Y91" i="3"/>
  <c r="Y64" i="3"/>
  <c r="Y89" i="3"/>
  <c r="Y82" i="3"/>
  <c r="Y47" i="3"/>
  <c r="Y73" i="3"/>
  <c r="Y66" i="3"/>
  <c r="Y67" i="3"/>
  <c r="Y83" i="3"/>
  <c r="Y60" i="3"/>
  <c r="Y63" i="3"/>
  <c r="Y49" i="3"/>
  <c r="BE101" i="1" s="1"/>
  <c r="Y71" i="3"/>
  <c r="Y68" i="3"/>
  <c r="Y77" i="3"/>
  <c r="Y57" i="3"/>
  <c r="Y96" i="3"/>
  <c r="Y76" i="3"/>
  <c r="Y61" i="3"/>
  <c r="Y80" i="3"/>
  <c r="Y65" i="3"/>
  <c r="AL87" i="3"/>
  <c r="BR185" i="1" s="1"/>
  <c r="BS185" i="1" s="1"/>
  <c r="AL90" i="3"/>
  <c r="BR159" i="1" s="1"/>
  <c r="BS159" i="1" s="1"/>
  <c r="AL47" i="3"/>
  <c r="AL69" i="3"/>
  <c r="BR165" i="1" s="1"/>
  <c r="AL66" i="3"/>
  <c r="BR184" i="1" s="1"/>
  <c r="BS184" i="1" s="1"/>
  <c r="AL85" i="3"/>
  <c r="BR180" i="1" s="1"/>
  <c r="BS180" i="1" s="1"/>
  <c r="AL81" i="3"/>
  <c r="BR177" i="1" s="1"/>
  <c r="AL78" i="3"/>
  <c r="BR175" i="1" s="1"/>
  <c r="BS175" i="1" s="1"/>
  <c r="AL67" i="3"/>
  <c r="AL65" i="3"/>
  <c r="BR183" i="1" s="1"/>
  <c r="BS183" i="1" s="1"/>
  <c r="AL49" i="3"/>
  <c r="BR101" i="1" s="1"/>
  <c r="AL58" i="3"/>
  <c r="BR152" i="1" s="1"/>
  <c r="AL50" i="3"/>
  <c r="BR102" i="1" s="1"/>
  <c r="AL68" i="3"/>
  <c r="BR164" i="1" s="1"/>
  <c r="AL72" i="3"/>
  <c r="BR168" i="1" s="1"/>
  <c r="BS168" i="1" s="1"/>
  <c r="AL60" i="3"/>
  <c r="BR155" i="1" s="1"/>
  <c r="BS155" i="1" s="1"/>
  <c r="AL76" i="3"/>
  <c r="AL96" i="3"/>
  <c r="BR196" i="1" s="1"/>
  <c r="BS196" i="1" s="1"/>
  <c r="AL91" i="3"/>
  <c r="BR187" i="1" s="1"/>
  <c r="BS187" i="1" s="1"/>
  <c r="AL63" i="3"/>
  <c r="BR158" i="1" s="1"/>
  <c r="BS158" i="1" s="1"/>
  <c r="AL74" i="3"/>
  <c r="BR170" i="1" s="1"/>
  <c r="BS170" i="1" s="1"/>
  <c r="AL54" i="3"/>
  <c r="AL70" i="3"/>
  <c r="BR166" i="1" s="1"/>
  <c r="AL92" i="3"/>
  <c r="BR188" i="1" s="1"/>
  <c r="BS188" i="1" s="1"/>
  <c r="AL95" i="3"/>
  <c r="BR197" i="1" s="1"/>
  <c r="BS197" i="1" s="1"/>
  <c r="AL79" i="3"/>
  <c r="BR176" i="1" s="1"/>
  <c r="AL62" i="3"/>
  <c r="BR157" i="1" s="1"/>
  <c r="BS157" i="1" s="1"/>
  <c r="AL59" i="3"/>
  <c r="AL61" i="3"/>
  <c r="AL71" i="3"/>
  <c r="AL73" i="3"/>
  <c r="AL83" i="3"/>
  <c r="BR193" i="1" s="1"/>
  <c r="AL97" i="3"/>
  <c r="AL84" i="3"/>
  <c r="BR179" i="1" s="1"/>
  <c r="BS179" i="1" s="1"/>
  <c r="AL75" i="3"/>
  <c r="AL56" i="3"/>
  <c r="BR150" i="1" s="1"/>
  <c r="AL88" i="3"/>
  <c r="BR160" i="1" s="1"/>
  <c r="BS160" i="1" s="1"/>
  <c r="AL64" i="3"/>
  <c r="BR182" i="1" s="1"/>
  <c r="BS182" i="1" s="1"/>
  <c r="AL93" i="3"/>
  <c r="AL57" i="3"/>
  <c r="BR151" i="1" s="1"/>
  <c r="BS151" i="1" s="1"/>
  <c r="AL86" i="3"/>
  <c r="AL77" i="3"/>
  <c r="BR173" i="1" s="1"/>
  <c r="AL89" i="3"/>
  <c r="BR186" i="1" s="1"/>
  <c r="AL82" i="3"/>
  <c r="BR178" i="1" s="1"/>
  <c r="AL94" i="3"/>
  <c r="I88" i="3"/>
  <c r="I55" i="3"/>
  <c r="I68" i="3"/>
  <c r="I86" i="3"/>
  <c r="I47" i="3"/>
  <c r="I59" i="3"/>
  <c r="I54" i="3"/>
  <c r="I62" i="3"/>
  <c r="I87" i="3"/>
  <c r="I72" i="3"/>
  <c r="I84" i="3"/>
  <c r="I91" i="3"/>
  <c r="I74" i="3"/>
  <c r="I93" i="3"/>
  <c r="I85" i="3"/>
  <c r="I78" i="3"/>
  <c r="I73" i="3"/>
  <c r="I70" i="3"/>
  <c r="I77" i="3"/>
  <c r="I96" i="3"/>
  <c r="I60" i="3"/>
  <c r="I76" i="3"/>
  <c r="I57" i="3"/>
  <c r="I71" i="3"/>
  <c r="I94" i="3"/>
  <c r="I92" i="3"/>
  <c r="I82" i="3"/>
  <c r="I50" i="3"/>
  <c r="AO102" i="1" s="1"/>
  <c r="I69" i="3"/>
  <c r="I90" i="3"/>
  <c r="I79" i="3"/>
  <c r="I75" i="3"/>
  <c r="I61" i="3"/>
  <c r="I67" i="3"/>
  <c r="I81" i="3"/>
  <c r="I83" i="3"/>
  <c r="I65" i="3"/>
  <c r="I89" i="3"/>
  <c r="I80" i="3"/>
  <c r="I63" i="3"/>
  <c r="I56" i="3"/>
  <c r="I58" i="3"/>
  <c r="I64" i="3"/>
  <c r="I49" i="3"/>
  <c r="AO101" i="1" s="1"/>
  <c r="I66" i="3"/>
  <c r="Z71" i="3"/>
  <c r="Z66" i="3"/>
  <c r="BF184" i="1" s="1"/>
  <c r="BG184" i="1" s="1"/>
  <c r="Z49" i="3"/>
  <c r="BF101" i="1" s="1"/>
  <c r="Z55" i="3"/>
  <c r="Z88" i="3"/>
  <c r="BF160" i="1" s="1"/>
  <c r="BG160" i="1" s="1"/>
  <c r="Z47" i="3"/>
  <c r="Z81" i="3"/>
  <c r="BF177" i="1" s="1"/>
  <c r="Z60" i="3"/>
  <c r="BF155" i="1" s="1"/>
  <c r="BG155" i="1" s="1"/>
  <c r="Z61" i="3"/>
  <c r="Z83" i="3"/>
  <c r="BF193" i="1" s="1"/>
  <c r="Z95" i="3"/>
  <c r="BF197" i="1" s="1"/>
  <c r="BG197" i="1" s="1"/>
  <c r="Z84" i="3"/>
  <c r="BF179" i="1" s="1"/>
  <c r="BG179" i="1" s="1"/>
  <c r="Z90" i="3"/>
  <c r="BF159" i="1" s="1"/>
  <c r="BG159" i="1" s="1"/>
  <c r="Z77" i="3"/>
  <c r="BF173" i="1" s="1"/>
  <c r="BG173" i="1" s="1"/>
  <c r="Z79" i="3"/>
  <c r="BF176" i="1" s="1"/>
  <c r="Z59" i="3"/>
  <c r="Z86" i="3"/>
  <c r="Z58" i="3"/>
  <c r="BF152" i="1" s="1"/>
  <c r="Z93" i="3"/>
  <c r="Z50" i="3"/>
  <c r="BF102" i="1" s="1"/>
  <c r="Z80" i="3"/>
  <c r="BF192" i="1" s="1"/>
  <c r="Z75" i="3"/>
  <c r="Z70" i="3"/>
  <c r="BF166" i="1" s="1"/>
  <c r="Z64" i="3"/>
  <c r="BF182" i="1" s="1"/>
  <c r="BG182" i="1" s="1"/>
  <c r="Z76" i="3"/>
  <c r="Z92" i="3"/>
  <c r="BF188" i="1" s="1"/>
  <c r="BG188" i="1" s="1"/>
  <c r="Z87" i="3"/>
  <c r="BF185" i="1" s="1"/>
  <c r="BG185" i="1" s="1"/>
  <c r="Z67" i="3"/>
  <c r="Z96" i="3"/>
  <c r="BF196" i="1" s="1"/>
  <c r="BG196" i="1" s="1"/>
  <c r="Z94" i="3"/>
  <c r="Z91" i="3"/>
  <c r="BF187" i="1" s="1"/>
  <c r="BG187" i="1" s="1"/>
  <c r="Z69" i="3"/>
  <c r="BF165" i="1" s="1"/>
  <c r="Z56" i="3"/>
  <c r="BF150" i="1" s="1"/>
  <c r="BG150" i="1" s="1"/>
  <c r="Z85" i="3"/>
  <c r="BF180" i="1" s="1"/>
  <c r="BG180" i="1" s="1"/>
  <c r="Z48" i="3"/>
  <c r="Z65" i="3"/>
  <c r="BF183" i="1" s="1"/>
  <c r="BG183" i="1" s="1"/>
  <c r="Z89" i="3"/>
  <c r="BF186" i="1" s="1"/>
  <c r="Z62" i="3"/>
  <c r="BF157" i="1" s="1"/>
  <c r="BG157" i="1" s="1"/>
  <c r="Z74" i="3"/>
  <c r="BF170" i="1" s="1"/>
  <c r="BG170" i="1" s="1"/>
  <c r="Z97" i="3"/>
  <c r="Z72" i="3"/>
  <c r="BF168" i="1" s="1"/>
  <c r="BG168" i="1" s="1"/>
  <c r="Z68" i="3"/>
  <c r="BF164" i="1" s="1"/>
  <c r="Z82" i="3"/>
  <c r="BF178" i="1" s="1"/>
  <c r="Z54" i="3"/>
  <c r="Z57" i="3"/>
  <c r="BF151" i="1" s="1"/>
  <c r="BG151" i="1" s="1"/>
  <c r="Z63" i="3"/>
  <c r="BF158" i="1" s="1"/>
  <c r="BG158" i="1" s="1"/>
  <c r="Z78" i="3"/>
  <c r="BF175" i="1" s="1"/>
  <c r="BG175" i="1" s="1"/>
  <c r="S94" i="3"/>
  <c r="S91" i="3"/>
  <c r="S84" i="3"/>
  <c r="S92" i="3"/>
  <c r="S48" i="3"/>
  <c r="S87" i="3"/>
  <c r="S57" i="3"/>
  <c r="S95" i="3"/>
  <c r="S69" i="3"/>
  <c r="S67" i="3"/>
  <c r="S88" i="3"/>
  <c r="S81" i="3"/>
  <c r="S72" i="3"/>
  <c r="S75" i="3"/>
  <c r="S68" i="3"/>
  <c r="S77" i="3"/>
  <c r="S59" i="3"/>
  <c r="S70" i="3"/>
  <c r="S83" i="3"/>
  <c r="S54" i="3"/>
  <c r="S66" i="3"/>
  <c r="S78" i="3"/>
  <c r="S71" i="3"/>
  <c r="S73" i="3"/>
  <c r="S49" i="3"/>
  <c r="AY101" i="1" s="1"/>
  <c r="S74" i="3"/>
  <c r="S65" i="3"/>
  <c r="S97" i="3"/>
  <c r="S96" i="3"/>
  <c r="S93" i="3"/>
  <c r="S63" i="3"/>
  <c r="S56" i="3"/>
  <c r="S79" i="3"/>
  <c r="S58" i="3"/>
  <c r="S62" i="3"/>
  <c r="S90" i="3"/>
  <c r="S82" i="3"/>
  <c r="S55" i="3"/>
  <c r="S47" i="3"/>
  <c r="S80" i="3"/>
  <c r="S89" i="3"/>
  <c r="S50" i="3"/>
  <c r="AY102" i="1" s="1"/>
  <c r="S61" i="3"/>
  <c r="S85" i="3"/>
  <c r="S86" i="3"/>
  <c r="O88" i="3"/>
  <c r="O70" i="3"/>
  <c r="O74" i="3"/>
  <c r="O68" i="3"/>
  <c r="O85" i="3"/>
  <c r="O93" i="3"/>
  <c r="O71" i="3"/>
  <c r="X79" i="3"/>
  <c r="BD176" i="1" s="1"/>
  <c r="X80" i="3"/>
  <c r="BD192" i="1" s="1"/>
  <c r="X87" i="3"/>
  <c r="BD185" i="1" s="1"/>
  <c r="BE185" i="1" s="1"/>
  <c r="U96" i="3"/>
  <c r="U78" i="3"/>
  <c r="AH96" i="3"/>
  <c r="BN196" i="1" s="1"/>
  <c r="BO196" i="1" s="1"/>
  <c r="AH87" i="3"/>
  <c r="BN185" i="1" s="1"/>
  <c r="BO185" i="1" s="1"/>
  <c r="AH57" i="3"/>
  <c r="BN151" i="1" s="1"/>
  <c r="BO151" i="1" s="1"/>
  <c r="AH89" i="3"/>
  <c r="BN186" i="1" s="1"/>
  <c r="Q86" i="3"/>
  <c r="Q72" i="3"/>
  <c r="Q60" i="3"/>
  <c r="Q58" i="3"/>
  <c r="Q90" i="3"/>
  <c r="H60" i="3"/>
  <c r="AN155" i="1" s="1"/>
  <c r="AO155" i="1" s="1"/>
  <c r="H88" i="3"/>
  <c r="AN160" i="1" s="1"/>
  <c r="AO160" i="1" s="1"/>
  <c r="H84" i="3"/>
  <c r="AN179" i="1" s="1"/>
  <c r="AO179" i="1" s="1"/>
  <c r="H70" i="3"/>
  <c r="AN166" i="1" s="1"/>
  <c r="L78" i="3"/>
  <c r="AR175" i="1" s="1"/>
  <c r="AS175" i="1" s="1"/>
  <c r="L48" i="3"/>
  <c r="L96" i="3"/>
  <c r="AR196" i="1" s="1"/>
  <c r="AS196" i="1" s="1"/>
  <c r="L62" i="3"/>
  <c r="AR157" i="1" s="1"/>
  <c r="AA48" i="3"/>
  <c r="AA64" i="3"/>
  <c r="AA50" i="3"/>
  <c r="BG102" i="1" s="1"/>
  <c r="AA69" i="3"/>
  <c r="AA56" i="3"/>
  <c r="AM62" i="3"/>
  <c r="AM88" i="3"/>
  <c r="AM61" i="3"/>
  <c r="AM81" i="3"/>
  <c r="AM86" i="3"/>
  <c r="AM87" i="3"/>
  <c r="AM75" i="3"/>
  <c r="AM63" i="3"/>
  <c r="T68" i="3"/>
  <c r="AZ164" i="1" s="1"/>
  <c r="T83" i="3"/>
  <c r="AZ193" i="1" s="1"/>
  <c r="AK95" i="3"/>
  <c r="AK78" i="3"/>
  <c r="AK93" i="3"/>
  <c r="AK54" i="3"/>
  <c r="AK65" i="3"/>
  <c r="AG64" i="3"/>
  <c r="AG74" i="3"/>
  <c r="AG63" i="3"/>
  <c r="AG71" i="3"/>
  <c r="AG97" i="3"/>
  <c r="AG65" i="3"/>
  <c r="AG70" i="3"/>
  <c r="AG69" i="3"/>
  <c r="AG77" i="3"/>
  <c r="AG95" i="3"/>
  <c r="AG49" i="3"/>
  <c r="BM101" i="1" s="1"/>
  <c r="AG58" i="3"/>
  <c r="AG86" i="3"/>
  <c r="AG47" i="3"/>
  <c r="AG92" i="3"/>
  <c r="AG76" i="3"/>
  <c r="AG90" i="3"/>
  <c r="AG62" i="3"/>
  <c r="AG93" i="3"/>
  <c r="AG96" i="3"/>
  <c r="AG54" i="3"/>
  <c r="AG68" i="3"/>
  <c r="AG61" i="3"/>
  <c r="AG48" i="3"/>
  <c r="AG72" i="3"/>
  <c r="AG84" i="3"/>
  <c r="AG59" i="3"/>
  <c r="AG67" i="3"/>
  <c r="AG88" i="3"/>
  <c r="AG80" i="3"/>
  <c r="AG94" i="3"/>
  <c r="AG85" i="3"/>
  <c r="AG79" i="3"/>
  <c r="AG78" i="3"/>
  <c r="AG89" i="3"/>
  <c r="AG82" i="3"/>
  <c r="AG56" i="3"/>
  <c r="AG66" i="3"/>
  <c r="AG60" i="3"/>
  <c r="AG87" i="3"/>
  <c r="AG50" i="3"/>
  <c r="BM102" i="1" s="1"/>
  <c r="AG73" i="3"/>
  <c r="AG75" i="3"/>
  <c r="P80" i="3"/>
  <c r="AV192" i="1" s="1"/>
  <c r="P89" i="3"/>
  <c r="AV186" i="1" s="1"/>
  <c r="P50" i="3"/>
  <c r="AV102" i="1" s="1"/>
  <c r="P64" i="3"/>
  <c r="AV182" i="1" s="1"/>
  <c r="AW182" i="1" s="1"/>
  <c r="P88" i="3"/>
  <c r="AV160" i="1" s="1"/>
  <c r="AW160" i="1" s="1"/>
  <c r="P79" i="3"/>
  <c r="AV176" i="1" s="1"/>
  <c r="P90" i="3"/>
  <c r="AV159" i="1" s="1"/>
  <c r="AW159" i="1" s="1"/>
  <c r="AE59" i="3"/>
  <c r="AE71" i="3"/>
  <c r="AE91" i="3"/>
  <c r="AE89" i="3"/>
  <c r="AC61" i="3"/>
  <c r="AC85" i="3"/>
  <c r="AC88" i="3"/>
  <c r="AC48" i="3"/>
  <c r="V48" i="3"/>
  <c r="V76" i="3"/>
  <c r="BB176" i="1" s="1"/>
  <c r="V62" i="3"/>
  <c r="BB157" i="1" s="1"/>
  <c r="V55" i="3"/>
  <c r="R71" i="3"/>
  <c r="R55" i="3"/>
  <c r="R57" i="3"/>
  <c r="AX151" i="1" s="1"/>
  <c r="AY151" i="1" s="1"/>
  <c r="R80" i="3"/>
  <c r="AX192" i="1" s="1"/>
  <c r="R60" i="3"/>
  <c r="AX155" i="1" s="1"/>
  <c r="AY155" i="1" s="1"/>
  <c r="R58" i="3"/>
  <c r="AX152" i="1" s="1"/>
  <c r="AO92" i="3"/>
  <c r="AO62" i="3"/>
  <c r="AO84" i="3"/>
  <c r="AO88" i="3"/>
  <c r="AO60" i="3"/>
  <c r="AO89" i="3"/>
  <c r="AO56" i="3"/>
  <c r="AO77" i="3"/>
  <c r="J48" i="3"/>
  <c r="J81" i="3"/>
  <c r="AP177" i="1" s="1"/>
  <c r="J92" i="3"/>
  <c r="AP188" i="1" s="1"/>
  <c r="AQ188" i="1" s="1"/>
  <c r="AQ47" i="3"/>
  <c r="AQ55" i="3"/>
  <c r="AQ93" i="3"/>
  <c r="AQ78" i="3"/>
  <c r="AQ91" i="3"/>
  <c r="AQ61" i="3"/>
  <c r="AQ48" i="3"/>
  <c r="K60" i="3"/>
  <c r="K58" i="3"/>
  <c r="K91" i="3"/>
  <c r="K55" i="3"/>
  <c r="K54" i="3"/>
  <c r="K92" i="3"/>
  <c r="K72" i="3"/>
  <c r="K96" i="3"/>
  <c r="K93" i="3"/>
  <c r="K83" i="3"/>
  <c r="AR41" i="1"/>
  <c r="AO60" i="1"/>
  <c r="AO227" i="1" s="1"/>
  <c r="BH52" i="1"/>
  <c r="BJ67" i="1"/>
  <c r="BM53" i="1"/>
  <c r="AT63" i="1"/>
  <c r="AT64" i="1"/>
  <c r="BW43" i="1"/>
  <c r="BN42" i="1"/>
  <c r="BG75" i="1"/>
  <c r="BQ64" i="1"/>
  <c r="AY37" i="1"/>
  <c r="BQ63" i="1"/>
  <c r="BU79" i="1"/>
  <c r="BB79" i="1"/>
  <c r="AZ53" i="1"/>
  <c r="AT48" i="1"/>
  <c r="BG53" i="1"/>
  <c r="BF79" i="1"/>
  <c r="BI50" i="1"/>
  <c r="AR49" i="1"/>
  <c r="BQ74" i="1"/>
  <c r="AX63" i="1"/>
  <c r="BM73" i="1"/>
  <c r="BR50" i="1"/>
  <c r="AI52" i="1"/>
  <c r="AR37" i="1"/>
  <c r="AQ67" i="1"/>
  <c r="BQ50" i="1"/>
  <c r="BS48" i="1"/>
  <c r="BV185" i="1"/>
  <c r="BW185" i="1" s="1"/>
  <c r="W203" i="1"/>
  <c r="W152" i="1"/>
  <c r="AT43" i="1"/>
  <c r="BO74" i="1"/>
  <c r="AO53" i="1"/>
  <c r="AN79" i="1"/>
  <c r="AI53" i="1"/>
  <c r="BW75" i="1"/>
  <c r="AM75" i="1"/>
  <c r="AT41" i="1"/>
  <c r="AQ74" i="1"/>
  <c r="AR64" i="1"/>
  <c r="BV151" i="1"/>
  <c r="BW151" i="1" s="1"/>
  <c r="N175" i="1"/>
  <c r="BV158" i="1"/>
  <c r="BW158" i="1" s="1"/>
  <c r="BP36" i="1"/>
  <c r="BP264" i="1" s="1"/>
  <c r="BD63" i="1"/>
  <c r="AS48" i="1"/>
  <c r="BE41" i="1"/>
  <c r="BT50" i="1"/>
  <c r="AN75" i="1"/>
  <c r="AS79" i="1"/>
  <c r="AX73" i="1"/>
  <c r="AV52" i="1"/>
  <c r="AO41" i="1"/>
  <c r="AK102" i="1"/>
  <c r="BH79" i="1"/>
  <c r="AN50" i="1"/>
  <c r="BS75" i="1"/>
  <c r="BI67" i="1"/>
  <c r="BF43" i="1"/>
  <c r="F183" i="1"/>
  <c r="AP36" i="1"/>
  <c r="AP264" i="1" s="1"/>
  <c r="BR64" i="1"/>
  <c r="AN63" i="1"/>
  <c r="BP42" i="1"/>
  <c r="BD75" i="1"/>
  <c r="BI49" i="1"/>
  <c r="BO73" i="1"/>
  <c r="AX36" i="1"/>
  <c r="AS37" i="1"/>
  <c r="BN79" i="1"/>
  <c r="BJ60" i="1"/>
  <c r="BV193" i="1"/>
  <c r="L204" i="1"/>
  <c r="H175" i="1"/>
  <c r="AO43" i="1"/>
  <c r="AR74" i="1"/>
  <c r="AP41" i="1"/>
  <c r="BT52" i="1"/>
  <c r="BI73" i="1"/>
  <c r="AT49" i="1"/>
  <c r="BE52" i="1"/>
  <c r="BB75" i="1"/>
  <c r="AI37" i="1"/>
  <c r="BP53" i="1"/>
  <c r="BK49" i="1"/>
  <c r="BR42" i="1"/>
  <c r="BF63" i="1"/>
  <c r="BT67" i="1"/>
  <c r="BV49" i="1"/>
  <c r="BN41" i="1"/>
  <c r="BT49" i="1"/>
  <c r="AO64" i="1"/>
  <c r="BP51" i="1"/>
  <c r="BF60" i="1"/>
  <c r="BF227" i="1" s="1"/>
  <c r="BS51" i="1"/>
  <c r="BA43" i="1"/>
  <c r="AK101" i="1"/>
  <c r="T106" i="1"/>
  <c r="AY52" i="1"/>
  <c r="BT79" i="1"/>
  <c r="AR79" i="1"/>
  <c r="AQ36" i="1"/>
  <c r="AQ264" i="1" s="1"/>
  <c r="BU53" i="1"/>
  <c r="BR67" i="1"/>
  <c r="BA64" i="1"/>
  <c r="AN52" i="1"/>
  <c r="BK67" i="1"/>
  <c r="AO73" i="1"/>
  <c r="BD64" i="1"/>
  <c r="BE48" i="1"/>
  <c r="BC36" i="1"/>
  <c r="BC264" i="1" s="1"/>
  <c r="BQ67" i="1"/>
  <c r="AS67" i="1"/>
  <c r="BF41" i="1"/>
  <c r="AX67" i="1"/>
  <c r="BH151" i="1"/>
  <c r="BI151" i="1" s="1"/>
  <c r="D106" i="1"/>
  <c r="B151" i="1"/>
  <c r="BB37" i="1"/>
  <c r="BV36" i="1"/>
  <c r="BV264" i="1" s="1"/>
  <c r="R102" i="1"/>
  <c r="BV67" i="1"/>
  <c r="U180" i="1"/>
  <c r="BN43" i="1"/>
  <c r="AO75" i="1"/>
  <c r="AT51" i="1"/>
  <c r="BK52" i="1"/>
  <c r="AS51" i="1"/>
  <c r="BC64" i="1"/>
  <c r="AV50" i="1"/>
  <c r="BO49" i="1"/>
  <c r="BP67" i="1"/>
  <c r="BR51" i="1"/>
  <c r="AP60" i="1"/>
  <c r="BF53" i="1"/>
  <c r="AQ64" i="1"/>
  <c r="BR48" i="1"/>
  <c r="BV155" i="1"/>
  <c r="BW155" i="1" s="1"/>
  <c r="BB51" i="1"/>
  <c r="BS53" i="1"/>
  <c r="AZ79" i="1"/>
  <c r="AI41" i="1"/>
  <c r="BI42" i="1"/>
  <c r="BH51" i="1"/>
  <c r="BG48" i="1"/>
  <c r="BA51" i="1"/>
  <c r="BS63" i="1"/>
  <c r="BG43" i="1"/>
  <c r="BQ37" i="1"/>
  <c r="AO67" i="1"/>
  <c r="BA42" i="1"/>
  <c r="BH53" i="1"/>
  <c r="BW53" i="1"/>
  <c r="BV182" i="1"/>
  <c r="BW182" i="1" s="1"/>
  <c r="B165" i="1"/>
  <c r="J150" i="1"/>
  <c r="B168" i="1"/>
  <c r="AY41" i="1"/>
  <c r="BW73" i="1"/>
  <c r="BS74" i="1"/>
  <c r="AW51" i="1"/>
  <c r="BT73" i="1"/>
  <c r="AP51" i="1"/>
  <c r="BS79" i="1"/>
  <c r="AU73" i="1"/>
  <c r="BM74" i="1"/>
  <c r="AY53" i="1"/>
  <c r="AV51" i="1"/>
  <c r="BT75" i="1"/>
  <c r="BQ75" i="1"/>
  <c r="BQ48" i="1"/>
  <c r="BH48" i="1"/>
  <c r="BI41" i="1"/>
  <c r="BK74" i="1"/>
  <c r="BD36" i="1"/>
  <c r="BQ60" i="1"/>
  <c r="BQ227" i="1" s="1"/>
  <c r="BS52" i="1"/>
  <c r="BC79" i="1"/>
  <c r="BJ50" i="1"/>
  <c r="BJ54" i="1" s="1"/>
  <c r="S196" i="1"/>
  <c r="AP43" i="1"/>
  <c r="AW41" i="1"/>
  <c r="AW43" i="1"/>
  <c r="AN42" i="1"/>
  <c r="AS53" i="1"/>
  <c r="AT53" i="1"/>
  <c r="AR50" i="1"/>
  <c r="AO49" i="1"/>
  <c r="BG60" i="1"/>
  <c r="BG227" i="1" s="1"/>
  <c r="BB49" i="1"/>
  <c r="BE79" i="1"/>
  <c r="BN75" i="1"/>
  <c r="BV37" i="1"/>
  <c r="AP37" i="1"/>
  <c r="AQ41" i="1"/>
  <c r="BK60" i="1"/>
  <c r="AZ43" i="1"/>
  <c r="AO50" i="1"/>
  <c r="BV43" i="1"/>
  <c r="BK79" i="1"/>
  <c r="AW63" i="1"/>
  <c r="AU52" i="1"/>
  <c r="BV73" i="1"/>
  <c r="BN48" i="1"/>
  <c r="BV41" i="1"/>
  <c r="M107" i="1"/>
  <c r="Q160" i="1"/>
  <c r="AW53" i="1"/>
  <c r="AW37" i="1"/>
  <c r="AQ42" i="1"/>
  <c r="AM101" i="1"/>
  <c r="AY75" i="1"/>
  <c r="AZ36" i="1"/>
  <c r="AZ264" i="1" s="1"/>
  <c r="AV42" i="1"/>
  <c r="AR73" i="1"/>
  <c r="BW60" i="1"/>
  <c r="BW227" i="1" s="1"/>
  <c r="AQ60" i="1"/>
  <c r="BJ73" i="1"/>
  <c r="BD79" i="1"/>
  <c r="BQ53" i="1"/>
  <c r="AM73" i="1"/>
  <c r="BB50" i="1"/>
  <c r="BE42" i="1"/>
  <c r="BT48" i="1"/>
  <c r="BF50" i="1"/>
  <c r="AX50" i="1"/>
  <c r="AY73" i="1"/>
  <c r="AR67" i="1"/>
  <c r="BH193" i="1"/>
  <c r="BA37" i="1"/>
  <c r="BA49" i="1"/>
  <c r="BM64" i="1"/>
  <c r="AX42" i="1"/>
  <c r="BR74" i="1"/>
  <c r="BB41" i="1"/>
  <c r="BI43" i="1"/>
  <c r="BM48" i="1"/>
  <c r="BS41" i="1"/>
  <c r="AZ37" i="1"/>
  <c r="BR75" i="1"/>
  <c r="BU42" i="1"/>
  <c r="BU60" i="1"/>
  <c r="BE37" i="1"/>
  <c r="AU75" i="1"/>
  <c r="BQ41" i="1"/>
  <c r="AQ53" i="1"/>
  <c r="BG36" i="1"/>
  <c r="BG264" i="1" s="1"/>
  <c r="AI64" i="1"/>
  <c r="AT73" i="1"/>
  <c r="BH37" i="1"/>
  <c r="AI101" i="1"/>
  <c r="L157" i="1"/>
  <c r="E203" i="1"/>
  <c r="BV74" i="1"/>
  <c r="BO75" i="1"/>
  <c r="BF48" i="1"/>
  <c r="BC63" i="1"/>
  <c r="AY51" i="1"/>
  <c r="BF49" i="1"/>
  <c r="BP79" i="1"/>
  <c r="BI52" i="1"/>
  <c r="BN36" i="1"/>
  <c r="BE50" i="1"/>
  <c r="AW64" i="1"/>
  <c r="AP75" i="1"/>
  <c r="BP50" i="1"/>
  <c r="BG52" i="1"/>
  <c r="BF51" i="1"/>
  <c r="BG67" i="1"/>
  <c r="BE74" i="1"/>
  <c r="BM37" i="1"/>
  <c r="BT60" i="1"/>
  <c r="BT227" i="1" s="1"/>
  <c r="AI36" i="1"/>
  <c r="AI216" i="1" s="1"/>
  <c r="BI48" i="1"/>
  <c r="BU41" i="1"/>
  <c r="AI79" i="1"/>
  <c r="AT37" i="1"/>
  <c r="BG79" i="1"/>
  <c r="BI79" i="1"/>
  <c r="BU50" i="1"/>
  <c r="BJ74" i="1"/>
  <c r="K107" i="1"/>
  <c r="BT43" i="1"/>
  <c r="BE67" i="1"/>
  <c r="BR60" i="1"/>
  <c r="BD49" i="1"/>
  <c r="AW42" i="1"/>
  <c r="AO42" i="1"/>
  <c r="AR52" i="1"/>
  <c r="AW52" i="1"/>
  <c r="BW52" i="1"/>
  <c r="BN64" i="1"/>
  <c r="BN60" i="1"/>
  <c r="BN286" i="1" s="1"/>
  <c r="AS42" i="1"/>
  <c r="BU48" i="1"/>
  <c r="AO36" i="1"/>
  <c r="AN41" i="1"/>
  <c r="BF67" i="1"/>
  <c r="AZ42" i="1"/>
  <c r="BC74" i="1"/>
  <c r="BI63" i="1"/>
  <c r="BO60" i="1"/>
  <c r="BO227" i="1" s="1"/>
  <c r="AU43" i="1"/>
  <c r="BG50" i="1"/>
  <c r="AX37" i="1"/>
  <c r="BM41" i="1"/>
  <c r="AU48" i="1"/>
  <c r="BT64" i="1"/>
  <c r="AP79" i="1"/>
  <c r="BE43" i="1"/>
  <c r="BS50" i="1"/>
  <c r="BK73" i="1"/>
  <c r="BD74" i="1"/>
  <c r="BA52" i="1"/>
  <c r="BG64" i="1"/>
  <c r="BF36" i="1"/>
  <c r="AX64" i="1"/>
  <c r="AW73" i="1"/>
  <c r="BN63" i="1"/>
  <c r="BV165" i="1"/>
  <c r="BV102" i="1"/>
  <c r="BH185" i="1"/>
  <c r="BI185" i="1" s="1"/>
  <c r="BH196" i="1"/>
  <c r="BI196" i="1" s="1"/>
  <c r="BH159" i="1"/>
  <c r="BI159" i="1" s="1"/>
  <c r="BV184" i="1"/>
  <c r="BW184" i="1" s="1"/>
  <c r="BV164" i="1"/>
  <c r="T183" i="1"/>
  <c r="N157" i="1"/>
  <c r="M188" i="1"/>
  <c r="U155" i="1"/>
  <c r="C102" i="1"/>
  <c r="F193" i="1"/>
  <c r="F168" i="1"/>
  <c r="F164" i="1" s="1"/>
  <c r="V168" i="1"/>
  <c r="V164" i="1" s="1"/>
  <c r="G105" i="1"/>
  <c r="R95" i="1"/>
  <c r="S160" i="1"/>
  <c r="E166" i="1"/>
  <c r="U150" i="1"/>
  <c r="I151" i="1"/>
  <c r="S157" i="1"/>
  <c r="U182" i="1"/>
  <c r="H168" i="1"/>
  <c r="H164" i="1" s="1"/>
  <c r="E168" i="1"/>
  <c r="E164" i="1" s="1"/>
  <c r="V196" i="1"/>
  <c r="F188" i="1"/>
  <c r="U168" i="1"/>
  <c r="U164" i="1" s="1"/>
  <c r="O193" i="1"/>
  <c r="N151" i="1"/>
  <c r="P184" i="1"/>
  <c r="B203" i="1"/>
  <c r="W101" i="1"/>
  <c r="I204" i="1"/>
  <c r="F151" i="1"/>
  <c r="C160" i="1"/>
  <c r="G180" i="1"/>
  <c r="P106" i="1"/>
  <c r="R150" i="1"/>
  <c r="B186" i="1"/>
  <c r="B216" i="1" s="1"/>
  <c r="U160" i="1"/>
  <c r="B92" i="1"/>
  <c r="D186" i="1"/>
  <c r="D216" i="1" s="1"/>
  <c r="R155" i="1"/>
  <c r="B188" i="1"/>
  <c r="U173" i="1"/>
  <c r="Q203" i="1"/>
  <c r="P196" i="1"/>
  <c r="BK51" i="1"/>
  <c r="BC53" i="1"/>
  <c r="AR43" i="1"/>
  <c r="AU60" i="1"/>
  <c r="AU227" i="1" s="1"/>
  <c r="BU52" i="1"/>
  <c r="AU50" i="1"/>
  <c r="AZ64" i="1"/>
  <c r="AP48" i="1"/>
  <c r="AT75" i="1"/>
  <c r="BI53" i="1"/>
  <c r="AI50" i="1"/>
  <c r="BV101" i="1"/>
  <c r="BV178" i="1"/>
  <c r="BV183" i="1"/>
  <c r="BW183" i="1" s="1"/>
  <c r="BV159" i="1"/>
  <c r="BW159" i="1" s="1"/>
  <c r="B159" i="1"/>
  <c r="B187" i="1" s="1"/>
  <c r="B160" i="1"/>
  <c r="H179" i="1"/>
  <c r="T107" i="1"/>
  <c r="G155" i="1"/>
  <c r="K151" i="1"/>
  <c r="O95" i="1"/>
  <c r="K105" i="1"/>
  <c r="Q152" i="1"/>
  <c r="G157" i="1"/>
  <c r="E179" i="1"/>
  <c r="M168" i="1"/>
  <c r="M164" i="1" s="1"/>
  <c r="E186" i="1"/>
  <c r="E216" i="1" s="1"/>
  <c r="N95" i="1"/>
  <c r="Q205" i="1"/>
  <c r="F184" i="1"/>
  <c r="R169" i="1"/>
  <c r="F101" i="1"/>
  <c r="K95" i="1"/>
  <c r="K152" i="1"/>
  <c r="H184" i="1"/>
  <c r="AW79" i="1"/>
  <c r="AQ51" i="1"/>
  <c r="AW50" i="1"/>
  <c r="BA41" i="1"/>
  <c r="AY36" i="1"/>
  <c r="BR36" i="1"/>
  <c r="BR49" i="1"/>
  <c r="AN48" i="1"/>
  <c r="BK63" i="1"/>
  <c r="BU49" i="1"/>
  <c r="BE63" i="1"/>
  <c r="AV67" i="1"/>
  <c r="BG41" i="1"/>
  <c r="AR53" i="1"/>
  <c r="BP43" i="1"/>
  <c r="BR79" i="1"/>
  <c r="AV48" i="1"/>
  <c r="AZ75" i="1"/>
  <c r="BW42" i="1"/>
  <c r="AV74" i="1"/>
  <c r="AR63" i="1"/>
  <c r="BU43" i="1"/>
  <c r="AR51" i="1"/>
  <c r="AV36" i="1"/>
  <c r="AV264" i="1" s="1"/>
  <c r="AZ60" i="1"/>
  <c r="BP52" i="1"/>
  <c r="AU53" i="1"/>
  <c r="AR36" i="1"/>
  <c r="AU74" i="1"/>
  <c r="BD52" i="1"/>
  <c r="BD41" i="1"/>
  <c r="AN43" i="1"/>
  <c r="BW36" i="1"/>
  <c r="AW74" i="1"/>
  <c r="BU37" i="1"/>
  <c r="BC50" i="1"/>
  <c r="AU49" i="1"/>
  <c r="BF73" i="1"/>
  <c r="AS73" i="1"/>
  <c r="BI37" i="1"/>
  <c r="BV42" i="1"/>
  <c r="AN73" i="1"/>
  <c r="BH184" i="1"/>
  <c r="BI184" i="1" s="1"/>
  <c r="BH101" i="1"/>
  <c r="BV157" i="1"/>
  <c r="BW157" i="1" s="1"/>
  <c r="BH102" i="1"/>
  <c r="BV196" i="1"/>
  <c r="BW196" i="1" s="1"/>
  <c r="U204" i="1"/>
  <c r="F197" i="1"/>
  <c r="U197" i="1"/>
  <c r="D178" i="1"/>
  <c r="D213" i="1" s="1"/>
  <c r="G177" i="1"/>
  <c r="G212" i="1" s="1"/>
  <c r="P183" i="1"/>
  <c r="D158" i="1"/>
  <c r="S184" i="1"/>
  <c r="U107" i="1"/>
  <c r="D180" i="1"/>
  <c r="J173" i="1"/>
  <c r="V193" i="1"/>
  <c r="N205" i="1"/>
  <c r="D205" i="1"/>
  <c r="W170" i="1"/>
  <c r="G160" i="1"/>
  <c r="R158" i="1"/>
  <c r="B152" i="1"/>
  <c r="T155" i="1"/>
  <c r="L193" i="1"/>
  <c r="D179" i="1"/>
  <c r="U176" i="1"/>
  <c r="C188" i="1"/>
  <c r="M193" i="1"/>
  <c r="R203" i="1"/>
  <c r="BQ51" i="1"/>
  <c r="BJ75" i="1"/>
  <c r="BC41" i="1"/>
  <c r="AQ37" i="1"/>
  <c r="BB52" i="1"/>
  <c r="BN37" i="1"/>
  <c r="BN38" i="1" s="1"/>
  <c r="AW49" i="1"/>
  <c r="BC51" i="1"/>
  <c r="BJ63" i="1"/>
  <c r="BN53" i="1"/>
  <c r="AZ52" i="1"/>
  <c r="BS36" i="1"/>
  <c r="BS264" i="1" s="1"/>
  <c r="BK75" i="1"/>
  <c r="AU42" i="1"/>
  <c r="BB60" i="1"/>
  <c r="BB74" i="1"/>
  <c r="BW74" i="1"/>
  <c r="AV60" i="1"/>
  <c r="AR42" i="1"/>
  <c r="BU74" i="1"/>
  <c r="BP74" i="1"/>
  <c r="BV79" i="1"/>
  <c r="BE51" i="1"/>
  <c r="BS73" i="1"/>
  <c r="BF37" i="1"/>
  <c r="BF38" i="1" s="1"/>
  <c r="BJ64" i="1"/>
  <c r="BJ285" i="1" s="1"/>
  <c r="AP63" i="1"/>
  <c r="AZ50" i="1"/>
  <c r="AV49" i="1"/>
  <c r="BW79" i="1"/>
  <c r="BB43" i="1"/>
  <c r="BD67" i="1"/>
  <c r="BU63" i="1"/>
  <c r="AZ51" i="1"/>
  <c r="BR52" i="1"/>
  <c r="AX60" i="1"/>
  <c r="AX227" i="1" s="1"/>
  <c r="AU36" i="1"/>
  <c r="AU264" i="1" s="1"/>
  <c r="BI64" i="1"/>
  <c r="AI73" i="1"/>
  <c r="BV60" i="1"/>
  <c r="AX49" i="1"/>
  <c r="AI49" i="1"/>
  <c r="BS42" i="1"/>
  <c r="BM52" i="1"/>
  <c r="BP48" i="1"/>
  <c r="BM60" i="1"/>
  <c r="BT42" i="1"/>
  <c r="BC67" i="1"/>
  <c r="BO50" i="1"/>
  <c r="BJ37" i="1"/>
  <c r="BJ38" i="1" s="1"/>
  <c r="BJ44" i="1" s="1"/>
  <c r="BM49" i="1"/>
  <c r="BK50" i="1"/>
  <c r="BO48" i="1"/>
  <c r="BD42" i="1"/>
  <c r="BE49" i="1"/>
  <c r="BK41" i="1"/>
  <c r="BR37" i="1"/>
  <c r="AX53" i="1"/>
  <c r="BB48" i="1"/>
  <c r="AI60" i="1"/>
  <c r="AI227" i="1" s="1"/>
  <c r="BH187" i="1"/>
  <c r="BI187" i="1" s="1"/>
  <c r="BV177" i="1"/>
  <c r="K197" i="1"/>
  <c r="O155" i="1"/>
  <c r="R186" i="1"/>
  <c r="R216" i="1" s="1"/>
  <c r="V179" i="1"/>
  <c r="C150" i="1"/>
  <c r="F170" i="1"/>
  <c r="N170" i="1"/>
  <c r="J188" i="1"/>
  <c r="T205" i="1"/>
  <c r="C204" i="1"/>
  <c r="D197" i="1"/>
  <c r="V105" i="1"/>
  <c r="K188" i="1"/>
  <c r="Q101" i="1"/>
  <c r="F204" i="1"/>
  <c r="M180" i="1"/>
  <c r="B166" i="1"/>
  <c r="L102" i="1"/>
  <c r="P178" i="1"/>
  <c r="P213" i="1" s="1"/>
  <c r="W166" i="1"/>
  <c r="L182" i="1"/>
  <c r="AT60" i="1"/>
  <c r="AT227" i="1" s="1"/>
  <c r="AT67" i="1"/>
  <c r="BA36" i="1"/>
  <c r="BA264" i="1" s="1"/>
  <c r="AJ102" i="1"/>
  <c r="AX79" i="1"/>
  <c r="AQ50" i="1"/>
  <c r="BO63" i="1"/>
  <c r="BN74" i="1"/>
  <c r="BV52" i="1"/>
  <c r="BP37" i="1"/>
  <c r="AR48" i="1"/>
  <c r="BR41" i="1"/>
  <c r="AT50" i="1"/>
  <c r="AT74" i="1"/>
  <c r="BB67" i="1"/>
  <c r="AV37" i="1"/>
  <c r="BK43" i="1"/>
  <c r="AP64" i="1"/>
  <c r="BG49" i="1"/>
  <c r="BQ49" i="1"/>
  <c r="BE73" i="1"/>
  <c r="AZ73" i="1"/>
  <c r="BN52" i="1"/>
  <c r="BS43" i="1"/>
  <c r="BK64" i="1"/>
  <c r="AO48" i="1"/>
  <c r="BS64" i="1"/>
  <c r="BP64" i="1"/>
  <c r="BW67" i="1"/>
  <c r="BC75" i="1"/>
  <c r="BV64" i="1"/>
  <c r="BP49" i="1"/>
  <c r="BO42" i="1"/>
  <c r="AZ63" i="1"/>
  <c r="BV192" i="1"/>
  <c r="BV188" i="1"/>
  <c r="BW188" i="1" s="1"/>
  <c r="BH176" i="1"/>
  <c r="BI176" i="1" s="1"/>
  <c r="BH168" i="1"/>
  <c r="BI168" i="1" s="1"/>
  <c r="BV150" i="1"/>
  <c r="BW150" i="1" s="1"/>
  <c r="T102" i="1"/>
  <c r="S95" i="1"/>
  <c r="O160" i="1"/>
  <c r="F186" i="1"/>
  <c r="F216" i="1" s="1"/>
  <c r="N166" i="1"/>
  <c r="M151" i="1"/>
  <c r="S159" i="1"/>
  <c r="S187" i="1" s="1"/>
  <c r="I169" i="1"/>
  <c r="D183" i="1"/>
  <c r="P205" i="1"/>
  <c r="K155" i="1"/>
  <c r="Q183" i="1"/>
  <c r="O157" i="1"/>
  <c r="P170" i="1"/>
  <c r="K184" i="1"/>
  <c r="J179" i="1"/>
  <c r="BH67" i="1"/>
  <c r="AQ52" i="1"/>
  <c r="AZ41" i="1"/>
  <c r="AN64" i="1"/>
  <c r="BM63" i="1"/>
  <c r="AM102" i="1"/>
  <c r="AX75" i="1"/>
  <c r="BU73" i="1"/>
  <c r="AU37" i="1"/>
  <c r="BT36" i="1"/>
  <c r="BQ43" i="1"/>
  <c r="BV75" i="1"/>
  <c r="AW67" i="1"/>
  <c r="BO41" i="1"/>
  <c r="BF42" i="1"/>
  <c r="BD60" i="1"/>
  <c r="BD227" i="1" s="1"/>
  <c r="AY74" i="1"/>
  <c r="BG42" i="1"/>
  <c r="BO43" i="1"/>
  <c r="AN51" i="1"/>
  <c r="AO63" i="1"/>
  <c r="AV41" i="1"/>
  <c r="BM79" i="1"/>
  <c r="AY48" i="1"/>
  <c r="BA50" i="1"/>
  <c r="BO36" i="1"/>
  <c r="AN37" i="1"/>
  <c r="BH182" i="1"/>
  <c r="BI182" i="1" s="1"/>
  <c r="BV180" i="1"/>
  <c r="BW180" i="1" s="1"/>
  <c r="BV166" i="1"/>
  <c r="M178" i="1"/>
  <c r="M213" i="1" s="1"/>
  <c r="L151" i="1"/>
  <c r="K170" i="1"/>
  <c r="G178" i="1"/>
  <c r="G213" i="1" s="1"/>
  <c r="Q169" i="1"/>
  <c r="W168" i="1"/>
  <c r="W164" i="1" s="1"/>
  <c r="P182" i="1"/>
  <c r="R184" i="1"/>
  <c r="S173" i="1"/>
  <c r="U205" i="1"/>
  <c r="T101" i="1"/>
  <c r="U101" i="1"/>
  <c r="V150" i="1"/>
  <c r="N183" i="1"/>
  <c r="B164" i="1"/>
  <c r="D107" i="1"/>
  <c r="U95" i="1"/>
  <c r="C95" i="1"/>
  <c r="M205" i="1"/>
  <c r="BM42" i="1"/>
  <c r="BK36" i="1"/>
  <c r="AO79" i="1"/>
  <c r="BW51" i="1"/>
  <c r="BP73" i="1"/>
  <c r="BC48" i="1"/>
  <c r="BI36" i="1"/>
  <c r="BI264" i="1" s="1"/>
  <c r="AP49" i="1"/>
  <c r="BV51" i="1"/>
  <c r="AO52" i="1"/>
  <c r="BE60" i="1"/>
  <c r="BE227" i="1" s="1"/>
  <c r="BP63" i="1"/>
  <c r="AY43" i="1"/>
  <c r="AU79" i="1"/>
  <c r="AI42" i="1"/>
  <c r="BT37" i="1"/>
  <c r="BE64" i="1"/>
  <c r="AX52" i="1"/>
  <c r="AY79" i="1"/>
  <c r="BC73" i="1"/>
  <c r="BD51" i="1"/>
  <c r="BF64" i="1"/>
  <c r="AP42" i="1"/>
  <c r="BG73" i="1"/>
  <c r="AN60" i="1"/>
  <c r="AY42" i="1"/>
  <c r="AU67" i="1"/>
  <c r="BC60" i="1"/>
  <c r="BC227" i="1" s="1"/>
  <c r="AU63" i="1"/>
  <c r="AS74" i="1"/>
  <c r="BH170" i="1"/>
  <c r="BI170" i="1" s="1"/>
  <c r="BV186" i="1"/>
  <c r="BV175" i="1"/>
  <c r="BW175" i="1" s="1"/>
  <c r="BH173" i="1"/>
  <c r="BI173" i="1" s="1"/>
  <c r="BJ235" i="1" s="1"/>
  <c r="BV179" i="1"/>
  <c r="BW179" i="1" s="1"/>
  <c r="U179" i="1"/>
  <c r="R204" i="1"/>
  <c r="F179" i="1"/>
  <c r="O188" i="1"/>
  <c r="T168" i="1"/>
  <c r="T164" i="1" s="1"/>
  <c r="P168" i="1"/>
  <c r="P164" i="1" s="1"/>
  <c r="V95" i="1"/>
  <c r="R157" i="1"/>
  <c r="J169" i="1"/>
  <c r="M204" i="1"/>
  <c r="T204" i="1"/>
  <c r="K179" i="1"/>
  <c r="J183" i="1"/>
  <c r="W204" i="1"/>
  <c r="Q196" i="1"/>
  <c r="S179" i="1"/>
  <c r="W157" i="1"/>
  <c r="C92" i="1"/>
  <c r="T160" i="1"/>
  <c r="E184" i="1"/>
  <c r="U152" i="1"/>
  <c r="AJ101" i="1"/>
  <c r="AQ43" i="1"/>
  <c r="BA73" i="1"/>
  <c r="AU64" i="1"/>
  <c r="BH64" i="1"/>
  <c r="BA75" i="1"/>
  <c r="BF75" i="1"/>
  <c r="AI43" i="1"/>
  <c r="BM67" i="1"/>
  <c r="AP74" i="1"/>
  <c r="AI48" i="1"/>
  <c r="BD43" i="1"/>
  <c r="AX43" i="1"/>
  <c r="AQ73" i="1"/>
  <c r="AI51" i="1"/>
  <c r="AV63" i="1"/>
  <c r="AX41" i="1"/>
  <c r="AT79" i="1"/>
  <c r="BK37" i="1"/>
  <c r="BO79" i="1"/>
  <c r="AN53" i="1"/>
  <c r="BH75" i="1"/>
  <c r="BW50" i="1"/>
  <c r="BQ73" i="1"/>
  <c r="AX51" i="1"/>
  <c r="BA60" i="1"/>
  <c r="BM50" i="1"/>
  <c r="AQ79" i="1"/>
  <c r="BB64" i="1"/>
  <c r="AS75" i="1"/>
  <c r="AY49" i="1"/>
  <c r="BT63" i="1"/>
  <c r="BB73" i="1"/>
  <c r="AQ63" i="1"/>
  <c r="AW75" i="1"/>
  <c r="BT74" i="1"/>
  <c r="BF74" i="1"/>
  <c r="BH63" i="1"/>
  <c r="BC52" i="1"/>
  <c r="BO52" i="1"/>
  <c r="AS52" i="1"/>
  <c r="AV64" i="1"/>
  <c r="BD73" i="1"/>
  <c r="AS43" i="1"/>
  <c r="BE36" i="1"/>
  <c r="BE264" i="1" s="1"/>
  <c r="BN50" i="1"/>
  <c r="AS41" i="1"/>
  <c r="AZ49" i="1"/>
  <c r="AI63" i="1"/>
  <c r="BH197" i="1"/>
  <c r="BI197" i="1" s="1"/>
  <c r="BV173" i="1"/>
  <c r="BW173" i="1" s="1"/>
  <c r="BX235" i="1" s="1"/>
  <c r="BV170" i="1"/>
  <c r="BW170" i="1" s="1"/>
  <c r="BV152" i="1"/>
  <c r="BH155" i="1"/>
  <c r="BI155" i="1" s="1"/>
  <c r="E205" i="1"/>
  <c r="E170" i="1"/>
  <c r="R166" i="1"/>
  <c r="Q182" i="1"/>
  <c r="O178" i="1"/>
  <c r="O213" i="1" s="1"/>
  <c r="B183" i="1"/>
  <c r="I155" i="1"/>
  <c r="M173" i="1"/>
  <c r="Q155" i="1"/>
  <c r="S205" i="1"/>
  <c r="G107" i="1"/>
  <c r="F159" i="1"/>
  <c r="F187" i="1" s="1"/>
  <c r="D175" i="1"/>
  <c r="O152" i="1"/>
  <c r="B106" i="1"/>
  <c r="T176" i="1"/>
  <c r="T159" i="1"/>
  <c r="T187" i="1" s="1"/>
  <c r="G182" i="1"/>
  <c r="I107" i="1"/>
  <c r="B177" i="1"/>
  <c r="B212" i="1" s="1"/>
  <c r="U184" i="1"/>
  <c r="N173" i="1"/>
  <c r="T150" i="1"/>
  <c r="B158" i="1"/>
  <c r="BR63" i="1"/>
  <c r="BT53" i="1"/>
  <c r="BO64" i="1"/>
  <c r="BI60" i="1"/>
  <c r="BO53" i="1"/>
  <c r="BP60" i="1"/>
  <c r="BS67" i="1"/>
  <c r="BD50" i="1"/>
  <c r="AY50" i="1"/>
  <c r="BM43" i="1"/>
  <c r="BW49" i="1"/>
  <c r="BW37" i="1"/>
  <c r="AI74" i="1"/>
  <c r="AZ67" i="1"/>
  <c r="AQ49" i="1"/>
  <c r="BC49" i="1"/>
  <c r="AY67" i="1"/>
  <c r="BE75" i="1"/>
  <c r="BS49" i="1"/>
  <c r="BO37" i="1"/>
  <c r="BK42" i="1"/>
  <c r="AS50" i="1"/>
  <c r="BW48" i="1"/>
  <c r="BW41" i="1"/>
  <c r="AT42" i="1"/>
  <c r="AV75" i="1"/>
  <c r="BI74" i="1"/>
  <c r="BJ79" i="1"/>
  <c r="AU51" i="1"/>
  <c r="BW64" i="1"/>
  <c r="AI67" i="1"/>
  <c r="BA53" i="1"/>
  <c r="AT36" i="1"/>
  <c r="BQ79" i="1"/>
  <c r="AW36" i="1"/>
  <c r="BB36" i="1"/>
  <c r="BH74" i="1"/>
  <c r="BI75" i="1"/>
  <c r="AV43" i="1"/>
  <c r="BA63" i="1"/>
  <c r="BG63" i="1"/>
  <c r="BV53" i="1"/>
  <c r="BR73" i="1"/>
  <c r="AO51" i="1"/>
  <c r="BN67" i="1"/>
  <c r="BC43" i="1"/>
  <c r="AS36" i="1"/>
  <c r="AS264" i="1" s="1"/>
  <c r="BM36" i="1"/>
  <c r="BU64" i="1"/>
  <c r="BT51" i="1"/>
  <c r="AZ48" i="1"/>
  <c r="AP52" i="1"/>
  <c r="BH42" i="1"/>
  <c r="BK53" i="1"/>
  <c r="BH41" i="1"/>
  <c r="BM75" i="1"/>
  <c r="AP53" i="1"/>
  <c r="BU51" i="1"/>
  <c r="AS64" i="1"/>
  <c r="AS285" i="1" s="1"/>
  <c r="BD48" i="1"/>
  <c r="AM74" i="1"/>
  <c r="AS63" i="1"/>
  <c r="BV63" i="1"/>
  <c r="BN49" i="1"/>
  <c r="AX74" i="1"/>
  <c r="AM79" i="1"/>
  <c r="BJ102" i="1"/>
  <c r="AS49" i="1"/>
  <c r="BH180" i="1"/>
  <c r="BI180" i="1" s="1"/>
  <c r="BH166" i="1"/>
  <c r="BH178" i="1"/>
  <c r="BV187" i="1"/>
  <c r="BW187" i="1" s="1"/>
  <c r="BH177" i="1"/>
  <c r="K193" i="1"/>
  <c r="L107" i="1"/>
  <c r="M170" i="1"/>
  <c r="J197" i="1"/>
  <c r="M95" i="1"/>
  <c r="H95" i="1"/>
  <c r="N184" i="1"/>
  <c r="H159" i="1"/>
  <c r="H187" i="1" s="1"/>
  <c r="D92" i="1"/>
  <c r="J158" i="1"/>
  <c r="Q166" i="1"/>
  <c r="G203" i="1"/>
  <c r="J159" i="1"/>
  <c r="J187" i="1" s="1"/>
  <c r="L155" i="1"/>
  <c r="K182" i="1"/>
  <c r="G158" i="1"/>
  <c r="BH60" i="1"/>
  <c r="AV79" i="1"/>
  <c r="AX48" i="1"/>
  <c r="BM51" i="1"/>
  <c r="BC37" i="1"/>
  <c r="BG37" i="1"/>
  <c r="BP75" i="1"/>
  <c r="BG74" i="1"/>
  <c r="BV50" i="1"/>
  <c r="AI75" i="1"/>
  <c r="BA48" i="1"/>
  <c r="AQ75" i="1"/>
  <c r="BO51" i="1"/>
  <c r="BB63" i="1"/>
  <c r="AQ48" i="1"/>
  <c r="BU75" i="1"/>
  <c r="BQ52" i="1"/>
  <c r="BR43" i="1"/>
  <c r="BU36" i="1"/>
  <c r="BJ101" i="1"/>
  <c r="BD37" i="1"/>
  <c r="AY60" i="1"/>
  <c r="AY227" i="1" s="1"/>
  <c r="BD53" i="1"/>
  <c r="AN67" i="1"/>
  <c r="BH49" i="1"/>
  <c r="BA79" i="1"/>
  <c r="AY64" i="1"/>
  <c r="AY285" i="1" s="1"/>
  <c r="BK48" i="1"/>
  <c r="BO67" i="1"/>
  <c r="BP41" i="1"/>
  <c r="BS60" i="1"/>
  <c r="BS227" i="1" s="1"/>
  <c r="AS60" i="1"/>
  <c r="BQ36" i="1"/>
  <c r="BA67" i="1"/>
  <c r="BR53" i="1"/>
  <c r="BT41" i="1"/>
  <c r="AO37" i="1"/>
  <c r="BA74" i="1"/>
  <c r="AU41" i="1"/>
  <c r="BG51" i="1"/>
  <c r="AW60" i="1"/>
  <c r="BN73" i="1"/>
  <c r="AP67" i="1"/>
  <c r="AY63" i="1"/>
  <c r="BI51" i="1"/>
  <c r="BU67" i="1"/>
  <c r="AP50" i="1"/>
  <c r="AO74" i="1"/>
  <c r="BS37" i="1"/>
  <c r="BH36" i="1"/>
  <c r="AN74" i="1"/>
  <c r="AR75" i="1"/>
  <c r="BW63" i="1"/>
  <c r="AR60" i="1"/>
  <c r="AV53" i="1"/>
  <c r="BH50" i="1"/>
  <c r="AP73" i="1"/>
  <c r="BH43" i="1"/>
  <c r="BV48" i="1"/>
  <c r="BB53" i="1"/>
  <c r="BN51" i="1"/>
  <c r="AZ74" i="1"/>
  <c r="BE53" i="1"/>
  <c r="BC42" i="1"/>
  <c r="BH73" i="1"/>
  <c r="AN36" i="1"/>
  <c r="BB42" i="1"/>
  <c r="AW48" i="1"/>
  <c r="BF52" i="1"/>
  <c r="BQ42" i="1"/>
  <c r="AV73" i="1"/>
  <c r="AT52" i="1"/>
  <c r="BV168" i="1"/>
  <c r="BW168" i="1" s="1"/>
  <c r="BH175" i="1"/>
  <c r="BI175" i="1" s="1"/>
  <c r="N107" i="1"/>
  <c r="V101" i="1"/>
  <c r="J165" i="1"/>
  <c r="P176" i="1"/>
  <c r="F166" i="1"/>
  <c r="W193" i="1"/>
  <c r="E178" i="1"/>
  <c r="E213" i="1" s="1"/>
  <c r="I178" i="1"/>
  <c r="I213" i="1" s="1"/>
  <c r="N101" i="1"/>
  <c r="L152" i="1"/>
  <c r="I102" i="1"/>
  <c r="F182" i="1"/>
  <c r="S105" i="1"/>
  <c r="V183" i="1"/>
  <c r="W151" i="1"/>
  <c r="F205" i="1"/>
  <c r="C186" i="1"/>
  <c r="C216" i="1" s="1"/>
  <c r="B155" i="1"/>
  <c r="G159" i="1"/>
  <c r="G187" i="1" s="1"/>
  <c r="V160" i="1"/>
  <c r="P204" i="1"/>
  <c r="R101" i="1"/>
  <c r="V178" i="1"/>
  <c r="V213" i="1" s="1"/>
  <c r="G193" i="1"/>
  <c r="BH164" i="1"/>
  <c r="M157" i="1"/>
  <c r="T166" i="1"/>
  <c r="D193" i="1"/>
  <c r="M165" i="1"/>
  <c r="D159" i="1"/>
  <c r="D187" i="1" s="1"/>
  <c r="O158" i="1"/>
  <c r="J176" i="1"/>
  <c r="H192" i="1"/>
  <c r="E155" i="1"/>
  <c r="Q106" i="1"/>
  <c r="R160" i="1"/>
  <c r="D102" i="1"/>
  <c r="L169" i="1"/>
  <c r="W159" i="1"/>
  <c r="W187" i="1" s="1"/>
  <c r="R197" i="1"/>
  <c r="M179" i="1"/>
  <c r="C91" i="1"/>
  <c r="D160" i="1"/>
  <c r="W106" i="1"/>
  <c r="W160" i="1"/>
  <c r="H152" i="1"/>
  <c r="E152" i="1"/>
  <c r="T178" i="1"/>
  <c r="T213" i="1" s="1"/>
  <c r="S150" i="1"/>
  <c r="V170" i="1"/>
  <c r="P179" i="1"/>
  <c r="W183" i="1"/>
  <c r="G179" i="1"/>
  <c r="T197" i="1"/>
  <c r="J170" i="1"/>
  <c r="H157" i="1"/>
  <c r="E169" i="1"/>
  <c r="C177" i="1"/>
  <c r="C212" i="1" s="1"/>
  <c r="W102" i="1"/>
  <c r="T193" i="1"/>
  <c r="D170" i="1"/>
  <c r="E175" i="1"/>
  <c r="G150" i="1"/>
  <c r="R107" i="1"/>
  <c r="H106" i="1"/>
  <c r="G204" i="1"/>
  <c r="P169" i="1"/>
  <c r="O159" i="1"/>
  <c r="O187" i="1" s="1"/>
  <c r="I188" i="1"/>
  <c r="I157" i="1"/>
  <c r="B173" i="1"/>
  <c r="B175" i="1"/>
  <c r="E173" i="1"/>
  <c r="I180" i="1"/>
  <c r="H177" i="1"/>
  <c r="H212" i="1" s="1"/>
  <c r="R168" i="1"/>
  <c r="R164" i="1" s="1"/>
  <c r="V176" i="1"/>
  <c r="H197" i="1"/>
  <c r="G101" i="1"/>
  <c r="C182" i="1"/>
  <c r="N186" i="1"/>
  <c r="N216" i="1" s="1"/>
  <c r="W182" i="1"/>
  <c r="Q204" i="1"/>
  <c r="I182" i="1"/>
  <c r="J177" i="1"/>
  <c r="J212" i="1" s="1"/>
  <c r="N150" i="1"/>
  <c r="L95" i="1"/>
  <c r="U106" i="1"/>
  <c r="W176" i="1"/>
  <c r="K204" i="1"/>
  <c r="L205" i="1"/>
  <c r="H107" i="1"/>
  <c r="L158" i="1"/>
  <c r="S155" i="1"/>
  <c r="T188" i="1"/>
  <c r="V158" i="1"/>
  <c r="P157" i="1"/>
  <c r="P161" i="1" s="1"/>
  <c r="V184" i="1"/>
  <c r="T203" i="1"/>
  <c r="J178" i="1"/>
  <c r="J213" i="1" s="1"/>
  <c r="S188" i="1"/>
  <c r="C192" i="1"/>
  <c r="L160" i="1"/>
  <c r="U169" i="1"/>
  <c r="H183" i="1"/>
  <c r="S168" i="1"/>
  <c r="S164" i="1" s="1"/>
  <c r="P175" i="1"/>
  <c r="I196" i="1"/>
  <c r="F196" i="1"/>
  <c r="Q176" i="1"/>
  <c r="N179" i="1"/>
  <c r="G151" i="1"/>
  <c r="F160" i="1"/>
  <c r="B205" i="1"/>
  <c r="K180" i="1"/>
  <c r="H151" i="1"/>
  <c r="U157" i="1"/>
  <c r="I159" i="1"/>
  <c r="I187" i="1" s="1"/>
  <c r="E101" i="1"/>
  <c r="C173" i="1"/>
  <c r="M152" i="1"/>
  <c r="K160" i="1"/>
  <c r="Q180" i="1"/>
  <c r="N165" i="1"/>
  <c r="M184" i="1"/>
  <c r="R205" i="1"/>
  <c r="F95" i="1"/>
  <c r="J175" i="1"/>
  <c r="S169" i="1"/>
  <c r="S158" i="1"/>
  <c r="H160" i="1"/>
  <c r="C179" i="1"/>
  <c r="S192" i="1"/>
  <c r="N159" i="1"/>
  <c r="N187" i="1" s="1"/>
  <c r="J204" i="1"/>
  <c r="V197" i="1"/>
  <c r="L168" i="1"/>
  <c r="L164" i="1" s="1"/>
  <c r="C175" i="1"/>
  <c r="D91" i="1"/>
  <c r="V192" i="1"/>
  <c r="B196" i="1"/>
  <c r="W107" i="1"/>
  <c r="E204" i="1"/>
  <c r="E150" i="1"/>
  <c r="C155" i="1"/>
  <c r="S151" i="1"/>
  <c r="T192" i="1"/>
  <c r="C107" i="1"/>
  <c r="F157" i="1"/>
  <c r="J184" i="1"/>
  <c r="C203" i="1"/>
  <c r="J196" i="1"/>
  <c r="K205" i="1"/>
  <c r="E102" i="1"/>
  <c r="N169" i="1"/>
  <c r="D184" i="1"/>
  <c r="O166" i="1"/>
  <c r="L203" i="1"/>
  <c r="H196" i="1"/>
  <c r="N204" i="1"/>
  <c r="H204" i="1"/>
  <c r="D105" i="1"/>
  <c r="D204" i="1"/>
  <c r="W205" i="1"/>
  <c r="T169" i="1"/>
  <c r="O106" i="1"/>
  <c r="E188" i="1"/>
  <c r="K101" i="1"/>
  <c r="D166" i="1"/>
  <c r="H180" i="1"/>
  <c r="U192" i="1"/>
  <c r="M182" i="1"/>
  <c r="H105" i="1"/>
  <c r="O169" i="1"/>
  <c r="Q168" i="1"/>
  <c r="Q164" i="1" s="1"/>
  <c r="J182" i="1"/>
  <c r="H193" i="1"/>
  <c r="M166" i="1"/>
  <c r="E182" i="1"/>
  <c r="C193" i="1"/>
  <c r="C180" i="1"/>
  <c r="K168" i="1"/>
  <c r="K164" i="1" s="1"/>
  <c r="N178" i="1"/>
  <c r="N213" i="1" s="1"/>
  <c r="T152" i="1"/>
  <c r="G165" i="1"/>
  <c r="B193" i="1"/>
  <c r="C170" i="1"/>
  <c r="V155" i="1"/>
  <c r="J101" i="1"/>
  <c r="B91" i="1"/>
  <c r="O205" i="1"/>
  <c r="I158" i="1"/>
  <c r="P151" i="1"/>
  <c r="T105" i="1"/>
  <c r="K166" i="1"/>
  <c r="B184" i="1"/>
  <c r="L175" i="1"/>
  <c r="Q175" i="1"/>
  <c r="W177" i="1"/>
  <c r="G173" i="1"/>
  <c r="R175" i="1"/>
  <c r="I176" i="1"/>
  <c r="Q197" i="1"/>
  <c r="Q102" i="1"/>
  <c r="V180" i="1"/>
  <c r="N168" i="1"/>
  <c r="N164" i="1" s="1"/>
  <c r="E183" i="1"/>
  <c r="D173" i="1"/>
  <c r="T165" i="1"/>
  <c r="I179" i="1"/>
  <c r="I165" i="1"/>
  <c r="V106" i="1"/>
  <c r="D203" i="1"/>
  <c r="K178" i="1"/>
  <c r="K213" i="1" s="1"/>
  <c r="S180" i="1"/>
  <c r="M175" i="1"/>
  <c r="V169" i="1"/>
  <c r="R165" i="1"/>
  <c r="V159" i="1"/>
  <c r="V187" i="1" s="1"/>
  <c r="P177" i="1"/>
  <c r="P212" i="1" s="1"/>
  <c r="K183" i="1"/>
  <c r="H102" i="1"/>
  <c r="N193" i="1"/>
  <c r="S182" i="1"/>
  <c r="C165" i="1"/>
  <c r="M101" i="1"/>
  <c r="S204" i="1"/>
  <c r="S152" i="1"/>
  <c r="L188" i="1"/>
  <c r="C164" i="1"/>
  <c r="O165" i="1"/>
  <c r="D168" i="1"/>
  <c r="S193" i="1"/>
  <c r="D164" i="1"/>
  <c r="V205" i="1"/>
  <c r="V107" i="1"/>
  <c r="T175" i="1"/>
  <c r="W197" i="1"/>
  <c r="I152" i="1"/>
  <c r="J186" i="1"/>
  <c r="J216" i="1" s="1"/>
  <c r="R105" i="1"/>
  <c r="S107" i="1"/>
  <c r="L173" i="1"/>
  <c r="U170" i="1"/>
  <c r="O182" i="1"/>
  <c r="C168" i="1"/>
  <c r="V186" i="1"/>
  <c r="V216" i="1" s="1"/>
  <c r="V151" i="1"/>
  <c r="Q165" i="1"/>
  <c r="B157" i="1"/>
  <c r="E196" i="1"/>
  <c r="Q159" i="1"/>
  <c r="Q187" i="1" s="1"/>
  <c r="O150" i="1"/>
  <c r="K150" i="1"/>
  <c r="E105" i="1"/>
  <c r="N105" i="1"/>
  <c r="R179" i="1"/>
  <c r="E151" i="1"/>
  <c r="H178" i="1"/>
  <c r="H213" i="1" s="1"/>
  <c r="R152" i="1"/>
  <c r="K158" i="1"/>
  <c r="O151" i="1"/>
  <c r="Q158" i="1"/>
  <c r="J107" i="1"/>
  <c r="U175" i="1"/>
  <c r="B170" i="1"/>
  <c r="I205" i="1"/>
  <c r="P165" i="1"/>
  <c r="H203" i="1"/>
  <c r="I173" i="1"/>
  <c r="G95" i="1"/>
  <c r="U196" i="1"/>
  <c r="E107" i="1"/>
  <c r="B150" i="1"/>
  <c r="M155" i="1"/>
  <c r="P203" i="1"/>
  <c r="F173" i="1"/>
  <c r="T180" i="1"/>
  <c r="O177" i="1"/>
  <c r="O212" i="1" s="1"/>
  <c r="S177" i="1"/>
  <c r="S212" i="1" s="1"/>
  <c r="O197" i="1"/>
  <c r="R180" i="1"/>
  <c r="N102" i="1"/>
  <c r="BH179" i="1"/>
  <c r="BI179" i="1" s="1"/>
  <c r="BH165" i="1"/>
  <c r="BH150" i="1"/>
  <c r="BI150" i="1" s="1"/>
  <c r="BH157" i="1"/>
  <c r="BI157" i="1" s="1"/>
  <c r="BV176" i="1"/>
  <c r="BW176" i="1" s="1"/>
  <c r="BH188" i="1"/>
  <c r="BI188" i="1" s="1"/>
  <c r="BH152" i="1"/>
  <c r="BH183" i="1"/>
  <c r="BI183" i="1" s="1"/>
  <c r="W155" i="1"/>
  <c r="S165" i="1"/>
  <c r="H176" i="1"/>
  <c r="I170" i="1"/>
  <c r="N182" i="1"/>
  <c r="F177" i="1"/>
  <c r="F212" i="1" s="1"/>
  <c r="L170" i="1"/>
  <c r="D101" i="1"/>
  <c r="C169" i="1"/>
  <c r="I183" i="1"/>
  <c r="U178" i="1"/>
  <c r="U213" i="1" s="1"/>
  <c r="J193" i="1"/>
  <c r="L183" i="1"/>
  <c r="G169" i="1"/>
  <c r="G170" i="1"/>
  <c r="E160" i="1"/>
  <c r="Q173" i="1"/>
  <c r="W158" i="1"/>
  <c r="H155" i="1"/>
  <c r="M102" i="1"/>
  <c r="L179" i="1"/>
  <c r="M105" i="1"/>
  <c r="Q177" i="1"/>
  <c r="Q212" i="1" s="1"/>
  <c r="D182" i="1"/>
  <c r="S197" i="1"/>
  <c r="C101" i="1"/>
  <c r="B105" i="1"/>
  <c r="R173" i="1"/>
  <c r="C159" i="1"/>
  <c r="C187" i="1" s="1"/>
  <c r="O107" i="1"/>
  <c r="I177" i="1"/>
  <c r="I212" i="1" s="1"/>
  <c r="R106" i="1"/>
  <c r="R196" i="1"/>
  <c r="T170" i="1"/>
  <c r="W95" i="1"/>
  <c r="J151" i="1"/>
  <c r="T157" i="1"/>
  <c r="W175" i="1"/>
  <c r="V204" i="1"/>
  <c r="D150" i="1"/>
  <c r="W179" i="1"/>
  <c r="N197" i="1"/>
  <c r="F158" i="1"/>
  <c r="E159" i="1"/>
  <c r="E187" i="1" s="1"/>
  <c r="I192" i="1"/>
  <c r="J155" i="1"/>
  <c r="Q95" i="1"/>
  <c r="Q179" i="1"/>
  <c r="P159" i="1"/>
  <c r="P187" i="1" s="1"/>
  <c r="Q105" i="1"/>
  <c r="L177" i="1"/>
  <c r="L212" i="1" s="1"/>
  <c r="S170" i="1"/>
  <c r="V188" i="1"/>
  <c r="I193" i="1"/>
  <c r="I194" i="1" s="1"/>
  <c r="J242" i="1" s="1"/>
  <c r="F176" i="1"/>
  <c r="R178" i="1"/>
  <c r="R213" i="1" s="1"/>
  <c r="Q193" i="1"/>
  <c r="V165" i="1"/>
  <c r="I160" i="1"/>
  <c r="F106" i="1"/>
  <c r="W192" i="1"/>
  <c r="G166" i="1"/>
  <c r="S178" i="1"/>
  <c r="S213" i="1" s="1"/>
  <c r="S166" i="1"/>
  <c r="D95" i="1"/>
  <c r="K203" i="1"/>
  <c r="M183" i="1"/>
  <c r="N158" i="1"/>
  <c r="Q170" i="1"/>
  <c r="U105" i="1"/>
  <c r="G106" i="1"/>
  <c r="E180" i="1"/>
  <c r="R183" i="1"/>
  <c r="J205" i="1"/>
  <c r="F178" i="1"/>
  <c r="F213" i="1" s="1"/>
  <c r="J168" i="1"/>
  <c r="J164" i="1" s="1"/>
  <c r="D165" i="1"/>
  <c r="R170" i="1"/>
  <c r="O176" i="1"/>
  <c r="F175" i="1"/>
  <c r="D192" i="1"/>
  <c r="O183" i="1"/>
  <c r="G183" i="1"/>
  <c r="T196" i="1"/>
  <c r="P152" i="1"/>
  <c r="J102" i="1"/>
  <c r="BH192" i="1"/>
  <c r="BH160" i="1"/>
  <c r="BI160" i="1" s="1"/>
  <c r="C106" i="1"/>
  <c r="J166" i="1"/>
  <c r="G205" i="1"/>
  <c r="M186" i="1"/>
  <c r="M216" i="1" s="1"/>
  <c r="O184" i="1"/>
  <c r="T95" i="1"/>
  <c r="S101" i="1"/>
  <c r="L165" i="1"/>
  <c r="F180" i="1"/>
  <c r="B197" i="1"/>
  <c r="M196" i="1"/>
  <c r="O168" i="1"/>
  <c r="O164" i="1" s="1"/>
  <c r="L192" i="1"/>
  <c r="B178" i="1"/>
  <c r="B213" i="1" s="1"/>
  <c r="W184" i="1"/>
  <c r="F165" i="1"/>
  <c r="L197" i="1"/>
  <c r="E106" i="1"/>
  <c r="P192" i="1"/>
  <c r="P194" i="1" s="1"/>
  <c r="Q242" i="1" s="1"/>
  <c r="U165" i="1"/>
  <c r="D169" i="1"/>
  <c r="L101" i="1"/>
  <c r="F169" i="1"/>
  <c r="L150" i="1"/>
  <c r="U177" i="1"/>
  <c r="U212" i="1" s="1"/>
  <c r="G175" i="1"/>
  <c r="E158" i="1"/>
  <c r="S106" i="1"/>
  <c r="P105" i="1"/>
  <c r="Q178" i="1"/>
  <c r="Q213" i="1" s="1"/>
  <c r="C184" i="1"/>
  <c r="M177" i="1"/>
  <c r="M212" i="1" s="1"/>
  <c r="U102" i="1"/>
  <c r="V157" i="1"/>
  <c r="R193" i="1"/>
  <c r="K102" i="1"/>
  <c r="K175" i="1"/>
  <c r="J180" i="1"/>
  <c r="L186" i="1"/>
  <c r="L216" i="1" s="1"/>
  <c r="V173" i="1"/>
  <c r="V102" i="1"/>
  <c r="M106" i="1"/>
  <c r="O173" i="1"/>
  <c r="O170" i="1"/>
  <c r="C197" i="1"/>
  <c r="F155" i="1"/>
  <c r="N196" i="1"/>
  <c r="W196" i="1"/>
  <c r="N177" i="1"/>
  <c r="N212" i="1" s="1"/>
  <c r="H170" i="1"/>
  <c r="F105" i="1"/>
  <c r="I101" i="1"/>
  <c r="K192" i="1"/>
  <c r="I106" i="1"/>
  <c r="T151" i="1"/>
  <c r="T179" i="1"/>
  <c r="J106" i="1"/>
  <c r="O203" i="1"/>
  <c r="P197" i="1"/>
  <c r="J192" i="1"/>
  <c r="N160" i="1"/>
  <c r="L105" i="1"/>
  <c r="O175" i="1"/>
  <c r="Q188" i="1"/>
  <c r="G168" i="1"/>
  <c r="G164" i="1" s="1"/>
  <c r="T173" i="1"/>
  <c r="R176" i="1"/>
  <c r="D152" i="1"/>
  <c r="N188" i="1"/>
  <c r="I184" i="1"/>
  <c r="O179" i="1"/>
  <c r="H150" i="1"/>
  <c r="I150" i="1"/>
  <c r="N106" i="1"/>
  <c r="G102" i="1"/>
  <c r="P107" i="1"/>
  <c r="R188" i="1"/>
  <c r="N176" i="1"/>
  <c r="W105" i="1"/>
  <c r="U203" i="1"/>
  <c r="C205" i="1"/>
  <c r="W173" i="1"/>
  <c r="X235" i="1" s="1"/>
  <c r="T186" i="1"/>
  <c r="T216" i="1" s="1"/>
  <c r="F152" i="1"/>
  <c r="K186" i="1"/>
  <c r="K216" i="1" s="1"/>
  <c r="U151" i="1"/>
  <c r="I186" i="1"/>
  <c r="I216" i="1" s="1"/>
  <c r="H205" i="1"/>
  <c r="L166" i="1"/>
  <c r="G188" i="1"/>
  <c r="V166" i="1"/>
  <c r="B95" i="1"/>
  <c r="O196" i="1"/>
  <c r="C152" i="1"/>
  <c r="C176" i="1"/>
  <c r="M192" i="1"/>
  <c r="I203" i="1"/>
  <c r="C166" i="1"/>
  <c r="B169" i="1"/>
  <c r="N180" i="1"/>
  <c r="P101" i="1"/>
  <c r="K176" i="1"/>
  <c r="K196" i="1"/>
  <c r="P166" i="1"/>
  <c r="Q157" i="1"/>
  <c r="R177" i="1"/>
  <c r="R212" i="1" s="1"/>
  <c r="D188" i="1"/>
  <c r="N155" i="1"/>
  <c r="K177" i="1"/>
  <c r="K212" i="1" s="1"/>
  <c r="T182" i="1"/>
  <c r="G176" i="1"/>
  <c r="U186" i="1"/>
  <c r="U216" i="1" s="1"/>
  <c r="H165" i="1"/>
  <c r="L196" i="1"/>
  <c r="V203" i="1"/>
  <c r="P158" i="1"/>
  <c r="Q192" i="1"/>
  <c r="Q194" i="1" s="1"/>
  <c r="I95" i="1"/>
  <c r="C196" i="1"/>
  <c r="Q107" i="1"/>
  <c r="V175" i="1"/>
  <c r="S203" i="1"/>
  <c r="J157" i="1"/>
  <c r="U183" i="1"/>
  <c r="M158" i="1"/>
  <c r="U193" i="1"/>
  <c r="O101" i="1"/>
  <c r="D157" i="1"/>
  <c r="S175" i="1"/>
  <c r="E197" i="1"/>
  <c r="D196" i="1"/>
  <c r="K169" i="1"/>
  <c r="B176" i="1"/>
  <c r="W188" i="1"/>
  <c r="F102" i="1"/>
  <c r="C158" i="1"/>
  <c r="S183" i="1"/>
  <c r="H186" i="1"/>
  <c r="H216" i="1" s="1"/>
  <c r="U159" i="1"/>
  <c r="U187" i="1" s="1"/>
  <c r="L180" i="1"/>
  <c r="H158" i="1"/>
  <c r="L159" i="1"/>
  <c r="L187" i="1" s="1"/>
  <c r="B182" i="1"/>
  <c r="H169" i="1"/>
  <c r="G192" i="1"/>
  <c r="K106" i="1"/>
  <c r="M169" i="1"/>
  <c r="S176" i="1"/>
  <c r="H166" i="1"/>
  <c r="F107" i="1"/>
  <c r="H188" i="1"/>
  <c r="G152" i="1"/>
  <c r="P102" i="1"/>
  <c r="T184" i="1"/>
  <c r="G197" i="1"/>
  <c r="AN49" i="1"/>
  <c r="BV197" i="1"/>
  <c r="BW197" i="1" s="1"/>
  <c r="BH158" i="1"/>
  <c r="BI158" i="1" s="1"/>
  <c r="BV160" i="1"/>
  <c r="BW160" i="1" s="1"/>
  <c r="BH186" i="1"/>
  <c r="D151" i="1"/>
  <c r="C151" i="1"/>
  <c r="W169" i="1"/>
  <c r="B107" i="1"/>
  <c r="B204" i="1"/>
  <c r="W186" i="1"/>
  <c r="J105" i="1"/>
  <c r="B179" i="1"/>
  <c r="R151" i="1"/>
  <c r="W180" i="1"/>
  <c r="C105" i="1"/>
  <c r="D176" i="1"/>
  <c r="F203" i="1"/>
  <c r="B180" i="1"/>
  <c r="J203" i="1"/>
  <c r="V177" i="1"/>
  <c r="V212" i="1" s="1"/>
  <c r="P180" i="1"/>
  <c r="B192" i="1"/>
  <c r="I168" i="1"/>
  <c r="I164" i="1" s="1"/>
  <c r="R192" i="1"/>
  <c r="R194" i="1" s="1"/>
  <c r="C178" i="1"/>
  <c r="C213" i="1" s="1"/>
  <c r="L106" i="1"/>
  <c r="G184" i="1"/>
  <c r="I166" i="1"/>
  <c r="M197" i="1"/>
  <c r="L176" i="1"/>
  <c r="H101" i="1"/>
  <c r="P150" i="1"/>
  <c r="R182" i="1"/>
  <c r="M176" i="1"/>
  <c r="J95" i="1"/>
  <c r="L184" i="1"/>
  <c r="H182" i="1"/>
  <c r="I105" i="1"/>
  <c r="U158" i="1"/>
  <c r="L178" i="1"/>
  <c r="L213" i="1" s="1"/>
  <c r="O180" i="1"/>
  <c r="K173" i="1"/>
  <c r="K157" i="1"/>
  <c r="E177" i="1"/>
  <c r="E212" i="1" s="1"/>
  <c r="N203" i="1"/>
  <c r="M150" i="1"/>
  <c r="O192" i="1"/>
  <c r="S186" i="1"/>
  <c r="S216" i="1" s="1"/>
  <c r="O105" i="1"/>
  <c r="O186" i="1"/>
  <c r="O216" i="1" s="1"/>
  <c r="N152" i="1"/>
  <c r="T158" i="1"/>
  <c r="Q151" i="1"/>
  <c r="P173" i="1"/>
  <c r="I197" i="1"/>
  <c r="V152" i="1"/>
  <c r="E165" i="1"/>
  <c r="H173" i="1"/>
  <c r="T177" i="1"/>
  <c r="T212" i="1" s="1"/>
  <c r="N192" i="1"/>
  <c r="U166" i="1"/>
  <c r="E95" i="1"/>
  <c r="M160" i="1"/>
  <c r="P95" i="1"/>
  <c r="Q184" i="1"/>
  <c r="M203" i="1"/>
  <c r="Q150" i="1"/>
  <c r="E176" i="1"/>
  <c r="R159" i="1"/>
  <c r="R187" i="1" s="1"/>
  <c r="F192" i="1"/>
  <c r="V182" i="1"/>
  <c r="P155" i="1"/>
  <c r="M159" i="1"/>
  <c r="M187" i="1" s="1"/>
  <c r="U188" i="1"/>
  <c r="I175" i="1"/>
  <c r="E193" i="1"/>
  <c r="E194" i="1" s="1"/>
  <c r="F242" i="1" s="1"/>
  <c r="D177" i="1"/>
  <c r="D212" i="1" s="1"/>
  <c r="K159" i="1"/>
  <c r="K187" i="1" s="1"/>
  <c r="S102" i="1"/>
  <c r="E157" i="1"/>
  <c r="K165" i="1"/>
  <c r="C183" i="1"/>
  <c r="W178" i="1"/>
  <c r="O204" i="1"/>
  <c r="O102" i="1"/>
  <c r="F150" i="1"/>
  <c r="J160" i="1"/>
  <c r="AX173" i="1"/>
  <c r="AY173" i="1" s="1"/>
  <c r="AZ186" i="1"/>
  <c r="AZ187" i="1"/>
  <c r="BA187" i="1" s="1"/>
  <c r="BT164" i="1"/>
  <c r="AX177" i="1"/>
  <c r="AZ185" i="1"/>
  <c r="BA185" i="1" s="1"/>
  <c r="BD168" i="1"/>
  <c r="BE168" i="1" s="1"/>
  <c r="BN197" i="1"/>
  <c r="BO197" i="1" s="1"/>
  <c r="BT184" i="1"/>
  <c r="BU184" i="1" s="1"/>
  <c r="BN152" i="1"/>
  <c r="BW102" i="1"/>
  <c r="BN159" i="1"/>
  <c r="BO159" i="1" s="1"/>
  <c r="AX184" i="1"/>
  <c r="AY184" i="1" s="1"/>
  <c r="AP158" i="1"/>
  <c r="AQ158" i="1" s="1"/>
  <c r="AT164" i="1"/>
  <c r="BD180" i="1"/>
  <c r="BE180" i="1" s="1"/>
  <c r="AP176" i="1"/>
  <c r="AQ176" i="1" s="1"/>
  <c r="AV168" i="1"/>
  <c r="AW168" i="1" s="1"/>
  <c r="AN150" i="1"/>
  <c r="AR197" i="1"/>
  <c r="AS197" i="1" s="1"/>
  <c r="AQ101" i="1"/>
  <c r="AT184" i="1"/>
  <c r="AU184" i="1" s="1"/>
  <c r="AX102" i="1"/>
  <c r="BA101" i="1"/>
  <c r="BN155" i="1"/>
  <c r="BO155" i="1" s="1"/>
  <c r="BP160" i="1"/>
  <c r="BQ160" i="1" s="1"/>
  <c r="BG101" i="1"/>
  <c r="AZ175" i="1"/>
  <c r="BA175" i="1" s="1"/>
  <c r="BD193" i="1"/>
  <c r="BT150" i="1"/>
  <c r="BU150" i="1" s="1"/>
  <c r="BD182" i="1"/>
  <c r="BE182" i="1" s="1"/>
  <c r="BT185" i="1"/>
  <c r="BU185" i="1" s="1"/>
  <c r="BN160" i="1"/>
  <c r="BO160" i="1" s="1"/>
  <c r="AT192" i="1"/>
  <c r="AZ168" i="1"/>
  <c r="BA168" i="1" s="1"/>
  <c r="BT102" i="1"/>
  <c r="AR176" i="1"/>
  <c r="AS176" i="1" s="1"/>
  <c r="AX101" i="1"/>
  <c r="AX180" i="1"/>
  <c r="AY180" i="1" s="1"/>
  <c r="AX185" i="1"/>
  <c r="AY185" i="1" s="1"/>
  <c r="AV177" i="1"/>
  <c r="BW101" i="1"/>
  <c r="BN188" i="1"/>
  <c r="BO188" i="1" s="1"/>
  <c r="BB102" i="1"/>
  <c r="BD102" i="1"/>
  <c r="AT158" i="1"/>
  <c r="AU158" i="1" s="1"/>
  <c r="BN158" i="1"/>
  <c r="BO158" i="1" s="1"/>
  <c r="BB179" i="1"/>
  <c r="BC179" i="1" s="1"/>
  <c r="BB165" i="1"/>
  <c r="BP173" i="1"/>
  <c r="BQ173" i="1" s="1"/>
  <c r="AP173" i="1"/>
  <c r="AN151" i="1"/>
  <c r="AO151" i="1" s="1"/>
  <c r="AX193" i="1"/>
  <c r="AZ178" i="1"/>
  <c r="BT177" i="1"/>
  <c r="AP152" i="1"/>
  <c r="AT166" i="1"/>
  <c r="BN179" i="1"/>
  <c r="BO179" i="1" s="1"/>
  <c r="BN165" i="1"/>
  <c r="BB193" i="1"/>
  <c r="BD164" i="1"/>
  <c r="BT186" i="1"/>
  <c r="BB160" i="1"/>
  <c r="BC160" i="1" s="1"/>
  <c r="AT177" i="1"/>
  <c r="BT192" i="1"/>
  <c r="BN175" i="1"/>
  <c r="BO175" i="1" s="1"/>
  <c r="BD159" i="1"/>
  <c r="BE159" i="1" s="1"/>
  <c r="BD197" i="1"/>
  <c r="BE197" i="1" s="1"/>
  <c r="AV150" i="1"/>
  <c r="AW150" i="1" s="1"/>
  <c r="AR152" i="1"/>
  <c r="AP196" i="1"/>
  <c r="AQ196" i="1" s="1"/>
  <c r="AP175" i="1"/>
  <c r="AN170" i="1"/>
  <c r="AO170" i="1" s="1"/>
  <c r="AR187" i="1"/>
  <c r="AS187" i="1" s="1"/>
  <c r="AV166" i="1"/>
  <c r="AR151" i="1"/>
  <c r="AS151" i="1" s="1"/>
  <c r="AR185" i="1"/>
  <c r="AS185" i="1" s="1"/>
  <c r="AN183" i="1"/>
  <c r="AO183" i="1" s="1"/>
  <c r="AN193" i="1"/>
  <c r="AN159" i="1"/>
  <c r="AO159" i="1" s="1"/>
  <c r="AR179" i="1"/>
  <c r="AS179" i="1" s="1"/>
  <c r="AU101" i="1"/>
  <c r="AR193" i="1"/>
  <c r="AT182" i="1"/>
  <c r="AU182" i="1" s="1"/>
  <c r="AT186" i="1"/>
  <c r="AR101" i="1"/>
  <c r="BO102" i="1"/>
  <c r="BT173" i="1"/>
  <c r="AP166" i="1"/>
  <c r="AV193" i="1"/>
  <c r="AR177" i="1"/>
  <c r="AV184" i="1"/>
  <c r="AW184" i="1" s="1"/>
  <c r="BT160" i="1"/>
  <c r="BU160" i="1" s="1"/>
  <c r="AR180" i="1"/>
  <c r="AS180" i="1" s="1"/>
  <c r="AT151" i="1"/>
  <c r="AU151" i="1" s="1"/>
  <c r="BO101" i="1"/>
  <c r="AX196" i="1"/>
  <c r="AY196" i="1" s="1"/>
  <c r="BB173" i="1"/>
  <c r="BC173" i="1" s="1"/>
  <c r="BD150" i="1"/>
  <c r="AX188" i="1"/>
  <c r="AY188" i="1" s="1"/>
  <c r="BN192" i="1"/>
  <c r="AX164" i="1"/>
  <c r="BN177" i="1"/>
  <c r="BQ102" i="1"/>
  <c r="AT168" i="1"/>
  <c r="AU168" i="1" s="1"/>
  <c r="AT159" i="1"/>
  <c r="AU159" i="1" s="1"/>
  <c r="BD196" i="1"/>
  <c r="BE196" i="1" s="1"/>
  <c r="BD155" i="1"/>
  <c r="BE155" i="1" s="1"/>
  <c r="BT152" i="1"/>
  <c r="BB187" i="1"/>
  <c r="BC187" i="1" s="1"/>
  <c r="AX168" i="1"/>
  <c r="AY168" i="1" s="1"/>
  <c r="AX178" i="1"/>
  <c r="AZ166" i="1"/>
  <c r="AZ188" i="1"/>
  <c r="BA188" i="1" s="1"/>
  <c r="BD183" i="1"/>
  <c r="BE183" i="1" s="1"/>
  <c r="AQ102" i="1"/>
  <c r="BD179" i="1"/>
  <c r="BE179" i="1" s="1"/>
  <c r="BD157" i="1"/>
  <c r="BE157" i="1" s="1"/>
  <c r="BT168" i="1"/>
  <c r="BU168" i="1" s="1"/>
  <c r="BN102" i="1"/>
  <c r="AN197" i="1"/>
  <c r="AO197" i="1" s="1"/>
  <c r="AT183" i="1"/>
  <c r="BN166" i="1"/>
  <c r="BN178" i="1"/>
  <c r="BN187" i="1"/>
  <c r="BO187" i="1" s="1"/>
  <c r="BB182" i="1"/>
  <c r="BC182" i="1" s="1"/>
  <c r="BB184" i="1"/>
  <c r="BC184" i="1" s="1"/>
  <c r="BD178" i="1"/>
  <c r="BT187" i="1"/>
  <c r="BU187" i="1" s="1"/>
  <c r="BT193" i="1"/>
  <c r="AZ151" i="1"/>
  <c r="BA151" i="1" s="1"/>
  <c r="AX159" i="1"/>
  <c r="AY159" i="1" s="1"/>
  <c r="AX175" i="1"/>
  <c r="AY175" i="1" s="1"/>
  <c r="BN180" i="1"/>
  <c r="BO180" i="1" s="1"/>
  <c r="BB155" i="1"/>
  <c r="BC155" i="1" s="1"/>
  <c r="AZ165" i="1"/>
  <c r="AS101" i="1"/>
  <c r="AT160" i="1"/>
  <c r="AU160" i="1" s="1"/>
  <c r="AT178" i="1"/>
  <c r="AT188" i="1"/>
  <c r="AU188" i="1" s="1"/>
  <c r="AT179" i="1"/>
  <c r="AU179" i="1" s="1"/>
  <c r="AT187" i="1"/>
  <c r="AU187" i="1" s="1"/>
  <c r="AT150" i="1"/>
  <c r="BB183" i="1"/>
  <c r="BC183" i="1" s="1"/>
  <c r="AZ196" i="1"/>
  <c r="BA196" i="1" s="1"/>
  <c r="AZ183" i="1"/>
  <c r="BA183" i="1" s="1"/>
  <c r="BD152" i="1"/>
  <c r="BD173" i="1"/>
  <c r="BE173" i="1" s="1"/>
  <c r="AP102" i="1"/>
  <c r="BD175" i="1"/>
  <c r="BE175" i="1" s="1"/>
  <c r="BK101" i="1"/>
  <c r="AP155" i="1"/>
  <c r="AQ155" i="1" s="1"/>
  <c r="AT176" i="1"/>
  <c r="AU176" i="1" s="1"/>
  <c r="AT152" i="1"/>
  <c r="AZ182" i="1"/>
  <c r="BA182" i="1" s="1"/>
  <c r="BT178" i="1"/>
  <c r="BD186" i="1"/>
  <c r="BT183" i="1"/>
  <c r="BU183" i="1" s="1"/>
  <c r="AN192" i="1"/>
  <c r="AP159" i="1"/>
  <c r="AQ159" i="1" s="1"/>
  <c r="AN185" i="1"/>
  <c r="AO185" i="1" s="1"/>
  <c r="AV179" i="1"/>
  <c r="AW179" i="1" s="1"/>
  <c r="AR158" i="1"/>
  <c r="AS158" i="1" s="1"/>
  <c r="AR102" i="1"/>
  <c r="BT180" i="1"/>
  <c r="BU180" i="1" s="1"/>
  <c r="AN196" i="1"/>
  <c r="AO196" i="1" s="1"/>
  <c r="AV151" i="1"/>
  <c r="AW151" i="1" s="1"/>
  <c r="AV196" i="1"/>
  <c r="AW196" i="1" s="1"/>
  <c r="AR150" i="1"/>
  <c r="AV157" i="1"/>
  <c r="BD101" i="1"/>
  <c r="AN180" i="1"/>
  <c r="AO180" i="1" s="1"/>
  <c r="AR170" i="1"/>
  <c r="AS170" i="1" s="1"/>
  <c r="AS102" i="1"/>
  <c r="AR183" i="1"/>
  <c r="AS183" i="1" s="1"/>
  <c r="AP193" i="1"/>
  <c r="AN187" i="1"/>
  <c r="AO187" i="1" s="1"/>
  <c r="AN184" i="1"/>
  <c r="AO184" i="1" s="1"/>
  <c r="AN168" i="1"/>
  <c r="AO168" i="1" s="1"/>
  <c r="AR160" i="1"/>
  <c r="AS160" i="1" s="1"/>
  <c r="AV185" i="1"/>
  <c r="AW185" i="1" s="1"/>
  <c r="BQ101" i="1"/>
  <c r="BS102" i="1"/>
  <c r="AR182" i="1"/>
  <c r="AS182" i="1" s="1"/>
  <c r="AV175" i="1"/>
  <c r="AW175" i="1" s="1"/>
  <c r="AN176" i="1"/>
  <c r="AO176" i="1" s="1"/>
  <c r="AN165" i="1"/>
  <c r="AV178" i="1"/>
  <c r="AN175" i="1"/>
  <c r="AR159" i="1"/>
  <c r="AS159" i="1" s="1"/>
  <c r="AX186" i="1"/>
  <c r="BB101" i="1"/>
  <c r="AZ179" i="1"/>
  <c r="BA179" i="1" s="1"/>
  <c r="BT165" i="1"/>
  <c r="BK102" i="1"/>
  <c r="AX187" i="1"/>
  <c r="AY187" i="1" s="1"/>
  <c r="BB158" i="1"/>
  <c r="BC158" i="1" s="1"/>
  <c r="BT158" i="1"/>
  <c r="BU158" i="1" s="1"/>
  <c r="BT157" i="1"/>
  <c r="AT197" i="1"/>
  <c r="AU197" i="1" s="1"/>
  <c r="AT185" i="1"/>
  <c r="AU185" i="1" s="1"/>
  <c r="BD177" i="1"/>
  <c r="AT102" i="1"/>
  <c r="BB177" i="1"/>
  <c r="BT188" i="1"/>
  <c r="BU188" i="1" s="1"/>
  <c r="BB180" i="1"/>
  <c r="BC180" i="1" s="1"/>
  <c r="AN173" i="1"/>
  <c r="AP178" i="1"/>
  <c r="AV164" i="1"/>
  <c r="BD160" i="1"/>
  <c r="BE160" i="1" s="1"/>
  <c r="AX158" i="1"/>
  <c r="AY158" i="1" s="1"/>
  <c r="BB196" i="1"/>
  <c r="BC196" i="1" s="1"/>
  <c r="BU101" i="1"/>
  <c r="BD166" i="1"/>
  <c r="BN173" i="1"/>
  <c r="BB197" i="1"/>
  <c r="BC197" i="1" s="1"/>
  <c r="AZ152" i="1"/>
  <c r="BD151" i="1"/>
  <c r="BE151" i="1" s="1"/>
  <c r="BT197" i="1"/>
  <c r="BU197" i="1" s="1"/>
  <c r="AP165" i="1"/>
  <c r="AV165" i="1"/>
  <c r="BN164" i="1"/>
  <c r="AX166" i="1"/>
  <c r="AX179" i="1"/>
  <c r="AY179" i="1" s="1"/>
  <c r="BN193" i="1"/>
  <c r="BN182" i="1"/>
  <c r="BO182" i="1" s="1"/>
  <c r="BT151" i="1"/>
  <c r="BU151" i="1" s="1"/>
  <c r="AX160" i="1"/>
  <c r="AY160" i="1" s="1"/>
  <c r="BN184" i="1"/>
  <c r="BO184" i="1" s="1"/>
  <c r="BN150" i="1"/>
  <c r="BO150" i="1" s="1"/>
  <c r="AZ192" i="1"/>
  <c r="BD188" i="1"/>
  <c r="BE188" i="1" s="1"/>
  <c r="BT166" i="1"/>
  <c r="AP184" i="1"/>
  <c r="AQ184" i="1" s="1"/>
  <c r="AT173" i="1"/>
  <c r="AU173" i="1" s="1"/>
  <c r="AT193" i="1"/>
  <c r="AT157" i="1"/>
  <c r="AU157" i="1" s="1"/>
  <c r="AT175" i="1"/>
  <c r="BN168" i="1"/>
  <c r="BO168" i="1" s="1"/>
  <c r="BU102" i="1"/>
  <c r="BD158" i="1"/>
  <c r="BE158" i="1" s="1"/>
  <c r="BT155" i="1"/>
  <c r="BU155" i="1" s="1"/>
  <c r="AP185" i="1"/>
  <c r="AQ185" i="1" s="1"/>
  <c r="BT159" i="1"/>
  <c r="BU159" i="1" s="1"/>
  <c r="AU102" i="1"/>
  <c r="BB151" i="1"/>
  <c r="BC151" i="1" s="1"/>
  <c r="AZ101" i="1"/>
  <c r="BT175" i="1"/>
  <c r="BU175" i="1" s="1"/>
  <c r="BB150" i="1"/>
  <c r="AN178" i="1"/>
  <c r="BD187" i="1"/>
  <c r="BE187" i="1" s="1"/>
  <c r="BT196" i="1"/>
  <c r="BU196" i="1" s="1"/>
  <c r="AN157" i="1"/>
  <c r="AN152" i="1"/>
  <c r="AV155" i="1"/>
  <c r="AW155" i="1" s="1"/>
  <c r="AR168" i="1"/>
  <c r="AS168" i="1" s="1"/>
  <c r="AR173" i="1"/>
  <c r="AS173" i="1" s="1"/>
  <c r="AR166" i="1"/>
  <c r="AN186" i="1"/>
  <c r="AV188" i="1"/>
  <c r="AW188" i="1" s="1"/>
  <c r="AR165" i="1"/>
  <c r="AR164" i="1"/>
  <c r="AR192" i="1"/>
  <c r="BD165" i="1"/>
  <c r="AN177" i="1"/>
  <c r="AV152" i="1"/>
  <c r="AR178" i="1"/>
  <c r="BT182" i="1"/>
  <c r="BU182" i="1" s="1"/>
  <c r="AN182" i="1"/>
  <c r="AO182" i="1" s="1"/>
  <c r="AR188" i="1"/>
  <c r="AS188" i="1" s="1"/>
  <c r="AN188" i="1"/>
  <c r="AO188" i="1" s="1"/>
  <c r="AR184" i="1"/>
  <c r="AS184" i="1" s="1"/>
  <c r="AN164" i="1"/>
  <c r="AT165" i="1"/>
  <c r="AT101" i="1"/>
  <c r="AN101" i="1"/>
  <c r="AN158" i="1"/>
  <c r="AO158" i="1" s="1"/>
  <c r="AV180" i="1"/>
  <c r="AW180" i="1" s="1"/>
  <c r="BN170" i="1"/>
  <c r="BO170" i="1" s="1"/>
  <c r="BB170" i="1"/>
  <c r="BC170" i="1" s="1"/>
  <c r="BT176" i="1"/>
  <c r="AX176" i="1"/>
  <c r="BN176" i="1"/>
  <c r="BN285" i="1"/>
  <c r="BN264" i="1"/>
  <c r="BU227" i="1"/>
  <c r="BN61" i="1"/>
  <c r="BN227" i="1"/>
  <c r="AQ227" i="1"/>
  <c r="BF264" i="1"/>
  <c r="BA227" i="1"/>
  <c r="BW235" i="1"/>
  <c r="CQ167" i="1"/>
  <c r="DB105" i="1"/>
  <c r="CY93" i="1"/>
  <c r="CZ91" i="1"/>
  <c r="BI101" i="1" l="1"/>
  <c r="BB168" i="1"/>
  <c r="BC168" i="1" s="1"/>
  <c r="AW101" i="1"/>
  <c r="BB159" i="1"/>
  <c r="BC159" i="1" s="1"/>
  <c r="AV183" i="1"/>
  <c r="AW183" i="1" s="1"/>
  <c r="BA102" i="1"/>
  <c r="BD184" i="1"/>
  <c r="BE184" i="1" s="1"/>
  <c r="AZ173" i="1"/>
  <c r="BA173" i="1" s="1"/>
  <c r="BB186" i="1"/>
  <c r="BS101" i="1"/>
  <c r="BN183" i="1"/>
  <c r="BO183" i="1" s="1"/>
  <c r="AX182" i="1"/>
  <c r="AX165" i="1"/>
  <c r="AP182" i="1"/>
  <c r="AQ182" i="1" s="1"/>
  <c r="AW102" i="1"/>
  <c r="AP160" i="1"/>
  <c r="AQ160" i="1" s="1"/>
  <c r="AP101" i="1"/>
  <c r="AX150" i="1"/>
  <c r="AZ157" i="1"/>
  <c r="BA157" i="1" s="1"/>
  <c r="BT101" i="1"/>
  <c r="AX197" i="1"/>
  <c r="AY197" i="1" s="1"/>
  <c r="BB188" i="1"/>
  <c r="BC188" i="1" s="1"/>
  <c r="AZ158" i="1"/>
  <c r="BA158" i="1" s="1"/>
  <c r="AT196" i="1"/>
  <c r="AU196" i="1" s="1"/>
  <c r="AT180" i="1"/>
  <c r="AU180" i="1" s="1"/>
  <c r="AP168" i="1"/>
  <c r="AQ168" i="1" s="1"/>
  <c r="AP192" i="1"/>
  <c r="AP180" i="1"/>
  <c r="AQ180" i="1" s="1"/>
  <c r="AV170" i="1"/>
  <c r="AW170" i="1" s="1"/>
  <c r="BD170" i="1"/>
  <c r="BE170" i="1" s="1"/>
  <c r="BT170" i="1"/>
  <c r="BU170" i="1" s="1"/>
  <c r="BP227" i="1"/>
  <c r="BB264" i="1"/>
  <c r="BB285" i="1"/>
  <c r="AW285" i="1"/>
  <c r="AW264" i="1"/>
  <c r="BR212" i="1"/>
  <c r="BS212" i="1" s="1"/>
  <c r="BR216" i="1"/>
  <c r="BS216" i="1" s="1"/>
  <c r="BR213" i="1"/>
  <c r="BS213" i="1" s="1"/>
  <c r="BF212" i="1"/>
  <c r="BG212" i="1" s="1"/>
  <c r="BF216" i="1"/>
  <c r="BG216" i="1" s="1"/>
  <c r="BF213" i="1"/>
  <c r="BG213" i="1" s="1"/>
  <c r="BN216" i="1"/>
  <c r="BO216" i="1" s="1"/>
  <c r="AP212" i="1"/>
  <c r="AQ212" i="1" s="1"/>
  <c r="N167" i="1"/>
  <c r="BN213" i="1"/>
  <c r="BO213" i="1" s="1"/>
  <c r="BW38" i="1"/>
  <c r="BW264" i="1"/>
  <c r="BZ126" i="1"/>
  <c r="BZ127" i="1" s="1"/>
  <c r="BW285" i="1"/>
  <c r="BI235" i="1"/>
  <c r="BH235" i="1"/>
  <c r="F194" i="1"/>
  <c r="G242" i="1" s="1"/>
  <c r="V167" i="1"/>
  <c r="E167" i="1"/>
  <c r="AQ38" i="1"/>
  <c r="BJ56" i="1"/>
  <c r="AP285" i="1"/>
  <c r="BG54" i="1"/>
  <c r="M206" i="1"/>
  <c r="BK38" i="1"/>
  <c r="O235" i="1"/>
  <c r="BO285" i="1"/>
  <c r="BC38" i="1"/>
  <c r="BQ38" i="1"/>
  <c r="AW54" i="1"/>
  <c r="S194" i="1"/>
  <c r="T242" i="1" s="1"/>
  <c r="I235" i="1"/>
  <c r="Q235" i="1"/>
  <c r="BT179" i="1"/>
  <c r="BU179" i="1" s="1"/>
  <c r="AT155" i="1"/>
  <c r="AU155" i="1" s="1"/>
  <c r="BT212" i="1"/>
  <c r="BU212" i="1" s="1"/>
  <c r="BT216" i="1"/>
  <c r="BU216" i="1" s="1"/>
  <c r="AP157" i="1"/>
  <c r="AQ157" i="1" s="1"/>
  <c r="AV197" i="1"/>
  <c r="AW197" i="1" s="1"/>
  <c r="AR186" i="1"/>
  <c r="AR216" i="1" s="1"/>
  <c r="AR155" i="1"/>
  <c r="AS155" i="1" s="1"/>
  <c r="AV101" i="1"/>
  <c r="AT216" i="1"/>
  <c r="AU216" i="1" s="1"/>
  <c r="BN101" i="1"/>
  <c r="AR212" i="1"/>
  <c r="AS212" i="1" s="1"/>
  <c r="BB178" i="1"/>
  <c r="BB213" i="1" s="1"/>
  <c r="BC213" i="1" s="1"/>
  <c r="BB216" i="1"/>
  <c r="AZ159" i="1"/>
  <c r="BA159" i="1" s="1"/>
  <c r="BN212" i="1"/>
  <c r="BO212" i="1" s="1"/>
  <c r="AZ155" i="1"/>
  <c r="BA155" i="1" s="1"/>
  <c r="AV187" i="1"/>
  <c r="AW187" i="1" s="1"/>
  <c r="AX170" i="1"/>
  <c r="AY170" i="1" s="1"/>
  <c r="BN157" i="1"/>
  <c r="AP151" i="1"/>
  <c r="AQ151" i="1" s="1"/>
  <c r="AT170" i="1"/>
  <c r="AU170" i="1" s="1"/>
  <c r="AP227" i="1"/>
  <c r="AP286" i="1"/>
  <c r="BF285" i="1"/>
  <c r="AP38" i="1"/>
  <c r="AN227" i="1"/>
  <c r="AN61" i="1"/>
  <c r="BD286" i="1"/>
  <c r="BD264" i="1"/>
  <c r="BV38" i="1"/>
  <c r="BO264" i="1"/>
  <c r="AI38" i="1"/>
  <c r="AY54" i="1"/>
  <c r="BV216" i="1"/>
  <c r="BP286" i="1"/>
  <c r="BF286" i="1"/>
  <c r="AQ285" i="1"/>
  <c r="BK286" i="1"/>
  <c r="BK227" i="1"/>
  <c r="BK61" i="1"/>
  <c r="BK236" i="1"/>
  <c r="BK234" i="1" s="1"/>
  <c r="BK264" i="1"/>
  <c r="BO286" i="1"/>
  <c r="BR285" i="1"/>
  <c r="BB38" i="1"/>
  <c r="BC285" i="1"/>
  <c r="BC286" i="1"/>
  <c r="BJ286" i="1"/>
  <c r="BJ227" i="1"/>
  <c r="BT264" i="1"/>
  <c r="BT38" i="1"/>
  <c r="BT285" i="1"/>
  <c r="BK285" i="1"/>
  <c r="N235" i="1"/>
  <c r="E206" i="1"/>
  <c r="B93" i="1"/>
  <c r="Q153" i="1"/>
  <c r="K153" i="1"/>
  <c r="AV54" i="1"/>
  <c r="P189" i="1"/>
  <c r="P218" i="1" s="1"/>
  <c r="P217" i="1" s="1"/>
  <c r="K235" i="1"/>
  <c r="N206" i="1"/>
  <c r="BI285" i="1"/>
  <c r="AI54" i="1"/>
  <c r="W167" i="1"/>
  <c r="AO54" i="1"/>
  <c r="M153" i="1"/>
  <c r="T153" i="1"/>
  <c r="T181" i="1"/>
  <c r="BO38" i="1"/>
  <c r="BH213" i="1"/>
  <c r="BI213" i="1" s="1"/>
  <c r="BH212" i="1"/>
  <c r="BI212" i="1" s="1"/>
  <c r="BA54" i="1"/>
  <c r="BD54" i="1"/>
  <c r="BR54" i="1"/>
  <c r="AP54" i="1"/>
  <c r="BV54" i="1"/>
  <c r="P206" i="1"/>
  <c r="S153" i="1"/>
  <c r="T194" i="1"/>
  <c r="F235" i="1"/>
  <c r="L206" i="1"/>
  <c r="C194" i="1"/>
  <c r="Q181" i="1"/>
  <c r="S235" i="1"/>
  <c r="J153" i="1"/>
  <c r="D167" i="1"/>
  <c r="D194" i="1"/>
  <c r="L167" i="1"/>
  <c r="L61" i="1" s="1"/>
  <c r="O167" i="1"/>
  <c r="L194" i="1"/>
  <c r="W235" i="1"/>
  <c r="P235" i="1"/>
  <c r="K194" i="1"/>
  <c r="J194" i="1"/>
  <c r="G167" i="1"/>
  <c r="T235" i="1"/>
  <c r="I153" i="1"/>
  <c r="U153" i="1"/>
  <c r="H206" i="1"/>
  <c r="M194" i="1"/>
  <c r="I206" i="1"/>
  <c r="S206" i="1"/>
  <c r="J161" i="1"/>
  <c r="B189" i="1"/>
  <c r="B218" i="1" s="1"/>
  <c r="B217" i="1" s="1"/>
  <c r="G194" i="1"/>
  <c r="BH216" i="1"/>
  <c r="BI216" i="1" s="1"/>
  <c r="F206" i="1"/>
  <c r="J206" i="1"/>
  <c r="G189" i="1"/>
  <c r="P153" i="1"/>
  <c r="BV212" i="1"/>
  <c r="BW212" i="1" s="1"/>
  <c r="BV285" i="1"/>
  <c r="BV194" i="1"/>
  <c r="BW242" i="1" s="1"/>
  <c r="AM76" i="1"/>
  <c r="BH194" i="1"/>
  <c r="BQ285" i="1"/>
  <c r="BW161" i="1"/>
  <c r="BI54" i="1"/>
  <c r="AX285" i="1"/>
  <c r="AS38" i="1"/>
  <c r="AO285" i="1"/>
  <c r="AS54" i="1"/>
  <c r="H167" i="1"/>
  <c r="BK54" i="1"/>
  <c r="BP54" i="1"/>
  <c r="BU38" i="1"/>
  <c r="R206" i="1"/>
  <c r="BE54" i="1"/>
  <c r="C206" i="1"/>
  <c r="D189" i="1"/>
  <c r="V161" i="1"/>
  <c r="I161" i="1"/>
  <c r="J282" i="1" s="1"/>
  <c r="J284" i="1" s="1"/>
  <c r="BH54" i="1"/>
  <c r="BD285" i="1"/>
  <c r="AW38" i="1"/>
  <c r="AW44" i="1" s="1"/>
  <c r="BT54" i="1"/>
  <c r="BM54" i="1"/>
  <c r="AI65" i="1"/>
  <c r="BM38" i="1"/>
  <c r="BR286" i="1"/>
  <c r="BU54" i="1"/>
  <c r="AO126" i="1"/>
  <c r="AO127" i="1" s="1"/>
  <c r="BV167" i="1"/>
  <c r="U235" i="1"/>
  <c r="U206" i="1"/>
  <c r="BQ54" i="1"/>
  <c r="T206" i="1"/>
  <c r="BM65" i="1"/>
  <c r="V153" i="1"/>
  <c r="BC54" i="1"/>
  <c r="AX54" i="1"/>
  <c r="T167" i="1"/>
  <c r="P167" i="1"/>
  <c r="C93" i="1"/>
  <c r="BW54" i="1"/>
  <c r="BU285" i="1"/>
  <c r="AZ54" i="1"/>
  <c r="BN54" i="1"/>
  <c r="G206" i="1"/>
  <c r="K189" i="1"/>
  <c r="O161" i="1"/>
  <c r="S161" i="1"/>
  <c r="D93" i="1"/>
  <c r="D135" i="1" s="1"/>
  <c r="V194" i="1"/>
  <c r="W242" i="1" s="1"/>
  <c r="W206" i="1"/>
  <c r="J189" i="1"/>
  <c r="M167" i="1"/>
  <c r="G235" i="1"/>
  <c r="R181" i="1"/>
  <c r="D235" i="1"/>
  <c r="D206" i="1"/>
  <c r="S189" i="1"/>
  <c r="Q167" i="1"/>
  <c r="B161" i="1"/>
  <c r="K161" i="1"/>
  <c r="O153" i="1"/>
  <c r="O82" i="1" s="1"/>
  <c r="J235" i="1"/>
  <c r="B153" i="1"/>
  <c r="BH167" i="1"/>
  <c r="BH171" i="1" s="1"/>
  <c r="H181" i="1"/>
  <c r="W161" i="1"/>
  <c r="V206" i="1"/>
  <c r="D153" i="1"/>
  <c r="F161" i="1"/>
  <c r="V189" i="1"/>
  <c r="K206" i="1"/>
  <c r="L153" i="1"/>
  <c r="O181" i="1"/>
  <c r="V181" i="1"/>
  <c r="V215" i="1" s="1"/>
  <c r="V214" i="1" s="1"/>
  <c r="O194" i="1"/>
  <c r="P242" i="1" s="1"/>
  <c r="N153" i="1"/>
  <c r="N194" i="1"/>
  <c r="U167" i="1"/>
  <c r="I181" i="1"/>
  <c r="K167" i="1"/>
  <c r="F153" i="1"/>
  <c r="AT212" i="1"/>
  <c r="AU212" i="1" s="1"/>
  <c r="H161" i="1"/>
  <c r="AT213" i="1"/>
  <c r="AU213" i="1" s="1"/>
  <c r="BT213" i="1"/>
  <c r="BU213" i="1" s="1"/>
  <c r="AP216" i="1"/>
  <c r="AQ216" i="1" s="1"/>
  <c r="BB212" i="1"/>
  <c r="BC212" i="1" s="1"/>
  <c r="AP213" i="1"/>
  <c r="AQ213" i="1" s="1"/>
  <c r="AN213" i="1"/>
  <c r="AO213" i="1" s="1"/>
  <c r="AN216" i="1"/>
  <c r="AO216" i="1" s="1"/>
  <c r="AN212" i="1"/>
  <c r="AO212" i="1" s="1"/>
  <c r="L161" i="1"/>
  <c r="AY38" i="1"/>
  <c r="AY264" i="1"/>
  <c r="BR264" i="1"/>
  <c r="BR38" i="1"/>
  <c r="AR264" i="1"/>
  <c r="AR285" i="1"/>
  <c r="AS126" i="1"/>
  <c r="AS127" i="1" s="1"/>
  <c r="AR38" i="1"/>
  <c r="BY126" i="1"/>
  <c r="BY127" i="1" s="1"/>
  <c r="BW286" i="1"/>
  <c r="BB286" i="1"/>
  <c r="BB227" i="1"/>
  <c r="AV227" i="1"/>
  <c r="AV286" i="1"/>
  <c r="BV227" i="1"/>
  <c r="BV286" i="1"/>
  <c r="BM286" i="1"/>
  <c r="BM236" i="1"/>
  <c r="BM234" i="1" s="1"/>
  <c r="BM61" i="1"/>
  <c r="BM227" i="1"/>
  <c r="AT264" i="1"/>
  <c r="AT38" i="1"/>
  <c r="AT44" i="1" s="1"/>
  <c r="AT45" i="1" s="1"/>
  <c r="AT285" i="1"/>
  <c r="BM285" i="1"/>
  <c r="BM264" i="1"/>
  <c r="BO126" i="1"/>
  <c r="BO127" i="1" s="1"/>
  <c r="BM126" i="1"/>
  <c r="BM127" i="1" s="1"/>
  <c r="BN126" i="1"/>
  <c r="BN127" i="1" s="1"/>
  <c r="BH227" i="1"/>
  <c r="BH286" i="1"/>
  <c r="BU264" i="1"/>
  <c r="BU286" i="1"/>
  <c r="BX126" i="1"/>
  <c r="BX127" i="1" s="1"/>
  <c r="BW126" i="1"/>
  <c r="BW127" i="1" s="1"/>
  <c r="BW131" i="1" s="1"/>
  <c r="AS286" i="1"/>
  <c r="AS227" i="1"/>
  <c r="AW227" i="1"/>
  <c r="AW286" i="1"/>
  <c r="BH264" i="1"/>
  <c r="BH285" i="1"/>
  <c r="BH38" i="1"/>
  <c r="AR227" i="1"/>
  <c r="AR286" i="1"/>
  <c r="AN285" i="1"/>
  <c r="AN126" i="1"/>
  <c r="AN127" i="1" s="1"/>
  <c r="AN38" i="1"/>
  <c r="AN264" i="1"/>
  <c r="AN286" i="1"/>
  <c r="M235" i="1"/>
  <c r="L235" i="1"/>
  <c r="K181" i="1"/>
  <c r="N189" i="1"/>
  <c r="N218" i="1" s="1"/>
  <c r="N217" i="1" s="1"/>
  <c r="G181" i="1"/>
  <c r="AZ286" i="1"/>
  <c r="M189" i="1"/>
  <c r="AR54" i="1"/>
  <c r="BS286" i="1"/>
  <c r="S167" i="1"/>
  <c r="BQ264" i="1"/>
  <c r="BL126" i="1"/>
  <c r="BL127" i="1" s="1"/>
  <c r="M161" i="1"/>
  <c r="F189" i="1"/>
  <c r="F218" i="1" s="1"/>
  <c r="BS54" i="1"/>
  <c r="BK126" i="1"/>
  <c r="BK127" i="1" s="1"/>
  <c r="BB126" i="1"/>
  <c r="BB127" i="1" s="1"/>
  <c r="AP126" i="1"/>
  <c r="AP127" i="1" s="1"/>
  <c r="BU126" i="1"/>
  <c r="BU127" i="1" s="1"/>
  <c r="AZ38" i="1"/>
  <c r="AZ44" i="1" s="1"/>
  <c r="AZ212" i="1"/>
  <c r="BA212" i="1" s="1"/>
  <c r="AZ213" i="1"/>
  <c r="BA213" i="1" s="1"/>
  <c r="B206" i="1"/>
  <c r="T161" i="1"/>
  <c r="G153" i="1"/>
  <c r="R167" i="1"/>
  <c r="AI215" i="1"/>
  <c r="BO54" i="1"/>
  <c r="G161" i="1"/>
  <c r="J181" i="1"/>
  <c r="AQ54" i="1"/>
  <c r="BI38" i="1"/>
  <c r="AI264" i="1"/>
  <c r="AV285" i="1"/>
  <c r="BV153" i="1"/>
  <c r="AT126" i="1"/>
  <c r="AT127" i="1" s="1"/>
  <c r="BA38" i="1"/>
  <c r="E161" i="1"/>
  <c r="E181" i="1"/>
  <c r="E215" i="1" s="1"/>
  <c r="E214" i="1" s="1"/>
  <c r="D161" i="1"/>
  <c r="U194" i="1"/>
  <c r="Q189" i="1"/>
  <c r="AN54" i="1"/>
  <c r="BA285" i="1"/>
  <c r="BE285" i="1"/>
  <c r="BF54" i="1"/>
  <c r="BF55" i="1" s="1"/>
  <c r="AI212" i="1"/>
  <c r="BQ126" i="1"/>
  <c r="BQ127" i="1" s="1"/>
  <c r="S181" i="1"/>
  <c r="T189" i="1"/>
  <c r="BV181" i="1"/>
  <c r="BV215" i="1" s="1"/>
  <c r="B181" i="1"/>
  <c r="AU54" i="1"/>
  <c r="BJ45" i="1"/>
  <c r="BR227" i="1"/>
  <c r="BS38" i="1"/>
  <c r="AL126" i="1"/>
  <c r="AL127" i="1" s="1"/>
  <c r="BC126" i="1"/>
  <c r="BC127" i="1" s="1"/>
  <c r="BA286" i="1"/>
  <c r="I189" i="1"/>
  <c r="AT54" i="1"/>
  <c r="H189" i="1"/>
  <c r="J167" i="1"/>
  <c r="BV189" i="1"/>
  <c r="BV218" i="1" s="1"/>
  <c r="AI213" i="1"/>
  <c r="AZ285" i="1"/>
  <c r="BJ55" i="1"/>
  <c r="AZ216" i="1"/>
  <c r="BA216" i="1" s="1"/>
  <c r="C167" i="1"/>
  <c r="U161" i="1"/>
  <c r="H194" i="1"/>
  <c r="I242" i="1" s="1"/>
  <c r="BI286" i="1"/>
  <c r="AI218" i="1"/>
  <c r="AI217" i="1" s="1"/>
  <c r="BI126" i="1"/>
  <c r="BI127" i="1" s="1"/>
  <c r="BI131" i="1" s="1"/>
  <c r="BB54" i="1"/>
  <c r="BB55" i="1" s="1"/>
  <c r="H153" i="1"/>
  <c r="BJ126" i="1"/>
  <c r="BJ127" i="1" s="1"/>
  <c r="BJ130" i="1" s="1"/>
  <c r="AO264" i="1"/>
  <c r="AQ286" i="1"/>
  <c r="L181" i="1"/>
  <c r="I167" i="1"/>
  <c r="I61" i="1" s="1"/>
  <c r="D181" i="1"/>
  <c r="C161" i="1"/>
  <c r="U189" i="1"/>
  <c r="V235" i="1"/>
  <c r="F167" i="1"/>
  <c r="F61" i="1" s="1"/>
  <c r="F181" i="1"/>
  <c r="N161" i="1"/>
  <c r="Q161" i="1"/>
  <c r="Q201" i="1" s="1"/>
  <c r="Q137" i="1" s="1"/>
  <c r="O206" i="1"/>
  <c r="P181" i="1"/>
  <c r="Q206" i="1"/>
  <c r="C235" i="1"/>
  <c r="B167" i="1"/>
  <c r="R153" i="1"/>
  <c r="C189" i="1"/>
  <c r="R189" i="1"/>
  <c r="L189" i="1"/>
  <c r="BH181" i="1"/>
  <c r="E189" i="1"/>
  <c r="M181" i="1"/>
  <c r="AX38" i="1"/>
  <c r="BT286" i="1"/>
  <c r="AZ126" i="1"/>
  <c r="AZ127" i="1" s="1"/>
  <c r="AZ130" i="1" s="1"/>
  <c r="BP216" i="1"/>
  <c r="BQ216" i="1" s="1"/>
  <c r="AO38" i="1"/>
  <c r="AX264" i="1"/>
  <c r="AV126" i="1"/>
  <c r="AV127" i="1" s="1"/>
  <c r="AX126" i="1"/>
  <c r="AX127" i="1" s="1"/>
  <c r="BP38" i="1"/>
  <c r="BT126" i="1"/>
  <c r="BT127" i="1" s="1"/>
  <c r="BT132" i="1" s="1"/>
  <c r="BG126" i="1"/>
  <c r="BG127" i="1" s="1"/>
  <c r="BG131" i="1" s="1"/>
  <c r="AO286" i="1"/>
  <c r="R208" i="1"/>
  <c r="R235" i="1"/>
  <c r="U181" i="1"/>
  <c r="BG285" i="1"/>
  <c r="BV161" i="1"/>
  <c r="BV201" i="1" s="1"/>
  <c r="AX216" i="1"/>
  <c r="AY216" i="1" s="1"/>
  <c r="AX213" i="1"/>
  <c r="AY213" i="1" s="1"/>
  <c r="C181" i="1"/>
  <c r="C215" i="1" s="1"/>
  <c r="C214" i="1" s="1"/>
  <c r="AI61" i="1"/>
  <c r="AU285" i="1"/>
  <c r="BE126" i="1"/>
  <c r="BE127" i="1" s="1"/>
  <c r="AY126" i="1"/>
  <c r="AY127" i="1" s="1"/>
  <c r="AY130" i="1" s="1"/>
  <c r="BD126" i="1"/>
  <c r="BD127" i="1" s="1"/>
  <c r="BV126" i="1"/>
  <c r="BV127" i="1" s="1"/>
  <c r="BV130" i="1" s="1"/>
  <c r="BK65" i="1"/>
  <c r="BD216" i="1"/>
  <c r="BE216" i="1" s="1"/>
  <c r="BD213" i="1"/>
  <c r="BE213" i="1" s="1"/>
  <c r="BP212" i="1"/>
  <c r="BQ212" i="1" s="1"/>
  <c r="AX212" i="1"/>
  <c r="AY212" i="1" s="1"/>
  <c r="R161" i="1"/>
  <c r="R201" i="1" s="1"/>
  <c r="R137" i="1" s="1"/>
  <c r="AU126" i="1"/>
  <c r="AU127" i="1" s="1"/>
  <c r="AU132" i="1" s="1"/>
  <c r="AW126" i="1"/>
  <c r="AW127" i="1" s="1"/>
  <c r="BD38" i="1"/>
  <c r="BG38" i="1"/>
  <c r="AV38" i="1"/>
  <c r="AV44" i="1" s="1"/>
  <c r="BG286" i="1"/>
  <c r="BS126" i="1"/>
  <c r="BS127" i="1" s="1"/>
  <c r="BP213" i="1"/>
  <c r="BQ213" i="1" s="1"/>
  <c r="H235" i="1"/>
  <c r="B194" i="1"/>
  <c r="C153" i="1"/>
  <c r="BD212" i="1"/>
  <c r="BE212" i="1" s="1"/>
  <c r="AV213" i="1"/>
  <c r="AW213" i="1" s="1"/>
  <c r="N181" i="1"/>
  <c r="C240" i="1"/>
  <c r="BA126" i="1"/>
  <c r="BA127" i="1" s="1"/>
  <c r="BA130" i="1" s="1"/>
  <c r="BF126" i="1"/>
  <c r="BF127" i="1" s="1"/>
  <c r="BF131" i="1" s="1"/>
  <c r="BV213" i="1"/>
  <c r="BW213" i="1" s="1"/>
  <c r="AT286" i="1"/>
  <c r="BH126" i="1"/>
  <c r="BH127" i="1" s="1"/>
  <c r="BH131" i="1" s="1"/>
  <c r="AR126" i="1"/>
  <c r="AR127" i="1" s="1"/>
  <c r="AU286" i="1"/>
  <c r="AU38" i="1"/>
  <c r="AY286" i="1"/>
  <c r="BP285" i="1"/>
  <c r="AZ227" i="1"/>
  <c r="AX286" i="1"/>
  <c r="BR126" i="1"/>
  <c r="BR127" i="1" s="1"/>
  <c r="BR132" i="1" s="1"/>
  <c r="BH153" i="1"/>
  <c r="BH120" i="1" s="1"/>
  <c r="BH124" i="1" s="1"/>
  <c r="BH161" i="1"/>
  <c r="E235" i="1"/>
  <c r="AQ126" i="1"/>
  <c r="AQ127" i="1" s="1"/>
  <c r="AQ132" i="1" s="1"/>
  <c r="BI227" i="1"/>
  <c r="BS285" i="1"/>
  <c r="BP126" i="1"/>
  <c r="BP127" i="1" s="1"/>
  <c r="BP131" i="1" s="1"/>
  <c r="BI161" i="1"/>
  <c r="O189" i="1"/>
  <c r="E153" i="1"/>
  <c r="BE286" i="1"/>
  <c r="BQ286" i="1"/>
  <c r="BE38" i="1"/>
  <c r="AI236" i="1"/>
  <c r="AI234" i="1" s="1"/>
  <c r="BH189" i="1"/>
  <c r="BH218" i="1" s="1"/>
  <c r="AV216" i="1"/>
  <c r="AW216" i="1" s="1"/>
  <c r="AV212" i="1"/>
  <c r="AW212" i="1" s="1"/>
  <c r="AR167" i="1"/>
  <c r="N171" i="1"/>
  <c r="N61" i="1"/>
  <c r="R242" i="1"/>
  <c r="BD194" i="1"/>
  <c r="BE242" i="1" s="1"/>
  <c r="E61" i="1"/>
  <c r="E171" i="1"/>
  <c r="S242" i="1"/>
  <c r="AN194" i="1"/>
  <c r="AO242" i="1" s="1"/>
  <c r="P208" i="1"/>
  <c r="Q282" i="1"/>
  <c r="Q284" i="1" s="1"/>
  <c r="Q239" i="1"/>
  <c r="AV194" i="1"/>
  <c r="AW242" i="1" s="1"/>
  <c r="BN194" i="1"/>
  <c r="BO242" i="1" s="1"/>
  <c r="BR167" i="1"/>
  <c r="AX194" i="1"/>
  <c r="AY242" i="1" s="1"/>
  <c r="BS161" i="1"/>
  <c r="P162" i="1"/>
  <c r="P83" i="1" s="1"/>
  <c r="P201" i="1"/>
  <c r="P137" i="1" s="1"/>
  <c r="P65" i="1"/>
  <c r="H242" i="1"/>
  <c r="G281" i="1"/>
  <c r="T215" i="1"/>
  <c r="T190" i="1"/>
  <c r="F239" i="1"/>
  <c r="E201" i="1"/>
  <c r="E137" i="1" s="1"/>
  <c r="E65" i="1"/>
  <c r="AZ167" i="1"/>
  <c r="BP167" i="1"/>
  <c r="BT194" i="1"/>
  <c r="BU242" i="1" s="1"/>
  <c r="BP194" i="1"/>
  <c r="BQ242" i="1" s="1"/>
  <c r="BB194" i="1"/>
  <c r="AZ194" i="1"/>
  <c r="BA242" i="1" s="1"/>
  <c r="BE161" i="1"/>
  <c r="AR194" i="1"/>
  <c r="AS242" i="1" s="1"/>
  <c r="AQ173" i="1"/>
  <c r="AW173" i="1"/>
  <c r="AQ175" i="1"/>
  <c r="AP181" i="1"/>
  <c r="AP215" i="1" s="1"/>
  <c r="AS157" i="1"/>
  <c r="AS161" i="1" s="1"/>
  <c r="AR161" i="1"/>
  <c r="AU150" i="1"/>
  <c r="AT153" i="1"/>
  <c r="AT120" i="1" s="1"/>
  <c r="AS150" i="1"/>
  <c r="AR153" i="1"/>
  <c r="AX153" i="1"/>
  <c r="AY150" i="1"/>
  <c r="AY157" i="1"/>
  <c r="AY161" i="1" s="1"/>
  <c r="AX161" i="1"/>
  <c r="BO173" i="1"/>
  <c r="BN235" i="1"/>
  <c r="BT167" i="1"/>
  <c r="AT167" i="1"/>
  <c r="BF194" i="1"/>
  <c r="BG242" i="1" s="1"/>
  <c r="BF167" i="1"/>
  <c r="AV167" i="1"/>
  <c r="BD167" i="1"/>
  <c r="AP167" i="1"/>
  <c r="AU175" i="1"/>
  <c r="AT181" i="1"/>
  <c r="BC150" i="1"/>
  <c r="BB153" i="1"/>
  <c r="BB120" i="1" s="1"/>
  <c r="AO157" i="1"/>
  <c r="AO161" i="1" s="1"/>
  <c r="AN161" i="1"/>
  <c r="AR213" i="1"/>
  <c r="AS213" i="1" s="1"/>
  <c r="AR181" i="1"/>
  <c r="AR215" i="1" s="1"/>
  <c r="AO150" i="1"/>
  <c r="AN153" i="1"/>
  <c r="BC157" i="1"/>
  <c r="BC161" i="1" s="1"/>
  <c r="BB161" i="1"/>
  <c r="BU173" i="1"/>
  <c r="BV235" i="1" s="1"/>
  <c r="BU235" i="1"/>
  <c r="BE150" i="1"/>
  <c r="BD153" i="1"/>
  <c r="AU183" i="1"/>
  <c r="AT189" i="1"/>
  <c r="AT218" i="1" s="1"/>
  <c r="AT217" i="1" s="1"/>
  <c r="AY182" i="1"/>
  <c r="AX189" i="1"/>
  <c r="AX218" i="1" s="1"/>
  <c r="AW157" i="1"/>
  <c r="AW161" i="1" s="1"/>
  <c r="AV161" i="1"/>
  <c r="AO175" i="1"/>
  <c r="AN181" i="1"/>
  <c r="BS173" i="1"/>
  <c r="BR235" i="1"/>
  <c r="BU157" i="1"/>
  <c r="BU161" i="1" s="1"/>
  <c r="BT161" i="1"/>
  <c r="AO173" i="1"/>
  <c r="AN235" i="1"/>
  <c r="BS150" i="1"/>
  <c r="BR153" i="1"/>
  <c r="BR120" i="1" s="1"/>
  <c r="BF235" i="1"/>
  <c r="AT235" i="1"/>
  <c r="AN167" i="1"/>
  <c r="AP194" i="1"/>
  <c r="BT189" i="1"/>
  <c r="BT218" i="1" s="1"/>
  <c r="BN167" i="1"/>
  <c r="AX167" i="1"/>
  <c r="BB167" i="1"/>
  <c r="AT194" i="1"/>
  <c r="AU242" i="1" s="1"/>
  <c r="AZ153" i="1"/>
  <c r="BR194" i="1"/>
  <c r="BN153" i="1"/>
  <c r="AS235" i="1"/>
  <c r="BP189" i="1"/>
  <c r="BP218" i="1" s="1"/>
  <c r="BT153" i="1"/>
  <c r="BF161" i="1"/>
  <c r="BE235" i="1"/>
  <c r="BR189" i="1"/>
  <c r="BR218" i="1" s="1"/>
  <c r="BR217" i="1" s="1"/>
  <c r="BP181" i="1"/>
  <c r="BP215" i="1" s="1"/>
  <c r="BQ235" i="1"/>
  <c r="BB189" i="1"/>
  <c r="BB218" i="1" s="1"/>
  <c r="AP161" i="1"/>
  <c r="BD189" i="1"/>
  <c r="BD218" i="1" s="1"/>
  <c r="BP153" i="1"/>
  <c r="BP120" i="1" s="1"/>
  <c r="BP122" i="1" s="1"/>
  <c r="BN189" i="1"/>
  <c r="BN218" i="1" s="1"/>
  <c r="AN189" i="1"/>
  <c r="AN218" i="1" s="1"/>
  <c r="BP161" i="1"/>
  <c r="BG161" i="1"/>
  <c r="BA161" i="1"/>
  <c r="AT161" i="1"/>
  <c r="AP189" i="1"/>
  <c r="BF189" i="1"/>
  <c r="BF218" i="1" s="1"/>
  <c r="BF217" i="1" s="1"/>
  <c r="AV189" i="1"/>
  <c r="AV218" i="1" s="1"/>
  <c r="BF153" i="1"/>
  <c r="BQ161" i="1"/>
  <c r="BR161" i="1"/>
  <c r="BD161" i="1"/>
  <c r="AZ189" i="1"/>
  <c r="AZ218" i="1" s="1"/>
  <c r="AV153" i="1"/>
  <c r="AU161" i="1"/>
  <c r="AW176" i="1"/>
  <c r="AV181" i="1"/>
  <c r="BC176" i="1"/>
  <c r="BB181" i="1"/>
  <c r="BG176" i="1"/>
  <c r="BF181" i="1"/>
  <c r="BE176" i="1"/>
  <c r="BD181" i="1"/>
  <c r="BO176" i="1"/>
  <c r="BN181" i="1"/>
  <c r="BU176" i="1"/>
  <c r="BT181" i="1"/>
  <c r="AY176" i="1"/>
  <c r="AX181" i="1"/>
  <c r="BS176" i="1"/>
  <c r="BR181" i="1"/>
  <c r="BA176" i="1"/>
  <c r="AZ181" i="1"/>
  <c r="AU235" i="1"/>
  <c r="AV235" i="1"/>
  <c r="BB235" i="1"/>
  <c r="BA235" i="1"/>
  <c r="AY235" i="1"/>
  <c r="AZ235" i="1"/>
  <c r="BK40" i="1"/>
  <c r="BL40" i="1"/>
  <c r="BK44" i="1"/>
  <c r="AT40" i="1"/>
  <c r="AT55" i="1"/>
  <c r="BC235" i="1"/>
  <c r="BD235" i="1"/>
  <c r="BJ39" i="1"/>
  <c r="BF44" i="1"/>
  <c r="BC44" i="1"/>
  <c r="BG235" i="1"/>
  <c r="AZ45" i="1"/>
  <c r="BN39" i="1"/>
  <c r="BN44" i="1"/>
  <c r="BR39" i="1"/>
  <c r="AQ44" i="1"/>
  <c r="AQ39" i="1"/>
  <c r="AR40" i="1"/>
  <c r="BC40" i="1"/>
  <c r="BC258" i="1"/>
  <c r="AN39" i="1"/>
  <c r="AN44" i="1"/>
  <c r="AN40" i="1"/>
  <c r="AN258" i="1"/>
  <c r="AR39" i="1"/>
  <c r="AS130" i="1"/>
  <c r="AS132" i="1"/>
  <c r="AS131" i="1"/>
  <c r="BH44" i="1"/>
  <c r="BL39" i="1"/>
  <c r="BI40" i="1"/>
  <c r="BB258" i="1"/>
  <c r="BO221" i="1"/>
  <c r="BI130" i="1"/>
  <c r="BF39" i="1"/>
  <c r="AN221" i="1"/>
  <c r="AQ55" i="1"/>
  <c r="CQ171" i="1"/>
  <c r="CR60" i="1"/>
  <c r="AE105" i="1"/>
  <c r="AB158" i="1"/>
  <c r="AB161" i="1" s="1"/>
  <c r="AB282" i="1" s="1"/>
  <c r="AD175" i="1"/>
  <c r="CZ93" i="1"/>
  <c r="DA91" i="1"/>
  <c r="AI214" i="1" l="1"/>
  <c r="BV44" i="1"/>
  <c r="BV56" i="1" s="1"/>
  <c r="I201" i="1"/>
  <c r="I137" i="1" s="1"/>
  <c r="G201" i="1"/>
  <c r="G137" i="1" s="1"/>
  <c r="H190" i="1"/>
  <c r="BT217" i="1"/>
  <c r="AR189" i="1"/>
  <c r="AZ161" i="1"/>
  <c r="BB217" i="1"/>
  <c r="AP153" i="1"/>
  <c r="AP120" i="1" s="1"/>
  <c r="AU55" i="1"/>
  <c r="Q229" i="1"/>
  <c r="R240" i="1"/>
  <c r="L171" i="1"/>
  <c r="O190" i="1"/>
  <c r="O208" i="1"/>
  <c r="O281" i="1"/>
  <c r="O240" i="1"/>
  <c r="L208" i="1"/>
  <c r="F82" i="1"/>
  <c r="F208" i="1"/>
  <c r="F281" i="1"/>
  <c r="Q281" i="1"/>
  <c r="K82" i="1"/>
  <c r="K208" i="1"/>
  <c r="Q82" i="1"/>
  <c r="Q208" i="1"/>
  <c r="W171" i="1"/>
  <c r="X236" i="1" s="1"/>
  <c r="X234" i="1" s="1"/>
  <c r="W61" i="1"/>
  <c r="R215" i="1"/>
  <c r="R214" i="1" s="1"/>
  <c r="O215" i="1"/>
  <c r="O214" i="1" s="1"/>
  <c r="Q61" i="1"/>
  <c r="Q171" i="1"/>
  <c r="S281" i="1"/>
  <c r="S208" i="1"/>
  <c r="I190" i="1"/>
  <c r="I230" i="1"/>
  <c r="I218" i="1"/>
  <c r="L201" i="1"/>
  <c r="L137" i="1" s="1"/>
  <c r="AQ161" i="1"/>
  <c r="AS40" i="1"/>
  <c r="J218" i="1"/>
  <c r="J230" i="1"/>
  <c r="Q218" i="1"/>
  <c r="Q190" i="1"/>
  <c r="Q230" i="1"/>
  <c r="AM94" i="1"/>
  <c r="AM97" i="1" s="1"/>
  <c r="BZ131" i="1"/>
  <c r="BZ130" i="1"/>
  <c r="BZ132" i="1"/>
  <c r="BI167" i="1"/>
  <c r="CA221" i="1"/>
  <c r="CB221" i="1"/>
  <c r="X86" i="1"/>
  <c r="BW44" i="1"/>
  <c r="BZ277" i="1"/>
  <c r="CA39" i="1"/>
  <c r="BW40" i="1"/>
  <c r="BY258" i="1"/>
  <c r="BZ258" i="1"/>
  <c r="BX40" i="1"/>
  <c r="BI61" i="1"/>
  <c r="BW221" i="1"/>
  <c r="BJ57" i="1"/>
  <c r="BJ62" i="1"/>
  <c r="BJ66" i="1" s="1"/>
  <c r="BJ265" i="1"/>
  <c r="BJ266" i="1" s="1"/>
  <c r="P229" i="1"/>
  <c r="M82" i="1"/>
  <c r="M208" i="1"/>
  <c r="T201" i="1"/>
  <c r="T137" i="1" s="1"/>
  <c r="BO55" i="1"/>
  <c r="B190" i="1"/>
  <c r="D230" i="1"/>
  <c r="BH201" i="1"/>
  <c r="B135" i="1"/>
  <c r="BA44" i="1"/>
  <c r="B94" i="1"/>
  <c r="B97" i="1" s="1"/>
  <c r="B115" i="1" s="1"/>
  <c r="B136" i="1"/>
  <c r="U240" i="1"/>
  <c r="M240" i="1"/>
  <c r="N240" i="1"/>
  <c r="P230" i="1"/>
  <c r="N242" i="1"/>
  <c r="M281" i="1"/>
  <c r="U242" i="1"/>
  <c r="T281" i="1"/>
  <c r="T240" i="1"/>
  <c r="T208" i="1"/>
  <c r="T82" i="1"/>
  <c r="I82" i="1"/>
  <c r="I281" i="1"/>
  <c r="I208" i="1"/>
  <c r="E242" i="1"/>
  <c r="J281" i="1"/>
  <c r="K242" i="1"/>
  <c r="J162" i="1"/>
  <c r="J83" i="1" s="1"/>
  <c r="J201" i="1"/>
  <c r="J137" i="1" s="1"/>
  <c r="J65" i="1"/>
  <c r="U82" i="1"/>
  <c r="K240" i="1"/>
  <c r="G171" i="1"/>
  <c r="G61" i="1"/>
  <c r="J208" i="1"/>
  <c r="J82" i="1"/>
  <c r="J240" i="1"/>
  <c r="D61" i="1"/>
  <c r="D171" i="1"/>
  <c r="L242" i="1"/>
  <c r="K281" i="1"/>
  <c r="D242" i="1"/>
  <c r="U208" i="1"/>
  <c r="S162" i="1"/>
  <c r="S83" i="1" s="1"/>
  <c r="S82" i="1"/>
  <c r="Q215" i="1"/>
  <c r="Q214" i="1" s="1"/>
  <c r="R229" i="1"/>
  <c r="D94" i="1"/>
  <c r="D136" i="1"/>
  <c r="K215" i="1"/>
  <c r="K214" i="1" s="1"/>
  <c r="K190" i="1"/>
  <c r="I65" i="1"/>
  <c r="J239" i="1"/>
  <c r="D218" i="1"/>
  <c r="V240" i="1"/>
  <c r="V281" i="1"/>
  <c r="K230" i="1"/>
  <c r="Q240" i="1"/>
  <c r="P215" i="1"/>
  <c r="P190" i="1"/>
  <c r="C218" i="1"/>
  <c r="C230" i="1"/>
  <c r="I282" i="1"/>
  <c r="I284" i="1" s="1"/>
  <c r="I162" i="1"/>
  <c r="I83" i="1" s="1"/>
  <c r="R282" i="1"/>
  <c r="R284" i="1" s="1"/>
  <c r="P239" i="1"/>
  <c r="P282" i="1"/>
  <c r="P284" i="1" s="1"/>
  <c r="O282" i="1"/>
  <c r="O284" i="1" s="1"/>
  <c r="L65" i="1"/>
  <c r="L282" i="1"/>
  <c r="L284" i="1" s="1"/>
  <c r="L239" i="1"/>
  <c r="P240" i="1"/>
  <c r="P82" i="1"/>
  <c r="P281" i="1"/>
  <c r="O171" i="1"/>
  <c r="O61" i="1"/>
  <c r="M242" i="1"/>
  <c r="L281" i="1"/>
  <c r="V82" i="1"/>
  <c r="V162" i="1"/>
  <c r="V83" i="1" s="1"/>
  <c r="V208" i="1"/>
  <c r="Q162" i="1"/>
  <c r="Q83" i="1" s="1"/>
  <c r="Q65" i="1"/>
  <c r="K218" i="1"/>
  <c r="N215" i="1"/>
  <c r="N190" i="1"/>
  <c r="E218" i="1"/>
  <c r="G218" i="1"/>
  <c r="G230" i="1"/>
  <c r="U218" i="1"/>
  <c r="U190" i="1"/>
  <c r="V171" i="1"/>
  <c r="V61" i="1"/>
  <c r="V218" i="1"/>
  <c r="V190" i="1"/>
  <c r="V198" i="1" s="1"/>
  <c r="V230" i="1"/>
  <c r="AP214" i="1"/>
  <c r="BO157" i="1"/>
  <c r="BO161" i="1" s="1"/>
  <c r="BN161" i="1"/>
  <c r="AZ55" i="1"/>
  <c r="BK55" i="1"/>
  <c r="AW55" i="1"/>
  <c r="AU131" i="1"/>
  <c r="BE55" i="1"/>
  <c r="AM80" i="1"/>
  <c r="AM152" i="1"/>
  <c r="AM153" i="1" s="1"/>
  <c r="AM162" i="1" s="1"/>
  <c r="AM226" i="1"/>
  <c r="AM228" i="1" s="1"/>
  <c r="AY55" i="1"/>
  <c r="AP258" i="1"/>
  <c r="AQ40" i="1"/>
  <c r="AZ40" i="1"/>
  <c r="AY44" i="1"/>
  <c r="AP44" i="1"/>
  <c r="AP39" i="1"/>
  <c r="BJ131" i="1"/>
  <c r="BJ132" i="1"/>
  <c r="BA55" i="1"/>
  <c r="BQ55" i="1"/>
  <c r="AP55" i="1"/>
  <c r="AQ221" i="1"/>
  <c r="BM55" i="1"/>
  <c r="BN131" i="1"/>
  <c r="BN132" i="1"/>
  <c r="BN130" i="1"/>
  <c r="BQ39" i="1"/>
  <c r="BM258" i="1"/>
  <c r="BM39" i="1"/>
  <c r="BR130" i="1"/>
  <c r="BU39" i="1"/>
  <c r="BQ44" i="1"/>
  <c r="BQ56" i="1" s="1"/>
  <c r="BQ40" i="1"/>
  <c r="BU55" i="1"/>
  <c r="BU44" i="1"/>
  <c r="BM44" i="1"/>
  <c r="BM40" i="1"/>
  <c r="BA39" i="1"/>
  <c r="BA40" i="1"/>
  <c r="AI55" i="1"/>
  <c r="BA47" i="1"/>
  <c r="BH55" i="1"/>
  <c r="AS44" i="1"/>
  <c r="AW39" i="1"/>
  <c r="BV55" i="1"/>
  <c r="BC55" i="1"/>
  <c r="AY221" i="1"/>
  <c r="BT258" i="1"/>
  <c r="AS216" i="1"/>
  <c r="BY39" i="1"/>
  <c r="BU221" i="1"/>
  <c r="BD39" i="1"/>
  <c r="BE40" i="1"/>
  <c r="BH39" i="1"/>
  <c r="BD44" i="1"/>
  <c r="BD55" i="1"/>
  <c r="BD221" i="1"/>
  <c r="BV40" i="1"/>
  <c r="BV221" i="1"/>
  <c r="BO39" i="1"/>
  <c r="BP40" i="1"/>
  <c r="BO44" i="1"/>
  <c r="BX239" i="1"/>
  <c r="BX282" i="1"/>
  <c r="BR55" i="1"/>
  <c r="BV39" i="1"/>
  <c r="AR44" i="1"/>
  <c r="AR56" i="1" s="1"/>
  <c r="AR57" i="1" s="1"/>
  <c r="AS258" i="1"/>
  <c r="N86" i="1"/>
  <c r="AL277" i="1"/>
  <c r="AJ40" i="1"/>
  <c r="AM39" i="1"/>
  <c r="AL258" i="1"/>
  <c r="AI44" i="1"/>
  <c r="AW45" i="1"/>
  <c r="AW56" i="1"/>
  <c r="BC216" i="1"/>
  <c r="BW216" i="1"/>
  <c r="BC39" i="1"/>
  <c r="BK258" i="1"/>
  <c r="T86" i="1"/>
  <c r="AZ56" i="1"/>
  <c r="BR44" i="1"/>
  <c r="BR40" i="1"/>
  <c r="AR55" i="1"/>
  <c r="BZ39" i="1"/>
  <c r="BZ221" i="1"/>
  <c r="BY131" i="1"/>
  <c r="AS55" i="1"/>
  <c r="AN55" i="1"/>
  <c r="BV258" i="1"/>
  <c r="BJ40" i="1"/>
  <c r="BT55" i="1"/>
  <c r="BI55" i="1"/>
  <c r="BM221" i="1"/>
  <c r="BL132" i="1"/>
  <c r="BL130" i="1"/>
  <c r="BL131" i="1"/>
  <c r="BB40" i="1"/>
  <c r="R86" i="1"/>
  <c r="BD258" i="1"/>
  <c r="BB44" i="1"/>
  <c r="BN221" i="1"/>
  <c r="BN40" i="1"/>
  <c r="BR221" i="1"/>
  <c r="AN130" i="1"/>
  <c r="AN131" i="1"/>
  <c r="AN132" i="1"/>
  <c r="BM132" i="1"/>
  <c r="BM130" i="1"/>
  <c r="BM131" i="1"/>
  <c r="U86" i="1"/>
  <c r="BE258" i="1"/>
  <c r="BQ258" i="1"/>
  <c r="BO40" i="1"/>
  <c r="AP221" i="1"/>
  <c r="BX39" i="1"/>
  <c r="BU40" i="1"/>
  <c r="BT44" i="1"/>
  <c r="BY221" i="1"/>
  <c r="BW258" i="1"/>
  <c r="AX221" i="1"/>
  <c r="AX40" i="1"/>
  <c r="BB39" i="1"/>
  <c r="AT258" i="1"/>
  <c r="P86" i="1"/>
  <c r="AX39" i="1"/>
  <c r="AR221" i="1"/>
  <c r="BP258" i="1"/>
  <c r="BO258" i="1"/>
  <c r="BB132" i="1"/>
  <c r="BB131" i="1"/>
  <c r="BB130" i="1"/>
  <c r="AO39" i="1"/>
  <c r="AS39" i="1"/>
  <c r="AO221" i="1"/>
  <c r="AO44" i="1"/>
  <c r="BI242" i="1"/>
  <c r="AO55" i="1"/>
  <c r="BX277" i="1"/>
  <c r="BX258" i="1"/>
  <c r="AW221" i="1"/>
  <c r="AW40" i="1"/>
  <c r="AO258" i="1"/>
  <c r="AO40" i="1"/>
  <c r="BT39" i="1"/>
  <c r="BN55" i="1"/>
  <c r="BN258" i="1"/>
  <c r="BG221" i="1"/>
  <c r="BV171" i="1"/>
  <c r="BW61" i="1"/>
  <c r="BW167" i="1"/>
  <c r="AP130" i="1"/>
  <c r="AP132" i="1"/>
  <c r="AP131" i="1"/>
  <c r="AW130" i="1"/>
  <c r="AW132" i="1"/>
  <c r="AW131" i="1"/>
  <c r="AO130" i="1"/>
  <c r="AO132" i="1"/>
  <c r="AO131" i="1"/>
  <c r="BW55" i="1"/>
  <c r="BD40" i="1"/>
  <c r="BG39" i="1"/>
  <c r="F217" i="1"/>
  <c r="M282" i="1"/>
  <c r="M284" i="1" s="1"/>
  <c r="AI219" i="1"/>
  <c r="BE39" i="1"/>
  <c r="F229" i="1"/>
  <c r="N162" i="1"/>
  <c r="N83" i="1" s="1"/>
  <c r="H61" i="1"/>
  <c r="H171" i="1"/>
  <c r="V65" i="1"/>
  <c r="V201" i="1"/>
  <c r="V137" i="1" s="1"/>
  <c r="T61" i="1"/>
  <c r="T171" i="1"/>
  <c r="T277" i="1" s="1"/>
  <c r="P171" i="1"/>
  <c r="P61" i="1"/>
  <c r="C136" i="1"/>
  <c r="C94" i="1"/>
  <c r="C135" i="1"/>
  <c r="O162" i="1"/>
  <c r="O83" i="1" s="1"/>
  <c r="O65" i="1"/>
  <c r="O201" i="1"/>
  <c r="O137" i="1" s="1"/>
  <c r="S65" i="1"/>
  <c r="S201" i="1"/>
  <c r="S137" i="1" s="1"/>
  <c r="S239" i="1"/>
  <c r="M171" i="1"/>
  <c r="M61" i="1"/>
  <c r="S218" i="1"/>
  <c r="S217" i="1" s="1"/>
  <c r="T230" i="1"/>
  <c r="B162" i="1"/>
  <c r="B83" i="1" s="1"/>
  <c r="B65" i="1"/>
  <c r="K162" i="1"/>
  <c r="K83" i="1" s="1"/>
  <c r="K65" i="1"/>
  <c r="K239" i="1"/>
  <c r="K282" i="1"/>
  <c r="K284" i="1" s="1"/>
  <c r="K201" i="1"/>
  <c r="K137" i="1" s="1"/>
  <c r="B208" i="1"/>
  <c r="B82" i="1"/>
  <c r="H215" i="1"/>
  <c r="I229" i="1"/>
  <c r="W282" i="1"/>
  <c r="W284" i="1" s="1"/>
  <c r="W65" i="1"/>
  <c r="X282" i="1"/>
  <c r="X284" i="1" s="1"/>
  <c r="X239" i="1"/>
  <c r="W239" i="1"/>
  <c r="D82" i="1"/>
  <c r="D208" i="1"/>
  <c r="D240" i="1"/>
  <c r="D281" i="1"/>
  <c r="F65" i="1"/>
  <c r="F162" i="1"/>
  <c r="F83" i="1" s="1"/>
  <c r="F201" i="1"/>
  <c r="F137" i="1" s="1"/>
  <c r="L82" i="1"/>
  <c r="L240" i="1"/>
  <c r="N208" i="1"/>
  <c r="N82" i="1"/>
  <c r="O242" i="1"/>
  <c r="N281" i="1"/>
  <c r="U171" i="1"/>
  <c r="U61" i="1"/>
  <c r="J229" i="1"/>
  <c r="J231" i="1" s="1"/>
  <c r="J232" i="1" s="1"/>
  <c r="I215" i="1"/>
  <c r="I214" i="1" s="1"/>
  <c r="K171" i="1"/>
  <c r="L236" i="1" s="1"/>
  <c r="L234" i="1" s="1"/>
  <c r="K61" i="1"/>
  <c r="H162" i="1"/>
  <c r="H83" i="1" s="1"/>
  <c r="H201" i="1"/>
  <c r="H137" i="1" s="1"/>
  <c r="H65" i="1"/>
  <c r="I239" i="1"/>
  <c r="L162" i="1"/>
  <c r="L83" i="1" s="1"/>
  <c r="M239" i="1"/>
  <c r="G215" i="1"/>
  <c r="G214" i="1" s="1"/>
  <c r="G229" i="1"/>
  <c r="S61" i="1"/>
  <c r="S171" i="1"/>
  <c r="G82" i="1"/>
  <c r="G208" i="1"/>
  <c r="R171" i="1"/>
  <c r="S236" i="1" s="1"/>
  <c r="S234" i="1" s="1"/>
  <c r="R61" i="1"/>
  <c r="J215" i="1"/>
  <c r="J214" i="1" s="1"/>
  <c r="K229" i="1"/>
  <c r="J190" i="1"/>
  <c r="D162" i="1"/>
  <c r="D83" i="1" s="1"/>
  <c r="D201" i="1"/>
  <c r="D137" i="1" s="1"/>
  <c r="D65" i="1"/>
  <c r="D282" i="1"/>
  <c r="D284" i="1" s="1"/>
  <c r="D239" i="1"/>
  <c r="S215" i="1"/>
  <c r="S229" i="1"/>
  <c r="T218" i="1"/>
  <c r="T217" i="1" s="1"/>
  <c r="U230" i="1"/>
  <c r="J61" i="1"/>
  <c r="J171" i="1"/>
  <c r="C61" i="1"/>
  <c r="C171" i="1"/>
  <c r="U162" i="1"/>
  <c r="U83" i="1" s="1"/>
  <c r="V282" i="1"/>
  <c r="V284" i="1" s="1"/>
  <c r="U201" i="1"/>
  <c r="U137" i="1" s="1"/>
  <c r="U65" i="1"/>
  <c r="H208" i="1"/>
  <c r="H240" i="1"/>
  <c r="H82" i="1"/>
  <c r="L190" i="1"/>
  <c r="L198" i="1" s="1"/>
  <c r="L229" i="1"/>
  <c r="M229" i="1"/>
  <c r="L215" i="1"/>
  <c r="B61" i="1"/>
  <c r="B171" i="1"/>
  <c r="U229" i="1"/>
  <c r="U215" i="1"/>
  <c r="U214" i="1" s="1"/>
  <c r="C281" i="1"/>
  <c r="C162" i="1"/>
  <c r="C83" i="1" s="1"/>
  <c r="N229" i="1"/>
  <c r="O229" i="1"/>
  <c r="R236" i="1"/>
  <c r="R234" i="1" s="1"/>
  <c r="BY132" i="1"/>
  <c r="BY130" i="1"/>
  <c r="BO130" i="1"/>
  <c r="BO131" i="1"/>
  <c r="BO132" i="1"/>
  <c r="BX130" i="1"/>
  <c r="BX131" i="1"/>
  <c r="BX132" i="1"/>
  <c r="BK132" i="1"/>
  <c r="BK131" i="1"/>
  <c r="BK130" i="1"/>
  <c r="BU132" i="1"/>
  <c r="BU131" i="1"/>
  <c r="BU130" i="1"/>
  <c r="BV120" i="1"/>
  <c r="BV281" i="1"/>
  <c r="BQ130" i="1"/>
  <c r="BQ131" i="1"/>
  <c r="BQ132" i="1"/>
  <c r="AL132" i="1"/>
  <c r="AL130" i="1"/>
  <c r="AL131" i="1"/>
  <c r="AV130" i="1"/>
  <c r="AV132" i="1"/>
  <c r="AX132" i="1"/>
  <c r="AX130" i="1"/>
  <c r="BS130" i="1"/>
  <c r="BS131" i="1"/>
  <c r="BS132" i="1"/>
  <c r="AR130" i="1"/>
  <c r="AR131" i="1"/>
  <c r="AR132" i="1"/>
  <c r="AR171" i="1"/>
  <c r="AS167" i="1"/>
  <c r="AS61" i="1"/>
  <c r="E239" i="1"/>
  <c r="BL221" i="1"/>
  <c r="L277" i="1"/>
  <c r="AZ217" i="1"/>
  <c r="AT221" i="1"/>
  <c r="AU40" i="1"/>
  <c r="AT39" i="1"/>
  <c r="BW130" i="1"/>
  <c r="BW132" i="1"/>
  <c r="N230" i="1"/>
  <c r="M218" i="1"/>
  <c r="H239" i="1"/>
  <c r="H282" i="1"/>
  <c r="H284" i="1" s="1"/>
  <c r="G239" i="1"/>
  <c r="G282" i="1"/>
  <c r="G284" i="1" s="1"/>
  <c r="BI221" i="1"/>
  <c r="BI44" i="1"/>
  <c r="BL258" i="1"/>
  <c r="BL277" i="1"/>
  <c r="BJ221" i="1"/>
  <c r="AT132" i="1"/>
  <c r="AT130" i="1"/>
  <c r="AT131" i="1"/>
  <c r="E162" i="1"/>
  <c r="E83" i="1" s="1"/>
  <c r="F282" i="1"/>
  <c r="F284" i="1" s="1"/>
  <c r="V242" i="1"/>
  <c r="U281" i="1"/>
  <c r="BU258" i="1"/>
  <c r="BS55" i="1"/>
  <c r="BS40" i="1"/>
  <c r="BS44" i="1"/>
  <c r="BT40" i="1"/>
  <c r="BS221" i="1"/>
  <c r="BX221" i="1"/>
  <c r="BW39" i="1"/>
  <c r="BS39" i="1"/>
  <c r="BT221" i="1"/>
  <c r="W86" i="1"/>
  <c r="BC131" i="1"/>
  <c r="BC130" i="1"/>
  <c r="BC132" i="1"/>
  <c r="H218" i="1"/>
  <c r="H230" i="1"/>
  <c r="BV217" i="1"/>
  <c r="BV219" i="1"/>
  <c r="BZ222" i="1" s="1"/>
  <c r="D215" i="1"/>
  <c r="D190" i="1"/>
  <c r="C65" i="1"/>
  <c r="C239" i="1"/>
  <c r="C238" i="1" s="1"/>
  <c r="C201" i="1"/>
  <c r="C137" i="1" s="1"/>
  <c r="S240" i="1"/>
  <c r="R281" i="1"/>
  <c r="R82" i="1"/>
  <c r="S230" i="1"/>
  <c r="R218" i="1"/>
  <c r="L230" i="1"/>
  <c r="L218" i="1"/>
  <c r="BH215" i="1"/>
  <c r="BH190" i="1"/>
  <c r="BH198" i="1" s="1"/>
  <c r="M215" i="1"/>
  <c r="M214" i="1" s="1"/>
  <c r="M190" i="1"/>
  <c r="AX44" i="1"/>
  <c r="AY40" i="1"/>
  <c r="BA258" i="1"/>
  <c r="AX55" i="1"/>
  <c r="AS221" i="1"/>
  <c r="AP40" i="1"/>
  <c r="O86" i="1"/>
  <c r="AR258" i="1"/>
  <c r="AQ258" i="1"/>
  <c r="BS258" i="1"/>
  <c r="BQ221" i="1"/>
  <c r="BR258" i="1"/>
  <c r="BP55" i="1"/>
  <c r="V86" i="1"/>
  <c r="BP44" i="1"/>
  <c r="BP221" i="1"/>
  <c r="BP39" i="1"/>
  <c r="BE132" i="1"/>
  <c r="BE131" i="1"/>
  <c r="BD130" i="1"/>
  <c r="BD131" i="1"/>
  <c r="C242" i="1"/>
  <c r="B281" i="1"/>
  <c r="AU44" i="1"/>
  <c r="AY39" i="1"/>
  <c r="BJ282" i="1"/>
  <c r="BI239" i="1"/>
  <c r="BF40" i="1"/>
  <c r="BF258" i="1"/>
  <c r="BF221" i="1"/>
  <c r="S86" i="1"/>
  <c r="BE44" i="1"/>
  <c r="BE221" i="1"/>
  <c r="BI39" i="1"/>
  <c r="AV217" i="1"/>
  <c r="R190" i="1"/>
  <c r="F190" i="1"/>
  <c r="U239" i="1"/>
  <c r="T282" i="1"/>
  <c r="T284" i="1" s="1"/>
  <c r="T162" i="1"/>
  <c r="T83" i="1" s="1"/>
  <c r="F215" i="1"/>
  <c r="AY132" i="1"/>
  <c r="AY258" i="1"/>
  <c r="AV258" i="1"/>
  <c r="AR214" i="1"/>
  <c r="G190" i="1"/>
  <c r="H229" i="1"/>
  <c r="G65" i="1"/>
  <c r="T65" i="1"/>
  <c r="O239" i="1"/>
  <c r="O238" i="1" s="1"/>
  <c r="I240" i="1"/>
  <c r="BI132" i="1"/>
  <c r="BH217" i="1"/>
  <c r="AY131" i="1"/>
  <c r="AU39" i="1"/>
  <c r="AU258" i="1"/>
  <c r="BF130" i="1"/>
  <c r="M230" i="1"/>
  <c r="R230" i="1"/>
  <c r="G162" i="1"/>
  <c r="G83" i="1" s="1"/>
  <c r="T229" i="1"/>
  <c r="H281" i="1"/>
  <c r="F171" i="1"/>
  <c r="AZ131" i="1"/>
  <c r="AU221" i="1"/>
  <c r="BC221" i="1"/>
  <c r="BV190" i="1"/>
  <c r="AZ221" i="1"/>
  <c r="BW282" i="1"/>
  <c r="BW239" i="1"/>
  <c r="BF56" i="1"/>
  <c r="BF132" i="1"/>
  <c r="M201" i="1"/>
  <c r="M137" i="1" s="1"/>
  <c r="G240" i="1"/>
  <c r="U282" i="1"/>
  <c r="U284" i="1" s="1"/>
  <c r="T239" i="1"/>
  <c r="BH40" i="1"/>
  <c r="AX131" i="1"/>
  <c r="BH258" i="1"/>
  <c r="BG40" i="1"/>
  <c r="BV162" i="1"/>
  <c r="M65" i="1"/>
  <c r="N239" i="1"/>
  <c r="I171" i="1"/>
  <c r="E229" i="1"/>
  <c r="BG44" i="1"/>
  <c r="BG47" i="1" s="1"/>
  <c r="M162" i="1"/>
  <c r="M83" i="1" s="1"/>
  <c r="N201" i="1"/>
  <c r="N137" i="1" s="1"/>
  <c r="BJ277" i="1"/>
  <c r="AZ258" i="1"/>
  <c r="BB221" i="1"/>
  <c r="BK221" i="1"/>
  <c r="BI258" i="1"/>
  <c r="BG258" i="1"/>
  <c r="BK39" i="1"/>
  <c r="BR282" i="1"/>
  <c r="C229" i="1"/>
  <c r="N65" i="1"/>
  <c r="C190" i="1"/>
  <c r="B215" i="1"/>
  <c r="N282" i="1"/>
  <c r="N284" i="1" s="1"/>
  <c r="V239" i="1"/>
  <c r="D229" i="1"/>
  <c r="D231" i="1" s="1"/>
  <c r="D232" i="1" s="1"/>
  <c r="S190" i="1"/>
  <c r="C282" i="1"/>
  <c r="C284" i="1" s="1"/>
  <c r="F230" i="1"/>
  <c r="AV55" i="1"/>
  <c r="BJ258" i="1"/>
  <c r="BH221" i="1"/>
  <c r="BR131" i="1"/>
  <c r="AU130" i="1"/>
  <c r="L279" i="1"/>
  <c r="BD217" i="1"/>
  <c r="BG55" i="1"/>
  <c r="BA221" i="1"/>
  <c r="E230" i="1"/>
  <c r="BV132" i="1"/>
  <c r="E190" i="1"/>
  <c r="E198" i="1" s="1"/>
  <c r="BH132" i="1"/>
  <c r="AV131" i="1"/>
  <c r="BD132" i="1"/>
  <c r="BV131" i="1"/>
  <c r="BZ46" i="1"/>
  <c r="AQ130" i="1"/>
  <c r="BE130" i="1"/>
  <c r="BG132" i="1"/>
  <c r="BH130" i="1"/>
  <c r="BV45" i="1"/>
  <c r="BA132" i="1"/>
  <c r="BG130" i="1"/>
  <c r="AQ131" i="1"/>
  <c r="BT130" i="1"/>
  <c r="BA131" i="1"/>
  <c r="BT131" i="1"/>
  <c r="AX217" i="1"/>
  <c r="BH162" i="1"/>
  <c r="BH281" i="1"/>
  <c r="AV39" i="1"/>
  <c r="BP130" i="1"/>
  <c r="BP214" i="1"/>
  <c r="O230" i="1"/>
  <c r="P231" i="1"/>
  <c r="P232" i="1" s="1"/>
  <c r="BV214" i="1"/>
  <c r="AV40" i="1"/>
  <c r="AT56" i="1"/>
  <c r="AT62" i="1" s="1"/>
  <c r="AT66" i="1" s="1"/>
  <c r="BP132" i="1"/>
  <c r="BH239" i="1"/>
  <c r="O218" i="1"/>
  <c r="O219" i="1" s="1"/>
  <c r="R239" i="1"/>
  <c r="V229" i="1"/>
  <c r="AV221" i="1"/>
  <c r="AW258" i="1"/>
  <c r="B201" i="1"/>
  <c r="B137" i="1" s="1"/>
  <c r="B139" i="1" s="1"/>
  <c r="B142" i="1" s="1"/>
  <c r="C208" i="1"/>
  <c r="C82" i="1"/>
  <c r="AX258" i="1"/>
  <c r="BI282" i="1"/>
  <c r="R162" i="1"/>
  <c r="R83" i="1" s="1"/>
  <c r="AZ39" i="1"/>
  <c r="Q86" i="1"/>
  <c r="AZ132" i="1"/>
  <c r="BJ239" i="1"/>
  <c r="BP217" i="1"/>
  <c r="E82" i="1"/>
  <c r="E208" i="1"/>
  <c r="E240" i="1"/>
  <c r="R65" i="1"/>
  <c r="S282" i="1"/>
  <c r="S284" i="1" s="1"/>
  <c r="BH123" i="1"/>
  <c r="BH122" i="1"/>
  <c r="F240" i="1"/>
  <c r="F238" i="1" s="1"/>
  <c r="N279" i="1"/>
  <c r="N277" i="1"/>
  <c r="AX235" i="1"/>
  <c r="AW235" i="1"/>
  <c r="G277" i="1"/>
  <c r="G279" i="1"/>
  <c r="E277" i="1"/>
  <c r="E279" i="1"/>
  <c r="E236" i="1"/>
  <c r="E234" i="1" s="1"/>
  <c r="AR235" i="1"/>
  <c r="AQ235" i="1"/>
  <c r="BB201" i="1"/>
  <c r="AV201" i="1"/>
  <c r="BS61" i="1"/>
  <c r="BS167" i="1"/>
  <c r="BR171" i="1"/>
  <c r="AQ282" i="1"/>
  <c r="AN120" i="1"/>
  <c r="AN123" i="1" s="1"/>
  <c r="AN281" i="1"/>
  <c r="AV282" i="1"/>
  <c r="Q279" i="1"/>
  <c r="Q277" i="1"/>
  <c r="AR239" i="1"/>
  <c r="AR282" i="1"/>
  <c r="AO167" i="1"/>
  <c r="AO61" i="1"/>
  <c r="AN171" i="1"/>
  <c r="AN279" i="1" s="1"/>
  <c r="BC61" i="1"/>
  <c r="BB171" i="1"/>
  <c r="BC167" i="1"/>
  <c r="AV239" i="1"/>
  <c r="BT162" i="1"/>
  <c r="I217" i="1"/>
  <c r="BC239" i="1"/>
  <c r="BC282" i="1"/>
  <c r="T214" i="1"/>
  <c r="BB162" i="1"/>
  <c r="AT281" i="1"/>
  <c r="AS239" i="1"/>
  <c r="AS282" i="1"/>
  <c r="AR201" i="1"/>
  <c r="AS65" i="1" s="1"/>
  <c r="AR162" i="1"/>
  <c r="AR120" i="1"/>
  <c r="AX120" i="1"/>
  <c r="AX281" i="1"/>
  <c r="BU61" i="1"/>
  <c r="BT171" i="1"/>
  <c r="BU167" i="1"/>
  <c r="BG167" i="1"/>
  <c r="BG61" i="1"/>
  <c r="BF171" i="1"/>
  <c r="AW61" i="1"/>
  <c r="AV171" i="1"/>
  <c r="AW167" i="1"/>
  <c r="BE61" i="1"/>
  <c r="BE167" i="1"/>
  <c r="BD171" i="1"/>
  <c r="AQ167" i="1"/>
  <c r="AP171" i="1"/>
  <c r="AQ61" i="1"/>
  <c r="AT215" i="1"/>
  <c r="AT190" i="1"/>
  <c r="BB123" i="1"/>
  <c r="BB124" i="1"/>
  <c r="BB122" i="1"/>
  <c r="AO282" i="1"/>
  <c r="AO239" i="1"/>
  <c r="AN282" i="1"/>
  <c r="AN239" i="1"/>
  <c r="AN162" i="1"/>
  <c r="AN201" i="1"/>
  <c r="BN171" i="1"/>
  <c r="BO167" i="1"/>
  <c r="BO61" i="1"/>
  <c r="AY167" i="1"/>
  <c r="AX171" i="1"/>
  <c r="AY61" i="1"/>
  <c r="AR218" i="1"/>
  <c r="AR190" i="1"/>
  <c r="BN281" i="1"/>
  <c r="BN120" i="1"/>
  <c r="BF239" i="1"/>
  <c r="BF201" i="1"/>
  <c r="BP282" i="1"/>
  <c r="BP239" i="1"/>
  <c r="BP201" i="1"/>
  <c r="BR162" i="1"/>
  <c r="BS282" i="1"/>
  <c r="BS239" i="1"/>
  <c r="BR201" i="1"/>
  <c r="BA167" i="1"/>
  <c r="BA61" i="1"/>
  <c r="AZ171" i="1"/>
  <c r="BQ61" i="1"/>
  <c r="BP171" i="1"/>
  <c r="BQ167" i="1"/>
  <c r="BC242" i="1"/>
  <c r="BB281" i="1"/>
  <c r="AR281" i="1"/>
  <c r="AX239" i="1"/>
  <c r="AX201" i="1"/>
  <c r="AX162" i="1"/>
  <c r="AX282" i="1"/>
  <c r="BO235" i="1"/>
  <c r="BP235" i="1"/>
  <c r="AT171" i="1"/>
  <c r="AU61" i="1"/>
  <c r="AU167" i="1"/>
  <c r="BD120" i="1"/>
  <c r="BD281" i="1"/>
  <c r="BO239" i="1"/>
  <c r="BO282" i="1"/>
  <c r="BN282" i="1"/>
  <c r="BN239" i="1"/>
  <c r="AW282" i="1"/>
  <c r="AW239" i="1"/>
  <c r="AN215" i="1"/>
  <c r="AN190" i="1"/>
  <c r="BT235" i="1"/>
  <c r="BS235" i="1"/>
  <c r="BV282" i="1"/>
  <c r="BU282" i="1"/>
  <c r="BU239" i="1"/>
  <c r="BV239" i="1"/>
  <c r="BT201" i="1"/>
  <c r="BT282" i="1"/>
  <c r="BT239" i="1"/>
  <c r="AP235" i="1"/>
  <c r="AO235" i="1"/>
  <c r="AZ201" i="1"/>
  <c r="AZ282" i="1"/>
  <c r="AZ162" i="1"/>
  <c r="AZ239" i="1"/>
  <c r="AN217" i="1"/>
  <c r="AT162" i="1"/>
  <c r="AT282" i="1"/>
  <c r="AT239" i="1"/>
  <c r="AT201" i="1"/>
  <c r="BD239" i="1"/>
  <c r="BD162" i="1"/>
  <c r="BE282" i="1"/>
  <c r="BE239" i="1"/>
  <c r="BD201" i="1"/>
  <c r="BD282" i="1"/>
  <c r="AV120" i="1"/>
  <c r="AV281" i="1"/>
  <c r="AQ239" i="1"/>
  <c r="AP239" i="1"/>
  <c r="AP282" i="1"/>
  <c r="BG282" i="1"/>
  <c r="BH282" i="1"/>
  <c r="BB239" i="1"/>
  <c r="BA282" i="1"/>
  <c r="BB282" i="1"/>
  <c r="BA239" i="1"/>
  <c r="AU239" i="1"/>
  <c r="AU282" i="1"/>
  <c r="BP219" i="1"/>
  <c r="BP222" i="1" s="1"/>
  <c r="BR239" i="1"/>
  <c r="AY239" i="1"/>
  <c r="AY282" i="1"/>
  <c r="AQ242" i="1"/>
  <c r="AP281" i="1"/>
  <c r="AZ120" i="1"/>
  <c r="AZ281" i="1"/>
  <c r="BS242" i="1"/>
  <c r="BR281" i="1"/>
  <c r="BT120" i="1"/>
  <c r="BT281" i="1"/>
  <c r="BF282" i="1"/>
  <c r="BF162" i="1"/>
  <c r="AP201" i="1"/>
  <c r="AP218" i="1"/>
  <c r="AP190" i="1"/>
  <c r="BF120" i="1"/>
  <c r="BF281" i="1"/>
  <c r="BP124" i="1"/>
  <c r="AV162" i="1"/>
  <c r="BQ282" i="1"/>
  <c r="BP281" i="1"/>
  <c r="BP162" i="1"/>
  <c r="BP190" i="1"/>
  <c r="BG239" i="1"/>
  <c r="BQ239" i="1"/>
  <c r="BP123" i="1"/>
  <c r="AV215" i="1"/>
  <c r="AV219" i="1" s="1"/>
  <c r="AV190" i="1"/>
  <c r="BB215" i="1"/>
  <c r="BB190" i="1"/>
  <c r="BD215" i="1"/>
  <c r="BD190" i="1"/>
  <c r="AX215" i="1"/>
  <c r="AX190" i="1"/>
  <c r="BF215" i="1"/>
  <c r="BF190" i="1"/>
  <c r="BT215" i="1"/>
  <c r="BT190" i="1"/>
  <c r="BR215" i="1"/>
  <c r="BR219" i="1" s="1"/>
  <c r="BR190" i="1"/>
  <c r="BN215" i="1"/>
  <c r="BN190" i="1"/>
  <c r="AZ215" i="1"/>
  <c r="AZ190" i="1"/>
  <c r="BL47" i="1"/>
  <c r="BK45" i="1"/>
  <c r="BK56" i="1"/>
  <c r="BK47" i="1"/>
  <c r="BN217" i="1"/>
  <c r="BF45" i="1"/>
  <c r="BJ46" i="1"/>
  <c r="BV137" i="1"/>
  <c r="BW65" i="1"/>
  <c r="BC56" i="1"/>
  <c r="BC45" i="1"/>
  <c r="BH56" i="1"/>
  <c r="BH45" i="1"/>
  <c r="BL46" i="1"/>
  <c r="AT123" i="1"/>
  <c r="AT124" i="1"/>
  <c r="AT122" i="1"/>
  <c r="BN46" i="1"/>
  <c r="BN56" i="1"/>
  <c r="BN45" i="1"/>
  <c r="AN56" i="1"/>
  <c r="AN46" i="1"/>
  <c r="AN47" i="1"/>
  <c r="AN45" i="1"/>
  <c r="AV56" i="1"/>
  <c r="AV45" i="1"/>
  <c r="AW47" i="1"/>
  <c r="AZ46" i="1"/>
  <c r="BR124" i="1"/>
  <c r="BR122" i="1"/>
  <c r="BR123" i="1"/>
  <c r="BH279" i="1"/>
  <c r="BH277" i="1"/>
  <c r="AQ56" i="1"/>
  <c r="AQ46" i="1"/>
  <c r="AQ45" i="1"/>
  <c r="CR227" i="1"/>
  <c r="CR165" i="1"/>
  <c r="CQ236" i="1"/>
  <c r="CQ234" i="1" s="1"/>
  <c r="AB239" i="1"/>
  <c r="DB91" i="1"/>
  <c r="DB93" i="1" s="1"/>
  <c r="DA93" i="1"/>
  <c r="D198" i="1" l="1"/>
  <c r="V231" i="1"/>
  <c r="V232" i="1" s="1"/>
  <c r="AP162" i="1"/>
  <c r="AP123" i="1"/>
  <c r="AP122" i="1"/>
  <c r="AP124" i="1"/>
  <c r="AY56" i="1"/>
  <c r="AY45" i="1"/>
  <c r="AZ47" i="1"/>
  <c r="AT46" i="1"/>
  <c r="AP56" i="1"/>
  <c r="AP46" i="1"/>
  <c r="AP45" i="1"/>
  <c r="BQ45" i="1"/>
  <c r="BU46" i="1"/>
  <c r="BU56" i="1"/>
  <c r="BV47" i="1"/>
  <c r="BY46" i="1"/>
  <c r="BU45" i="1"/>
  <c r="BQ62" i="1"/>
  <c r="BQ66" i="1" s="1"/>
  <c r="BQ57" i="1"/>
  <c r="BQ265" i="1"/>
  <c r="BQ266" i="1" s="1"/>
  <c r="AS45" i="1"/>
  <c r="AS56" i="1"/>
  <c r="AS59" i="1" s="1"/>
  <c r="AT47" i="1"/>
  <c r="AW46" i="1"/>
  <c r="AR45" i="1"/>
  <c r="AS47" i="1"/>
  <c r="BM45" i="1"/>
  <c r="BQ46" i="1"/>
  <c r="BM56" i="1"/>
  <c r="BM47" i="1"/>
  <c r="BD45" i="1"/>
  <c r="BD56" i="1"/>
  <c r="BD58" i="1" s="1"/>
  <c r="BD46" i="1"/>
  <c r="BC47" i="1"/>
  <c r="AU46" i="1"/>
  <c r="BO56" i="1"/>
  <c r="BO46" i="1"/>
  <c r="BO45" i="1"/>
  <c r="AJ47" i="1"/>
  <c r="AI45" i="1"/>
  <c r="AM46" i="1"/>
  <c r="AI56" i="1"/>
  <c r="N87" i="1"/>
  <c r="AW265" i="1"/>
  <c r="AW266" i="1" s="1"/>
  <c r="AW57" i="1"/>
  <c r="AW62" i="1"/>
  <c r="AW66" i="1" s="1"/>
  <c r="AU47" i="1"/>
  <c r="AV47" i="1"/>
  <c r="AU56" i="1"/>
  <c r="AY46" i="1"/>
  <c r="AU45" i="1"/>
  <c r="BD47" i="1"/>
  <c r="S87" i="1"/>
  <c r="BC46" i="1"/>
  <c r="BR56" i="1"/>
  <c r="BR47" i="1"/>
  <c r="BR45" i="1"/>
  <c r="AZ57" i="1"/>
  <c r="AZ265" i="1"/>
  <c r="AZ266" i="1" s="1"/>
  <c r="AZ62" i="1"/>
  <c r="AZ66" i="1" s="1"/>
  <c r="AQ47" i="1"/>
  <c r="BH46" i="1"/>
  <c r="BR46" i="1"/>
  <c r="U87" i="1"/>
  <c r="BN47" i="1"/>
  <c r="AR265" i="1"/>
  <c r="AR266" i="1" s="1"/>
  <c r="BO47" i="1"/>
  <c r="AO47" i="1"/>
  <c r="AR46" i="1"/>
  <c r="AV46" i="1"/>
  <c r="BU47" i="1"/>
  <c r="BT56" i="1"/>
  <c r="BX46" i="1"/>
  <c r="BT45" i="1"/>
  <c r="BV62" i="1"/>
  <c r="BV66" i="1" s="1"/>
  <c r="BZ58" i="1"/>
  <c r="BV57" i="1"/>
  <c r="BV265" i="1"/>
  <c r="BV266" i="1" s="1"/>
  <c r="BW171" i="1"/>
  <c r="BX61" i="1"/>
  <c r="AR62" i="1"/>
  <c r="AR66" i="1" s="1"/>
  <c r="BI47" i="1"/>
  <c r="BV277" i="1"/>
  <c r="BV279" i="1"/>
  <c r="AO46" i="1"/>
  <c r="AO56" i="1"/>
  <c r="AO45" i="1"/>
  <c r="AS46" i="1"/>
  <c r="O87" i="1"/>
  <c r="P87" i="1"/>
  <c r="AR47" i="1"/>
  <c r="BJ61" i="1"/>
  <c r="BI171" i="1"/>
  <c r="BJ236" i="1" s="1"/>
  <c r="BJ234" i="1" s="1"/>
  <c r="BB45" i="1"/>
  <c r="R87" i="1"/>
  <c r="BB56" i="1"/>
  <c r="BF46" i="1"/>
  <c r="BB47" i="1"/>
  <c r="M238" i="1"/>
  <c r="G231" i="1"/>
  <c r="G232" i="1" s="1"/>
  <c r="K231" i="1"/>
  <c r="K232" i="1" s="1"/>
  <c r="D236" i="1"/>
  <c r="D234" i="1" s="1"/>
  <c r="S238" i="1"/>
  <c r="M198" i="1"/>
  <c r="R238" i="1"/>
  <c r="N198" i="1"/>
  <c r="C231" i="1"/>
  <c r="C232" i="1" s="1"/>
  <c r="B219" i="1"/>
  <c r="B214" i="1"/>
  <c r="K217" i="1"/>
  <c r="K219" i="1"/>
  <c r="E217" i="1"/>
  <c r="E219" i="1"/>
  <c r="U217" i="1"/>
  <c r="V217" i="1"/>
  <c r="V219" i="1"/>
  <c r="BN201" i="1"/>
  <c r="BN162" i="1"/>
  <c r="G219" i="1"/>
  <c r="G217" i="1"/>
  <c r="O217" i="1"/>
  <c r="D238" i="1"/>
  <c r="S231" i="1"/>
  <c r="S232" i="1" s="1"/>
  <c r="BE46" i="1"/>
  <c r="BA46" i="1"/>
  <c r="BA56" i="1"/>
  <c r="BA45" i="1"/>
  <c r="R198" i="1"/>
  <c r="G198" i="1"/>
  <c r="T279" i="1"/>
  <c r="H231" i="1"/>
  <c r="H232" i="1" s="1"/>
  <c r="I238" i="1"/>
  <c r="M231" i="1"/>
  <c r="M232" i="1" s="1"/>
  <c r="T198" i="1"/>
  <c r="T199" i="1" s="1"/>
  <c r="R231" i="1"/>
  <c r="R232" i="1" s="1"/>
  <c r="T231" i="1"/>
  <c r="T232" i="1" s="1"/>
  <c r="BV198" i="1"/>
  <c r="G238" i="1"/>
  <c r="C236" i="1"/>
  <c r="C234" i="1" s="1"/>
  <c r="BV46" i="1"/>
  <c r="H198" i="1"/>
  <c r="P277" i="1"/>
  <c r="P279" i="1"/>
  <c r="P198" i="1"/>
  <c r="P199" i="1" s="1"/>
  <c r="S219" i="1"/>
  <c r="S214" i="1"/>
  <c r="N199" i="1"/>
  <c r="U198" i="1"/>
  <c r="U199" i="1" s="1"/>
  <c r="R219" i="1"/>
  <c r="AR198" i="1"/>
  <c r="AR277" i="1"/>
  <c r="M217" i="1"/>
  <c r="BS56" i="1"/>
  <c r="AX45" i="1"/>
  <c r="AX56" i="1"/>
  <c r="AY47" i="1"/>
  <c r="H236" i="1"/>
  <c r="H234" i="1" s="1"/>
  <c r="N236" i="1"/>
  <c r="N234" i="1" s="1"/>
  <c r="M236" i="1"/>
  <c r="M234" i="1" s="1"/>
  <c r="M277" i="1"/>
  <c r="M279" i="1"/>
  <c r="K198" i="1"/>
  <c r="K199" i="1" s="1"/>
  <c r="L214" i="1"/>
  <c r="I231" i="1"/>
  <c r="I232" i="1" s="1"/>
  <c r="N231" i="1"/>
  <c r="N232" i="1" s="1"/>
  <c r="L199" i="1"/>
  <c r="O231" i="1"/>
  <c r="O232" i="1" s="1"/>
  <c r="Q236" i="1"/>
  <c r="Q234" i="1" s="1"/>
  <c r="AR279" i="1"/>
  <c r="R217" i="1"/>
  <c r="M219" i="1"/>
  <c r="AX47" i="1"/>
  <c r="BT46" i="1"/>
  <c r="BV124" i="1"/>
  <c r="BV123" i="1"/>
  <c r="BV122" i="1"/>
  <c r="AP47" i="1"/>
  <c r="BI45" i="1"/>
  <c r="BM46" i="1"/>
  <c r="BI56" i="1"/>
  <c r="BJ47" i="1"/>
  <c r="BP56" i="1"/>
  <c r="BS47" i="1"/>
  <c r="BT47" i="1"/>
  <c r="Q87" i="1"/>
  <c r="BS46" i="1"/>
  <c r="BS45" i="1"/>
  <c r="BB46" i="1"/>
  <c r="AX46" i="1"/>
  <c r="U238" i="1"/>
  <c r="T238" i="1"/>
  <c r="N238" i="1"/>
  <c r="B96" i="1"/>
  <c r="C96" i="1"/>
  <c r="C97" i="1"/>
  <c r="K238" i="1"/>
  <c r="V238" i="1"/>
  <c r="W236" i="1"/>
  <c r="W234" i="1" s="1"/>
  <c r="J238" i="1"/>
  <c r="Q231" i="1"/>
  <c r="Q232" i="1" s="1"/>
  <c r="H214" i="1"/>
  <c r="Q238" i="1"/>
  <c r="D97" i="1"/>
  <c r="D96" i="1"/>
  <c r="J217" i="1"/>
  <c r="P238" i="1"/>
  <c r="C219" i="1"/>
  <c r="V279" i="1"/>
  <c r="P214" i="1"/>
  <c r="V199" i="1"/>
  <c r="O279" i="1"/>
  <c r="Q219" i="1"/>
  <c r="O236" i="1"/>
  <c r="O234" i="1" s="1"/>
  <c r="O277" i="1"/>
  <c r="N214" i="1"/>
  <c r="AM120" i="1"/>
  <c r="AM113" i="1"/>
  <c r="BH137" i="1"/>
  <c r="BW47" i="1"/>
  <c r="CA46" i="1"/>
  <c r="BX47" i="1"/>
  <c r="L238" i="1"/>
  <c r="D217" i="1"/>
  <c r="Q198" i="1"/>
  <c r="Q199" i="1" s="1"/>
  <c r="J219" i="1"/>
  <c r="C217" i="1"/>
  <c r="V277" i="1"/>
  <c r="P219" i="1"/>
  <c r="O198" i="1"/>
  <c r="O199" i="1" s="1"/>
  <c r="P236" i="1"/>
  <c r="P234" i="1" s="1"/>
  <c r="Q217" i="1"/>
  <c r="N219" i="1"/>
  <c r="AM240" i="1"/>
  <c r="AM238" i="1" s="1"/>
  <c r="AM83" i="1"/>
  <c r="BI65" i="1"/>
  <c r="BW45" i="1"/>
  <c r="BW56" i="1"/>
  <c r="BJ69" i="1"/>
  <c r="I219" i="1"/>
  <c r="AM114" i="1"/>
  <c r="B113" i="1"/>
  <c r="B114" i="1"/>
  <c r="AM115" i="1"/>
  <c r="BW46" i="1"/>
  <c r="X87" i="1"/>
  <c r="BJ68" i="1"/>
  <c r="AM82" i="1"/>
  <c r="U231" i="1"/>
  <c r="U232" i="1" s="1"/>
  <c r="J198" i="1"/>
  <c r="J199" i="1" s="1"/>
  <c r="R277" i="1"/>
  <c r="R279" i="1"/>
  <c r="B198" i="1"/>
  <c r="H238" i="1"/>
  <c r="L231" i="1"/>
  <c r="L232" i="1" s="1"/>
  <c r="E231" i="1"/>
  <c r="E232" i="1" s="1"/>
  <c r="K277" i="1"/>
  <c r="K279" i="1"/>
  <c r="V236" i="1"/>
  <c r="V234" i="1" s="1"/>
  <c r="U219" i="1"/>
  <c r="T219" i="1"/>
  <c r="BI46" i="1"/>
  <c r="C198" i="1"/>
  <c r="C277" i="1" s="1"/>
  <c r="F231" i="1"/>
  <c r="F232" i="1" s="1"/>
  <c r="E199" i="1"/>
  <c r="BH199" i="1"/>
  <c r="H277" i="1"/>
  <c r="H279" i="1"/>
  <c r="U277" i="1"/>
  <c r="U279" i="1"/>
  <c r="U236" i="1"/>
  <c r="U234" i="1" s="1"/>
  <c r="S279" i="1"/>
  <c r="S277" i="1"/>
  <c r="T236" i="1"/>
  <c r="T234" i="1" s="1"/>
  <c r="S198" i="1"/>
  <c r="S199" i="1" s="1"/>
  <c r="D138" i="1"/>
  <c r="D141" i="1" s="1"/>
  <c r="D139" i="1"/>
  <c r="D142" i="1" s="1"/>
  <c r="K236" i="1"/>
  <c r="K234" i="1" s="1"/>
  <c r="J277" i="1"/>
  <c r="J279" i="1"/>
  <c r="H217" i="1"/>
  <c r="H219" i="1"/>
  <c r="D214" i="1"/>
  <c r="D219" i="1"/>
  <c r="C138" i="1"/>
  <c r="C141" i="1" s="1"/>
  <c r="C139" i="1"/>
  <c r="C142" i="1" s="1"/>
  <c r="L217" i="1"/>
  <c r="L219" i="1"/>
  <c r="F279" i="1"/>
  <c r="G236" i="1"/>
  <c r="G234" i="1" s="1"/>
  <c r="I198" i="1"/>
  <c r="I199" i="1" s="1"/>
  <c r="I277" i="1"/>
  <c r="I236" i="1"/>
  <c r="I234" i="1" s="1"/>
  <c r="I279" i="1"/>
  <c r="J236" i="1"/>
  <c r="J234" i="1" s="1"/>
  <c r="E238" i="1"/>
  <c r="BV222" i="1"/>
  <c r="AS171" i="1"/>
  <c r="AT61" i="1"/>
  <c r="BH219" i="1"/>
  <c r="BL222" i="1" s="1"/>
  <c r="BH214" i="1"/>
  <c r="F214" i="1"/>
  <c r="F219" i="1"/>
  <c r="BP46" i="1"/>
  <c r="BP45" i="1"/>
  <c r="BQ47" i="1"/>
  <c r="V87" i="1"/>
  <c r="BP47" i="1"/>
  <c r="BE47" i="1"/>
  <c r="BE56" i="1"/>
  <c r="BE45" i="1"/>
  <c r="BF47" i="1"/>
  <c r="BJ58" i="1"/>
  <c r="BF57" i="1"/>
  <c r="BF62" i="1"/>
  <c r="BF66" i="1" s="1"/>
  <c r="BF265" i="1"/>
  <c r="BF266" i="1" s="1"/>
  <c r="BG56" i="1"/>
  <c r="F277" i="1"/>
  <c r="T87" i="1"/>
  <c r="C199" i="1"/>
  <c r="BK46" i="1"/>
  <c r="BH47" i="1"/>
  <c r="F236" i="1"/>
  <c r="F234" i="1" s="1"/>
  <c r="F198" i="1"/>
  <c r="F199" i="1" s="1"/>
  <c r="BG45" i="1"/>
  <c r="BG46" i="1"/>
  <c r="AT265" i="1"/>
  <c r="AT266" i="1" s="1"/>
  <c r="B138" i="1"/>
  <c r="B141" i="1" s="1"/>
  <c r="AT57" i="1"/>
  <c r="D277" i="1"/>
  <c r="D199" i="1"/>
  <c r="AW65" i="1"/>
  <c r="AV137" i="1"/>
  <c r="BS171" i="1"/>
  <c r="BT61" i="1"/>
  <c r="BR279" i="1"/>
  <c r="BR277" i="1"/>
  <c r="AP61" i="1"/>
  <c r="AO171" i="1"/>
  <c r="AN122" i="1"/>
  <c r="AN124" i="1"/>
  <c r="BR198" i="1"/>
  <c r="BR199" i="1" s="1"/>
  <c r="BB137" i="1"/>
  <c r="BC65" i="1"/>
  <c r="AN198" i="1"/>
  <c r="AN199" i="1" s="1"/>
  <c r="BP198" i="1"/>
  <c r="BP199" i="1" s="1"/>
  <c r="AZ61" i="1"/>
  <c r="AY171" i="1"/>
  <c r="BN236" i="1"/>
  <c r="BN234" i="1" s="1"/>
  <c r="BN279" i="1"/>
  <c r="BN277" i="1"/>
  <c r="BN124" i="1"/>
  <c r="BN123" i="1"/>
  <c r="BN122" i="1"/>
  <c r="BP137" i="1"/>
  <c r="BQ65" i="1"/>
  <c r="BB198" i="1"/>
  <c r="BB199" i="1" s="1"/>
  <c r="BF198" i="1"/>
  <c r="BF199" i="1" s="1"/>
  <c r="BT198" i="1"/>
  <c r="BT199" i="1" s="1"/>
  <c r="BF279" i="1"/>
  <c r="BF277" i="1"/>
  <c r="AP279" i="1"/>
  <c r="AP277" i="1"/>
  <c r="BG65" i="1"/>
  <c r="BF137" i="1"/>
  <c r="BD61" i="1"/>
  <c r="BC171" i="1"/>
  <c r="BN198" i="1"/>
  <c r="AZ198" i="1"/>
  <c r="AZ199" i="1" s="1"/>
  <c r="AN277" i="1"/>
  <c r="AN236" i="1"/>
  <c r="AN234" i="1" s="1"/>
  <c r="BT279" i="1"/>
  <c r="BT277" i="1"/>
  <c r="AW171" i="1"/>
  <c r="AX61" i="1"/>
  <c r="BS65" i="1"/>
  <c r="BR137" i="1"/>
  <c r="BA171" i="1"/>
  <c r="BB61" i="1"/>
  <c r="AZ277" i="1"/>
  <c r="AZ279" i="1"/>
  <c r="BR61" i="1"/>
  <c r="BQ171" i="1"/>
  <c r="AN214" i="1"/>
  <c r="AN219" i="1"/>
  <c r="BB279" i="1"/>
  <c r="BB277" i="1"/>
  <c r="BG171" i="1"/>
  <c r="BH61" i="1"/>
  <c r="AV277" i="1"/>
  <c r="AV279" i="1"/>
  <c r="BE171" i="1"/>
  <c r="BF61" i="1"/>
  <c r="BD277" i="1"/>
  <c r="BD279" i="1"/>
  <c r="AX279" i="1"/>
  <c r="AX277" i="1"/>
  <c r="AU65" i="1"/>
  <c r="AT137" i="1"/>
  <c r="AP198" i="1"/>
  <c r="AP199" i="1" s="1"/>
  <c r="BD198" i="1"/>
  <c r="BD199" i="1" s="1"/>
  <c r="AR122" i="1"/>
  <c r="AR124" i="1"/>
  <c r="AR123" i="1"/>
  <c r="AX124" i="1"/>
  <c r="AX123" i="1"/>
  <c r="AX122" i="1"/>
  <c r="BV61" i="1"/>
  <c r="BU171" i="1"/>
  <c r="AQ171" i="1"/>
  <c r="AR61" i="1"/>
  <c r="AT219" i="1"/>
  <c r="AT214" i="1"/>
  <c r="AO65" i="1"/>
  <c r="AN137" i="1"/>
  <c r="AR219" i="1"/>
  <c r="AR217" i="1"/>
  <c r="AV61" i="1"/>
  <c r="AU171" i="1"/>
  <c r="BD123" i="1"/>
  <c r="BD122" i="1"/>
  <c r="BD124" i="1"/>
  <c r="BU65" i="1"/>
  <c r="BT137" i="1"/>
  <c r="BE65" i="1"/>
  <c r="BD137" i="1"/>
  <c r="AV124" i="1"/>
  <c r="AV122" i="1"/>
  <c r="AV123" i="1"/>
  <c r="AV198" i="1"/>
  <c r="AV199" i="1" s="1"/>
  <c r="AX198" i="1"/>
  <c r="AX199" i="1" s="1"/>
  <c r="BP61" i="1"/>
  <c r="BO171" i="1"/>
  <c r="BP279" i="1"/>
  <c r="BP277" i="1"/>
  <c r="AY65" i="1"/>
  <c r="AX137" i="1"/>
  <c r="AT198" i="1"/>
  <c r="AT199" i="1" s="1"/>
  <c r="AT279" i="1"/>
  <c r="AT277" i="1"/>
  <c r="AP137" i="1"/>
  <c r="AQ65" i="1"/>
  <c r="AZ137" i="1"/>
  <c r="BA65" i="1"/>
  <c r="AZ123" i="1"/>
  <c r="AZ124" i="1"/>
  <c r="AZ122" i="1"/>
  <c r="AP219" i="1"/>
  <c r="AP222" i="1" s="1"/>
  <c r="AP217" i="1"/>
  <c r="AX214" i="1"/>
  <c r="AX219" i="1"/>
  <c r="BF214" i="1"/>
  <c r="BF219" i="1"/>
  <c r="BJ222" i="1" s="1"/>
  <c r="BT124" i="1"/>
  <c r="BT123" i="1"/>
  <c r="BT122" i="1"/>
  <c r="BF123" i="1"/>
  <c r="BF124" i="1"/>
  <c r="BF122" i="1"/>
  <c r="AV214" i="1"/>
  <c r="BR214" i="1"/>
  <c r="BN214" i="1"/>
  <c r="BN219" i="1"/>
  <c r="BB219" i="1"/>
  <c r="BB214" i="1"/>
  <c r="BD214" i="1"/>
  <c r="BD219" i="1"/>
  <c r="BT219" i="1"/>
  <c r="BT214" i="1"/>
  <c r="BX236" i="1"/>
  <c r="BX234" i="1" s="1"/>
  <c r="BW236" i="1"/>
  <c r="BW234" i="1" s="1"/>
  <c r="AZ219" i="1"/>
  <c r="AZ222" i="1" s="1"/>
  <c r="AZ214" i="1"/>
  <c r="AQ283" i="1"/>
  <c r="AQ284" i="1" s="1"/>
  <c r="AT58" i="1"/>
  <c r="AQ59" i="1"/>
  <c r="BO58" i="1"/>
  <c r="BK59" i="1"/>
  <c r="BK57" i="1"/>
  <c r="BL59" i="1"/>
  <c r="BK265" i="1"/>
  <c r="BK266" i="1" s="1"/>
  <c r="BK62" i="1"/>
  <c r="BK66" i="1" s="1"/>
  <c r="BK283" i="1"/>
  <c r="BK284" i="1" s="1"/>
  <c r="BL283" i="1"/>
  <c r="BL284" i="1" s="1"/>
  <c r="AY57" i="1"/>
  <c r="AY265" i="1"/>
  <c r="AY266" i="1" s="1"/>
  <c r="AY62" i="1"/>
  <c r="AY66" i="1" s="1"/>
  <c r="AZ283" i="1"/>
  <c r="AZ284" i="1" s="1"/>
  <c r="AZ59" i="1"/>
  <c r="AP57" i="1"/>
  <c r="AP58" i="1"/>
  <c r="AP265" i="1"/>
  <c r="AP266" i="1" s="1"/>
  <c r="AP62" i="1"/>
  <c r="AP66" i="1" s="1"/>
  <c r="BV283" i="1"/>
  <c r="BV284" i="1" s="1"/>
  <c r="BV59" i="1"/>
  <c r="BM140" i="1"/>
  <c r="BM146" i="1" s="1"/>
  <c r="BM259" i="1"/>
  <c r="BU58" i="1"/>
  <c r="BU57" i="1"/>
  <c r="BU265" i="1"/>
  <c r="BU266" i="1" s="1"/>
  <c r="BY58" i="1"/>
  <c r="BU62" i="1"/>
  <c r="BU66" i="1" s="1"/>
  <c r="U88" i="1"/>
  <c r="AS265" i="1"/>
  <c r="AS266" i="1" s="1"/>
  <c r="AS62" i="1"/>
  <c r="AS66" i="1" s="1"/>
  <c r="AW58" i="1"/>
  <c r="AT59" i="1"/>
  <c r="AS283" i="1"/>
  <c r="AS284" i="1" s="1"/>
  <c r="AS57" i="1"/>
  <c r="AT283" i="1"/>
  <c r="AT284" i="1" s="1"/>
  <c r="AS259" i="1"/>
  <c r="AS140" i="1"/>
  <c r="BM62" i="1"/>
  <c r="BM66" i="1" s="1"/>
  <c r="BM57" i="1"/>
  <c r="BQ58" i="1"/>
  <c r="BM59" i="1"/>
  <c r="BM265" i="1"/>
  <c r="BM266" i="1" s="1"/>
  <c r="BM283" i="1"/>
  <c r="BM284" i="1" s="1"/>
  <c r="BD283" i="1"/>
  <c r="BD284" i="1" s="1"/>
  <c r="O88" i="1"/>
  <c r="AP59" i="1"/>
  <c r="BD62" i="1"/>
  <c r="BD66" i="1" s="1"/>
  <c r="BD57" i="1"/>
  <c r="BD265" i="1"/>
  <c r="BD266" i="1" s="1"/>
  <c r="BO57" i="1"/>
  <c r="BO62" i="1"/>
  <c r="BO66" i="1" s="1"/>
  <c r="BO265" i="1"/>
  <c r="BO266" i="1" s="1"/>
  <c r="BC59" i="1"/>
  <c r="AJ59" i="1"/>
  <c r="AL140" i="1"/>
  <c r="AI57" i="1"/>
  <c r="AM58" i="1"/>
  <c r="AI62" i="1"/>
  <c r="N88" i="1"/>
  <c r="AL259" i="1"/>
  <c r="AI265" i="1"/>
  <c r="AI266" i="1" s="1"/>
  <c r="AW259" i="1"/>
  <c r="AU259" i="1"/>
  <c r="AW140" i="1"/>
  <c r="AU59" i="1"/>
  <c r="AU283" i="1"/>
  <c r="AU284" i="1" s="1"/>
  <c r="AU140" i="1"/>
  <c r="AV259" i="1"/>
  <c r="AU265" i="1"/>
  <c r="AU266" i="1" s="1"/>
  <c r="AU57" i="1"/>
  <c r="AU62" i="1"/>
  <c r="AU66" i="1" s="1"/>
  <c r="AY58" i="1"/>
  <c r="AV59" i="1"/>
  <c r="AV283" i="1"/>
  <c r="AV284" i="1" s="1"/>
  <c r="AU58" i="1"/>
  <c r="BV138" i="1"/>
  <c r="BV139" i="1"/>
  <c r="BD59" i="1"/>
  <c r="BC62" i="1"/>
  <c r="BC57" i="1"/>
  <c r="BC265" i="1"/>
  <c r="BC266" i="1" s="1"/>
  <c r="BC58" i="1"/>
  <c r="BV58" i="1"/>
  <c r="AQ259" i="1"/>
  <c r="AZ69" i="1"/>
  <c r="AZ68" i="1"/>
  <c r="BR283" i="1"/>
  <c r="BR284" i="1" s="1"/>
  <c r="BR57" i="1"/>
  <c r="BR59" i="1"/>
  <c r="BR265" i="1"/>
  <c r="BR266" i="1" s="1"/>
  <c r="BR62" i="1"/>
  <c r="BN140" i="1"/>
  <c r="BN146" i="1" s="1"/>
  <c r="BN259" i="1"/>
  <c r="AQ140" i="1"/>
  <c r="AR259" i="1"/>
  <c r="AP259" i="1"/>
  <c r="AP283" i="1"/>
  <c r="AP284" i="1" s="1"/>
  <c r="AP140" i="1"/>
  <c r="AV140" i="1"/>
  <c r="BI236" i="1"/>
  <c r="BI234" i="1" s="1"/>
  <c r="BV68" i="1"/>
  <c r="BV69" i="1"/>
  <c r="AV62" i="1"/>
  <c r="AZ58" i="1"/>
  <c r="AV57" i="1"/>
  <c r="AV265" i="1"/>
  <c r="AV266" i="1" s="1"/>
  <c r="AW283" i="1"/>
  <c r="AW284" i="1" s="1"/>
  <c r="AW59" i="1"/>
  <c r="BL58" i="1"/>
  <c r="BH57" i="1"/>
  <c r="BH62" i="1"/>
  <c r="BH66" i="1" s="1"/>
  <c r="BH265" i="1"/>
  <c r="BH266" i="1" s="1"/>
  <c r="BH58" i="1"/>
  <c r="AN283" i="1"/>
  <c r="AN284" i="1" s="1"/>
  <c r="AN62" i="1"/>
  <c r="AO259" i="1"/>
  <c r="AN59" i="1"/>
  <c r="AN57" i="1"/>
  <c r="AN265" i="1"/>
  <c r="AN266" i="1" s="1"/>
  <c r="AN259" i="1"/>
  <c r="AR58" i="1"/>
  <c r="AO140" i="1"/>
  <c r="AN140" i="1"/>
  <c r="AO59" i="1"/>
  <c r="AN58" i="1"/>
  <c r="BN62" i="1"/>
  <c r="BO259" i="1"/>
  <c r="BR58" i="1"/>
  <c r="BN57" i="1"/>
  <c r="BO59" i="1"/>
  <c r="BN59" i="1"/>
  <c r="BN265" i="1"/>
  <c r="BN266" i="1" s="1"/>
  <c r="BO283" i="1"/>
  <c r="BO284" i="1" s="1"/>
  <c r="BN283" i="1"/>
  <c r="BN284" i="1" s="1"/>
  <c r="BN58" i="1"/>
  <c r="BO140" i="1"/>
  <c r="BO146" i="1" s="1"/>
  <c r="BB62" i="1"/>
  <c r="BF58" i="1"/>
  <c r="BB265" i="1"/>
  <c r="BB266" i="1" s="1"/>
  <c r="BB57" i="1"/>
  <c r="BC283" i="1"/>
  <c r="BC284" i="1" s="1"/>
  <c r="AQ57" i="1"/>
  <c r="AT259" i="1"/>
  <c r="AQ265" i="1"/>
  <c r="AQ266" i="1" s="1"/>
  <c r="P88" i="1"/>
  <c r="AQ62" i="1"/>
  <c r="AQ58" i="1"/>
  <c r="AR59" i="1"/>
  <c r="AR283" i="1"/>
  <c r="AR284" i="1" s="1"/>
  <c r="AT140" i="1"/>
  <c r="AO265" i="1"/>
  <c r="AO266" i="1" s="1"/>
  <c r="AO62" i="1"/>
  <c r="AO66" i="1" s="1"/>
  <c r="AO68" i="1" s="1"/>
  <c r="AR140" i="1"/>
  <c r="AO283" i="1"/>
  <c r="AO284" i="1" s="1"/>
  <c r="AO58" i="1"/>
  <c r="AS58" i="1"/>
  <c r="AO57" i="1"/>
  <c r="AR69" i="1"/>
  <c r="AR68" i="1"/>
  <c r="BT62" i="1"/>
  <c r="BU283" i="1"/>
  <c r="BU284" i="1" s="1"/>
  <c r="BT57" i="1"/>
  <c r="BX58" i="1"/>
  <c r="BU59" i="1"/>
  <c r="BT265" i="1"/>
  <c r="BT266" i="1" s="1"/>
  <c r="AV58" i="1"/>
  <c r="BQ68" i="1"/>
  <c r="BQ69" i="1"/>
  <c r="AW68" i="1"/>
  <c r="AW69" i="1"/>
  <c r="AT69" i="1"/>
  <c r="AT68" i="1"/>
  <c r="CR167" i="1"/>
  <c r="AE175" i="1"/>
  <c r="AC157" i="1"/>
  <c r="BA283" i="1" l="1"/>
  <c r="BV199" i="1"/>
  <c r="D246" i="1"/>
  <c r="H199" i="1"/>
  <c r="D243" i="1"/>
  <c r="D244" i="1" s="1"/>
  <c r="G199" i="1"/>
  <c r="S246" i="1"/>
  <c r="N246" i="1"/>
  <c r="H246" i="1"/>
  <c r="M243" i="1"/>
  <c r="M244" i="1" s="1"/>
  <c r="C246" i="1"/>
  <c r="AR199" i="1"/>
  <c r="BN137" i="1"/>
  <c r="BN199" i="1"/>
  <c r="S222" i="1"/>
  <c r="S223" i="1" s="1"/>
  <c r="BC140" i="1"/>
  <c r="BC146" i="1" s="1"/>
  <c r="BI283" i="1"/>
  <c r="BI284" i="1" s="1"/>
  <c r="BP259" i="1"/>
  <c r="AX283" i="1"/>
  <c r="AX284" i="1" s="1"/>
  <c r="AX265" i="1"/>
  <c r="AX266" i="1" s="1"/>
  <c r="AX58" i="1"/>
  <c r="BB58" i="1"/>
  <c r="AZ259" i="1"/>
  <c r="AX59" i="1"/>
  <c r="BT58" i="1"/>
  <c r="BA57" i="1"/>
  <c r="BA265" i="1"/>
  <c r="BA266" i="1" s="1"/>
  <c r="BA62" i="1"/>
  <c r="BA66" i="1" s="1"/>
  <c r="M199" i="1"/>
  <c r="R199" i="1"/>
  <c r="M246" i="1"/>
  <c r="S243" i="1"/>
  <c r="S244" i="1" s="1"/>
  <c r="C243" i="1"/>
  <c r="C244" i="1" s="1"/>
  <c r="R243" i="1"/>
  <c r="R244" i="1" s="1"/>
  <c r="R246" i="1"/>
  <c r="BO65" i="1"/>
  <c r="BC259" i="1"/>
  <c r="BI59" i="1"/>
  <c r="BB59" i="1"/>
  <c r="BU140" i="1"/>
  <c r="BU146" i="1" s="1"/>
  <c r="BA259" i="1"/>
  <c r="BL140" i="1"/>
  <c r="BL146" i="1" s="1"/>
  <c r="BS259" i="1"/>
  <c r="BK140" i="1"/>
  <c r="BK146" i="1" s="1"/>
  <c r="BS62" i="1"/>
  <c r="BS66" i="1" s="1"/>
  <c r="BS283" i="1"/>
  <c r="BS284" i="1" s="1"/>
  <c r="BS140" i="1"/>
  <c r="BS146" i="1" s="1"/>
  <c r="BV259" i="1"/>
  <c r="BS59" i="1"/>
  <c r="BR259" i="1"/>
  <c r="BR140" i="1"/>
  <c r="BR146" i="1" s="1"/>
  <c r="AX140" i="1"/>
  <c r="AY259" i="1"/>
  <c r="AY283" i="1"/>
  <c r="AY284" i="1" s="1"/>
  <c r="BV140" i="1"/>
  <c r="BV146" i="1" s="1"/>
  <c r="BT140" i="1"/>
  <c r="BT146" i="1" s="1"/>
  <c r="BT59" i="1"/>
  <c r="BK259" i="1"/>
  <c r="Q88" i="1"/>
  <c r="BD259" i="1"/>
  <c r="BB259" i="1"/>
  <c r="BB283" i="1"/>
  <c r="BB284" i="1" s="1"/>
  <c r="BI265" i="1"/>
  <c r="BI266" i="1" s="1"/>
  <c r="BI62" i="1"/>
  <c r="BI57" i="1"/>
  <c r="BL259" i="1"/>
  <c r="BJ59" i="1"/>
  <c r="BS58" i="1"/>
  <c r="BS57" i="1"/>
  <c r="BS265" i="1"/>
  <c r="BS266" i="1" s="1"/>
  <c r="BT259" i="1"/>
  <c r="V88" i="1"/>
  <c r="BA140" i="1"/>
  <c r="AY140" i="1"/>
  <c r="AY59" i="1"/>
  <c r="AZ140" i="1"/>
  <c r="R88" i="1"/>
  <c r="BQ140" i="1"/>
  <c r="BQ146" i="1" s="1"/>
  <c r="BP140" i="1"/>
  <c r="BP146" i="1" s="1"/>
  <c r="BQ259" i="1"/>
  <c r="AX62" i="1"/>
  <c r="AX57" i="1"/>
  <c r="BB140" i="1"/>
  <c r="BB146" i="1" s="1"/>
  <c r="BD140" i="1"/>
  <c r="BD146" i="1" s="1"/>
  <c r="BA59" i="1"/>
  <c r="BA58" i="1"/>
  <c r="BJ283" i="1"/>
  <c r="BJ284" i="1" s="1"/>
  <c r="BQ59" i="1"/>
  <c r="BP57" i="1"/>
  <c r="BP58" i="1"/>
  <c r="BP265" i="1"/>
  <c r="BP266" i="1" s="1"/>
  <c r="BP62" i="1"/>
  <c r="BP66" i="1" s="1"/>
  <c r="BQ283" i="1"/>
  <c r="BQ284" i="1" s="1"/>
  <c r="BM58" i="1"/>
  <c r="BP59" i="1"/>
  <c r="BP283" i="1"/>
  <c r="BP284" i="1" s="1"/>
  <c r="AX259" i="1"/>
  <c r="BT283" i="1"/>
  <c r="BT284" i="1" s="1"/>
  <c r="C114" i="1"/>
  <c r="C115" i="1"/>
  <c r="C113" i="1"/>
  <c r="C98" i="1"/>
  <c r="D98" i="1"/>
  <c r="B117" i="1"/>
  <c r="P246" i="1"/>
  <c r="Q243" i="1"/>
  <c r="Q244" i="1" s="1"/>
  <c r="P243" i="1"/>
  <c r="P244" i="1" s="1"/>
  <c r="Q246" i="1"/>
  <c r="N243" i="1"/>
  <c r="N244" i="1" s="1"/>
  <c r="O246" i="1"/>
  <c r="J222" i="1"/>
  <c r="J223" i="1" s="1"/>
  <c r="Q222" i="1"/>
  <c r="Q223" i="1" s="1"/>
  <c r="O243" i="1"/>
  <c r="O244" i="1" s="1"/>
  <c r="D113" i="1"/>
  <c r="D114" i="1"/>
  <c r="D115" i="1"/>
  <c r="C117" i="1"/>
  <c r="K222" i="1"/>
  <c r="K223" i="1" s="1"/>
  <c r="C222" i="1"/>
  <c r="C223" i="1" s="1"/>
  <c r="R222" i="1"/>
  <c r="R223" i="1" s="1"/>
  <c r="T222" i="1"/>
  <c r="T223" i="1" s="1"/>
  <c r="U222" i="1"/>
  <c r="U223" i="1" s="1"/>
  <c r="P222" i="1"/>
  <c r="P223" i="1" s="1"/>
  <c r="O222" i="1"/>
  <c r="O223" i="1" s="1"/>
  <c r="N222" i="1"/>
  <c r="N223" i="1" s="1"/>
  <c r="BX259" i="1"/>
  <c r="AM122" i="1"/>
  <c r="AM123" i="1"/>
  <c r="AM124" i="1"/>
  <c r="BH138" i="1"/>
  <c r="BH139" i="1"/>
  <c r="BX140" i="1"/>
  <c r="BX146" i="1" s="1"/>
  <c r="BW59" i="1"/>
  <c r="BW265" i="1"/>
  <c r="BW266" i="1" s="1"/>
  <c r="BX59" i="1"/>
  <c r="BW57" i="1"/>
  <c r="BZ140" i="1"/>
  <c r="BZ146" i="1" s="1"/>
  <c r="BZ259" i="1"/>
  <c r="BW62" i="1"/>
  <c r="BY140" i="1"/>
  <c r="BY146" i="1" s="1"/>
  <c r="BY259" i="1"/>
  <c r="BJ267" i="1"/>
  <c r="BJ76" i="1"/>
  <c r="BW58" i="1"/>
  <c r="BW259" i="1"/>
  <c r="X88" i="1"/>
  <c r="BW283" i="1"/>
  <c r="BW284" i="1" s="1"/>
  <c r="CA58" i="1"/>
  <c r="BX283" i="1"/>
  <c r="BX284" i="1" s="1"/>
  <c r="BW140" i="1"/>
  <c r="BW146" i="1" s="1"/>
  <c r="BJ70" i="1"/>
  <c r="BJ278" i="1" s="1"/>
  <c r="B199" i="1"/>
  <c r="B277" i="1"/>
  <c r="F246" i="1"/>
  <c r="T243" i="1"/>
  <c r="T244" i="1" s="1"/>
  <c r="V222" i="1"/>
  <c r="V223" i="1" s="1"/>
  <c r="K246" i="1"/>
  <c r="J246" i="1"/>
  <c r="K243" i="1"/>
  <c r="K244" i="1" s="1"/>
  <c r="T246" i="1"/>
  <c r="U246" i="1"/>
  <c r="U243" i="1"/>
  <c r="U244" i="1" s="1"/>
  <c r="H243" i="1"/>
  <c r="H244" i="1" s="1"/>
  <c r="J243" i="1"/>
  <c r="J244" i="1" s="1"/>
  <c r="I243" i="1"/>
  <c r="I244" i="1" s="1"/>
  <c r="I246" i="1"/>
  <c r="I222" i="1"/>
  <c r="I223" i="1" s="1"/>
  <c r="G243" i="1"/>
  <c r="G244" i="1" s="1"/>
  <c r="G246" i="1"/>
  <c r="E243" i="1"/>
  <c r="E244" i="1" s="1"/>
  <c r="E246" i="1"/>
  <c r="V243" i="1"/>
  <c r="V244" i="1" s="1"/>
  <c r="V246" i="1"/>
  <c r="L246" i="1"/>
  <c r="L243" i="1"/>
  <c r="L244" i="1" s="1"/>
  <c r="L222" i="1"/>
  <c r="L223" i="1" s="1"/>
  <c r="E222" i="1"/>
  <c r="E223" i="1" s="1"/>
  <c r="F222" i="1"/>
  <c r="F223" i="1" s="1"/>
  <c r="H222" i="1"/>
  <c r="H223" i="1" s="1"/>
  <c r="G222" i="1"/>
  <c r="G223" i="1" s="1"/>
  <c r="D222" i="1"/>
  <c r="D223" i="1" s="1"/>
  <c r="M222" i="1"/>
  <c r="M223" i="1" s="1"/>
  <c r="BE59" i="1"/>
  <c r="BE283" i="1"/>
  <c r="BE284" i="1" s="1"/>
  <c r="BI58" i="1"/>
  <c r="BE265" i="1"/>
  <c r="BE266" i="1" s="1"/>
  <c r="BE57" i="1"/>
  <c r="BE62" i="1"/>
  <c r="BE66" i="1" s="1"/>
  <c r="BF59" i="1"/>
  <c r="BF69" i="1"/>
  <c r="BF68" i="1"/>
  <c r="BH259" i="1"/>
  <c r="BJ140" i="1"/>
  <c r="BJ146" i="1" s="1"/>
  <c r="BI259" i="1"/>
  <c r="BG265" i="1"/>
  <c r="BG266" i="1" s="1"/>
  <c r="BH140" i="1"/>
  <c r="BH146" i="1" s="1"/>
  <c r="BH59" i="1"/>
  <c r="BG59" i="1"/>
  <c r="BH283" i="1"/>
  <c r="BH284" i="1" s="1"/>
  <c r="BF259" i="1"/>
  <c r="BG57" i="1"/>
  <c r="T88" i="1"/>
  <c r="BG140" i="1"/>
  <c r="BG146" i="1" s="1"/>
  <c r="BG283" i="1"/>
  <c r="BG284" i="1" s="1"/>
  <c r="BG62" i="1"/>
  <c r="BI140" i="1"/>
  <c r="BI146" i="1" s="1"/>
  <c r="BJ259" i="1"/>
  <c r="BG259" i="1"/>
  <c r="BE259" i="1"/>
  <c r="BE140" i="1"/>
  <c r="BE146" i="1" s="1"/>
  <c r="BF140" i="1"/>
  <c r="BF146" i="1" s="1"/>
  <c r="S88" i="1"/>
  <c r="BF283" i="1"/>
  <c r="BF284" i="1" s="1"/>
  <c r="BE58" i="1"/>
  <c r="BG58" i="1"/>
  <c r="BK58" i="1"/>
  <c r="AS236" i="1"/>
  <c r="AS234" i="1" s="1"/>
  <c r="AT236" i="1"/>
  <c r="AT234" i="1" s="1"/>
  <c r="F243" i="1"/>
  <c r="F244" i="1" s="1"/>
  <c r="AV138" i="1"/>
  <c r="AV141" i="1" s="1"/>
  <c r="AV139" i="1"/>
  <c r="AV142" i="1" s="1"/>
  <c r="BT236" i="1"/>
  <c r="BT234" i="1" s="1"/>
  <c r="BS236" i="1"/>
  <c r="BS234" i="1" s="1"/>
  <c r="AP236" i="1"/>
  <c r="AP234" i="1" s="1"/>
  <c r="AO236" i="1"/>
  <c r="AO234" i="1" s="1"/>
  <c r="BB139" i="1"/>
  <c r="BB138" i="1"/>
  <c r="BP138" i="1"/>
  <c r="BP139" i="1"/>
  <c r="AY236" i="1"/>
  <c r="AY234" i="1" s="1"/>
  <c r="AZ236" i="1"/>
  <c r="AZ234" i="1" s="1"/>
  <c r="BF139" i="1"/>
  <c r="BF142" i="1" s="1"/>
  <c r="BF138" i="1"/>
  <c r="BF141" i="1" s="1"/>
  <c r="BC236" i="1"/>
  <c r="BC234" i="1" s="1"/>
  <c r="BD236" i="1"/>
  <c r="BD234" i="1" s="1"/>
  <c r="AX236" i="1"/>
  <c r="AX234" i="1" s="1"/>
  <c r="AW236" i="1"/>
  <c r="AW234" i="1" s="1"/>
  <c r="BB236" i="1"/>
  <c r="BB234" i="1" s="1"/>
  <c r="BA236" i="1"/>
  <c r="BA234" i="1" s="1"/>
  <c r="BR236" i="1"/>
  <c r="BR234" i="1" s="1"/>
  <c r="BQ236" i="1"/>
  <c r="BQ234" i="1" s="1"/>
  <c r="BH236" i="1"/>
  <c r="BH234" i="1" s="1"/>
  <c r="BG236" i="1"/>
  <c r="BG234" i="1" s="1"/>
  <c r="AR236" i="1"/>
  <c r="AR234" i="1" s="1"/>
  <c r="AQ236" i="1"/>
  <c r="AQ234" i="1" s="1"/>
  <c r="AR222" i="1"/>
  <c r="AV222" i="1"/>
  <c r="BR138" i="1"/>
  <c r="BR139" i="1"/>
  <c r="BE236" i="1"/>
  <c r="BE234" i="1" s="1"/>
  <c r="BF236" i="1"/>
  <c r="BF234" i="1" s="1"/>
  <c r="AT139" i="1"/>
  <c r="AT142" i="1" s="1"/>
  <c r="AT138" i="1"/>
  <c r="AT141" i="1" s="1"/>
  <c r="AN139" i="1"/>
  <c r="AN142" i="1" s="1"/>
  <c r="AN138" i="1"/>
  <c r="AN141" i="1" s="1"/>
  <c r="AT222" i="1"/>
  <c r="AX222" i="1"/>
  <c r="BV236" i="1"/>
  <c r="BV234" i="1" s="1"/>
  <c r="BU236" i="1"/>
  <c r="BU234" i="1" s="1"/>
  <c r="AV236" i="1"/>
  <c r="AV234" i="1" s="1"/>
  <c r="AU236" i="1"/>
  <c r="AU234" i="1" s="1"/>
  <c r="BT139" i="1"/>
  <c r="BT138" i="1"/>
  <c r="BD139" i="1"/>
  <c r="BD138" i="1"/>
  <c r="BO236" i="1"/>
  <c r="BO234" i="1" s="1"/>
  <c r="BP236" i="1"/>
  <c r="BP234" i="1" s="1"/>
  <c r="AX138" i="1"/>
  <c r="AX139" i="1"/>
  <c r="AP138" i="1"/>
  <c r="AP141" i="1" s="1"/>
  <c r="AP139" i="1"/>
  <c r="AP142" i="1" s="1"/>
  <c r="AZ138" i="1"/>
  <c r="AZ139" i="1"/>
  <c r="BH222" i="1"/>
  <c r="BD222" i="1"/>
  <c r="BN222" i="1"/>
  <c r="BR222" i="1"/>
  <c r="BB222" i="1"/>
  <c r="BF222" i="1"/>
  <c r="BT222" i="1"/>
  <c r="BX222" i="1"/>
  <c r="BK69" i="1"/>
  <c r="BK68" i="1"/>
  <c r="AY68" i="1"/>
  <c r="AY69" i="1"/>
  <c r="AP68" i="1"/>
  <c r="AP69" i="1"/>
  <c r="AP71" i="1" s="1"/>
  <c r="BU69" i="1"/>
  <c r="BY71" i="1" s="1"/>
  <c r="BU68" i="1"/>
  <c r="AS68" i="1"/>
  <c r="AS69" i="1"/>
  <c r="AS72" i="1" s="1"/>
  <c r="BM68" i="1"/>
  <c r="BM69" i="1"/>
  <c r="BD68" i="1"/>
  <c r="BD69" i="1"/>
  <c r="BO69" i="1"/>
  <c r="BO68" i="1"/>
  <c r="AL142" i="1"/>
  <c r="AL141" i="1"/>
  <c r="AI66" i="1"/>
  <c r="AL83" i="1"/>
  <c r="AU69" i="1"/>
  <c r="AU68" i="1"/>
  <c r="BC66" i="1"/>
  <c r="AZ267" i="1"/>
  <c r="AZ76" i="1"/>
  <c r="AZ70" i="1"/>
  <c r="AZ278" i="1" s="1"/>
  <c r="BR66" i="1"/>
  <c r="AR83" i="1"/>
  <c r="AP83" i="1"/>
  <c r="AO69" i="1"/>
  <c r="AR70" i="1"/>
  <c r="AR278" i="1" s="1"/>
  <c r="AR76" i="1"/>
  <c r="AR267" i="1"/>
  <c r="BN66" i="1"/>
  <c r="BV70" i="1"/>
  <c r="BV278" i="1" s="1"/>
  <c r="BV76" i="1"/>
  <c r="BV267" i="1"/>
  <c r="BZ71" i="1"/>
  <c r="BH69" i="1"/>
  <c r="BH68" i="1"/>
  <c r="AQ66" i="1"/>
  <c r="AT83" i="1"/>
  <c r="BX83" i="1"/>
  <c r="BZ83" i="1"/>
  <c r="BW66" i="1"/>
  <c r="BB66" i="1"/>
  <c r="AN83" i="1"/>
  <c r="AN66" i="1"/>
  <c r="AV66" i="1"/>
  <c r="AV83" i="1"/>
  <c r="BT66" i="1"/>
  <c r="BN83" i="1"/>
  <c r="BY83" i="1"/>
  <c r="BZ141" i="1"/>
  <c r="BZ142" i="1"/>
  <c r="BG66" i="1"/>
  <c r="BJ80" i="1"/>
  <c r="BJ226" i="1"/>
  <c r="BJ228" i="1" s="1"/>
  <c r="BJ94" i="1"/>
  <c r="BQ70" i="1"/>
  <c r="BQ278" i="1" s="1"/>
  <c r="BQ76" i="1"/>
  <c r="BQ267" i="1"/>
  <c r="AT76" i="1"/>
  <c r="AT267" i="1"/>
  <c r="AT70" i="1"/>
  <c r="AT278" i="1" s="1"/>
  <c r="AW76" i="1"/>
  <c r="AW267" i="1"/>
  <c r="AW70" i="1"/>
  <c r="AW278" i="1" s="1"/>
  <c r="CR171" i="1"/>
  <c r="CS60" i="1"/>
  <c r="BA284" i="1" l="1"/>
  <c r="BA68" i="1"/>
  <c r="BA69" i="1"/>
  <c r="BB142" i="1"/>
  <c r="BB141" i="1"/>
  <c r="BN139" i="1"/>
  <c r="BN142" i="1" s="1"/>
  <c r="BN138" i="1"/>
  <c r="BN141" i="1" s="1"/>
  <c r="BP141" i="1"/>
  <c r="BP142" i="1"/>
  <c r="BI66" i="1"/>
  <c r="BV141" i="1"/>
  <c r="BE69" i="1"/>
  <c r="BF267" i="1"/>
  <c r="BF76" i="1"/>
  <c r="BD83" i="1"/>
  <c r="BF83" i="1"/>
  <c r="BX141" i="1"/>
  <c r="BV142" i="1"/>
  <c r="AZ83" i="1"/>
  <c r="BP83" i="1"/>
  <c r="BH141" i="1"/>
  <c r="AX83" i="1"/>
  <c r="BJ141" i="1"/>
  <c r="BJ83" i="1"/>
  <c r="BS68" i="1"/>
  <c r="BR141" i="1"/>
  <c r="BR142" i="1"/>
  <c r="BT142" i="1"/>
  <c r="BT141" i="1"/>
  <c r="BD142" i="1"/>
  <c r="BD141" i="1"/>
  <c r="AX141" i="1"/>
  <c r="AX142" i="1"/>
  <c r="AZ141" i="1"/>
  <c r="AZ142" i="1"/>
  <c r="BL141" i="1"/>
  <c r="BL142" i="1"/>
  <c r="BP68" i="1"/>
  <c r="BP69" i="1"/>
  <c r="BQ72" i="1" s="1"/>
  <c r="BL83" i="1"/>
  <c r="BE68" i="1"/>
  <c r="BF70" i="1"/>
  <c r="BF278" i="1" s="1"/>
  <c r="BJ71" i="1"/>
  <c r="BV83" i="1"/>
  <c r="BX142" i="1"/>
  <c r="BR83" i="1"/>
  <c r="AX66" i="1"/>
  <c r="BB83" i="1"/>
  <c r="BH142" i="1"/>
  <c r="BT83" i="1"/>
  <c r="BJ142" i="1"/>
  <c r="BH83" i="1"/>
  <c r="BS69" i="1"/>
  <c r="BL72" i="1"/>
  <c r="BK76" i="1"/>
  <c r="BK70" i="1"/>
  <c r="BK278" i="1" s="1"/>
  <c r="AY267" i="1"/>
  <c r="AY70" i="1"/>
  <c r="AY278" i="1" s="1"/>
  <c r="AT71" i="1"/>
  <c r="AP267" i="1"/>
  <c r="AP76" i="1"/>
  <c r="AP70" i="1"/>
  <c r="AP278" i="1" s="1"/>
  <c r="AZ72" i="1"/>
  <c r="AY76" i="1"/>
  <c r="BU70" i="1"/>
  <c r="BU278" i="1" s="1"/>
  <c r="BU267" i="1"/>
  <c r="BU76" i="1"/>
  <c r="BK72" i="1"/>
  <c r="BK267" i="1"/>
  <c r="AS76" i="1"/>
  <c r="AS70" i="1"/>
  <c r="AS278" i="1" s="1"/>
  <c r="BV72" i="1"/>
  <c r="BU71" i="1"/>
  <c r="AS267" i="1"/>
  <c r="AT72" i="1"/>
  <c r="AW71" i="1"/>
  <c r="BP76" i="1"/>
  <c r="BP71" i="1"/>
  <c r="BP267" i="1"/>
  <c r="BP70" i="1"/>
  <c r="BP278" i="1" s="1"/>
  <c r="BM76" i="1"/>
  <c r="BM72" i="1"/>
  <c r="BM267" i="1"/>
  <c r="BM260" i="1"/>
  <c r="BQ71" i="1"/>
  <c r="BM70" i="1"/>
  <c r="BM278" i="1" s="1"/>
  <c r="BC69" i="1"/>
  <c r="BC68" i="1"/>
  <c r="BD76" i="1"/>
  <c r="BD267" i="1"/>
  <c r="BD70" i="1"/>
  <c r="BD278" i="1" s="1"/>
  <c r="BD71" i="1"/>
  <c r="BO267" i="1"/>
  <c r="BO70" i="1"/>
  <c r="BO278" i="1" s="1"/>
  <c r="BO76" i="1"/>
  <c r="BP72" i="1"/>
  <c r="BO71" i="1"/>
  <c r="AI69" i="1"/>
  <c r="AI68" i="1"/>
  <c r="AU70" i="1"/>
  <c r="AU278" i="1" s="1"/>
  <c r="AU267" i="1"/>
  <c r="AY71" i="1"/>
  <c r="AU76" i="1"/>
  <c r="AU260" i="1"/>
  <c r="AU72" i="1"/>
  <c r="AP72" i="1"/>
  <c r="AO76" i="1"/>
  <c r="AZ94" i="1"/>
  <c r="AZ80" i="1"/>
  <c r="AZ226" i="1"/>
  <c r="AZ228" i="1" s="1"/>
  <c r="BR69" i="1"/>
  <c r="BR68" i="1"/>
  <c r="AO71" i="1"/>
  <c r="BH71" i="1"/>
  <c r="AO267" i="1"/>
  <c r="AS71" i="1"/>
  <c r="AO70" i="1"/>
  <c r="AO278" i="1" s="1"/>
  <c r="BW69" i="1"/>
  <c r="BW71" i="1" s="1"/>
  <c r="BW68" i="1"/>
  <c r="BN69" i="1"/>
  <c r="BN68" i="1"/>
  <c r="AQ69" i="1"/>
  <c r="AQ68" i="1"/>
  <c r="AR80" i="1"/>
  <c r="AR226" i="1"/>
  <c r="AR228" i="1" s="1"/>
  <c r="AR94" i="1"/>
  <c r="BT69" i="1"/>
  <c r="BT68" i="1"/>
  <c r="AV68" i="1"/>
  <c r="AV69" i="1"/>
  <c r="AN69" i="1"/>
  <c r="AN68" i="1"/>
  <c r="BH76" i="1"/>
  <c r="BL71" i="1"/>
  <c r="BH267" i="1"/>
  <c r="BH70" i="1"/>
  <c r="BH278" i="1" s="1"/>
  <c r="AX69" i="1"/>
  <c r="AX68" i="1"/>
  <c r="BV226" i="1"/>
  <c r="BV228" i="1" s="1"/>
  <c r="BV94" i="1"/>
  <c r="BV80" i="1"/>
  <c r="BG68" i="1"/>
  <c r="BG69" i="1"/>
  <c r="BB69" i="1"/>
  <c r="BB68" i="1"/>
  <c r="BQ226" i="1"/>
  <c r="BQ228" i="1" s="1"/>
  <c r="BQ152" i="1"/>
  <c r="BQ153" i="1" s="1"/>
  <c r="BQ94" i="1"/>
  <c r="BQ80" i="1"/>
  <c r="AT94" i="1"/>
  <c r="AT226" i="1"/>
  <c r="AT228" i="1" s="1"/>
  <c r="AT80" i="1"/>
  <c r="AW226" i="1"/>
  <c r="AW228" i="1" s="1"/>
  <c r="AW94" i="1"/>
  <c r="AW152" i="1"/>
  <c r="AW153" i="1" s="1"/>
  <c r="AW80" i="1"/>
  <c r="CS227" i="1"/>
  <c r="CS165" i="1"/>
  <c r="CR236" i="1"/>
  <c r="CR234" i="1" s="1"/>
  <c r="AC158" i="1"/>
  <c r="AC161" i="1" s="1"/>
  <c r="AC282" i="1" s="1"/>
  <c r="BS267" i="1" l="1"/>
  <c r="BS70" i="1"/>
  <c r="BS278" i="1" s="1"/>
  <c r="BS76" i="1"/>
  <c r="BA71" i="1"/>
  <c r="BA76" i="1"/>
  <c r="BA70" i="1"/>
  <c r="BA278" i="1" s="1"/>
  <c r="BA72" i="1"/>
  <c r="BA267" i="1"/>
  <c r="BI69" i="1"/>
  <c r="BI72" i="1" s="1"/>
  <c r="BI68" i="1"/>
  <c r="BE70" i="1"/>
  <c r="BE278" i="1" s="1"/>
  <c r="BE76" i="1"/>
  <c r="BE267" i="1"/>
  <c r="BF72" i="1"/>
  <c r="BF80" i="1"/>
  <c r="BF226" i="1"/>
  <c r="BF228" i="1" s="1"/>
  <c r="BF94" i="1"/>
  <c r="BS71" i="1"/>
  <c r="BE71" i="1"/>
  <c r="BE72" i="1"/>
  <c r="BK80" i="1"/>
  <c r="BK226" i="1"/>
  <c r="BK228" i="1" s="1"/>
  <c r="BK152" i="1"/>
  <c r="BK153" i="1" s="1"/>
  <c r="BK94" i="1"/>
  <c r="AP226" i="1"/>
  <c r="AP228" i="1" s="1"/>
  <c r="AP94" i="1"/>
  <c r="AP80" i="1"/>
  <c r="BU152" i="1"/>
  <c r="BU153" i="1" s="1"/>
  <c r="BU80" i="1"/>
  <c r="BU226" i="1"/>
  <c r="BU228" i="1" s="1"/>
  <c r="BU94" i="1"/>
  <c r="BS72" i="1"/>
  <c r="BS260" i="1"/>
  <c r="AY226" i="1"/>
  <c r="AY228" i="1" s="1"/>
  <c r="AY94" i="1"/>
  <c r="AY152" i="1"/>
  <c r="AY153" i="1" s="1"/>
  <c r="AY80" i="1"/>
  <c r="AS80" i="1"/>
  <c r="AS152" i="1"/>
  <c r="AS153" i="1" s="1"/>
  <c r="AS226" i="1"/>
  <c r="AS228" i="1" s="1"/>
  <c r="AS94" i="1"/>
  <c r="BM94" i="1"/>
  <c r="BM80" i="1"/>
  <c r="BP80" i="1"/>
  <c r="BP226" i="1"/>
  <c r="BP228" i="1" s="1"/>
  <c r="BP94" i="1"/>
  <c r="BM152" i="1"/>
  <c r="BM153" i="1" s="1"/>
  <c r="BM226" i="1"/>
  <c r="BM228" i="1" s="1"/>
  <c r="BF260" i="1"/>
  <c r="BD72" i="1"/>
  <c r="BC71" i="1"/>
  <c r="BC76" i="1"/>
  <c r="BC267" i="1"/>
  <c r="BC70" i="1"/>
  <c r="BC278" i="1" s="1"/>
  <c r="BD80" i="1"/>
  <c r="BD226" i="1"/>
  <c r="BD228" i="1" s="1"/>
  <c r="BD94" i="1"/>
  <c r="BO80" i="1"/>
  <c r="BO94" i="1"/>
  <c r="BO226" i="1"/>
  <c r="BO228" i="1" s="1"/>
  <c r="BO152" i="1"/>
  <c r="BO153" i="1" s="1"/>
  <c r="AI70" i="1"/>
  <c r="AI267" i="1"/>
  <c r="AJ72" i="1"/>
  <c r="AM71" i="1"/>
  <c r="AI76" i="1"/>
  <c r="AL260" i="1"/>
  <c r="AU80" i="1"/>
  <c r="AU94" i="1"/>
  <c r="AU226" i="1"/>
  <c r="AU228" i="1" s="1"/>
  <c r="AU152" i="1"/>
  <c r="AU153" i="1" s="1"/>
  <c r="AO226" i="1"/>
  <c r="AO228" i="1" s="1"/>
  <c r="AO94" i="1"/>
  <c r="AO152" i="1"/>
  <c r="AO153" i="1" s="1"/>
  <c r="AO80" i="1"/>
  <c r="BR70" i="1"/>
  <c r="BR278" i="1" s="1"/>
  <c r="BR267" i="1"/>
  <c r="BR76" i="1"/>
  <c r="BR240" i="1" s="1"/>
  <c r="BR238" i="1" s="1"/>
  <c r="BV71" i="1"/>
  <c r="BR72" i="1"/>
  <c r="BR260" i="1"/>
  <c r="AN70" i="1"/>
  <c r="AN278" i="1" s="1"/>
  <c r="AQ260" i="1"/>
  <c r="AO72" i="1"/>
  <c r="AN260" i="1"/>
  <c r="AN71" i="1"/>
  <c r="AP260" i="1"/>
  <c r="AR71" i="1"/>
  <c r="AO260" i="1"/>
  <c r="AN76" i="1"/>
  <c r="AN72" i="1"/>
  <c r="AN267" i="1"/>
  <c r="BX71" i="1"/>
  <c r="BT70" i="1"/>
  <c r="BT278" i="1" s="1"/>
  <c r="BT267" i="1"/>
  <c r="BT76" i="1"/>
  <c r="BU72" i="1"/>
  <c r="BT71" i="1"/>
  <c r="BW260" i="1"/>
  <c r="BV260" i="1"/>
  <c r="AZ71" i="1"/>
  <c r="AV70" i="1"/>
  <c r="AV278" i="1" s="1"/>
  <c r="AV267" i="1"/>
  <c r="AV76" i="1"/>
  <c r="AY260" i="1"/>
  <c r="AW260" i="1"/>
  <c r="AW72" i="1"/>
  <c r="AV71" i="1"/>
  <c r="AV72" i="1"/>
  <c r="AX260" i="1"/>
  <c r="AV260" i="1"/>
  <c r="AR72" i="1"/>
  <c r="AQ71" i="1"/>
  <c r="AQ267" i="1"/>
  <c r="AQ76" i="1"/>
  <c r="AQ70" i="1"/>
  <c r="AQ278" i="1" s="1"/>
  <c r="AQ72" i="1"/>
  <c r="AU71" i="1"/>
  <c r="AT260" i="1"/>
  <c r="AS260" i="1"/>
  <c r="AR260" i="1"/>
  <c r="BN267" i="1"/>
  <c r="BR71" i="1"/>
  <c r="BN76" i="1"/>
  <c r="BQ82" i="1" s="1"/>
  <c r="BN71" i="1"/>
  <c r="BN70" i="1"/>
  <c r="BN278" i="1" s="1"/>
  <c r="BO72" i="1"/>
  <c r="BN260" i="1"/>
  <c r="BQ260" i="1"/>
  <c r="BN72" i="1"/>
  <c r="BO260" i="1"/>
  <c r="BP260" i="1"/>
  <c r="BB70" i="1"/>
  <c r="BB278" i="1" s="1"/>
  <c r="BF71" i="1"/>
  <c r="BB267" i="1"/>
  <c r="BB76" i="1"/>
  <c r="BC72" i="1"/>
  <c r="BD260" i="1"/>
  <c r="BB260" i="1"/>
  <c r="BB72" i="1"/>
  <c r="BC260" i="1"/>
  <c r="BE260" i="1"/>
  <c r="BB71" i="1"/>
  <c r="AX76" i="1"/>
  <c r="AX267" i="1"/>
  <c r="AX70" i="1"/>
  <c r="AX278" i="1" s="1"/>
  <c r="AZ260" i="1"/>
  <c r="AX72" i="1"/>
  <c r="AY72" i="1"/>
  <c r="AX71" i="1"/>
  <c r="BA260" i="1"/>
  <c r="BH80" i="1"/>
  <c r="BH94" i="1"/>
  <c r="BH226" i="1"/>
  <c r="BH228" i="1" s="1"/>
  <c r="BT260" i="1"/>
  <c r="BT72" i="1"/>
  <c r="BK71" i="1"/>
  <c r="BG76" i="1"/>
  <c r="BH260" i="1"/>
  <c r="BG71" i="1"/>
  <c r="BG70" i="1"/>
  <c r="BG278" i="1" s="1"/>
  <c r="BH72" i="1"/>
  <c r="BG260" i="1"/>
  <c r="BG267" i="1"/>
  <c r="BG72" i="1"/>
  <c r="BX260" i="1"/>
  <c r="BW267" i="1"/>
  <c r="BW72" i="1"/>
  <c r="BX72" i="1"/>
  <c r="BW76" i="1"/>
  <c r="X89" i="1"/>
  <c r="BY260" i="1"/>
  <c r="CA71" i="1"/>
  <c r="BW70" i="1"/>
  <c r="BW278" i="1" s="1"/>
  <c r="BZ260" i="1"/>
  <c r="BS226" i="1"/>
  <c r="BS228" i="1" s="1"/>
  <c r="BS80" i="1"/>
  <c r="BS152" i="1"/>
  <c r="BS153" i="1" s="1"/>
  <c r="BS94" i="1"/>
  <c r="BQ240" i="1"/>
  <c r="BQ238" i="1" s="1"/>
  <c r="BQ162" i="1"/>
  <c r="BQ83" i="1" s="1"/>
  <c r="BQ120" i="1"/>
  <c r="AW162" i="1"/>
  <c r="AW83" i="1" s="1"/>
  <c r="AW240" i="1"/>
  <c r="AW238" i="1" s="1"/>
  <c r="AW120" i="1"/>
  <c r="CS167" i="1"/>
  <c r="AC239" i="1"/>
  <c r="CA259" i="1"/>
  <c r="CB259" i="1"/>
  <c r="BU259" i="1"/>
  <c r="BA152" i="1" l="1"/>
  <c r="BA153" i="1" s="1"/>
  <c r="BA94" i="1"/>
  <c r="BA80" i="1"/>
  <c r="BA226" i="1"/>
  <c r="BA228" i="1" s="1"/>
  <c r="BI71" i="1"/>
  <c r="BK260" i="1"/>
  <c r="BM71" i="1"/>
  <c r="BL260" i="1"/>
  <c r="BI76" i="1"/>
  <c r="BI267" i="1"/>
  <c r="BJ72" i="1"/>
  <c r="BI70" i="1"/>
  <c r="BI278" i="1" s="1"/>
  <c r="BE94" i="1"/>
  <c r="BE226" i="1"/>
  <c r="BE228" i="1" s="1"/>
  <c r="BE80" i="1"/>
  <c r="BE152" i="1"/>
  <c r="BE153" i="1" s="1"/>
  <c r="BJ260" i="1"/>
  <c r="BI260" i="1"/>
  <c r="BK82" i="1"/>
  <c r="BM97" i="1"/>
  <c r="BI117" i="1" s="1"/>
  <c r="BK120" i="1"/>
  <c r="BL240" i="1"/>
  <c r="BL238" i="1" s="1"/>
  <c r="BK240" i="1"/>
  <c r="BK238" i="1" s="1"/>
  <c r="BK162" i="1"/>
  <c r="BK83" i="1" s="1"/>
  <c r="BV240" i="1"/>
  <c r="BV238" i="1" s="1"/>
  <c r="BU240" i="1"/>
  <c r="BU238" i="1" s="1"/>
  <c r="BU120" i="1"/>
  <c r="BU162" i="1"/>
  <c r="BU83" i="1" s="1"/>
  <c r="AU97" i="1"/>
  <c r="AY120" i="1"/>
  <c r="AY240" i="1"/>
  <c r="AY238" i="1" s="1"/>
  <c r="AY162" i="1"/>
  <c r="AY83" i="1" s="1"/>
  <c r="AZ240" i="1"/>
  <c r="AZ238" i="1" s="1"/>
  <c r="AS240" i="1"/>
  <c r="AS238" i="1" s="1"/>
  <c r="AS120" i="1"/>
  <c r="AS162" i="1"/>
  <c r="AS83" i="1" s="1"/>
  <c r="AT240" i="1"/>
  <c r="AT238" i="1" s="1"/>
  <c r="AO82" i="1"/>
  <c r="BM82" i="1"/>
  <c r="BM240" i="1"/>
  <c r="BM238" i="1" s="1"/>
  <c r="BM162" i="1"/>
  <c r="BM83" i="1" s="1"/>
  <c r="BM120" i="1"/>
  <c r="AX240" i="1"/>
  <c r="AX238" i="1" s="1"/>
  <c r="S89" i="1"/>
  <c r="BF82" i="1"/>
  <c r="BC94" i="1"/>
  <c r="BC152" i="1"/>
  <c r="BC153" i="1" s="1"/>
  <c r="BC226" i="1"/>
  <c r="BC228" i="1" s="1"/>
  <c r="BC80" i="1"/>
  <c r="BO240" i="1"/>
  <c r="BO238" i="1" s="1"/>
  <c r="BO162" i="1"/>
  <c r="BO83" i="1" s="1"/>
  <c r="BP240" i="1"/>
  <c r="BP238" i="1" s="1"/>
  <c r="BO120" i="1"/>
  <c r="AI94" i="1"/>
  <c r="AL97" i="1" s="1"/>
  <c r="AI80" i="1"/>
  <c r="AL82" i="1"/>
  <c r="N89" i="1"/>
  <c r="AI240" i="1"/>
  <c r="AI238" i="1" s="1"/>
  <c r="AI226" i="1"/>
  <c r="AI228" i="1" s="1"/>
  <c r="AI232" i="1" s="1"/>
  <c r="AI246" i="1" s="1"/>
  <c r="AU120" i="1"/>
  <c r="AU240" i="1"/>
  <c r="AU238" i="1" s="1"/>
  <c r="AU162" i="1"/>
  <c r="AU83" i="1" s="1"/>
  <c r="AU82" i="1"/>
  <c r="AP240" i="1"/>
  <c r="AP238" i="1" s="1"/>
  <c r="AO120" i="1"/>
  <c r="AO162" i="1"/>
  <c r="AO83" i="1" s="1"/>
  <c r="AO240" i="1"/>
  <c r="AO238" i="1" s="1"/>
  <c r="AV240" i="1"/>
  <c r="AV238" i="1" s="1"/>
  <c r="AY82" i="1"/>
  <c r="BT82" i="1"/>
  <c r="BR80" i="1"/>
  <c r="BR226" i="1"/>
  <c r="BR228" i="1" s="1"/>
  <c r="BR94" i="1"/>
  <c r="BR82" i="1"/>
  <c r="V89" i="1"/>
  <c r="AW82" i="1"/>
  <c r="BV82" i="1"/>
  <c r="BO82" i="1"/>
  <c r="BN240" i="1"/>
  <c r="BN238" i="1" s="1"/>
  <c r="BU82" i="1"/>
  <c r="BX82" i="1"/>
  <c r="BW152" i="1"/>
  <c r="BW153" i="1" s="1"/>
  <c r="BY82" i="1"/>
  <c r="BW226" i="1"/>
  <c r="BW228" i="1" s="1"/>
  <c r="BW80" i="1"/>
  <c r="BZ82" i="1"/>
  <c r="BW94" i="1"/>
  <c r="BN80" i="1"/>
  <c r="BN94" i="1"/>
  <c r="BN226" i="1"/>
  <c r="BN228" i="1" s="1"/>
  <c r="BN82" i="1"/>
  <c r="U89" i="1"/>
  <c r="BP82" i="1"/>
  <c r="AV226" i="1"/>
  <c r="AV228" i="1" s="1"/>
  <c r="AV80" i="1"/>
  <c r="AV94" i="1"/>
  <c r="AV82" i="1"/>
  <c r="Q89" i="1"/>
  <c r="AX82" i="1"/>
  <c r="BT226" i="1"/>
  <c r="BT228" i="1" s="1"/>
  <c r="BT80" i="1"/>
  <c r="BT94" i="1"/>
  <c r="BV97" i="1" s="1"/>
  <c r="BR117" i="1" s="1"/>
  <c r="AX80" i="1"/>
  <c r="AX94" i="1"/>
  <c r="AX226" i="1"/>
  <c r="AX228" i="1" s="1"/>
  <c r="AZ82" i="1"/>
  <c r="BB94" i="1"/>
  <c r="BB80" i="1"/>
  <c r="BB226" i="1"/>
  <c r="BB228" i="1" s="1"/>
  <c r="BB82" i="1"/>
  <c r="R89" i="1"/>
  <c r="BD82" i="1"/>
  <c r="AQ152" i="1"/>
  <c r="AQ153" i="1" s="1"/>
  <c r="AQ226" i="1"/>
  <c r="AQ228" i="1" s="1"/>
  <c r="AQ80" i="1"/>
  <c r="AQ94" i="1"/>
  <c r="AS82" i="1"/>
  <c r="AR82" i="1"/>
  <c r="AT82" i="1"/>
  <c r="P89" i="1"/>
  <c r="BG80" i="1"/>
  <c r="BG94" i="1"/>
  <c r="BG152" i="1"/>
  <c r="BG153" i="1" s="1"/>
  <c r="BH82" i="1"/>
  <c r="BG226" i="1"/>
  <c r="BG228" i="1" s="1"/>
  <c r="AN80" i="1"/>
  <c r="AP82" i="1"/>
  <c r="AN94" i="1"/>
  <c r="AN226" i="1"/>
  <c r="AN228" i="1" s="1"/>
  <c r="AN82" i="1"/>
  <c r="O89" i="1"/>
  <c r="AN240" i="1"/>
  <c r="AN238" i="1" s="1"/>
  <c r="BT240" i="1"/>
  <c r="BT238" i="1" s="1"/>
  <c r="BS120" i="1"/>
  <c r="BS162" i="1"/>
  <c r="BS83" i="1" s="1"/>
  <c r="BS240" i="1"/>
  <c r="BS238" i="1" s="1"/>
  <c r="BS82" i="1"/>
  <c r="BQ122" i="1"/>
  <c r="BQ123" i="1"/>
  <c r="BQ124" i="1"/>
  <c r="AW123" i="1"/>
  <c r="AW122" i="1"/>
  <c r="AW124" i="1"/>
  <c r="CS171" i="1"/>
  <c r="CT60" i="1"/>
  <c r="AD157" i="1"/>
  <c r="W87" i="1"/>
  <c r="BB240" i="1" l="1"/>
  <c r="BB238" i="1" s="1"/>
  <c r="BA240" i="1"/>
  <c r="BA238" i="1" s="1"/>
  <c r="BA162" i="1"/>
  <c r="BA83" i="1" s="1"/>
  <c r="BA120" i="1"/>
  <c r="BL82" i="1"/>
  <c r="BI80" i="1"/>
  <c r="BI226" i="1"/>
  <c r="BI228" i="1" s="1"/>
  <c r="BI94" i="1"/>
  <c r="BI152" i="1"/>
  <c r="BI153" i="1" s="1"/>
  <c r="BA82" i="1"/>
  <c r="BF240" i="1"/>
  <c r="BF238" i="1" s="1"/>
  <c r="BE120" i="1"/>
  <c r="BE162" i="1"/>
  <c r="BE83" i="1" s="1"/>
  <c r="BE240" i="1"/>
  <c r="BE238" i="1" s="1"/>
  <c r="BF97" i="1"/>
  <c r="BE82" i="1"/>
  <c r="T89" i="1"/>
  <c r="BJ82" i="1"/>
  <c r="BM113" i="1"/>
  <c r="BM115" i="1"/>
  <c r="BM114" i="1"/>
  <c r="BK124" i="1"/>
  <c r="BK122" i="1"/>
  <c r="BK123" i="1"/>
  <c r="BU122" i="1"/>
  <c r="BU124" i="1"/>
  <c r="BU123" i="1"/>
  <c r="AU115" i="1"/>
  <c r="AU114" i="1"/>
  <c r="AQ117" i="1"/>
  <c r="AU113" i="1"/>
  <c r="AY122" i="1"/>
  <c r="AY123" i="1"/>
  <c r="AY124" i="1"/>
  <c r="BR97" i="1"/>
  <c r="BR114" i="1" s="1"/>
  <c r="BT97" i="1"/>
  <c r="BS97" i="1"/>
  <c r="AS123" i="1"/>
  <c r="AS124" i="1"/>
  <c r="AS122" i="1"/>
  <c r="AI243" i="1"/>
  <c r="AI244" i="1" s="1"/>
  <c r="BM123" i="1"/>
  <c r="BM124" i="1"/>
  <c r="BM122" i="1"/>
  <c r="BU97" i="1"/>
  <c r="BU113" i="1" s="1"/>
  <c r="BC240" i="1"/>
  <c r="BC238" i="1" s="1"/>
  <c r="BC162" i="1"/>
  <c r="BC83" i="1" s="1"/>
  <c r="BC120" i="1"/>
  <c r="BC82" i="1"/>
  <c r="BD240" i="1"/>
  <c r="BD238" i="1" s="1"/>
  <c r="BO122" i="1"/>
  <c r="BO123" i="1"/>
  <c r="BO124" i="1"/>
  <c r="AL113" i="1"/>
  <c r="AL114" i="1"/>
  <c r="AL115" i="1"/>
  <c r="AU123" i="1"/>
  <c r="AU124" i="1"/>
  <c r="AU122" i="1"/>
  <c r="AO124" i="1"/>
  <c r="AO122" i="1"/>
  <c r="AO123" i="1"/>
  <c r="BA97" i="1"/>
  <c r="AZ97" i="1"/>
  <c r="AY97" i="1"/>
  <c r="AY114" i="1" s="1"/>
  <c r="AX97" i="1"/>
  <c r="AV97" i="1"/>
  <c r="AW97" i="1"/>
  <c r="AT97" i="1"/>
  <c r="AR97" i="1"/>
  <c r="AS97" i="1"/>
  <c r="BQ97" i="1"/>
  <c r="BO97" i="1"/>
  <c r="BN97" i="1"/>
  <c r="BP97" i="1"/>
  <c r="AQ97" i="1"/>
  <c r="AN97" i="1"/>
  <c r="AP97" i="1"/>
  <c r="AO97" i="1"/>
  <c r="BG97" i="1"/>
  <c r="BH97" i="1"/>
  <c r="BE97" i="1"/>
  <c r="BE114" i="1" s="1"/>
  <c r="BD97" i="1"/>
  <c r="BB97" i="1"/>
  <c r="BC97" i="1"/>
  <c r="BZ97" i="1"/>
  <c r="BX97" i="1"/>
  <c r="BY97" i="1"/>
  <c r="BW97" i="1"/>
  <c r="BG240" i="1"/>
  <c r="BG238" i="1" s="1"/>
  <c r="BG162" i="1"/>
  <c r="BG83" i="1" s="1"/>
  <c r="BG120" i="1"/>
  <c r="BG82" i="1"/>
  <c r="BH240" i="1"/>
  <c r="BH238" i="1" s="1"/>
  <c r="AQ162" i="1"/>
  <c r="AQ83" i="1" s="1"/>
  <c r="AQ240" i="1"/>
  <c r="AQ238" i="1" s="1"/>
  <c r="AQ120" i="1"/>
  <c r="AR240" i="1"/>
  <c r="AR238" i="1" s="1"/>
  <c r="AQ82" i="1"/>
  <c r="BW240" i="1"/>
  <c r="BW238" i="1" s="1"/>
  <c r="BX240" i="1"/>
  <c r="BX238" i="1" s="1"/>
  <c r="BW162" i="1"/>
  <c r="BW83" i="1" s="1"/>
  <c r="BW82" i="1"/>
  <c r="BW120" i="1"/>
  <c r="BV115" i="1"/>
  <c r="BV114" i="1"/>
  <c r="BV113" i="1"/>
  <c r="BS122" i="1"/>
  <c r="BS123" i="1"/>
  <c r="BS124" i="1"/>
  <c r="AC60" i="1"/>
  <c r="CT227" i="1"/>
  <c r="CT165" i="1"/>
  <c r="CS236" i="1"/>
  <c r="CS234" i="1" s="1"/>
  <c r="W88" i="1"/>
  <c r="BA124" i="1" l="1"/>
  <c r="BA122" i="1"/>
  <c r="BA123" i="1"/>
  <c r="BL97" i="1"/>
  <c r="BK97" i="1"/>
  <c r="BI120" i="1"/>
  <c r="BI162" i="1"/>
  <c r="BI83" i="1" s="1"/>
  <c r="BI240" i="1"/>
  <c r="BI238" i="1" s="1"/>
  <c r="BI82" i="1"/>
  <c r="BJ240" i="1"/>
  <c r="BJ238" i="1" s="1"/>
  <c r="BE122" i="1"/>
  <c r="BE124" i="1"/>
  <c r="BB117" i="1"/>
  <c r="BF113" i="1"/>
  <c r="BF115" i="1"/>
  <c r="BE123" i="1"/>
  <c r="BF114" i="1"/>
  <c r="BJ97" i="1"/>
  <c r="BF117" i="1" s="1"/>
  <c r="BI97" i="1"/>
  <c r="BL113" i="1"/>
  <c r="BL114" i="1"/>
  <c r="BN117" i="1"/>
  <c r="BR113" i="1"/>
  <c r="BR115" i="1"/>
  <c r="BV98" i="1"/>
  <c r="BP117" i="1"/>
  <c r="BT115" i="1"/>
  <c r="BT113" i="1"/>
  <c r="BT114" i="1"/>
  <c r="BS115" i="1"/>
  <c r="BO117" i="1"/>
  <c r="BS114" i="1"/>
  <c r="BS113" i="1"/>
  <c r="BK114" i="1"/>
  <c r="BK115" i="1"/>
  <c r="BG117" i="1"/>
  <c r="BT98" i="1"/>
  <c r="BV117" i="1"/>
  <c r="BZ98" i="1"/>
  <c r="BY98" i="1"/>
  <c r="BI123" i="1"/>
  <c r="BI124" i="1"/>
  <c r="BI122" i="1"/>
  <c r="BQ117" i="1"/>
  <c r="BU115" i="1"/>
  <c r="BU114" i="1"/>
  <c r="BW113" i="1"/>
  <c r="BW98" i="1"/>
  <c r="BC123" i="1"/>
  <c r="BC122" i="1"/>
  <c r="BC124" i="1"/>
  <c r="AW117" i="1"/>
  <c r="BE98" i="1"/>
  <c r="BQ114" i="1"/>
  <c r="BM117" i="1"/>
  <c r="AQ114" i="1"/>
  <c r="AQ113" i="1"/>
  <c r="BU98" i="1"/>
  <c r="BA115" i="1"/>
  <c r="AX98" i="1"/>
  <c r="CD98" i="1"/>
  <c r="BZ115" i="1"/>
  <c r="BX114" i="1"/>
  <c r="BT117" i="1"/>
  <c r="BX115" i="1"/>
  <c r="CB98" i="1"/>
  <c r="BX113" i="1"/>
  <c r="AN115" i="1"/>
  <c r="AR98" i="1"/>
  <c r="AN114" i="1"/>
  <c r="AN113" i="1"/>
  <c r="BO113" i="1"/>
  <c r="BK117" i="1"/>
  <c r="BO114" i="1"/>
  <c r="BO98" i="1"/>
  <c r="BO115" i="1"/>
  <c r="AP117" i="1"/>
  <c r="CA98" i="1"/>
  <c r="BS117" i="1"/>
  <c r="BW115" i="1"/>
  <c r="BE115" i="1"/>
  <c r="BE113" i="1"/>
  <c r="BJ114" i="1"/>
  <c r="BJ98" i="1"/>
  <c r="BJ113" i="1"/>
  <c r="AU98" i="1"/>
  <c r="AQ98" i="1"/>
  <c r="AQ115" i="1"/>
  <c r="BQ113" i="1"/>
  <c r="BQ98" i="1"/>
  <c r="BQ115" i="1"/>
  <c r="AW113" i="1"/>
  <c r="AW114" i="1"/>
  <c r="AS117" i="1"/>
  <c r="BA98" i="1"/>
  <c r="AW115" i="1"/>
  <c r="AV117" i="1"/>
  <c r="AZ115" i="1"/>
  <c r="AZ114" i="1"/>
  <c r="BD98" i="1"/>
  <c r="AZ113" i="1"/>
  <c r="AZ117" i="1"/>
  <c r="BD113" i="1"/>
  <c r="BH98" i="1"/>
  <c r="BD115" i="1"/>
  <c r="BD114" i="1"/>
  <c r="AY115" i="1"/>
  <c r="AU117" i="1"/>
  <c r="BC98" i="1"/>
  <c r="AY98" i="1"/>
  <c r="AT114" i="1"/>
  <c r="BW114" i="1"/>
  <c r="AM117" i="1"/>
  <c r="BS98" i="1"/>
  <c r="BC115" i="1"/>
  <c r="AY117" i="1"/>
  <c r="BG98" i="1"/>
  <c r="BC114" i="1"/>
  <c r="BC113" i="1"/>
  <c r="AO115" i="1"/>
  <c r="AO113" i="1"/>
  <c r="AS98" i="1"/>
  <c r="AO114" i="1"/>
  <c r="BP98" i="1"/>
  <c r="BL117" i="1"/>
  <c r="BP114" i="1"/>
  <c r="BP115" i="1"/>
  <c r="BP113" i="1"/>
  <c r="AS114" i="1"/>
  <c r="AO117" i="1"/>
  <c r="AS115" i="1"/>
  <c r="AS113" i="1"/>
  <c r="AW98" i="1"/>
  <c r="AV114" i="1"/>
  <c r="AV113" i="1"/>
  <c r="AZ98" i="1"/>
  <c r="AV115" i="1"/>
  <c r="AR117" i="1"/>
  <c r="BA113" i="1"/>
  <c r="BA114" i="1"/>
  <c r="BC117" i="1"/>
  <c r="BG113" i="1"/>
  <c r="BG114" i="1"/>
  <c r="BG115" i="1"/>
  <c r="AT115" i="1"/>
  <c r="AT113" i="1"/>
  <c r="AY113" i="1"/>
  <c r="BZ114" i="1"/>
  <c r="CC118" i="1" s="1"/>
  <c r="BA117" i="1"/>
  <c r="BZ113" i="1"/>
  <c r="CC98" i="1"/>
  <c r="BY115" i="1"/>
  <c r="BU117" i="1"/>
  <c r="BY114" i="1"/>
  <c r="BY113" i="1"/>
  <c r="AX117" i="1"/>
  <c r="BF98" i="1"/>
  <c r="BB115" i="1"/>
  <c r="BB114" i="1"/>
  <c r="BB113" i="1"/>
  <c r="BH115" i="1"/>
  <c r="BH113" i="1"/>
  <c r="BD117" i="1"/>
  <c r="BL98" i="1"/>
  <c r="BH114" i="1"/>
  <c r="AT98" i="1"/>
  <c r="AP115" i="1"/>
  <c r="AP98" i="1"/>
  <c r="AL117" i="1"/>
  <c r="AP114" i="1"/>
  <c r="AP113" i="1"/>
  <c r="BR98" i="1"/>
  <c r="BJ117" i="1"/>
  <c r="BN115" i="1"/>
  <c r="BN113" i="1"/>
  <c r="BN114" i="1"/>
  <c r="AN117" i="1"/>
  <c r="AR115" i="1"/>
  <c r="AR114" i="1"/>
  <c r="AR113" i="1"/>
  <c r="AV98" i="1"/>
  <c r="AX114" i="1"/>
  <c r="BB98" i="1"/>
  <c r="AX113" i="1"/>
  <c r="AT117" i="1"/>
  <c r="AX115" i="1"/>
  <c r="BX98" i="1"/>
  <c r="BW122" i="1"/>
  <c r="BW124" i="1"/>
  <c r="BW123" i="1"/>
  <c r="BG122" i="1"/>
  <c r="BG124" i="1"/>
  <c r="BG123" i="1"/>
  <c r="AQ123" i="1"/>
  <c r="AQ124" i="1"/>
  <c r="AQ122" i="1"/>
  <c r="AC227" i="1"/>
  <c r="AC165" i="1"/>
  <c r="AC167" i="1" s="1"/>
  <c r="AC61" i="1" s="1"/>
  <c r="CT167" i="1"/>
  <c r="AD158" i="1"/>
  <c r="AD161" i="1" s="1"/>
  <c r="AD282" i="1" s="1"/>
  <c r="AR137" i="1"/>
  <c r="W89" i="1"/>
  <c r="BH117" i="1" l="1"/>
  <c r="BL115" i="1"/>
  <c r="BK113" i="1"/>
  <c r="BI98" i="1"/>
  <c r="BM98" i="1"/>
  <c r="BI115" i="1"/>
  <c r="BI113" i="1"/>
  <c r="BI114" i="1"/>
  <c r="BE117" i="1"/>
  <c r="BJ115" i="1"/>
  <c r="BK98" i="1"/>
  <c r="BN98" i="1"/>
  <c r="CB118" i="1"/>
  <c r="BT118" i="1"/>
  <c r="BH118" i="1"/>
  <c r="BM118" i="1"/>
  <c r="BG118" i="1"/>
  <c r="BN118" i="1"/>
  <c r="BB118" i="1"/>
  <c r="BI118" i="1"/>
  <c r="AW118" i="1"/>
  <c r="BL118" i="1"/>
  <c r="BY118" i="1"/>
  <c r="AZ118" i="1"/>
  <c r="AR118" i="1"/>
  <c r="AV118" i="1"/>
  <c r="BJ118" i="1"/>
  <c r="BE118" i="1"/>
  <c r="AS118" i="1"/>
  <c r="AU118" i="1"/>
  <c r="BA118" i="1"/>
  <c r="AT118" i="1"/>
  <c r="AQ118" i="1"/>
  <c r="AP118" i="1"/>
  <c r="AO118" i="1"/>
  <c r="BP118" i="1"/>
  <c r="BO118" i="1"/>
  <c r="AY118" i="1"/>
  <c r="AX118" i="1"/>
  <c r="CA118" i="1"/>
  <c r="BR118" i="1"/>
  <c r="BC118" i="1"/>
  <c r="BZ118" i="1"/>
  <c r="BF118" i="1"/>
  <c r="BS118" i="1"/>
  <c r="BD118" i="1"/>
  <c r="BK118" i="1"/>
  <c r="BQ118" i="1"/>
  <c r="BX118" i="1"/>
  <c r="BW118" i="1"/>
  <c r="BV118" i="1"/>
  <c r="BU118" i="1"/>
  <c r="CU60" i="1"/>
  <c r="CT171" i="1"/>
  <c r="AD239" i="1"/>
  <c r="AB171" i="1"/>
  <c r="AR138" i="1"/>
  <c r="AR141" i="1" s="1"/>
  <c r="AR139" i="1"/>
  <c r="AR142" i="1" s="1"/>
  <c r="CA260" i="1"/>
  <c r="CB260" i="1"/>
  <c r="W226" i="1"/>
  <c r="W228" i="1" s="1"/>
  <c r="BU260" i="1"/>
  <c r="CT236" i="1" l="1"/>
  <c r="CT234" i="1" s="1"/>
  <c r="CU227" i="1"/>
  <c r="CU165" i="1"/>
  <c r="AB236" i="1"/>
  <c r="AB234" i="1" s="1"/>
  <c r="AE157" i="1"/>
  <c r="CA117" i="1"/>
  <c r="CU167" i="1" l="1"/>
  <c r="CF117" i="1"/>
  <c r="CU171" i="1" l="1"/>
  <c r="CV60" i="1"/>
  <c r="AE158" i="1"/>
  <c r="AE161" i="1" s="1"/>
  <c r="AE282" i="1" s="1"/>
  <c r="CV227" i="1" l="1"/>
  <c r="CV165" i="1"/>
  <c r="CU236" i="1"/>
  <c r="CU234" i="1" s="1"/>
  <c r="AE239" i="1"/>
  <c r="AC171" i="1"/>
  <c r="W153" i="1"/>
  <c r="CV167" i="1" l="1"/>
  <c r="W82" i="1"/>
  <c r="AC236" i="1"/>
  <c r="AC234" i="1" s="1"/>
  <c r="X240" i="1"/>
  <c r="X238" i="1" s="1"/>
  <c r="W240" i="1"/>
  <c r="W238" i="1" s="1"/>
  <c r="W162" i="1"/>
  <c r="W83" i="1" s="1"/>
  <c r="W208" i="1"/>
  <c r="CW60" i="1" l="1"/>
  <c r="CV171" i="1"/>
  <c r="CV236" i="1" l="1"/>
  <c r="CV234" i="1" s="1"/>
  <c r="CW227" i="1"/>
  <c r="CW165" i="1"/>
  <c r="CW167" i="1" l="1"/>
  <c r="CW171" i="1" l="1"/>
  <c r="CX60" i="1"/>
  <c r="AD60" i="1" l="1"/>
  <c r="CX227" i="1"/>
  <c r="CX165" i="1"/>
  <c r="CW236" i="1"/>
  <c r="CW234" i="1" s="1"/>
  <c r="AD227" i="1" l="1"/>
  <c r="AD165" i="1"/>
  <c r="AD167" i="1" s="1"/>
  <c r="CX167" i="1"/>
  <c r="AD171" i="1" l="1"/>
  <c r="AD236" i="1" s="1"/>
  <c r="AD234" i="1" s="1"/>
  <c r="AD61" i="1"/>
  <c r="CX171" i="1"/>
  <c r="CY60" i="1"/>
  <c r="CY227" i="1" l="1"/>
  <c r="CY165" i="1"/>
  <c r="CX236" i="1"/>
  <c r="CX234" i="1" s="1"/>
  <c r="CY167" i="1" l="1"/>
  <c r="W213" i="1"/>
  <c r="CY171" i="1" l="1"/>
  <c r="CZ60" i="1"/>
  <c r="W216" i="1"/>
  <c r="W189" i="1"/>
  <c r="X230" i="1" s="1"/>
  <c r="CZ227" i="1" l="1"/>
  <c r="CZ165" i="1"/>
  <c r="CY236" i="1"/>
  <c r="CY234" i="1" s="1"/>
  <c r="W218" i="1"/>
  <c r="W217" i="1" s="1"/>
  <c r="W230" i="1"/>
  <c r="W181" i="1"/>
  <c r="X229" i="1" s="1"/>
  <c r="X231" i="1" s="1"/>
  <c r="X232" i="1" s="1"/>
  <c r="X246" i="1" s="1"/>
  <c r="W212" i="1"/>
  <c r="CZ167" i="1" l="1"/>
  <c r="W215" i="1"/>
  <c r="W190" i="1"/>
  <c r="W229" i="1"/>
  <c r="W231" i="1" s="1"/>
  <c r="W232" i="1" s="1"/>
  <c r="CZ171" i="1" l="1"/>
  <c r="CZ236" i="1" s="1"/>
  <c r="CZ234" i="1" s="1"/>
  <c r="DA60" i="1"/>
  <c r="W214" i="1"/>
  <c r="W219" i="1"/>
  <c r="W243" i="1"/>
  <c r="W246" i="1"/>
  <c r="DA227" i="1" l="1"/>
  <c r="DA165" i="1"/>
  <c r="W222" i="1"/>
  <c r="W223" i="1" s="1"/>
  <c r="X222" i="1"/>
  <c r="X223" i="1" s="1"/>
  <c r="DA167" i="1" l="1"/>
  <c r="W194" i="1"/>
  <c r="X242" i="1" l="1"/>
  <c r="X243" i="1" s="1"/>
  <c r="X244" i="1" s="1"/>
  <c r="W279" i="1"/>
  <c r="W281" i="1"/>
  <c r="W277" i="1"/>
  <c r="DA171" i="1"/>
  <c r="DA236" i="1" s="1"/>
  <c r="DA234" i="1" s="1"/>
  <c r="DB60" i="1"/>
  <c r="W201" i="1"/>
  <c r="W137" i="1" s="1"/>
  <c r="W198" i="1"/>
  <c r="W244" i="1"/>
  <c r="AE60" i="1" l="1"/>
  <c r="AE227" i="1" s="1"/>
  <c r="DB227" i="1"/>
  <c r="DB165" i="1"/>
  <c r="W199" i="1"/>
  <c r="DB167" i="1" l="1"/>
  <c r="DB171" i="1" s="1"/>
  <c r="DB236" i="1" s="1"/>
  <c r="DB234" i="1" s="1"/>
  <c r="AE165" i="1"/>
  <c r="AE167" i="1" s="1"/>
  <c r="C111" i="2"/>
  <c r="C113" i="2"/>
  <c r="C112" i="2"/>
  <c r="AE171" i="1" l="1"/>
  <c r="AE236" i="1" s="1"/>
  <c r="AE234" i="1" s="1"/>
  <c r="AE61" i="1"/>
  <c r="B101" i="1"/>
  <c r="B102" i="1"/>
  <c r="AK212" i="1" l="1"/>
  <c r="AK177" i="1" s="1"/>
  <c r="AM177" i="1" l="1"/>
  <c r="AO177" i="1" l="1"/>
  <c r="AQ177" i="1" l="1"/>
  <c r="AS177" i="1" l="1"/>
  <c r="AU177" i="1" l="1"/>
  <c r="AW177" i="1" l="1"/>
  <c r="AY177" i="1" l="1"/>
  <c r="BA177" i="1" l="1"/>
  <c r="BC177" i="1" l="1"/>
  <c r="BE177" i="1" l="1"/>
  <c r="BG177" i="1" l="1"/>
  <c r="BI177" i="1" l="1"/>
  <c r="BK177" i="1" l="1"/>
  <c r="BM177" i="1" l="1"/>
  <c r="BO177" i="1" l="1"/>
  <c r="BQ177" i="1" l="1"/>
  <c r="BS177" i="1" l="1"/>
  <c r="BU177" i="1" l="1"/>
  <c r="BW177" i="1" l="1"/>
  <c r="BY177" i="1" l="1"/>
  <c r="AK178" i="1" l="1"/>
  <c r="AK181" i="1" s="1"/>
  <c r="AL229" i="1" l="1"/>
  <c r="AK229" i="1"/>
  <c r="AK215" i="1"/>
  <c r="AM178" i="1"/>
  <c r="AM181" i="1" s="1"/>
  <c r="AM215" i="1" l="1"/>
  <c r="AM214" i="1" s="1"/>
  <c r="AN229" i="1"/>
  <c r="AM229" i="1"/>
  <c r="AJ214" i="1"/>
  <c r="AK214" i="1"/>
  <c r="AO178" i="1" l="1"/>
  <c r="AO181" i="1" s="1"/>
  <c r="AP229" i="1" l="1"/>
  <c r="AO215" i="1"/>
  <c r="AO214" i="1" s="1"/>
  <c r="AO229" i="1"/>
  <c r="AQ178" i="1" l="1"/>
  <c r="AQ181" i="1" s="1"/>
  <c r="AQ215" i="1" l="1"/>
  <c r="AQ214" i="1" s="1"/>
  <c r="AR229" i="1"/>
  <c r="AQ229" i="1"/>
  <c r="AS178" i="1" l="1"/>
  <c r="AS181" i="1" s="1"/>
  <c r="AT229" i="1" l="1"/>
  <c r="AS215" i="1"/>
  <c r="AS214" i="1" s="1"/>
  <c r="AS229" i="1"/>
  <c r="AU178" i="1" l="1"/>
  <c r="AU181" i="1" s="1"/>
  <c r="AU215" i="1" l="1"/>
  <c r="AU214" i="1" s="1"/>
  <c r="AV229" i="1"/>
  <c r="AU229" i="1"/>
  <c r="AW178" i="1" l="1"/>
  <c r="AW181" i="1" s="1"/>
  <c r="AW215" i="1" l="1"/>
  <c r="AW214" i="1" s="1"/>
  <c r="AX229" i="1"/>
  <c r="AW229" i="1"/>
  <c r="AY178" i="1" l="1"/>
  <c r="AY181" i="1" s="1"/>
  <c r="AY215" i="1" l="1"/>
  <c r="AY214" i="1" s="1"/>
  <c r="AZ229" i="1"/>
  <c r="AY229" i="1"/>
  <c r="BA178" i="1" l="1"/>
  <c r="BA181" i="1" s="1"/>
  <c r="BB229" i="1" l="1"/>
  <c r="BA215" i="1"/>
  <c r="BA214" i="1" s="1"/>
  <c r="BA229" i="1"/>
  <c r="BC178" i="1" l="1"/>
  <c r="BC181" i="1" s="1"/>
  <c r="BD229" i="1" l="1"/>
  <c r="BC215" i="1"/>
  <c r="BC214" i="1" s="1"/>
  <c r="BC229" i="1"/>
  <c r="BE178" i="1" l="1"/>
  <c r="BE181" i="1" s="1"/>
  <c r="BF229" i="1" l="1"/>
  <c r="BE215" i="1"/>
  <c r="BE214" i="1" s="1"/>
  <c r="BE229" i="1"/>
  <c r="BG178" i="1" l="1"/>
  <c r="BG181" i="1" s="1"/>
  <c r="BG215" i="1" l="1"/>
  <c r="BG214" i="1" s="1"/>
  <c r="BH229" i="1"/>
  <c r="BG229" i="1"/>
  <c r="BI178" i="1" l="1"/>
  <c r="BI181" i="1" s="1"/>
  <c r="BJ229" i="1" l="1"/>
  <c r="BI215" i="1"/>
  <c r="BI214" i="1" s="1"/>
  <c r="BI229" i="1"/>
  <c r="BK178" i="1" l="1"/>
  <c r="BK181" i="1" s="1"/>
  <c r="BL229" i="1" l="1"/>
  <c r="BK215" i="1"/>
  <c r="BK214" i="1" s="1"/>
  <c r="BK229" i="1"/>
  <c r="BM178" i="1" l="1"/>
  <c r="BM181" i="1" s="1"/>
  <c r="BM215" i="1" l="1"/>
  <c r="BM214" i="1" s="1"/>
  <c r="BN229" i="1"/>
  <c r="BM229" i="1"/>
  <c r="BO178" i="1" l="1"/>
  <c r="BO181" i="1" s="1"/>
  <c r="BO215" i="1" l="1"/>
  <c r="BO214" i="1" s="1"/>
  <c r="BP229" i="1"/>
  <c r="BO229" i="1"/>
  <c r="BQ178" i="1" l="1"/>
  <c r="BQ181" i="1" s="1"/>
  <c r="BR229" i="1" l="1"/>
  <c r="BQ215" i="1"/>
  <c r="BQ214" i="1" s="1"/>
  <c r="BQ229" i="1"/>
  <c r="BS178" i="1" l="1"/>
  <c r="BS181" i="1" s="1"/>
  <c r="BT229" i="1" l="1"/>
  <c r="BS215" i="1"/>
  <c r="BS214" i="1" s="1"/>
  <c r="BS229" i="1"/>
  <c r="BU178" i="1" l="1"/>
  <c r="BU181" i="1" s="1"/>
  <c r="BU215" i="1" l="1"/>
  <c r="BU214" i="1" s="1"/>
  <c r="BV229" i="1"/>
  <c r="BU229" i="1"/>
  <c r="BW178" i="1" l="1"/>
  <c r="BW181" i="1" s="1"/>
  <c r="BW215" i="1" l="1"/>
  <c r="BW214" i="1" s="1"/>
  <c r="BX229" i="1"/>
  <c r="BW229" i="1"/>
  <c r="BY178" i="1" l="1"/>
  <c r="BY181" i="1" s="1"/>
  <c r="BZ229" i="1" l="1"/>
  <c r="BY215" i="1"/>
  <c r="BY214" i="1" s="1"/>
  <c r="BY229" i="1"/>
  <c r="AK216" i="1" l="1"/>
  <c r="AK186" i="1" s="1"/>
  <c r="AK189" i="1" s="1"/>
  <c r="AK190" i="1" l="1"/>
  <c r="AK218" i="1"/>
  <c r="AL230" i="1"/>
  <c r="AL231" i="1" s="1"/>
  <c r="AL232" i="1" s="1"/>
  <c r="AL246" i="1" s="1"/>
  <c r="AK230" i="1"/>
  <c r="AK231" i="1" s="1"/>
  <c r="AK232" i="1" s="1"/>
  <c r="AM186" i="1"/>
  <c r="AM189" i="1" s="1"/>
  <c r="AK246" i="1" l="1"/>
  <c r="AK243" i="1"/>
  <c r="AK193" i="1" s="1"/>
  <c r="AK194" i="1" s="1"/>
  <c r="AK198" i="1" s="1"/>
  <c r="AK199" i="1" s="1"/>
  <c r="AN230" i="1"/>
  <c r="AN231" i="1" s="1"/>
  <c r="AN232" i="1" s="1"/>
  <c r="AN246" i="1" s="1"/>
  <c r="AM218" i="1"/>
  <c r="AM217" i="1" s="1"/>
  <c r="AM230" i="1"/>
  <c r="AM231" i="1" s="1"/>
  <c r="AM232" i="1" s="1"/>
  <c r="AM190" i="1"/>
  <c r="AJ217" i="1"/>
  <c r="AJ219" i="1"/>
  <c r="AN222" i="1" s="1"/>
  <c r="AK217" i="1"/>
  <c r="AK219" i="1"/>
  <c r="AO186" i="1"/>
  <c r="AO189" i="1" s="1"/>
  <c r="AM219" i="1" l="1"/>
  <c r="AO218" i="1"/>
  <c r="AO217" i="1" s="1"/>
  <c r="AP230" i="1"/>
  <c r="AP231" i="1" s="1"/>
  <c r="AP232" i="1" s="1"/>
  <c r="AP246" i="1" s="1"/>
  <c r="AO230" i="1"/>
  <c r="AO231" i="1" s="1"/>
  <c r="AO232" i="1" s="1"/>
  <c r="AM246" i="1"/>
  <c r="AM243" i="1"/>
  <c r="AO190" i="1"/>
  <c r="AL242" i="1" l="1"/>
  <c r="AL243" i="1" s="1"/>
  <c r="AL244" i="1" s="1"/>
  <c r="AK244" i="1"/>
  <c r="AO219" i="1"/>
  <c r="AO222" i="1" s="1"/>
  <c r="AO246" i="1"/>
  <c r="AO243" i="1"/>
  <c r="AQ186" i="1"/>
  <c r="AQ189" i="1" s="1"/>
  <c r="AK201" i="1"/>
  <c r="AL65" i="1" s="1"/>
  <c r="AM193" i="1"/>
  <c r="AM194" i="1" s="1"/>
  <c r="AM198" i="1" s="1"/>
  <c r="AN242" i="1" l="1"/>
  <c r="AN243" i="1" s="1"/>
  <c r="AN244" i="1" s="1"/>
  <c r="AM281" i="1"/>
  <c r="AM279" i="1"/>
  <c r="AM277" i="1"/>
  <c r="AQ218" i="1"/>
  <c r="AQ217" i="1" s="1"/>
  <c r="AR230" i="1"/>
  <c r="AR231" i="1" s="1"/>
  <c r="AR232" i="1" s="1"/>
  <c r="AR246" i="1" s="1"/>
  <c r="AQ230" i="1"/>
  <c r="AQ231" i="1" s="1"/>
  <c r="AQ232" i="1" s="1"/>
  <c r="AM244" i="1"/>
  <c r="AQ190" i="1"/>
  <c r="AO193" i="1"/>
  <c r="AO194" i="1" s="1"/>
  <c r="AM201" i="1"/>
  <c r="AO279" i="1" l="1"/>
  <c r="AO281" i="1"/>
  <c r="AO277" i="1"/>
  <c r="AM137" i="1"/>
  <c r="AM138" i="1" s="1"/>
  <c r="AM141" i="1" s="1"/>
  <c r="AN65" i="1"/>
  <c r="AQ219" i="1"/>
  <c r="AQ222" i="1" s="1"/>
  <c r="AQ246" i="1"/>
  <c r="AQ243" i="1"/>
  <c r="AP242" i="1"/>
  <c r="AP243" i="1" s="1"/>
  <c r="AP244" i="1" s="1"/>
  <c r="AO244" i="1"/>
  <c r="AS186" i="1"/>
  <c r="AS189" i="1" s="1"/>
  <c r="AO201" i="1"/>
  <c r="AO198" i="1"/>
  <c r="AM199" i="1"/>
  <c r="AM139" i="1" l="1"/>
  <c r="AM142" i="1" s="1"/>
  <c r="AO137" i="1"/>
  <c r="AO139" i="1" s="1"/>
  <c r="AO142" i="1" s="1"/>
  <c r="AP65" i="1"/>
  <c r="AS218" i="1"/>
  <c r="AS217" i="1" s="1"/>
  <c r="AT230" i="1"/>
  <c r="AT231" i="1" s="1"/>
  <c r="AT232" i="1" s="1"/>
  <c r="AT246" i="1" s="1"/>
  <c r="AS230" i="1"/>
  <c r="AS231" i="1" s="1"/>
  <c r="AS232" i="1" s="1"/>
  <c r="AO199" i="1"/>
  <c r="AS190" i="1"/>
  <c r="AQ193" i="1"/>
  <c r="AQ194" i="1" s="1"/>
  <c r="AQ279" i="1" l="1"/>
  <c r="AQ281" i="1"/>
  <c r="AQ277" i="1"/>
  <c r="AO138" i="1"/>
  <c r="AO141" i="1" s="1"/>
  <c r="AS219" i="1"/>
  <c r="AS222" i="1" s="1"/>
  <c r="AS246" i="1"/>
  <c r="AS243" i="1"/>
  <c r="AR242" i="1"/>
  <c r="AR243" i="1" s="1"/>
  <c r="AR244" i="1" s="1"/>
  <c r="AQ244" i="1"/>
  <c r="AQ198" i="1"/>
  <c r="AQ201" i="1"/>
  <c r="AU186" i="1"/>
  <c r="AU189" i="1" s="1"/>
  <c r="AQ137" i="1" l="1"/>
  <c r="AQ138" i="1" s="1"/>
  <c r="AQ141" i="1" s="1"/>
  <c r="AR65" i="1"/>
  <c r="AU218" i="1"/>
  <c r="AU217" i="1" s="1"/>
  <c r="AV230" i="1"/>
  <c r="AV231" i="1" s="1"/>
  <c r="AV232" i="1" s="1"/>
  <c r="AV246" i="1" s="1"/>
  <c r="AU230" i="1"/>
  <c r="AU231" i="1" s="1"/>
  <c r="AU232" i="1" s="1"/>
  <c r="AU190" i="1"/>
  <c r="AS193" i="1"/>
  <c r="AS194" i="1" s="1"/>
  <c r="AQ199" i="1"/>
  <c r="AS281" i="1" l="1"/>
  <c r="AS279" i="1"/>
  <c r="AS277" i="1"/>
  <c r="AQ139" i="1"/>
  <c r="AQ142" i="1" s="1"/>
  <c r="AU219" i="1"/>
  <c r="AU222" i="1" s="1"/>
  <c r="AU246" i="1"/>
  <c r="AU243" i="1"/>
  <c r="AT242" i="1"/>
  <c r="AT243" i="1" s="1"/>
  <c r="AT244" i="1" s="1"/>
  <c r="AS244" i="1"/>
  <c r="AS201" i="1"/>
  <c r="AS198" i="1"/>
  <c r="AW186" i="1"/>
  <c r="AW189" i="1" s="1"/>
  <c r="AS137" i="1" l="1"/>
  <c r="AS138" i="1" s="1"/>
  <c r="AS141" i="1" s="1"/>
  <c r="AT65" i="1"/>
  <c r="AW218" i="1"/>
  <c r="AW219" i="1" s="1"/>
  <c r="AW222" i="1" s="1"/>
  <c r="AX230" i="1"/>
  <c r="AX231" i="1" s="1"/>
  <c r="AX232" i="1" s="1"/>
  <c r="AX246" i="1" s="1"/>
  <c r="AW230" i="1"/>
  <c r="AW231" i="1" s="1"/>
  <c r="AW232" i="1" s="1"/>
  <c r="AU193" i="1"/>
  <c r="AU194" i="1" s="1"/>
  <c r="AS199" i="1"/>
  <c r="AW190" i="1"/>
  <c r="AU281" i="1" l="1"/>
  <c r="AU279" i="1"/>
  <c r="AU277" i="1"/>
  <c r="AS139" i="1"/>
  <c r="AS142" i="1" s="1"/>
  <c r="AW217" i="1"/>
  <c r="AW246" i="1"/>
  <c r="AW243" i="1"/>
  <c r="AV242" i="1"/>
  <c r="AV243" i="1" s="1"/>
  <c r="AV244" i="1" s="1"/>
  <c r="AU244" i="1"/>
  <c r="AU201" i="1"/>
  <c r="AU198" i="1"/>
  <c r="AY186" i="1"/>
  <c r="AY189" i="1" s="1"/>
  <c r="AU137" i="1" l="1"/>
  <c r="AU139" i="1" s="1"/>
  <c r="AU142" i="1" s="1"/>
  <c r="AV65" i="1"/>
  <c r="AY218" i="1"/>
  <c r="AY217" i="1" s="1"/>
  <c r="AZ230" i="1"/>
  <c r="AZ231" i="1" s="1"/>
  <c r="AZ232" i="1" s="1"/>
  <c r="AZ246" i="1" s="1"/>
  <c r="AY230" i="1"/>
  <c r="AY231" i="1" s="1"/>
  <c r="AY232" i="1" s="1"/>
  <c r="AW193" i="1"/>
  <c r="AW194" i="1" s="1"/>
  <c r="AY190" i="1"/>
  <c r="AU199" i="1"/>
  <c r="AW279" i="1" l="1"/>
  <c r="AW281" i="1"/>
  <c r="AW277" i="1"/>
  <c r="AU138" i="1"/>
  <c r="AU141" i="1" s="1"/>
  <c r="AY219" i="1"/>
  <c r="AY222" i="1" s="1"/>
  <c r="AY246" i="1"/>
  <c r="AY243" i="1"/>
  <c r="AX242" i="1"/>
  <c r="AX243" i="1" s="1"/>
  <c r="AX244" i="1" s="1"/>
  <c r="AW244" i="1"/>
  <c r="BA186" i="1"/>
  <c r="BA189" i="1" s="1"/>
  <c r="AW198" i="1"/>
  <c r="AW201" i="1"/>
  <c r="AW137" i="1" l="1"/>
  <c r="AW139" i="1" s="1"/>
  <c r="AW142" i="1" s="1"/>
  <c r="AX65" i="1"/>
  <c r="BB230" i="1"/>
  <c r="BB231" i="1" s="1"/>
  <c r="BB232" i="1" s="1"/>
  <c r="BB246" i="1" s="1"/>
  <c r="BA218" i="1"/>
  <c r="BA217" i="1" s="1"/>
  <c r="BA230" i="1"/>
  <c r="BA231" i="1" s="1"/>
  <c r="BA232" i="1" s="1"/>
  <c r="AW199" i="1"/>
  <c r="BA190" i="1"/>
  <c r="AY193" i="1"/>
  <c r="AY194" i="1" s="1"/>
  <c r="AY279" i="1" l="1"/>
  <c r="AY281" i="1"/>
  <c r="AY277" i="1"/>
  <c r="AW138" i="1"/>
  <c r="AW141" i="1" s="1"/>
  <c r="BA219" i="1"/>
  <c r="BA222" i="1" s="1"/>
  <c r="BA246" i="1"/>
  <c r="BA243" i="1"/>
  <c r="AZ242" i="1"/>
  <c r="AZ243" i="1" s="1"/>
  <c r="AZ244" i="1" s="1"/>
  <c r="AY244" i="1"/>
  <c r="AY198" i="1"/>
  <c r="AY201" i="1"/>
  <c r="BC186" i="1"/>
  <c r="BC189" i="1" s="1"/>
  <c r="AY137" i="1" l="1"/>
  <c r="AY139" i="1" s="1"/>
  <c r="AY142" i="1" s="1"/>
  <c r="AZ65" i="1"/>
  <c r="BC218" i="1"/>
  <c r="BC217" i="1" s="1"/>
  <c r="BD230" i="1"/>
  <c r="BD231" i="1" s="1"/>
  <c r="BD232" i="1" s="1"/>
  <c r="BD246" i="1" s="1"/>
  <c r="BC230" i="1"/>
  <c r="BC231" i="1" s="1"/>
  <c r="BC232" i="1" s="1"/>
  <c r="AY199" i="1"/>
  <c r="BC190" i="1"/>
  <c r="BA193" i="1"/>
  <c r="BA194" i="1" s="1"/>
  <c r="BA281" i="1" l="1"/>
  <c r="BA279" i="1"/>
  <c r="BA277" i="1"/>
  <c r="AY138" i="1"/>
  <c r="AY141" i="1" s="1"/>
  <c r="BC219" i="1"/>
  <c r="BC222" i="1" s="1"/>
  <c r="BC246" i="1"/>
  <c r="BC243" i="1"/>
  <c r="BB242" i="1"/>
  <c r="BB243" i="1" s="1"/>
  <c r="BB244" i="1" s="1"/>
  <c r="BA244" i="1"/>
  <c r="BE186" i="1"/>
  <c r="BE189" i="1" s="1"/>
  <c r="BA201" i="1"/>
  <c r="BA198" i="1"/>
  <c r="BA137" i="1" l="1"/>
  <c r="BA138" i="1" s="1"/>
  <c r="BA141" i="1" s="1"/>
  <c r="BB65" i="1"/>
  <c r="BE218" i="1"/>
  <c r="BE217" i="1" s="1"/>
  <c r="BF230" i="1"/>
  <c r="BF231" i="1" s="1"/>
  <c r="BF232" i="1" s="1"/>
  <c r="BF246" i="1" s="1"/>
  <c r="BE230" i="1"/>
  <c r="BE231" i="1" s="1"/>
  <c r="BE232" i="1" s="1"/>
  <c r="BC193" i="1"/>
  <c r="BC194" i="1" s="1"/>
  <c r="BA199" i="1"/>
  <c r="BE190" i="1"/>
  <c r="BC281" i="1" l="1"/>
  <c r="BC279" i="1"/>
  <c r="BC277" i="1"/>
  <c r="BA139" i="1"/>
  <c r="BA142" i="1" s="1"/>
  <c r="BE219" i="1"/>
  <c r="BE222" i="1" s="1"/>
  <c r="BE246" i="1"/>
  <c r="BE243" i="1"/>
  <c r="BD242" i="1"/>
  <c r="BD243" i="1" s="1"/>
  <c r="BD244" i="1" s="1"/>
  <c r="BC244" i="1"/>
  <c r="BG186" i="1"/>
  <c r="BG189" i="1" s="1"/>
  <c r="BC198" i="1"/>
  <c r="BC201" i="1"/>
  <c r="BC137" i="1" l="1"/>
  <c r="BC138" i="1" s="1"/>
  <c r="BC141" i="1" s="1"/>
  <c r="BD65" i="1"/>
  <c r="BG218" i="1"/>
  <c r="BG219" i="1" s="1"/>
  <c r="BG222" i="1" s="1"/>
  <c r="BH230" i="1"/>
  <c r="BH231" i="1" s="1"/>
  <c r="BH232" i="1" s="1"/>
  <c r="BH246" i="1" s="1"/>
  <c r="BG230" i="1"/>
  <c r="BG231" i="1" s="1"/>
  <c r="BG232" i="1" s="1"/>
  <c r="BC199" i="1"/>
  <c r="BE193" i="1"/>
  <c r="BE194" i="1" s="1"/>
  <c r="BG190" i="1"/>
  <c r="BE279" i="1" l="1"/>
  <c r="BE281" i="1"/>
  <c r="BE277" i="1"/>
  <c r="BC139" i="1"/>
  <c r="BC142" i="1" s="1"/>
  <c r="BG217" i="1"/>
  <c r="BG246" i="1"/>
  <c r="BG243" i="1"/>
  <c r="BF242" i="1"/>
  <c r="BF243" i="1" s="1"/>
  <c r="BF244" i="1" s="1"/>
  <c r="BE244" i="1"/>
  <c r="BE201" i="1"/>
  <c r="BE198" i="1"/>
  <c r="BI186" i="1"/>
  <c r="BI189" i="1" s="1"/>
  <c r="BE137" i="1" l="1"/>
  <c r="BE138" i="1" s="1"/>
  <c r="BE141" i="1" s="1"/>
  <c r="BF65" i="1"/>
  <c r="BI218" i="1"/>
  <c r="BI217" i="1" s="1"/>
  <c r="BJ230" i="1"/>
  <c r="BJ231" i="1" s="1"/>
  <c r="BJ232" i="1" s="1"/>
  <c r="BJ246" i="1" s="1"/>
  <c r="BI230" i="1"/>
  <c r="BI231" i="1" s="1"/>
  <c r="BI232" i="1" s="1"/>
  <c r="BE199" i="1"/>
  <c r="BG193" i="1"/>
  <c r="BG194" i="1" s="1"/>
  <c r="BI190" i="1"/>
  <c r="BG279" i="1" l="1"/>
  <c r="BG281" i="1"/>
  <c r="BG277" i="1"/>
  <c r="BE139" i="1"/>
  <c r="BE142" i="1" s="1"/>
  <c r="BI219" i="1"/>
  <c r="BI222" i="1" s="1"/>
  <c r="BI246" i="1"/>
  <c r="BI243" i="1"/>
  <c r="BH242" i="1"/>
  <c r="BH243" i="1" s="1"/>
  <c r="BH244" i="1" s="1"/>
  <c r="BG244" i="1"/>
  <c r="BG198" i="1"/>
  <c r="BG201" i="1"/>
  <c r="BK186" i="1"/>
  <c r="BK189" i="1" s="1"/>
  <c r="BG137" i="1" l="1"/>
  <c r="BG138" i="1" s="1"/>
  <c r="BG141" i="1" s="1"/>
  <c r="BH65" i="1"/>
  <c r="BL230" i="1"/>
  <c r="BL231" i="1" s="1"/>
  <c r="BL232" i="1" s="1"/>
  <c r="BL246" i="1" s="1"/>
  <c r="BK218" i="1"/>
  <c r="BK217" i="1" s="1"/>
  <c r="BK230" i="1"/>
  <c r="BK231" i="1" s="1"/>
  <c r="BK232" i="1" s="1"/>
  <c r="BK190" i="1"/>
  <c r="BG199" i="1"/>
  <c r="BI193" i="1"/>
  <c r="BI194" i="1" s="1"/>
  <c r="BI281" i="1" l="1"/>
  <c r="BI279" i="1"/>
  <c r="BI277" i="1"/>
  <c r="BG139" i="1"/>
  <c r="BG142" i="1" s="1"/>
  <c r="BK219" i="1"/>
  <c r="BK222" i="1" s="1"/>
  <c r="BK246" i="1"/>
  <c r="BK243" i="1"/>
  <c r="BJ242" i="1"/>
  <c r="BJ243" i="1" s="1"/>
  <c r="BJ244" i="1" s="1"/>
  <c r="BI244" i="1"/>
  <c r="BI201" i="1"/>
  <c r="BI198" i="1"/>
  <c r="BM186" i="1"/>
  <c r="BM189" i="1" s="1"/>
  <c r="BI137" i="1" l="1"/>
  <c r="BI139" i="1" s="1"/>
  <c r="BI142" i="1" s="1"/>
  <c r="BJ65" i="1"/>
  <c r="BM218" i="1"/>
  <c r="BM217" i="1" s="1"/>
  <c r="BN230" i="1"/>
  <c r="BN231" i="1" s="1"/>
  <c r="BN232" i="1" s="1"/>
  <c r="BN246" i="1" s="1"/>
  <c r="BM230" i="1"/>
  <c r="BM231" i="1" s="1"/>
  <c r="BM232" i="1" s="1"/>
  <c r="BM190" i="1"/>
  <c r="BI199" i="1"/>
  <c r="BK193" i="1"/>
  <c r="BK194" i="1" s="1"/>
  <c r="BK281" i="1" l="1"/>
  <c r="BK279" i="1"/>
  <c r="BK277" i="1"/>
  <c r="BI138" i="1"/>
  <c r="BI141" i="1" s="1"/>
  <c r="BM219" i="1"/>
  <c r="BM222" i="1" s="1"/>
  <c r="BM246" i="1"/>
  <c r="BM243" i="1"/>
  <c r="BL242" i="1"/>
  <c r="BL243" i="1" s="1"/>
  <c r="BL244" i="1" s="1"/>
  <c r="BK244" i="1"/>
  <c r="BK201" i="1"/>
  <c r="BK198" i="1"/>
  <c r="BO186" i="1"/>
  <c r="BO189" i="1" s="1"/>
  <c r="BK137" i="1" l="1"/>
  <c r="BK139" i="1" s="1"/>
  <c r="BK142" i="1" s="1"/>
  <c r="BL65" i="1"/>
  <c r="BO218" i="1"/>
  <c r="BO217" i="1" s="1"/>
  <c r="BP230" i="1"/>
  <c r="BP231" i="1" s="1"/>
  <c r="BP232" i="1" s="1"/>
  <c r="BP246" i="1" s="1"/>
  <c r="BO230" i="1"/>
  <c r="BO231" i="1" s="1"/>
  <c r="BO232" i="1" s="1"/>
  <c r="BM193" i="1"/>
  <c r="BM194" i="1" s="1"/>
  <c r="BK199" i="1"/>
  <c r="BO190" i="1"/>
  <c r="BM279" i="1" l="1"/>
  <c r="BM281" i="1"/>
  <c r="BM277" i="1"/>
  <c r="BK138" i="1"/>
  <c r="BK141" i="1" s="1"/>
  <c r="BO219" i="1"/>
  <c r="BO222" i="1" s="1"/>
  <c r="BO246" i="1"/>
  <c r="BO243" i="1"/>
  <c r="BN242" i="1"/>
  <c r="BN243" i="1" s="1"/>
  <c r="BN244" i="1" s="1"/>
  <c r="BM244" i="1"/>
  <c r="BM198" i="1"/>
  <c r="BM201" i="1"/>
  <c r="BQ186" i="1"/>
  <c r="BQ189" i="1" s="1"/>
  <c r="BM137" i="1" l="1"/>
  <c r="BM138" i="1" s="1"/>
  <c r="BM141" i="1" s="1"/>
  <c r="BN65" i="1"/>
  <c r="BQ218" i="1"/>
  <c r="BQ217" i="1" s="1"/>
  <c r="BR230" i="1"/>
  <c r="BR231" i="1" s="1"/>
  <c r="BR232" i="1" s="1"/>
  <c r="BR246" i="1" s="1"/>
  <c r="BQ230" i="1"/>
  <c r="BQ231" i="1" s="1"/>
  <c r="BQ232" i="1" s="1"/>
  <c r="BO193" i="1"/>
  <c r="BO194" i="1" s="1"/>
  <c r="BQ190" i="1"/>
  <c r="BM199" i="1"/>
  <c r="BO279" i="1" l="1"/>
  <c r="BO281" i="1"/>
  <c r="BO277" i="1"/>
  <c r="BM139" i="1"/>
  <c r="BM142" i="1" s="1"/>
  <c r="BQ219" i="1"/>
  <c r="BQ222" i="1" s="1"/>
  <c r="BQ246" i="1"/>
  <c r="BQ243" i="1"/>
  <c r="BP242" i="1"/>
  <c r="BP243" i="1" s="1"/>
  <c r="BP244" i="1" s="1"/>
  <c r="BO244" i="1"/>
  <c r="BS186" i="1"/>
  <c r="BS189" i="1" s="1"/>
  <c r="BO198" i="1"/>
  <c r="BO201" i="1"/>
  <c r="BO137" i="1" l="1"/>
  <c r="BO138" i="1" s="1"/>
  <c r="BO141" i="1" s="1"/>
  <c r="BP65" i="1"/>
  <c r="BS218" i="1"/>
  <c r="BS217" i="1" s="1"/>
  <c r="BT230" i="1"/>
  <c r="BT231" i="1" s="1"/>
  <c r="BT232" i="1" s="1"/>
  <c r="BT246" i="1" s="1"/>
  <c r="BS230" i="1"/>
  <c r="BS231" i="1" s="1"/>
  <c r="BS232" i="1" s="1"/>
  <c r="BO199" i="1"/>
  <c r="BS190" i="1"/>
  <c r="BQ193" i="1"/>
  <c r="BQ194" i="1" s="1"/>
  <c r="BQ281" i="1" l="1"/>
  <c r="BQ279" i="1"/>
  <c r="BQ277" i="1"/>
  <c r="BO139" i="1"/>
  <c r="BO142" i="1" s="1"/>
  <c r="BS219" i="1"/>
  <c r="BS222" i="1" s="1"/>
  <c r="BS246" i="1"/>
  <c r="BS243" i="1"/>
  <c r="BR242" i="1"/>
  <c r="BR243" i="1" s="1"/>
  <c r="BR244" i="1" s="1"/>
  <c r="BQ244" i="1"/>
  <c r="BQ198" i="1"/>
  <c r="BQ201" i="1"/>
  <c r="BU186" i="1"/>
  <c r="BU189" i="1" s="1"/>
  <c r="BQ137" i="1" l="1"/>
  <c r="BQ138" i="1" s="1"/>
  <c r="BQ141" i="1" s="1"/>
  <c r="BR65" i="1"/>
  <c r="BU218" i="1"/>
  <c r="BU217" i="1" s="1"/>
  <c r="BV230" i="1"/>
  <c r="BV231" i="1" s="1"/>
  <c r="BV232" i="1" s="1"/>
  <c r="BV246" i="1" s="1"/>
  <c r="BU230" i="1"/>
  <c r="BU231" i="1" s="1"/>
  <c r="BU232" i="1" s="1"/>
  <c r="BS193" i="1"/>
  <c r="BS194" i="1" s="1"/>
  <c r="BQ199" i="1"/>
  <c r="BU190" i="1"/>
  <c r="BS281" i="1" l="1"/>
  <c r="BS279" i="1"/>
  <c r="BS277" i="1"/>
  <c r="BQ139" i="1"/>
  <c r="BQ142" i="1" s="1"/>
  <c r="BU219" i="1"/>
  <c r="BU222" i="1" s="1"/>
  <c r="BU246" i="1"/>
  <c r="BU243" i="1"/>
  <c r="BT242" i="1"/>
  <c r="BT243" i="1" s="1"/>
  <c r="BT244" i="1" s="1"/>
  <c r="BS244" i="1"/>
  <c r="BS198" i="1"/>
  <c r="BS201" i="1"/>
  <c r="BW186" i="1"/>
  <c r="BW189" i="1" s="1"/>
  <c r="BS137" i="1" l="1"/>
  <c r="BS139" i="1" s="1"/>
  <c r="BS142" i="1" s="1"/>
  <c r="BT65" i="1"/>
  <c r="BW218" i="1"/>
  <c r="BW217" i="1" s="1"/>
  <c r="BX230" i="1"/>
  <c r="BX231" i="1" s="1"/>
  <c r="BX232" i="1" s="1"/>
  <c r="BX246" i="1" s="1"/>
  <c r="BW230" i="1"/>
  <c r="BW231" i="1" s="1"/>
  <c r="BW232" i="1" s="1"/>
  <c r="BW190" i="1"/>
  <c r="BS199" i="1"/>
  <c r="BU193" i="1"/>
  <c r="BU194" i="1" s="1"/>
  <c r="BU279" i="1" l="1"/>
  <c r="BU281" i="1"/>
  <c r="BU277" i="1"/>
  <c r="BS138" i="1"/>
  <c r="BS141" i="1" s="1"/>
  <c r="BW219" i="1"/>
  <c r="BW222" i="1" s="1"/>
  <c r="BW246" i="1"/>
  <c r="BW243" i="1"/>
  <c r="BV242" i="1"/>
  <c r="BV243" i="1" s="1"/>
  <c r="BV244" i="1" s="1"/>
  <c r="BU244" i="1"/>
  <c r="BU198" i="1"/>
  <c r="BU201" i="1"/>
  <c r="BY186" i="1"/>
  <c r="BY189" i="1" s="1"/>
  <c r="BU137" i="1" l="1"/>
  <c r="BU139" i="1" s="1"/>
  <c r="BU142" i="1" s="1"/>
  <c r="BV65" i="1"/>
  <c r="BZ230" i="1"/>
  <c r="BZ231" i="1" s="1"/>
  <c r="BZ232" i="1" s="1"/>
  <c r="BZ246" i="1" s="1"/>
  <c r="BY218" i="1"/>
  <c r="BY217" i="1" s="1"/>
  <c r="BY230" i="1"/>
  <c r="BY231" i="1" s="1"/>
  <c r="BY232" i="1" s="1"/>
  <c r="BW193" i="1"/>
  <c r="BW194" i="1" s="1"/>
  <c r="BY190" i="1"/>
  <c r="BU199" i="1"/>
  <c r="BW279" i="1" l="1"/>
  <c r="BW281" i="1"/>
  <c r="BW277" i="1"/>
  <c r="BU138" i="1"/>
  <c r="BU141" i="1" s="1"/>
  <c r="BY219" i="1"/>
  <c r="BY222" i="1" s="1"/>
  <c r="BY246" i="1"/>
  <c r="BY243" i="1"/>
  <c r="BX242" i="1"/>
  <c r="BX243" i="1" s="1"/>
  <c r="BX244" i="1" s="1"/>
  <c r="BW244" i="1"/>
  <c r="BW198" i="1"/>
  <c r="BW201" i="1"/>
  <c r="BW137" i="1" l="1"/>
  <c r="BW139" i="1" s="1"/>
  <c r="BW142" i="1" s="1"/>
  <c r="BX65" i="1"/>
  <c r="BW199" i="1"/>
  <c r="BY193" i="1"/>
  <c r="BY194" i="1" s="1"/>
  <c r="BY281" i="1" l="1"/>
  <c r="BY279" i="1"/>
  <c r="BY277" i="1"/>
  <c r="BW138" i="1"/>
  <c r="BW141" i="1" s="1"/>
  <c r="BZ242" i="1"/>
  <c r="BZ243" i="1" s="1"/>
  <c r="BZ244" i="1" s="1"/>
  <c r="BY244" i="1"/>
  <c r="BY201" i="1"/>
  <c r="BY198" i="1"/>
  <c r="BY137" i="1" l="1"/>
  <c r="BY138" i="1" s="1"/>
  <c r="BY141" i="1" s="1"/>
  <c r="BZ65" i="1"/>
  <c r="BY199" i="1"/>
  <c r="CC178" i="1"/>
  <c r="CC177" i="1"/>
  <c r="CA177" i="1"/>
  <c r="CA186" i="1"/>
  <c r="CA189" i="1" s="1"/>
  <c r="CA178" i="1"/>
  <c r="BY139" i="1" l="1"/>
  <c r="BY142" i="1" s="1"/>
  <c r="CA181" i="1"/>
  <c r="CA215" i="1" s="1"/>
  <c r="CA214" i="1" s="1"/>
  <c r="CB230" i="1"/>
  <c r="CA218" i="1"/>
  <c r="CA217" i="1" s="1"/>
  <c r="CA230" i="1"/>
  <c r="CC186" i="1"/>
  <c r="CC189" i="1" s="1"/>
  <c r="CC181" i="1"/>
  <c r="CA190" i="1" l="1"/>
  <c r="CA229" i="1"/>
  <c r="CA231" i="1" s="1"/>
  <c r="CA232" i="1" s="1"/>
  <c r="CA246" i="1" s="1"/>
  <c r="CB229" i="1"/>
  <c r="CB231" i="1" s="1"/>
  <c r="CB232" i="1" s="1"/>
  <c r="CB246" i="1" s="1"/>
  <c r="CA219" i="1"/>
  <c r="CD229" i="1"/>
  <c r="CC215" i="1"/>
  <c r="CC214" i="1" s="1"/>
  <c r="CC229" i="1"/>
  <c r="CC218" i="1"/>
  <c r="CC217" i="1" s="1"/>
  <c r="CD230" i="1"/>
  <c r="CC230" i="1"/>
  <c r="CC190" i="1"/>
  <c r="CA222" i="1" l="1"/>
  <c r="CE222" i="1"/>
  <c r="CC231" i="1"/>
  <c r="CC232" i="1" s="1"/>
  <c r="CC246" i="1" s="1"/>
  <c r="CD231" i="1"/>
  <c r="CD232" i="1" s="1"/>
  <c r="CD246" i="1" s="1"/>
  <c r="CA243" i="1"/>
  <c r="CA193" i="1" s="1"/>
  <c r="CA194" i="1" s="1"/>
  <c r="CC219" i="1"/>
  <c r="CA281" i="1" l="1"/>
  <c r="CA279" i="1"/>
  <c r="CA277" i="1"/>
  <c r="CC222" i="1"/>
  <c r="CG222" i="1"/>
  <c r="CC243" i="1"/>
  <c r="CC193" i="1" s="1"/>
  <c r="CC194" i="1" s="1"/>
  <c r="CB242" i="1"/>
  <c r="CB243" i="1" s="1"/>
  <c r="CB244" i="1" s="1"/>
  <c r="CA244" i="1"/>
  <c r="CA201" i="1"/>
  <c r="CA198" i="1"/>
  <c r="CC279" i="1" l="1"/>
  <c r="CC281" i="1"/>
  <c r="CC277" i="1"/>
  <c r="CA137" i="1"/>
  <c r="CA138" i="1" s="1"/>
  <c r="CA141" i="1" s="1"/>
  <c r="CB65" i="1"/>
  <c r="CD242" i="1"/>
  <c r="CD243" i="1" s="1"/>
  <c r="CD244" i="1" s="1"/>
  <c r="CC244" i="1"/>
  <c r="CC198" i="1"/>
  <c r="CC201" i="1"/>
  <c r="CA199" i="1"/>
  <c r="CA139" i="1" l="1"/>
  <c r="CA142" i="1" s="1"/>
  <c r="CC137" i="1"/>
  <c r="CC138" i="1" s="1"/>
  <c r="CC141" i="1" s="1"/>
  <c r="CD65" i="1"/>
  <c r="CC199" i="1"/>
  <c r="CC139" i="1" l="1"/>
  <c r="CC142" i="1" s="1"/>
  <c r="CE117" i="1"/>
  <c r="CD117" i="1"/>
  <c r="CC117" i="1"/>
  <c r="CB117" i="1"/>
  <c r="CI178" i="1" l="1"/>
  <c r="CI186" i="1"/>
  <c r="CI189" i="1" s="1"/>
  <c r="CI177" i="1"/>
  <c r="CJ230" i="1" l="1"/>
  <c r="CI181" i="1"/>
  <c r="CI230" i="1"/>
  <c r="CJ229" i="1" l="1"/>
  <c r="CJ231" i="1" s="1"/>
  <c r="CJ232" i="1" s="1"/>
  <c r="CJ246" i="1" s="1"/>
  <c r="CI190" i="1"/>
  <c r="CI229" i="1"/>
  <c r="CI231" i="1" s="1"/>
  <c r="CI232" i="1" s="1"/>
  <c r="CI246" i="1" s="1"/>
  <c r="CI219" i="1" l="1"/>
  <c r="CI222" i="1" s="1"/>
  <c r="CI243" i="1"/>
  <c r="CI193" i="1" s="1"/>
  <c r="CI194" i="1" s="1"/>
  <c r="CI281" i="1" l="1"/>
  <c r="CI279" i="1"/>
  <c r="CI277" i="1"/>
  <c r="CI244" i="1"/>
  <c r="CJ242" i="1"/>
  <c r="CJ243" i="1" s="1"/>
  <c r="CI201" i="1"/>
  <c r="CI198" i="1"/>
  <c r="CI137" i="1" l="1"/>
  <c r="CI139" i="1" s="1"/>
  <c r="CI142" i="1" s="1"/>
  <c r="CJ65" i="1"/>
  <c r="CJ244" i="1"/>
  <c r="CI199" i="1"/>
  <c r="CI138" i="1" l="1"/>
  <c r="CI141" i="1" s="1"/>
  <c r="CJ201" i="1"/>
  <c r="CJ137" i="1" l="1"/>
  <c r="CK65" i="1"/>
  <c r="CJ139" i="1" l="1"/>
  <c r="CJ142" i="1" s="1"/>
  <c r="CJ138" i="1"/>
  <c r="CJ141" i="1" s="1"/>
  <c r="CK264" i="1"/>
  <c r="CK286" i="1"/>
  <c r="CK285" i="1"/>
  <c r="CN38" i="1"/>
  <c r="CN286" i="1"/>
  <c r="CM38" i="1"/>
  <c r="CM286" i="1"/>
  <c r="CN264" i="1"/>
  <c r="CM264" i="1"/>
  <c r="CM126" i="1"/>
  <c r="CM127" i="1" s="1"/>
  <c r="CM130" i="1" s="1"/>
  <c r="CN126" i="1"/>
  <c r="CN127" i="1" s="1"/>
  <c r="CN130" i="1" s="1"/>
  <c r="CM179" i="1" l="1"/>
  <c r="CQ286" i="1"/>
  <c r="CO38" i="1"/>
  <c r="CN54" i="1"/>
  <c r="CN51" i="1" s="1"/>
  <c r="CR286" i="1"/>
  <c r="CN178" i="1"/>
  <c r="CN44" i="1"/>
  <c r="CN177" i="1"/>
  <c r="CN186" i="1"/>
  <c r="CM54" i="1"/>
  <c r="CM51" i="1" s="1"/>
  <c r="CM186" i="1"/>
  <c r="CN40" i="1"/>
  <c r="CN185" i="1"/>
  <c r="CN179" i="1"/>
  <c r="CM178" i="1"/>
  <c r="CM40" i="1"/>
  <c r="CM44" i="1"/>
  <c r="CM43" i="1" s="1"/>
  <c r="CM185" i="1"/>
  <c r="CM177" i="1"/>
  <c r="CK177" i="1"/>
  <c r="CK186" i="1"/>
  <c r="CK178" i="1"/>
  <c r="CM258" i="1"/>
  <c r="CK185" i="1"/>
  <c r="CK258" i="1"/>
  <c r="CK179" i="1"/>
  <c r="CN258" i="1"/>
  <c r="CO258" i="1" l="1"/>
  <c r="CM189" i="1"/>
  <c r="CK189" i="1"/>
  <c r="CN43" i="1"/>
  <c r="CN46" i="1"/>
  <c r="CN56" i="1"/>
  <c r="CN181" i="1"/>
  <c r="CM181" i="1"/>
  <c r="CN189" i="1"/>
  <c r="CR38" i="1"/>
  <c r="CM46" i="1"/>
  <c r="CR264" i="1"/>
  <c r="CQ38" i="1"/>
  <c r="CQ264" i="1"/>
  <c r="CM56" i="1"/>
  <c r="CR126" i="1"/>
  <c r="CR127" i="1" s="1"/>
  <c r="CR130" i="1" s="1"/>
  <c r="CP286" i="1"/>
  <c r="CN47" i="1"/>
  <c r="CO126" i="1"/>
  <c r="CO127" i="1" s="1"/>
  <c r="CO130" i="1" s="1"/>
  <c r="CO286" i="1"/>
  <c r="CO264" i="1"/>
  <c r="CK181" i="1"/>
  <c r="CM47" i="1"/>
  <c r="CP264" i="1"/>
  <c r="CP38" i="1"/>
  <c r="CQ126" i="1"/>
  <c r="CQ127" i="1" s="1"/>
  <c r="CQ130" i="1" s="1"/>
  <c r="AB36" i="1"/>
  <c r="CP126" i="1"/>
  <c r="CP127" i="1" s="1"/>
  <c r="CP130" i="1" s="1"/>
  <c r="CO177" i="1"/>
  <c r="CO44" i="1"/>
  <c r="CO185" i="1"/>
  <c r="CO186" i="1"/>
  <c r="CO54" i="1"/>
  <c r="CO51" i="1" s="1"/>
  <c r="CO178" i="1"/>
  <c r="CO179" i="1"/>
  <c r="CO40" i="1"/>
  <c r="CK230" i="1" l="1"/>
  <c r="CL230" i="1"/>
  <c r="CK229" i="1"/>
  <c r="CK231" i="1" s="1"/>
  <c r="CL229" i="1"/>
  <c r="CL231" i="1" s="1"/>
  <c r="CL232" i="1" s="1"/>
  <c r="CL246" i="1" s="1"/>
  <c r="CM31" i="1"/>
  <c r="CN31" i="1"/>
  <c r="CN140" i="1"/>
  <c r="CN146" i="1" s="1"/>
  <c r="CM140" i="1"/>
  <c r="CM146" i="1" s="1"/>
  <c r="AB286" i="1"/>
  <c r="CN283" i="1"/>
  <c r="CN284" i="1" s="1"/>
  <c r="CN230" i="1"/>
  <c r="CN57" i="1"/>
  <c r="CN265" i="1"/>
  <c r="CN266" i="1" s="1"/>
  <c r="CN58" i="1"/>
  <c r="CN62" i="1"/>
  <c r="CN190" i="1"/>
  <c r="CM190" i="1"/>
  <c r="CN229" i="1"/>
  <c r="CR185" i="1"/>
  <c r="CR44" i="1"/>
  <c r="CR177" i="1"/>
  <c r="CR178" i="1"/>
  <c r="CR40" i="1"/>
  <c r="CR179" i="1"/>
  <c r="CR54" i="1"/>
  <c r="CR51" i="1" s="1"/>
  <c r="CR186" i="1"/>
  <c r="CQ40" i="1"/>
  <c r="CQ54" i="1"/>
  <c r="CQ51" i="1" s="1"/>
  <c r="CQ179" i="1"/>
  <c r="CQ178" i="1"/>
  <c r="CQ185" i="1"/>
  <c r="CQ186" i="1"/>
  <c r="CQ177" i="1"/>
  <c r="CN59" i="1"/>
  <c r="CM58" i="1"/>
  <c r="CM265" i="1"/>
  <c r="CM266" i="1" s="1"/>
  <c r="CM57" i="1"/>
  <c r="CM62" i="1"/>
  <c r="CQ44" i="1"/>
  <c r="CK190" i="1"/>
  <c r="CK283" i="1"/>
  <c r="CK284" i="1" s="1"/>
  <c r="CS126" i="1"/>
  <c r="CS127" i="1" s="1"/>
  <c r="CS130" i="1" s="1"/>
  <c r="CS286" i="1"/>
  <c r="CM283" i="1"/>
  <c r="CM284" i="1" s="1"/>
  <c r="CK265" i="1"/>
  <c r="CK266" i="1" s="1"/>
  <c r="CK259" i="1"/>
  <c r="CN259" i="1"/>
  <c r="CR258" i="1"/>
  <c r="CP258" i="1"/>
  <c r="AB38" i="1"/>
  <c r="CO189" i="1"/>
  <c r="CS38" i="1"/>
  <c r="CS264" i="1"/>
  <c r="CO181" i="1"/>
  <c r="CM230" i="1"/>
  <c r="CP178" i="1"/>
  <c r="AB178" i="1" s="1"/>
  <c r="AB213" i="1" s="1"/>
  <c r="CP177" i="1"/>
  <c r="CP185" i="1"/>
  <c r="CP44" i="1"/>
  <c r="CP43" i="1" s="1"/>
  <c r="CP186" i="1"/>
  <c r="AB186" i="1" s="1"/>
  <c r="AB216" i="1" s="1"/>
  <c r="CP179" i="1"/>
  <c r="AB179" i="1" s="1"/>
  <c r="CP40" i="1"/>
  <c r="CP54" i="1"/>
  <c r="CP51" i="1" s="1"/>
  <c r="CT286" i="1"/>
  <c r="CO56" i="1"/>
  <c r="CO46" i="1"/>
  <c r="CO47" i="1"/>
  <c r="CM229" i="1"/>
  <c r="CQ258" i="1"/>
  <c r="CO43" i="1"/>
  <c r="CM259" i="1"/>
  <c r="CM59" i="1"/>
  <c r="CO140" i="1" l="1"/>
  <c r="CO146" i="1" s="1"/>
  <c r="CO31" i="1"/>
  <c r="CU286" i="1"/>
  <c r="CU38" i="1"/>
  <c r="CU44" i="1" s="1"/>
  <c r="CU43" i="1" s="1"/>
  <c r="CU264" i="1"/>
  <c r="CS258" i="1"/>
  <c r="CW286" i="1"/>
  <c r="CR181" i="1"/>
  <c r="CQ189" i="1"/>
  <c r="AB51" i="1"/>
  <c r="AB54" i="1" s="1"/>
  <c r="AB55" i="1" s="1"/>
  <c r="CN231" i="1"/>
  <c r="CR189" i="1"/>
  <c r="CR46" i="1"/>
  <c r="CR47" i="1"/>
  <c r="CR56" i="1"/>
  <c r="CR43" i="1"/>
  <c r="CV286" i="1"/>
  <c r="CV264" i="1"/>
  <c r="CV38" i="1"/>
  <c r="CQ43" i="1"/>
  <c r="CQ46" i="1"/>
  <c r="CQ56" i="1"/>
  <c r="CQ181" i="1"/>
  <c r="CO283" i="1"/>
  <c r="CO284" i="1" s="1"/>
  <c r="AB126" i="1"/>
  <c r="AB221" i="1"/>
  <c r="CQ47" i="1"/>
  <c r="AB43" i="1"/>
  <c r="AB44" i="1" s="1"/>
  <c r="CM231" i="1"/>
  <c r="CO190" i="1"/>
  <c r="CO229" i="1"/>
  <c r="CO259" i="1"/>
  <c r="AC36" i="1"/>
  <c r="CV126" i="1"/>
  <c r="CV127" i="1" s="1"/>
  <c r="CV130" i="1" s="1"/>
  <c r="AB39" i="1"/>
  <c r="AB86" i="1"/>
  <c r="AB177" i="1"/>
  <c r="CP181" i="1"/>
  <c r="CS177" i="1"/>
  <c r="CS44" i="1"/>
  <c r="CS43" i="1" s="1"/>
  <c r="CS185" i="1"/>
  <c r="CS40" i="1"/>
  <c r="CS178" i="1"/>
  <c r="CS186" i="1"/>
  <c r="CS179" i="1"/>
  <c r="CS54" i="1"/>
  <c r="CS51" i="1" s="1"/>
  <c r="CT126" i="1"/>
  <c r="CT127" i="1" s="1"/>
  <c r="CT130" i="1" s="1"/>
  <c r="CO230" i="1"/>
  <c r="CO58" i="1"/>
  <c r="CO265" i="1"/>
  <c r="CO266" i="1" s="1"/>
  <c r="CO62" i="1"/>
  <c r="CO59" i="1"/>
  <c r="CO57" i="1"/>
  <c r="CP46" i="1"/>
  <c r="CP56" i="1"/>
  <c r="CP47" i="1"/>
  <c r="CT264" i="1"/>
  <c r="CT38" i="1"/>
  <c r="AB185" i="1"/>
  <c r="AB189" i="1" s="1"/>
  <c r="CP189" i="1"/>
  <c r="CU126" i="1"/>
  <c r="CU127" i="1" s="1"/>
  <c r="CU130" i="1" s="1"/>
  <c r="CR140" i="1" l="1"/>
  <c r="CR146" i="1" s="1"/>
  <c r="CP140" i="1"/>
  <c r="CP146" i="1" s="1"/>
  <c r="CQ31" i="1"/>
  <c r="CP31" i="1"/>
  <c r="CR31" i="1"/>
  <c r="CQ140" i="1"/>
  <c r="CQ146" i="1" s="1"/>
  <c r="CU54" i="1"/>
  <c r="CU177" i="1"/>
  <c r="AC286" i="1"/>
  <c r="CY286" i="1"/>
  <c r="CU185" i="1"/>
  <c r="CU178" i="1"/>
  <c r="CU186" i="1"/>
  <c r="CU179" i="1"/>
  <c r="CU40" i="1"/>
  <c r="CQ230" i="1"/>
  <c r="CV177" i="1"/>
  <c r="CV44" i="1"/>
  <c r="CV46" i="1" s="1"/>
  <c r="CV185" i="1"/>
  <c r="CR230" i="1"/>
  <c r="CR190" i="1"/>
  <c r="CR265" i="1"/>
  <c r="CR266" i="1" s="1"/>
  <c r="CR57" i="1"/>
  <c r="CR62" i="1"/>
  <c r="CR58" i="1"/>
  <c r="CV179" i="1"/>
  <c r="CV178" i="1"/>
  <c r="CV54" i="1"/>
  <c r="CV51" i="1" s="1"/>
  <c r="CV40" i="1"/>
  <c r="CV186" i="1"/>
  <c r="CQ62" i="1"/>
  <c r="CQ57" i="1"/>
  <c r="CQ58" i="1"/>
  <c r="CR59" i="1"/>
  <c r="CR283" i="1"/>
  <c r="CR284" i="1" s="1"/>
  <c r="CQ265" i="1"/>
  <c r="CQ266" i="1" s="1"/>
  <c r="CR229" i="1"/>
  <c r="CQ190" i="1"/>
  <c r="AB46" i="1"/>
  <c r="CP283" i="1"/>
  <c r="CP284" i="1" s="1"/>
  <c r="CQ283" i="1"/>
  <c r="CQ284" i="1" s="1"/>
  <c r="CS189" i="1"/>
  <c r="CS230" i="1" s="1"/>
  <c r="CV258" i="1"/>
  <c r="CP230" i="1"/>
  <c r="CP265" i="1"/>
  <c r="CP266" i="1" s="1"/>
  <c r="CP58" i="1"/>
  <c r="CP59" i="1"/>
  <c r="CP57" i="1"/>
  <c r="CP62" i="1"/>
  <c r="CT258" i="1"/>
  <c r="CP259" i="1"/>
  <c r="CU258" i="1"/>
  <c r="CR259" i="1"/>
  <c r="CQ259" i="1"/>
  <c r="CS56" i="1"/>
  <c r="CS46" i="1"/>
  <c r="CS47" i="1"/>
  <c r="AC38" i="1"/>
  <c r="CO231" i="1"/>
  <c r="CW264" i="1"/>
  <c r="CW38" i="1"/>
  <c r="CW126" i="1"/>
  <c r="CW127" i="1" s="1"/>
  <c r="CW130" i="1" s="1"/>
  <c r="CU46" i="1"/>
  <c r="CS181" i="1"/>
  <c r="CT177" i="1"/>
  <c r="CT186" i="1"/>
  <c r="AC186" i="1" s="1"/>
  <c r="AC216" i="1" s="1"/>
  <c r="CT44" i="1"/>
  <c r="CT43" i="1" s="1"/>
  <c r="AC43" i="1" s="1"/>
  <c r="CT178" i="1"/>
  <c r="AC178" i="1" s="1"/>
  <c r="AC213" i="1" s="1"/>
  <c r="CT185" i="1"/>
  <c r="CT54" i="1"/>
  <c r="CT51" i="1" s="1"/>
  <c r="CT40" i="1"/>
  <c r="CT179" i="1"/>
  <c r="AC179" i="1" s="1"/>
  <c r="AB87" i="1"/>
  <c r="AB45" i="1"/>
  <c r="AB56" i="1"/>
  <c r="CQ59" i="1"/>
  <c r="CQ229" i="1"/>
  <c r="CP190" i="1"/>
  <c r="CP229" i="1"/>
  <c r="CY38" i="1"/>
  <c r="CY264" i="1"/>
  <c r="AB218" i="1"/>
  <c r="AB217" i="1" s="1"/>
  <c r="AB230" i="1"/>
  <c r="AB181" i="1"/>
  <c r="AB212" i="1"/>
  <c r="CS140" i="1" l="1"/>
  <c r="CS146" i="1" s="1"/>
  <c r="CS283" i="1"/>
  <c r="CS284" i="1" s="1"/>
  <c r="CS31" i="1"/>
  <c r="CU51" i="1"/>
  <c r="CU56" i="1"/>
  <c r="AB283" i="1"/>
  <c r="AB284" i="1" s="1"/>
  <c r="CU181" i="1"/>
  <c r="CU189" i="1"/>
  <c r="CW258" i="1"/>
  <c r="DA286" i="1"/>
  <c r="CQ231" i="1"/>
  <c r="AC51" i="1"/>
  <c r="AC54" i="1" s="1"/>
  <c r="AC55" i="1" s="1"/>
  <c r="CV181" i="1"/>
  <c r="CV43" i="1"/>
  <c r="CV47" i="1"/>
  <c r="CV189" i="1"/>
  <c r="CV56" i="1"/>
  <c r="CZ286" i="1"/>
  <c r="CZ264" i="1"/>
  <c r="CZ38" i="1"/>
  <c r="CZ186" i="1" s="1"/>
  <c r="CR231" i="1"/>
  <c r="CX126" i="1"/>
  <c r="CX127" i="1" s="1"/>
  <c r="CX130" i="1" s="1"/>
  <c r="CX286" i="1"/>
  <c r="CP231" i="1"/>
  <c r="AC126" i="1"/>
  <c r="AC221" i="1"/>
  <c r="AB58" i="1"/>
  <c r="CT181" i="1"/>
  <c r="CT229" i="1" s="1"/>
  <c r="AC177" i="1"/>
  <c r="CS190" i="1"/>
  <c r="CS229" i="1"/>
  <c r="CS231" i="1" s="1"/>
  <c r="CY126" i="1"/>
  <c r="CY127" i="1" s="1"/>
  <c r="CY130" i="1" s="1"/>
  <c r="CS59" i="1"/>
  <c r="CS57" i="1"/>
  <c r="CS62" i="1"/>
  <c r="CS265" i="1"/>
  <c r="CS266" i="1" s="1"/>
  <c r="CS58" i="1"/>
  <c r="AB190" i="1"/>
  <c r="AB215" i="1"/>
  <c r="AB229" i="1"/>
  <c r="AB231" i="1" s="1"/>
  <c r="AB88" i="1"/>
  <c r="AB62" i="1"/>
  <c r="AB140" i="1"/>
  <c r="AB146" i="1" s="1"/>
  <c r="AB57" i="1"/>
  <c r="CW44" i="1"/>
  <c r="CW43" i="1" s="1"/>
  <c r="CW185" i="1"/>
  <c r="CW177" i="1"/>
  <c r="CW40" i="1"/>
  <c r="CW179" i="1"/>
  <c r="CW178" i="1"/>
  <c r="CW186" i="1"/>
  <c r="CW54" i="1"/>
  <c r="CW51" i="1" s="1"/>
  <c r="CT189" i="1"/>
  <c r="AC185" i="1"/>
  <c r="AC189" i="1" s="1"/>
  <c r="CK278" i="1"/>
  <c r="CK260" i="1"/>
  <c r="CK267" i="1"/>
  <c r="CS259" i="1"/>
  <c r="CT47" i="1"/>
  <c r="CT46" i="1"/>
  <c r="CT56" i="1"/>
  <c r="AC39" i="1"/>
  <c r="AC44" i="1"/>
  <c r="AC86" i="1"/>
  <c r="CX264" i="1"/>
  <c r="CX38" i="1"/>
  <c r="CZ126" i="1"/>
  <c r="CZ127" i="1" s="1"/>
  <c r="CZ130" i="1" s="1"/>
  <c r="CY178" i="1"/>
  <c r="CY44" i="1"/>
  <c r="CY43" i="1" s="1"/>
  <c r="CY186" i="1"/>
  <c r="CY179" i="1"/>
  <c r="CY185" i="1"/>
  <c r="CY54" i="1"/>
  <c r="CY51" i="1" s="1"/>
  <c r="CY177" i="1"/>
  <c r="CU47" i="1"/>
  <c r="AD36" i="1"/>
  <c r="AD286" i="1" s="1"/>
  <c r="CU57" i="1" l="1"/>
  <c r="CT31" i="1"/>
  <c r="CT140" i="1"/>
  <c r="CT146" i="1" s="1"/>
  <c r="CV31" i="1"/>
  <c r="CV140" i="1"/>
  <c r="CV146" i="1" s="1"/>
  <c r="CU140" i="1"/>
  <c r="CU146" i="1" s="1"/>
  <c r="CU265" i="1"/>
  <c r="CU266" i="1" s="1"/>
  <c r="CU31" i="1"/>
  <c r="CU62" i="1"/>
  <c r="CU58" i="1"/>
  <c r="CU190" i="1"/>
  <c r="CV229" i="1"/>
  <c r="CZ258" i="1"/>
  <c r="CV283" i="1"/>
  <c r="CV284" i="1" s="1"/>
  <c r="CV62" i="1"/>
  <c r="CV265" i="1"/>
  <c r="CV266" i="1" s="1"/>
  <c r="CV57" i="1"/>
  <c r="CV59" i="1"/>
  <c r="CV58" i="1"/>
  <c r="CZ54" i="1"/>
  <c r="CZ51" i="1" s="1"/>
  <c r="CZ177" i="1"/>
  <c r="CZ40" i="1"/>
  <c r="CZ185" i="1"/>
  <c r="CZ189" i="1" s="1"/>
  <c r="CZ179" i="1"/>
  <c r="CZ178" i="1"/>
  <c r="CZ44" i="1"/>
  <c r="CV190" i="1"/>
  <c r="CV230" i="1"/>
  <c r="AC46" i="1"/>
  <c r="CT283" i="1"/>
  <c r="CT284" i="1" s="1"/>
  <c r="CU283" i="1"/>
  <c r="CU284" i="1" s="1"/>
  <c r="CW189" i="1"/>
  <c r="CW230" i="1" s="1"/>
  <c r="CX258" i="1"/>
  <c r="CY258" i="1"/>
  <c r="CY40" i="1"/>
  <c r="CU230" i="1"/>
  <c r="CT230" i="1"/>
  <c r="CT231" i="1" s="1"/>
  <c r="CK226" i="1"/>
  <c r="CK228" i="1" s="1"/>
  <c r="CK232" i="1" s="1"/>
  <c r="CK246" i="1" s="1"/>
  <c r="CK152" i="1"/>
  <c r="CV259" i="1"/>
  <c r="AC56" i="1"/>
  <c r="AC87" i="1"/>
  <c r="AC45" i="1"/>
  <c r="CW181" i="1"/>
  <c r="CT259" i="1"/>
  <c r="AC212" i="1"/>
  <c r="AC181" i="1"/>
  <c r="DA264" i="1"/>
  <c r="DA38" i="1"/>
  <c r="DA258" i="1" s="1"/>
  <c r="CT190" i="1"/>
  <c r="CU229" i="1"/>
  <c r="CY181" i="1"/>
  <c r="CY189" i="1"/>
  <c r="CX177" i="1"/>
  <c r="CX178" i="1"/>
  <c r="AD178" i="1" s="1"/>
  <c r="AD213" i="1" s="1"/>
  <c r="CX44" i="1"/>
  <c r="CY47" i="1" s="1"/>
  <c r="CX186" i="1"/>
  <c r="AD186" i="1" s="1"/>
  <c r="AD216" i="1" s="1"/>
  <c r="CX185" i="1"/>
  <c r="CX40" i="1"/>
  <c r="CX54" i="1"/>
  <c r="CX51" i="1" s="1"/>
  <c r="CX179" i="1"/>
  <c r="AD179" i="1" s="1"/>
  <c r="CT62" i="1"/>
  <c r="CT58" i="1"/>
  <c r="CT57" i="1"/>
  <c r="CT265" i="1"/>
  <c r="CT266" i="1" s="1"/>
  <c r="CT59" i="1"/>
  <c r="CW47" i="1"/>
  <c r="CW46" i="1"/>
  <c r="CW56" i="1"/>
  <c r="CU259" i="1"/>
  <c r="CU59" i="1"/>
  <c r="CY46" i="1"/>
  <c r="CY56" i="1"/>
  <c r="AD38" i="1"/>
  <c r="DA126" i="1"/>
  <c r="DA127" i="1" s="1"/>
  <c r="DA130" i="1" s="1"/>
  <c r="AC218" i="1"/>
  <c r="AC217" i="1" s="1"/>
  <c r="AC230" i="1"/>
  <c r="AB214" i="1"/>
  <c r="AB219" i="1"/>
  <c r="AB222" i="1" s="1"/>
  <c r="AB223" i="1" s="1"/>
  <c r="CW140" i="1" l="1"/>
  <c r="CW146" i="1" s="1"/>
  <c r="CY31" i="1"/>
  <c r="CW31" i="1"/>
  <c r="CV231" i="1"/>
  <c r="AC283" i="1"/>
  <c r="AC284" i="1" s="1"/>
  <c r="AD51" i="1"/>
  <c r="AD54" i="1" s="1"/>
  <c r="AD55" i="1" s="1"/>
  <c r="CZ181" i="1"/>
  <c r="CZ43" i="1"/>
  <c r="CZ46" i="1"/>
  <c r="CZ56" i="1"/>
  <c r="CZ31" i="1" s="1"/>
  <c r="CZ47" i="1"/>
  <c r="CZ230" i="1"/>
  <c r="CW259" i="1"/>
  <c r="CW283" i="1"/>
  <c r="CW284" i="1" s="1"/>
  <c r="DB126" i="1"/>
  <c r="DB127" i="1" s="1"/>
  <c r="DB130" i="1" s="1"/>
  <c r="DB286" i="1"/>
  <c r="AD126" i="1"/>
  <c r="AD221" i="1"/>
  <c r="CU231" i="1"/>
  <c r="AC58" i="1"/>
  <c r="AD185" i="1"/>
  <c r="AD189" i="1" s="1"/>
  <c r="CX189" i="1"/>
  <c r="CY62" i="1"/>
  <c r="CY58" i="1"/>
  <c r="CY57" i="1"/>
  <c r="CY265" i="1"/>
  <c r="CY266" i="1" s="1"/>
  <c r="CY190" i="1"/>
  <c r="DA185" i="1"/>
  <c r="DA186" i="1"/>
  <c r="DA178" i="1"/>
  <c r="DA44" i="1"/>
  <c r="DA177" i="1"/>
  <c r="DA54" i="1"/>
  <c r="DA51" i="1" s="1"/>
  <c r="DA40" i="1"/>
  <c r="DA179" i="1"/>
  <c r="CK153" i="1"/>
  <c r="CL240" i="1" s="1"/>
  <c r="CL238" i="1" s="1"/>
  <c r="CX47" i="1"/>
  <c r="CX56" i="1"/>
  <c r="CX46" i="1"/>
  <c r="AC215" i="1"/>
  <c r="AC190" i="1"/>
  <c r="AC229" i="1"/>
  <c r="AC231" i="1" s="1"/>
  <c r="AC62" i="1"/>
  <c r="AC88" i="1"/>
  <c r="AC57" i="1"/>
  <c r="AC140" i="1"/>
  <c r="AC146" i="1" s="1"/>
  <c r="DB38" i="1"/>
  <c r="DB258" i="1" s="1"/>
  <c r="DB264" i="1"/>
  <c r="CW190" i="1"/>
  <c r="CW229" i="1"/>
  <c r="CW231" i="1" s="1"/>
  <c r="AD177" i="1"/>
  <c r="CX181" i="1"/>
  <c r="AD86" i="1"/>
  <c r="AD39" i="1"/>
  <c r="CW62" i="1"/>
  <c r="CW58" i="1"/>
  <c r="CW265" i="1"/>
  <c r="CW266" i="1" s="1"/>
  <c r="CW59" i="1"/>
  <c r="CW57" i="1"/>
  <c r="CX43" i="1"/>
  <c r="AD43" i="1" s="1"/>
  <c r="AD44" i="1" s="1"/>
  <c r="AE36" i="1"/>
  <c r="AE286" i="1" s="1"/>
  <c r="CZ140" i="1" l="1"/>
  <c r="CZ146" i="1" s="1"/>
  <c r="CY140" i="1"/>
  <c r="CY146" i="1" s="1"/>
  <c r="CX140" i="1"/>
  <c r="CX146" i="1" s="1"/>
  <c r="CY283" i="1"/>
  <c r="CY284" i="1" s="1"/>
  <c r="CX31" i="1"/>
  <c r="CK82" i="1"/>
  <c r="CK120" i="1"/>
  <c r="CZ229" i="1"/>
  <c r="CZ231" i="1" s="1"/>
  <c r="CZ190" i="1"/>
  <c r="CZ283" i="1"/>
  <c r="CZ284" i="1" s="1"/>
  <c r="CZ57" i="1"/>
  <c r="CZ265" i="1"/>
  <c r="CZ266" i="1" s="1"/>
  <c r="CZ59" i="1"/>
  <c r="CZ62" i="1"/>
  <c r="CZ58" i="1"/>
  <c r="AD46" i="1"/>
  <c r="CX283" i="1"/>
  <c r="CX284" i="1" s="1"/>
  <c r="CY259" i="1"/>
  <c r="CY59" i="1"/>
  <c r="CZ259" i="1"/>
  <c r="CX259" i="1"/>
  <c r="DA181" i="1"/>
  <c r="DA229" i="1" s="1"/>
  <c r="AD45" i="1"/>
  <c r="AD87" i="1"/>
  <c r="AD56" i="1"/>
  <c r="AD283" i="1" s="1"/>
  <c r="AD284" i="1" s="1"/>
  <c r="CY229" i="1"/>
  <c r="CX190" i="1"/>
  <c r="CY230" i="1"/>
  <c r="CX230" i="1"/>
  <c r="AD218" i="1"/>
  <c r="AD217" i="1" s="1"/>
  <c r="AD230" i="1"/>
  <c r="CG117" i="1"/>
  <c r="DA47" i="1"/>
  <c r="DA46" i="1"/>
  <c r="DA56" i="1"/>
  <c r="DA140" i="1" s="1"/>
  <c r="DA146" i="1" s="1"/>
  <c r="CX229" i="1"/>
  <c r="CX62" i="1"/>
  <c r="CX58" i="1"/>
  <c r="CX57" i="1"/>
  <c r="CX265" i="1"/>
  <c r="CX266" i="1" s="1"/>
  <c r="CX59" i="1"/>
  <c r="AD212" i="1"/>
  <c r="AD181" i="1"/>
  <c r="CK240" i="1"/>
  <c r="CK238" i="1" s="1"/>
  <c r="CK243" i="1" s="1"/>
  <c r="CK162" i="1"/>
  <c r="CK83" i="1" s="1"/>
  <c r="AC214" i="1"/>
  <c r="AC219" i="1"/>
  <c r="AC222" i="1" s="1"/>
  <c r="AC223" i="1" s="1"/>
  <c r="DA43" i="1"/>
  <c r="DB178" i="1"/>
  <c r="AE178" i="1" s="1"/>
  <c r="AE213" i="1" s="1"/>
  <c r="DB44" i="1"/>
  <c r="DB43" i="1" s="1"/>
  <c r="DB177" i="1"/>
  <c r="DB54" i="1"/>
  <c r="DB51" i="1" s="1"/>
  <c r="DB186" i="1"/>
  <c r="AE186" i="1" s="1"/>
  <c r="AE216" i="1" s="1"/>
  <c r="DB40" i="1"/>
  <c r="DB179" i="1"/>
  <c r="AE179" i="1" s="1"/>
  <c r="DB185" i="1"/>
  <c r="AE38" i="1"/>
  <c r="DA189" i="1"/>
  <c r="DA283" i="1" l="1"/>
  <c r="DA284" i="1" s="1"/>
  <c r="DA31" i="1"/>
  <c r="CK124" i="1"/>
  <c r="CK123" i="1"/>
  <c r="CK122" i="1"/>
  <c r="AE51" i="1"/>
  <c r="AE54" i="1" s="1"/>
  <c r="AE55" i="1" s="1"/>
  <c r="AE126" i="1"/>
  <c r="AE221" i="1"/>
  <c r="AD58" i="1"/>
  <c r="DA190" i="1"/>
  <c r="CK193" i="1"/>
  <c r="CK194" i="1" s="1"/>
  <c r="CL242" i="1" s="1"/>
  <c r="CL243" i="1" s="1"/>
  <c r="CL244" i="1" s="1"/>
  <c r="DB47" i="1"/>
  <c r="DB56" i="1"/>
  <c r="DB140" i="1" s="1"/>
  <c r="DB146" i="1" s="1"/>
  <c r="DB46" i="1"/>
  <c r="CX231" i="1"/>
  <c r="CY231" i="1"/>
  <c r="AD190" i="1"/>
  <c r="AD215" i="1"/>
  <c r="AD229" i="1"/>
  <c r="AD231" i="1" s="1"/>
  <c r="DB181" i="1"/>
  <c r="AE177" i="1"/>
  <c r="DA62" i="1"/>
  <c r="DA57" i="1"/>
  <c r="DA58" i="1"/>
  <c r="DA59" i="1"/>
  <c r="DA265" i="1"/>
  <c r="DA266" i="1" s="1"/>
  <c r="AD62" i="1"/>
  <c r="AD57" i="1"/>
  <c r="AD140" i="1"/>
  <c r="AD146" i="1" s="1"/>
  <c r="AD88" i="1"/>
  <c r="AE39" i="1"/>
  <c r="AE86" i="1"/>
  <c r="AE43" i="1"/>
  <c r="AE44" i="1" s="1"/>
  <c r="AE46" i="1" s="1"/>
  <c r="DA259" i="1"/>
  <c r="AE185" i="1"/>
  <c r="AE189" i="1" s="1"/>
  <c r="DB189" i="1"/>
  <c r="DB230" i="1" s="1"/>
  <c r="DA230" i="1"/>
  <c r="DA231" i="1" s="1"/>
  <c r="DB283" i="1" l="1"/>
  <c r="DB284" i="1" s="1"/>
  <c r="DB31" i="1"/>
  <c r="CK244" i="1"/>
  <c r="CK281" i="1"/>
  <c r="CK277" i="1"/>
  <c r="CK279" i="1"/>
  <c r="AE56" i="1"/>
  <c r="AE45" i="1"/>
  <c r="AE87" i="1"/>
  <c r="DB62" i="1"/>
  <c r="DB59" i="1"/>
  <c r="DB265" i="1"/>
  <c r="DB266" i="1" s="1"/>
  <c r="DB57" i="1"/>
  <c r="DB58" i="1"/>
  <c r="AD219" i="1"/>
  <c r="AD222" i="1" s="1"/>
  <c r="AD223" i="1" s="1"/>
  <c r="AD214" i="1"/>
  <c r="AE181" i="1"/>
  <c r="AE212" i="1"/>
  <c r="CK198" i="1"/>
  <c r="CK201" i="1"/>
  <c r="DB190" i="1"/>
  <c r="DB229" i="1"/>
  <c r="DB231" i="1" s="1"/>
  <c r="AE218" i="1"/>
  <c r="AE217" i="1" s="1"/>
  <c r="AE230" i="1"/>
  <c r="DB259" i="1"/>
  <c r="CK137" i="1" l="1"/>
  <c r="CL65" i="1"/>
  <c r="AE58" i="1"/>
  <c r="AE283" i="1"/>
  <c r="AE284" i="1" s="1"/>
  <c r="CK199" i="1"/>
  <c r="AE190" i="1"/>
  <c r="AE215" i="1"/>
  <c r="AE229" i="1"/>
  <c r="AE231" i="1" s="1"/>
  <c r="AE62" i="1"/>
  <c r="AE57" i="1"/>
  <c r="AE88" i="1"/>
  <c r="AE140" i="1"/>
  <c r="AE146" i="1" s="1"/>
  <c r="CK138" i="1" l="1"/>
  <c r="CK141" i="1" s="1"/>
  <c r="CK139" i="1"/>
  <c r="CK142" i="1" s="1"/>
  <c r="AE219" i="1"/>
  <c r="AE222" i="1" s="1"/>
  <c r="AE223" i="1" s="1"/>
  <c r="AE214" i="1"/>
  <c r="CM123" i="1" l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DB123" i="1" s="1"/>
  <c r="CM124" i="1"/>
  <c r="CN124" i="1" s="1"/>
  <c r="CO124" i="1" s="1"/>
  <c r="CP124" i="1" s="1"/>
  <c r="CQ124" i="1" s="1"/>
  <c r="CR124" i="1" s="1"/>
  <c r="CS124" i="1" s="1"/>
  <c r="CT124" i="1" s="1"/>
  <c r="CU124" i="1" s="1"/>
  <c r="CV124" i="1" s="1"/>
  <c r="CW124" i="1" s="1"/>
  <c r="CX124" i="1" s="1"/>
  <c r="CY124" i="1" s="1"/>
  <c r="CZ124" i="1" s="1"/>
  <c r="DA124" i="1" s="1"/>
  <c r="DB124" i="1" s="1"/>
  <c r="CM114" i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H117" i="1"/>
  <c r="CM242" i="1" l="1"/>
  <c r="AB242" i="1"/>
  <c r="CM141" i="1" l="1"/>
  <c r="CM142" i="1"/>
  <c r="CM285" i="1"/>
  <c r="CN142" i="1" l="1"/>
  <c r="CM139" i="1"/>
  <c r="CN141" i="1"/>
  <c r="CM138" i="1"/>
  <c r="CM66" i="1"/>
  <c r="CO141" i="1" l="1"/>
  <c r="CN138" i="1"/>
  <c r="CO142" i="1"/>
  <c r="CN139" i="1"/>
  <c r="CM67" i="1"/>
  <c r="CP142" i="1" l="1"/>
  <c r="CO139" i="1"/>
  <c r="CP141" i="1"/>
  <c r="CO138" i="1"/>
  <c r="CM69" i="1"/>
  <c r="CQ141" i="1" l="1"/>
  <c r="CP138" i="1"/>
  <c r="CQ142" i="1"/>
  <c r="CP139" i="1"/>
  <c r="CM71" i="1"/>
  <c r="CM72" i="1"/>
  <c r="CM267" i="1"/>
  <c r="CM76" i="1"/>
  <c r="CM70" i="1"/>
  <c r="CM278" i="1" s="1"/>
  <c r="CM260" i="1"/>
  <c r="CR142" i="1" l="1"/>
  <c r="CQ139" i="1"/>
  <c r="CR141" i="1"/>
  <c r="CQ138" i="1"/>
  <c r="CM226" i="1"/>
  <c r="CM228" i="1" s="1"/>
  <c r="CM232" i="1" s="1"/>
  <c r="CM246" i="1" s="1"/>
  <c r="CM94" i="1"/>
  <c r="CM152" i="1"/>
  <c r="CS141" i="1" l="1"/>
  <c r="CR138" i="1"/>
  <c r="CS142" i="1"/>
  <c r="CR139" i="1"/>
  <c r="CM153" i="1"/>
  <c r="CM97" i="1"/>
  <c r="CT142" i="1" l="1"/>
  <c r="CS139" i="1"/>
  <c r="CT141" i="1"/>
  <c r="CS138" i="1"/>
  <c r="CM98" i="1"/>
  <c r="CI117" i="1"/>
  <c r="CM113" i="1"/>
  <c r="CM162" i="1"/>
  <c r="CM83" i="1" s="1"/>
  <c r="CM120" i="1"/>
  <c r="CM122" i="1" s="1"/>
  <c r="CM240" i="1"/>
  <c r="CM238" i="1" s="1"/>
  <c r="CM243" i="1" s="1"/>
  <c r="CM82" i="1"/>
  <c r="CU141" i="1" l="1"/>
  <c r="CT138" i="1"/>
  <c r="CU142" i="1"/>
  <c r="CT139" i="1"/>
  <c r="CM193" i="1"/>
  <c r="CM194" i="1" s="1"/>
  <c r="CV142" i="1" l="1"/>
  <c r="CU139" i="1"/>
  <c r="CV141" i="1"/>
  <c r="CU138" i="1"/>
  <c r="CM244" i="1"/>
  <c r="CM281" i="1"/>
  <c r="CM279" i="1"/>
  <c r="CM277" i="1"/>
  <c r="CN242" i="1"/>
  <c r="CM198" i="1"/>
  <c r="CM201" i="1"/>
  <c r="CM137" i="1" s="1"/>
  <c r="CW141" i="1" l="1"/>
  <c r="CV138" i="1"/>
  <c r="CW142" i="1"/>
  <c r="CV139" i="1"/>
  <c r="CM135" i="1"/>
  <c r="CM136" i="1"/>
  <c r="CM199" i="1"/>
  <c r="CN64" i="1"/>
  <c r="CN285" i="1" s="1"/>
  <c r="CX142" i="1" l="1"/>
  <c r="CW139" i="1"/>
  <c r="CX141" i="1"/>
  <c r="CW138" i="1"/>
  <c r="CN66" i="1"/>
  <c r="CY141" i="1" l="1"/>
  <c r="CX138" i="1"/>
  <c r="CY142" i="1"/>
  <c r="CX139" i="1"/>
  <c r="CN67" i="1"/>
  <c r="CN69" i="1" s="1"/>
  <c r="CZ142" i="1" l="1"/>
  <c r="CY139" i="1"/>
  <c r="CZ141" i="1"/>
  <c r="CY138" i="1"/>
  <c r="CN71" i="1"/>
  <c r="CN72" i="1"/>
  <c r="CN76" i="1"/>
  <c r="CN267" i="1"/>
  <c r="CN70" i="1"/>
  <c r="CN278" i="1" s="1"/>
  <c r="CN260" i="1"/>
  <c r="DA141" i="1" l="1"/>
  <c r="CZ138" i="1"/>
  <c r="DA142" i="1"/>
  <c r="CZ139" i="1"/>
  <c r="CN94" i="1"/>
  <c r="CN226" i="1"/>
  <c r="CN228" i="1" s="1"/>
  <c r="CN232" i="1" s="1"/>
  <c r="CN246" i="1" s="1"/>
  <c r="CN152" i="1"/>
  <c r="DB142" i="1" l="1"/>
  <c r="DB139" i="1" s="1"/>
  <c r="DA139" i="1"/>
  <c r="DB141" i="1"/>
  <c r="DB138" i="1" s="1"/>
  <c r="DA138" i="1"/>
  <c r="CN97" i="1"/>
  <c r="CN153" i="1"/>
  <c r="CN98" i="1" l="1"/>
  <c r="CN162" i="1"/>
  <c r="CN83" i="1" s="1"/>
  <c r="CN240" i="1"/>
  <c r="CN238" i="1" s="1"/>
  <c r="CN243" i="1" s="1"/>
  <c r="CN120" i="1"/>
  <c r="CN122" i="1" s="1"/>
  <c r="CN82" i="1"/>
  <c r="CN113" i="1"/>
  <c r="CJ117" i="1"/>
  <c r="CN193" i="1" l="1"/>
  <c r="CN194" i="1" s="1"/>
  <c r="CN244" i="1" l="1"/>
  <c r="CN281" i="1"/>
  <c r="CN279" i="1"/>
  <c r="CN277" i="1"/>
  <c r="CN198" i="1"/>
  <c r="CN201" i="1"/>
  <c r="CN137" i="1" s="1"/>
  <c r="CO242" i="1"/>
  <c r="CN136" i="1" l="1"/>
  <c r="CN135" i="1"/>
  <c r="CN199" i="1"/>
  <c r="CO64" i="1"/>
  <c r="CO285" i="1" s="1"/>
  <c r="CO66" i="1" l="1"/>
  <c r="CO67" i="1" l="1"/>
  <c r="CO69" i="1" l="1"/>
  <c r="CO70" i="1" l="1"/>
  <c r="CO278" i="1" s="1"/>
  <c r="CO72" i="1"/>
  <c r="CO71" i="1"/>
  <c r="CO267" i="1"/>
  <c r="CO76" i="1"/>
  <c r="CO260" i="1"/>
  <c r="CO94" i="1" l="1"/>
  <c r="CO226" i="1"/>
  <c r="CO228" i="1" s="1"/>
  <c r="CO232" i="1" s="1"/>
  <c r="CO246" i="1" s="1"/>
  <c r="CO152" i="1"/>
  <c r="CO153" i="1" l="1"/>
  <c r="CO97" i="1"/>
  <c r="CK117" i="1" s="1"/>
  <c r="CO98" i="1" l="1"/>
  <c r="CO113" i="1"/>
  <c r="CO120" i="1"/>
  <c r="CO122" i="1" s="1"/>
  <c r="CO240" i="1"/>
  <c r="CO238" i="1" s="1"/>
  <c r="CO243" i="1" s="1"/>
  <c r="CO162" i="1"/>
  <c r="CO83" i="1" s="1"/>
  <c r="CO82" i="1"/>
  <c r="CO193" i="1" l="1"/>
  <c r="CO194" i="1" s="1"/>
  <c r="CO244" i="1" l="1"/>
  <c r="CO279" i="1"/>
  <c r="CO277" i="1"/>
  <c r="CO281" i="1"/>
  <c r="CO198" i="1"/>
  <c r="CO201" i="1"/>
  <c r="CO137" i="1" s="1"/>
  <c r="CP242" i="1"/>
  <c r="CO135" i="1" l="1"/>
  <c r="CO136" i="1"/>
  <c r="CP64" i="1"/>
  <c r="CP285" i="1" s="1"/>
  <c r="CO199" i="1"/>
  <c r="CP66" i="1" l="1"/>
  <c r="AB64" i="1"/>
  <c r="AB65" i="1" l="1"/>
  <c r="AB285" i="1"/>
  <c r="AB66" i="1"/>
  <c r="CP67" i="1"/>
  <c r="AB67" i="1" s="1"/>
  <c r="AB68" i="1" l="1"/>
  <c r="CP69" i="1"/>
  <c r="CP70" i="1" s="1"/>
  <c r="CP278" i="1" s="1"/>
  <c r="AB69" i="1"/>
  <c r="CP71" i="1" l="1"/>
  <c r="CP260" i="1"/>
  <c r="CP267" i="1"/>
  <c r="CP76" i="1"/>
  <c r="CP152" i="1" s="1"/>
  <c r="CP72" i="1"/>
  <c r="AB71" i="1"/>
  <c r="AB76" i="1"/>
  <c r="AB70" i="1"/>
  <c r="AB278" i="1" s="1"/>
  <c r="AB89" i="1"/>
  <c r="CP226" i="1" l="1"/>
  <c r="CP228" i="1" s="1"/>
  <c r="CP232" i="1" s="1"/>
  <c r="CP246" i="1" s="1"/>
  <c r="CP94" i="1"/>
  <c r="CP97" i="1" s="1"/>
  <c r="CL117" i="1" s="1"/>
  <c r="AB152" i="1"/>
  <c r="AB153" i="1" s="1"/>
  <c r="AB82" i="1" s="1"/>
  <c r="CP153" i="1"/>
  <c r="AB79" i="1"/>
  <c r="AB80" i="1" s="1"/>
  <c r="AB226" i="1"/>
  <c r="AB228" i="1" s="1"/>
  <c r="AB232" i="1" s="1"/>
  <c r="AB246" i="1" s="1"/>
  <c r="CP100" i="1" l="1"/>
  <c r="CP98" i="1"/>
  <c r="AB162" i="1"/>
  <c r="AB83" i="1" s="1"/>
  <c r="AB208" i="1"/>
  <c r="AB240" i="1"/>
  <c r="AB238" i="1" s="1"/>
  <c r="AB243" i="1" s="1"/>
  <c r="CP113" i="1"/>
  <c r="CP240" i="1"/>
  <c r="CP238" i="1" s="1"/>
  <c r="CP243" i="1" s="1"/>
  <c r="CP162" i="1"/>
  <c r="CP83" i="1" s="1"/>
  <c r="CP120" i="1"/>
  <c r="CP122" i="1" s="1"/>
  <c r="CP82" i="1"/>
  <c r="CP193" i="1" l="1"/>
  <c r="CP194" i="1" l="1"/>
  <c r="AB193" i="1"/>
  <c r="AB194" i="1" s="1"/>
  <c r="AB281" i="1" l="1"/>
  <c r="AB279" i="1"/>
  <c r="AB277" i="1"/>
  <c r="CP279" i="1"/>
  <c r="CP277" i="1"/>
  <c r="CP281" i="1"/>
  <c r="CP198" i="1"/>
  <c r="CQ242" i="1"/>
  <c r="CP201" i="1"/>
  <c r="CP137" i="1" s="1"/>
  <c r="CP244" i="1"/>
  <c r="AB201" i="1"/>
  <c r="AB137" i="1" s="1"/>
  <c r="AB198" i="1"/>
  <c r="AC242" i="1"/>
  <c r="AB244" i="1"/>
  <c r="CP136" i="1" l="1"/>
  <c r="CP135" i="1"/>
  <c r="AB199" i="1"/>
  <c r="CQ64" i="1"/>
  <c r="CQ285" i="1" s="1"/>
  <c r="CP199" i="1"/>
  <c r="CQ66" i="1" l="1"/>
  <c r="CQ67" i="1" l="1"/>
  <c r="CQ69" i="1" s="1"/>
  <c r="CQ76" i="1" l="1"/>
  <c r="CQ70" i="1"/>
  <c r="CQ278" i="1" s="1"/>
  <c r="CQ71" i="1"/>
  <c r="CQ72" i="1"/>
  <c r="CQ267" i="1"/>
  <c r="CQ260" i="1"/>
  <c r="CQ94" i="1" l="1"/>
  <c r="CQ226" i="1"/>
  <c r="CQ228" i="1" s="1"/>
  <c r="CQ232" i="1" s="1"/>
  <c r="CQ246" i="1" s="1"/>
  <c r="CQ152" i="1"/>
  <c r="CQ153" i="1" l="1"/>
  <c r="CQ97" i="1"/>
  <c r="CQ98" i="1" l="1"/>
  <c r="CQ113" i="1"/>
  <c r="CQ162" i="1"/>
  <c r="CQ83" i="1" s="1"/>
  <c r="CQ240" i="1"/>
  <c r="CQ238" i="1" s="1"/>
  <c r="CQ243" i="1" s="1"/>
  <c r="CQ120" i="1"/>
  <c r="CQ122" i="1" s="1"/>
  <c r="CQ82" i="1"/>
  <c r="CQ193" i="1" l="1"/>
  <c r="CQ194" i="1" s="1"/>
  <c r="CQ244" i="1" s="1"/>
  <c r="CQ281" i="1" l="1"/>
  <c r="CQ279" i="1"/>
  <c r="CQ277" i="1"/>
  <c r="CQ201" i="1"/>
  <c r="CQ137" i="1" s="1"/>
  <c r="CR242" i="1"/>
  <c r="CQ198" i="1"/>
  <c r="CQ135" i="1" l="1"/>
  <c r="CQ136" i="1"/>
  <c r="CQ199" i="1"/>
  <c r="CR64" i="1"/>
  <c r="CR285" i="1" s="1"/>
  <c r="CR66" i="1" l="1"/>
  <c r="CR67" i="1" l="1"/>
  <c r="CR69" i="1" s="1"/>
  <c r="CR267" i="1" l="1"/>
  <c r="CR70" i="1"/>
  <c r="CR278" i="1" s="1"/>
  <c r="CR76" i="1"/>
  <c r="CR71" i="1"/>
  <c r="CR72" i="1"/>
  <c r="CR260" i="1"/>
  <c r="CR94" i="1" l="1"/>
  <c r="CR226" i="1"/>
  <c r="CR228" i="1" s="1"/>
  <c r="CR232" i="1" s="1"/>
  <c r="CR246" i="1" s="1"/>
  <c r="CR152" i="1"/>
  <c r="CR153" i="1" l="1"/>
  <c r="CR97" i="1"/>
  <c r="CR98" i="1" l="1"/>
  <c r="CR113" i="1"/>
  <c r="CR162" i="1"/>
  <c r="CR83" i="1" s="1"/>
  <c r="CR240" i="1"/>
  <c r="CR238" i="1" s="1"/>
  <c r="CR243" i="1" s="1"/>
  <c r="CR120" i="1"/>
  <c r="CR122" i="1" s="1"/>
  <c r="CR82" i="1"/>
  <c r="CR193" i="1" l="1"/>
  <c r="CR194" i="1" s="1"/>
  <c r="CR281" i="1" l="1"/>
  <c r="CR279" i="1"/>
  <c r="CR277" i="1"/>
  <c r="CS242" i="1"/>
  <c r="CR201" i="1"/>
  <c r="CR137" i="1" s="1"/>
  <c r="CR198" i="1"/>
  <c r="CR244" i="1"/>
  <c r="CR135" i="1" l="1"/>
  <c r="CR136" i="1"/>
  <c r="CR199" i="1"/>
  <c r="CS64" i="1"/>
  <c r="CS285" i="1" s="1"/>
  <c r="CS66" i="1" l="1"/>
  <c r="CS67" i="1" l="1"/>
  <c r="CS69" i="1" l="1"/>
  <c r="CS76" i="1" l="1"/>
  <c r="CS72" i="1"/>
  <c r="CS267" i="1"/>
  <c r="CS71" i="1"/>
  <c r="CS70" i="1"/>
  <c r="CS278" i="1" s="1"/>
  <c r="CS260" i="1"/>
  <c r="CS94" i="1" l="1"/>
  <c r="CS226" i="1"/>
  <c r="CS228" i="1" s="1"/>
  <c r="CS232" i="1" s="1"/>
  <c r="CS246" i="1" s="1"/>
  <c r="CS152" i="1"/>
  <c r="CS153" i="1" l="1"/>
  <c r="CS97" i="1"/>
  <c r="CS98" i="1" l="1"/>
  <c r="CS113" i="1"/>
  <c r="CS162" i="1"/>
  <c r="CS83" i="1" s="1"/>
  <c r="CS120" i="1"/>
  <c r="CS122" i="1" s="1"/>
  <c r="CS240" i="1"/>
  <c r="CS238" i="1" s="1"/>
  <c r="CS243" i="1" s="1"/>
  <c r="CS82" i="1"/>
  <c r="CS193" i="1" l="1"/>
  <c r="CS194" i="1" s="1"/>
  <c r="CS279" i="1" l="1"/>
  <c r="CS281" i="1"/>
  <c r="CS277" i="1"/>
  <c r="CT242" i="1"/>
  <c r="CS198" i="1"/>
  <c r="CS201" i="1"/>
  <c r="CS137" i="1" s="1"/>
  <c r="CS244" i="1"/>
  <c r="CS136" i="1" l="1"/>
  <c r="CS135" i="1"/>
  <c r="CT64" i="1"/>
  <c r="CT285" i="1" s="1"/>
  <c r="CS199" i="1"/>
  <c r="CT66" i="1" l="1"/>
  <c r="AC64" i="1"/>
  <c r="AC65" i="1" l="1"/>
  <c r="AC285" i="1"/>
  <c r="AC66" i="1"/>
  <c r="CT67" i="1"/>
  <c r="AC67" i="1" s="1"/>
  <c r="AC68" i="1" l="1"/>
  <c r="CT69" i="1"/>
  <c r="CT72" i="1" s="1"/>
  <c r="AC69" i="1"/>
  <c r="CT71" i="1" l="1"/>
  <c r="CT76" i="1"/>
  <c r="CT267" i="1"/>
  <c r="CT260" i="1"/>
  <c r="CT70" i="1"/>
  <c r="CT278" i="1" s="1"/>
  <c r="AC71" i="1"/>
  <c r="AC70" i="1"/>
  <c r="AC278" i="1" s="1"/>
  <c r="AC89" i="1"/>
  <c r="AC76" i="1"/>
  <c r="CT152" i="1" l="1"/>
  <c r="CT94" i="1"/>
  <c r="CT97" i="1" s="1"/>
  <c r="CT100" i="1" s="1"/>
  <c r="CT226" i="1"/>
  <c r="CT228" i="1" s="1"/>
  <c r="CT232" i="1" s="1"/>
  <c r="CT246" i="1" s="1"/>
  <c r="AC79" i="1"/>
  <c r="AC80" i="1" s="1"/>
  <c r="AC226" i="1"/>
  <c r="AC228" i="1" s="1"/>
  <c r="AC232" i="1" s="1"/>
  <c r="AC246" i="1" s="1"/>
  <c r="CT153" i="1" l="1"/>
  <c r="AC152" i="1"/>
  <c r="AC153" i="1" s="1"/>
  <c r="AC162" i="1" s="1"/>
  <c r="AC83" i="1" s="1"/>
  <c r="CT98" i="1"/>
  <c r="CT113" i="1"/>
  <c r="CT162" i="1" l="1"/>
  <c r="CT83" i="1" s="1"/>
  <c r="CT120" i="1"/>
  <c r="CT122" i="1" s="1"/>
  <c r="CT240" i="1"/>
  <c r="CT238" i="1" s="1"/>
  <c r="CT243" i="1" s="1"/>
  <c r="CT193" i="1" s="1"/>
  <c r="CT82" i="1"/>
  <c r="AC82" i="1"/>
  <c r="AC240" i="1"/>
  <c r="AC238" i="1" s="1"/>
  <c r="AC243" i="1" s="1"/>
  <c r="AC208" i="1"/>
  <c r="CT194" i="1" l="1"/>
  <c r="AC193" i="1"/>
  <c r="AC194" i="1" s="1"/>
  <c r="CT279" i="1" l="1"/>
  <c r="CT281" i="1"/>
  <c r="CT277" i="1"/>
  <c r="AC281" i="1"/>
  <c r="AC279" i="1"/>
  <c r="AC277" i="1"/>
  <c r="CU242" i="1"/>
  <c r="CT198" i="1"/>
  <c r="CT201" i="1"/>
  <c r="CT137" i="1" s="1"/>
  <c r="CT244" i="1"/>
  <c r="AD242" i="1"/>
  <c r="AC201" i="1"/>
  <c r="AC137" i="1" s="1"/>
  <c r="AC198" i="1"/>
  <c r="AC244" i="1"/>
  <c r="CT135" i="1" l="1"/>
  <c r="CT136" i="1"/>
  <c r="AC199" i="1"/>
  <c r="CT199" i="1"/>
  <c r="CU64" i="1"/>
  <c r="CU285" i="1" s="1"/>
  <c r="CU66" i="1" l="1"/>
  <c r="CU67" i="1" l="1"/>
  <c r="CU69" i="1" s="1"/>
  <c r="CU70" i="1" l="1"/>
  <c r="CU278" i="1" s="1"/>
  <c r="CU71" i="1"/>
  <c r="CU72" i="1"/>
  <c r="CU76" i="1"/>
  <c r="CU267" i="1"/>
  <c r="CU260" i="1"/>
  <c r="CU226" i="1" l="1"/>
  <c r="CU228" i="1" s="1"/>
  <c r="CU232" i="1" s="1"/>
  <c r="CU246" i="1" s="1"/>
  <c r="CU94" i="1"/>
  <c r="CU152" i="1"/>
  <c r="CU153" i="1" l="1"/>
  <c r="CU97" i="1"/>
  <c r="CU98" i="1" l="1"/>
  <c r="CU113" i="1"/>
  <c r="CU162" i="1"/>
  <c r="CU83" i="1" s="1"/>
  <c r="CU240" i="1"/>
  <c r="CU238" i="1" s="1"/>
  <c r="CU243" i="1" s="1"/>
  <c r="CU120" i="1"/>
  <c r="CU122" i="1" s="1"/>
  <c r="CU82" i="1"/>
  <c r="CU193" i="1" l="1"/>
  <c r="CU194" i="1" s="1"/>
  <c r="CU281" i="1" l="1"/>
  <c r="CU277" i="1"/>
  <c r="CU279" i="1"/>
  <c r="CU198" i="1"/>
  <c r="CU201" i="1"/>
  <c r="CU137" i="1" s="1"/>
  <c r="CV242" i="1"/>
  <c r="CU244" i="1"/>
  <c r="CU136" i="1" l="1"/>
  <c r="CU135" i="1"/>
  <c r="CU199" i="1"/>
  <c r="CV64" i="1"/>
  <c r="CV285" i="1" s="1"/>
  <c r="CV66" i="1" l="1"/>
  <c r="CV67" i="1" l="1"/>
  <c r="CV69" i="1" l="1"/>
  <c r="CV76" i="1" l="1"/>
  <c r="CV267" i="1"/>
  <c r="CV70" i="1"/>
  <c r="CV278" i="1" s="1"/>
  <c r="CV72" i="1"/>
  <c r="CV71" i="1"/>
  <c r="CV260" i="1"/>
  <c r="CV226" i="1" l="1"/>
  <c r="CV228" i="1" s="1"/>
  <c r="CV232" i="1" s="1"/>
  <c r="CV246" i="1" s="1"/>
  <c r="CV94" i="1"/>
  <c r="CV152" i="1"/>
  <c r="CV153" i="1" l="1"/>
  <c r="CV97" i="1"/>
  <c r="CV98" i="1" l="1"/>
  <c r="CV113" i="1"/>
  <c r="CV120" i="1"/>
  <c r="CV122" i="1" s="1"/>
  <c r="CV162" i="1"/>
  <c r="CV83" i="1" s="1"/>
  <c r="CV240" i="1"/>
  <c r="CV238" i="1" s="1"/>
  <c r="CV243" i="1" s="1"/>
  <c r="CV82" i="1"/>
  <c r="CV193" i="1" l="1"/>
  <c r="CV194" i="1" s="1"/>
  <c r="CV279" i="1" l="1"/>
  <c r="CV277" i="1"/>
  <c r="CV281" i="1"/>
  <c r="CV201" i="1"/>
  <c r="CV137" i="1" s="1"/>
  <c r="CW242" i="1"/>
  <c r="CV198" i="1"/>
  <c r="CV244" i="1"/>
  <c r="CV136" i="1" l="1"/>
  <c r="CV135" i="1"/>
  <c r="CV199" i="1"/>
  <c r="CW64" i="1"/>
  <c r="CW285" i="1" s="1"/>
  <c r="CW66" i="1" l="1"/>
  <c r="CW67" i="1" l="1"/>
  <c r="CW69" i="1" l="1"/>
  <c r="CW70" i="1" l="1"/>
  <c r="CW278" i="1" s="1"/>
  <c r="CW72" i="1"/>
  <c r="CW76" i="1"/>
  <c r="CW71" i="1"/>
  <c r="CW267" i="1"/>
  <c r="CW260" i="1"/>
  <c r="CW226" i="1" l="1"/>
  <c r="CW228" i="1" s="1"/>
  <c r="CW232" i="1" s="1"/>
  <c r="CW246" i="1" s="1"/>
  <c r="CW94" i="1"/>
  <c r="CW152" i="1"/>
  <c r="CW153" i="1" l="1"/>
  <c r="CW97" i="1"/>
  <c r="CW98" i="1" l="1"/>
  <c r="CW113" i="1"/>
  <c r="CW240" i="1"/>
  <c r="CW238" i="1" s="1"/>
  <c r="CW243" i="1" s="1"/>
  <c r="CW162" i="1"/>
  <c r="CW83" i="1" s="1"/>
  <c r="CW120" i="1"/>
  <c r="CW122" i="1" s="1"/>
  <c r="CW82" i="1"/>
  <c r="CW193" i="1" l="1"/>
  <c r="CW194" i="1" s="1"/>
  <c r="CW279" i="1" l="1"/>
  <c r="CW277" i="1"/>
  <c r="CW281" i="1"/>
  <c r="CW198" i="1"/>
  <c r="CX242" i="1"/>
  <c r="CW201" i="1"/>
  <c r="CW137" i="1" s="1"/>
  <c r="CW244" i="1"/>
  <c r="CW135" i="1" l="1"/>
  <c r="CW136" i="1"/>
  <c r="CX64" i="1"/>
  <c r="CX285" i="1" s="1"/>
  <c r="CW199" i="1"/>
  <c r="CX66" i="1" l="1"/>
  <c r="AD64" i="1"/>
  <c r="AD65" i="1" l="1"/>
  <c r="AD285" i="1"/>
  <c r="AD66" i="1"/>
  <c r="CX67" i="1"/>
  <c r="AD67" i="1" s="1"/>
  <c r="AD68" i="1" l="1"/>
  <c r="CX69" i="1"/>
  <c r="CX260" i="1" s="1"/>
  <c r="AD69" i="1"/>
  <c r="CX72" i="1" l="1"/>
  <c r="CX267" i="1"/>
  <c r="CX76" i="1"/>
  <c r="CX70" i="1"/>
  <c r="CX278" i="1" s="1"/>
  <c r="CX71" i="1"/>
  <c r="AD71" i="1"/>
  <c r="AD89" i="1"/>
  <c r="AD76" i="1"/>
  <c r="AD70" i="1"/>
  <c r="AD278" i="1" s="1"/>
  <c r="CX94" i="1" l="1"/>
  <c r="CX97" i="1" s="1"/>
  <c r="CX226" i="1"/>
  <c r="CX228" i="1" s="1"/>
  <c r="CX232" i="1" s="1"/>
  <c r="CX246" i="1" s="1"/>
  <c r="CX152" i="1"/>
  <c r="AD79" i="1"/>
  <c r="AD80" i="1" s="1"/>
  <c r="AD226" i="1"/>
  <c r="AD228" i="1" s="1"/>
  <c r="AD232" i="1" s="1"/>
  <c r="AD246" i="1" s="1"/>
  <c r="AD152" i="1" l="1"/>
  <c r="AD153" i="1" s="1"/>
  <c r="CX153" i="1"/>
  <c r="CX240" i="1" s="1"/>
  <c r="CX238" i="1" s="1"/>
  <c r="CX243" i="1" s="1"/>
  <c r="CX98" i="1"/>
  <c r="CX113" i="1"/>
  <c r="AD208" i="1" l="1"/>
  <c r="AD162" i="1"/>
  <c r="AD83" i="1" s="1"/>
  <c r="AD82" i="1"/>
  <c r="AD240" i="1"/>
  <c r="AD238" i="1" s="1"/>
  <c r="AD243" i="1" s="1"/>
  <c r="CX162" i="1"/>
  <c r="CX83" i="1" s="1"/>
  <c r="CX120" i="1"/>
  <c r="CX122" i="1" s="1"/>
  <c r="CX82" i="1"/>
  <c r="CX193" i="1"/>
  <c r="CX194" i="1" l="1"/>
  <c r="AD193" i="1"/>
  <c r="AD194" i="1" s="1"/>
  <c r="AD281" i="1" l="1"/>
  <c r="AD279" i="1"/>
  <c r="AD277" i="1"/>
  <c r="CX281" i="1"/>
  <c r="CX279" i="1"/>
  <c r="CX277" i="1"/>
  <c r="AE242" i="1"/>
  <c r="AD198" i="1"/>
  <c r="AD201" i="1"/>
  <c r="AD137" i="1" s="1"/>
  <c r="AD244" i="1"/>
  <c r="CY242" i="1"/>
  <c r="CX198" i="1"/>
  <c r="CX201" i="1"/>
  <c r="CX137" i="1" s="1"/>
  <c r="CX244" i="1"/>
  <c r="CX136" i="1" l="1"/>
  <c r="CX135" i="1"/>
  <c r="AD199" i="1"/>
  <c r="CY64" i="1"/>
  <c r="CY285" i="1" s="1"/>
  <c r="CX199" i="1"/>
  <c r="CY66" i="1" l="1"/>
  <c r="CY67" i="1" l="1"/>
  <c r="CY69" i="1" l="1"/>
  <c r="CY70" i="1" l="1"/>
  <c r="CY278" i="1" s="1"/>
  <c r="CY267" i="1"/>
  <c r="CY71" i="1"/>
  <c r="CY72" i="1"/>
  <c r="CY76" i="1"/>
  <c r="CY260" i="1"/>
  <c r="CY94" i="1" l="1"/>
  <c r="CY226" i="1"/>
  <c r="CY228" i="1" s="1"/>
  <c r="CY232" i="1" s="1"/>
  <c r="CY246" i="1" s="1"/>
  <c r="CY152" i="1"/>
  <c r="CY153" i="1" l="1"/>
  <c r="CY97" i="1"/>
  <c r="CY98" i="1" s="1"/>
  <c r="CY113" i="1" l="1"/>
  <c r="CY120" i="1"/>
  <c r="CY122" i="1" s="1"/>
  <c r="CY162" i="1"/>
  <c r="CY83" i="1" s="1"/>
  <c r="CY240" i="1"/>
  <c r="CY238" i="1" s="1"/>
  <c r="CY243" i="1" s="1"/>
  <c r="CY82" i="1"/>
  <c r="CY193" i="1" l="1"/>
  <c r="CY194" i="1" s="1"/>
  <c r="CY244" i="1" l="1"/>
  <c r="CY281" i="1"/>
  <c r="CY279" i="1"/>
  <c r="CY277" i="1"/>
  <c r="CZ242" i="1"/>
  <c r="CY198" i="1"/>
  <c r="CY201" i="1"/>
  <c r="CY137" i="1" s="1"/>
  <c r="CY136" i="1" l="1"/>
  <c r="CY135" i="1"/>
  <c r="CY199" i="1"/>
  <c r="CZ64" i="1"/>
  <c r="CZ285" i="1" s="1"/>
  <c r="CZ66" i="1" l="1"/>
  <c r="CZ67" i="1" l="1"/>
  <c r="CZ69" i="1" l="1"/>
  <c r="CZ267" i="1" l="1"/>
  <c r="CZ71" i="1"/>
  <c r="CZ70" i="1"/>
  <c r="CZ278" i="1" s="1"/>
  <c r="CZ72" i="1"/>
  <c r="CZ76" i="1"/>
  <c r="CZ260" i="1"/>
  <c r="CZ226" i="1" l="1"/>
  <c r="CZ228" i="1" s="1"/>
  <c r="CZ232" i="1" s="1"/>
  <c r="CZ246" i="1" s="1"/>
  <c r="CZ94" i="1"/>
  <c r="CZ152" i="1"/>
  <c r="CZ153" i="1" l="1"/>
  <c r="CZ97" i="1"/>
  <c r="CZ98" i="1" s="1"/>
  <c r="CZ113" i="1" l="1"/>
  <c r="CZ162" i="1"/>
  <c r="CZ83" i="1" s="1"/>
  <c r="CZ240" i="1"/>
  <c r="CZ238" i="1" s="1"/>
  <c r="CZ243" i="1" s="1"/>
  <c r="CZ120" i="1"/>
  <c r="CZ122" i="1" s="1"/>
  <c r="CZ82" i="1"/>
  <c r="CZ193" i="1" l="1"/>
  <c r="CZ194" i="1" s="1"/>
  <c r="CZ279" i="1" l="1"/>
  <c r="CZ277" i="1"/>
  <c r="CZ281" i="1"/>
  <c r="CZ198" i="1"/>
  <c r="CZ201" i="1"/>
  <c r="CZ137" i="1" s="1"/>
  <c r="DA242" i="1"/>
  <c r="CZ244" i="1"/>
  <c r="CZ136" i="1" l="1"/>
  <c r="CZ135" i="1"/>
  <c r="DA64" i="1"/>
  <c r="DA285" i="1" s="1"/>
  <c r="CZ199" i="1"/>
  <c r="DA66" i="1" l="1"/>
  <c r="DA67" i="1" l="1"/>
  <c r="DA69" i="1" l="1"/>
  <c r="DA267" i="1" l="1"/>
  <c r="DA76" i="1"/>
  <c r="DA71" i="1"/>
  <c r="DA72" i="1"/>
  <c r="DA70" i="1"/>
  <c r="DA278" i="1" s="1"/>
  <c r="DA260" i="1"/>
  <c r="DA94" i="1" l="1"/>
  <c r="DA226" i="1"/>
  <c r="DA228" i="1" s="1"/>
  <c r="DA232" i="1" s="1"/>
  <c r="DA246" i="1" s="1"/>
  <c r="DA152" i="1"/>
  <c r="DA153" i="1" l="1"/>
  <c r="DA97" i="1"/>
  <c r="DA98" i="1" s="1"/>
  <c r="DA113" i="1" l="1"/>
  <c r="DA162" i="1"/>
  <c r="DA83" i="1" s="1"/>
  <c r="DA240" i="1"/>
  <c r="DA238" i="1" s="1"/>
  <c r="DA243" i="1" s="1"/>
  <c r="DA120" i="1"/>
  <c r="DA122" i="1" s="1"/>
  <c r="DA82" i="1"/>
  <c r="DA193" i="1" l="1"/>
  <c r="DA194" i="1" s="1"/>
  <c r="DA244" i="1" l="1"/>
  <c r="DA281" i="1"/>
  <c r="DA277" i="1"/>
  <c r="DA279" i="1"/>
  <c r="DA201" i="1"/>
  <c r="DA137" i="1" s="1"/>
  <c r="DB242" i="1"/>
  <c r="DA198" i="1"/>
  <c r="DA135" i="1" l="1"/>
  <c r="DA136" i="1"/>
  <c r="DA199" i="1"/>
  <c r="DB64" i="1"/>
  <c r="DB285" i="1" s="1"/>
  <c r="DB66" i="1" l="1"/>
  <c r="AE64" i="1"/>
  <c r="AE65" i="1" l="1"/>
  <c r="AE285" i="1"/>
  <c r="AE66" i="1"/>
  <c r="DB67" i="1"/>
  <c r="AE67" i="1" s="1"/>
  <c r="AE68" i="1" l="1"/>
  <c r="DB69" i="1"/>
  <c r="AE69" i="1"/>
  <c r="AE71" i="1" s="1"/>
  <c r="AE70" i="1" l="1"/>
  <c r="AE278" i="1" s="1"/>
  <c r="AE76" i="1"/>
  <c r="AE89" i="1"/>
  <c r="DB71" i="1"/>
  <c r="DB72" i="1"/>
  <c r="DB267" i="1"/>
  <c r="DB70" i="1"/>
  <c r="DB278" i="1" s="1"/>
  <c r="DB76" i="1"/>
  <c r="DB260" i="1"/>
  <c r="AE79" i="1" l="1"/>
  <c r="AE80" i="1" s="1"/>
  <c r="AE226" i="1"/>
  <c r="AE228" i="1" s="1"/>
  <c r="AE232" i="1" s="1"/>
  <c r="AE246" i="1" s="1"/>
  <c r="DB226" i="1"/>
  <c r="DB228" i="1" s="1"/>
  <c r="DB232" i="1" s="1"/>
  <c r="DB246" i="1" s="1"/>
  <c r="DB94" i="1"/>
  <c r="DB97" i="1" s="1"/>
  <c r="DB98" i="1" s="1"/>
  <c r="DB152" i="1"/>
  <c r="AE152" i="1" l="1"/>
  <c r="AE153" i="1" s="1"/>
  <c r="DB153" i="1"/>
  <c r="DB113" i="1"/>
  <c r="DB240" i="1" l="1"/>
  <c r="DB238" i="1" s="1"/>
  <c r="DB243" i="1" s="1"/>
  <c r="DB162" i="1"/>
  <c r="DB83" i="1" s="1"/>
  <c r="DB120" i="1"/>
  <c r="DB122" i="1" s="1"/>
  <c r="DB82" i="1"/>
  <c r="AE240" i="1"/>
  <c r="AE238" i="1" s="1"/>
  <c r="AE243" i="1" s="1"/>
  <c r="AE162" i="1"/>
  <c r="AE83" i="1" s="1"/>
  <c r="AE208" i="1"/>
  <c r="AE82" i="1"/>
  <c r="DB193" i="1" l="1"/>
  <c r="AE193" i="1" l="1"/>
  <c r="AE194" i="1" s="1"/>
  <c r="DB194" i="1"/>
  <c r="DB277" i="1" l="1"/>
  <c r="DB281" i="1"/>
  <c r="DB279" i="1"/>
  <c r="AE279" i="1"/>
  <c r="AE277" i="1"/>
  <c r="AE281" i="1"/>
  <c r="DB198" i="1"/>
  <c r="DB201" i="1"/>
  <c r="DB137" i="1" s="1"/>
  <c r="DB244" i="1"/>
  <c r="AE201" i="1"/>
  <c r="AE137" i="1" s="1"/>
  <c r="AE198" i="1"/>
  <c r="AE244" i="1"/>
  <c r="DB136" i="1" l="1"/>
  <c r="DB135" i="1"/>
  <c r="AE199" i="1"/>
  <c r="DB199" i="1"/>
  <c r="CW106" i="1" l="1"/>
  <c r="CW109" i="1" s="1"/>
  <c r="CS106" i="1"/>
  <c r="CS109" i="1" s="1"/>
  <c r="CZ107" i="1"/>
  <c r="CZ110" i="1" s="1"/>
  <c r="CV107" i="1"/>
  <c r="CV110" i="1" s="1"/>
  <c r="CR107" i="1"/>
  <c r="CR110" i="1" s="1"/>
  <c r="CN107" i="1"/>
  <c r="CN110" i="1" s="1"/>
  <c r="CZ106" i="1"/>
  <c r="CZ109" i="1" s="1"/>
  <c r="CV106" i="1"/>
  <c r="CV109" i="1" s="1"/>
  <c r="CR106" i="1"/>
  <c r="CR109" i="1" s="1"/>
  <c r="CN106" i="1"/>
  <c r="DB107" i="1"/>
  <c r="DB110" i="1" s="1"/>
  <c r="CX107" i="1"/>
  <c r="CX110" i="1" s="1"/>
  <c r="CT107" i="1"/>
  <c r="CT110" i="1" s="1"/>
  <c r="CP107" i="1"/>
  <c r="CP110" i="1" s="1"/>
  <c r="DB106" i="1"/>
  <c r="DB109" i="1" s="1"/>
  <c r="CX106" i="1"/>
  <c r="CX109" i="1" s="1"/>
  <c r="CT106" i="1"/>
  <c r="CT109" i="1" s="1"/>
  <c r="CP106" i="1"/>
  <c r="CP109" i="1" s="1"/>
  <c r="DA107" i="1"/>
  <c r="DA110" i="1" s="1"/>
  <c r="CW107" i="1"/>
  <c r="CW110" i="1" s="1"/>
  <c r="CS107" i="1"/>
  <c r="CS110" i="1" s="1"/>
  <c r="CO107" i="1"/>
  <c r="CO110" i="1" s="1"/>
  <c r="DA106" i="1"/>
  <c r="DA109" i="1" s="1"/>
  <c r="CO106" i="1"/>
  <c r="CO109" i="1" s="1"/>
  <c r="CY107" i="1"/>
  <c r="CU107" i="1"/>
  <c r="CU110" i="1" s="1"/>
  <c r="CQ107" i="1"/>
  <c r="CQ110" i="1" s="1"/>
  <c r="CM107" i="1"/>
  <c r="CY106" i="1"/>
  <c r="CU106" i="1"/>
  <c r="CQ106" i="1"/>
  <c r="CQ109" i="1" s="1"/>
  <c r="CM106" i="1"/>
  <c r="CM109" i="1" s="1"/>
  <c r="AD106" i="1" l="1"/>
  <c r="AD109" i="1" s="1"/>
  <c r="AE106" i="1"/>
  <c r="AE107" i="1"/>
  <c r="AB107" i="1"/>
  <c r="AB106" i="1"/>
  <c r="CN109" i="1"/>
  <c r="CU109" i="1"/>
  <c r="AD107" i="1"/>
  <c r="CY109" i="1"/>
  <c r="AC107" i="1"/>
  <c r="CY110" i="1"/>
  <c r="AC106" i="1"/>
  <c r="CM110" i="1"/>
  <c r="AE110" i="1" l="1"/>
  <c r="AE109" i="1"/>
  <c r="AB109" i="1"/>
  <c r="AB110" i="1"/>
  <c r="AC110" i="1"/>
  <c r="AC109" i="1"/>
  <c r="AD110" i="1"/>
  <c r="AA91" i="1" l="1"/>
  <c r="AB91" i="1"/>
  <c r="AA93" i="1"/>
  <c r="AA120" i="1"/>
  <c r="AA94" i="1"/>
  <c r="AA97" i="1"/>
  <c r="AA98" i="1"/>
  <c r="AA124" i="1"/>
  <c r="AA115" i="1"/>
  <c r="AA123" i="1"/>
  <c r="AA136" i="1"/>
  <c r="AA139" i="1"/>
  <c r="AA142" i="1"/>
  <c r="AA122" i="1"/>
  <c r="AA114" i="1"/>
  <c r="AA135" i="1"/>
  <c r="AA138" i="1"/>
  <c r="AA141" i="1"/>
  <c r="AA113" i="1"/>
  <c r="AA127" i="1"/>
  <c r="AA130" i="1"/>
  <c r="AA132" i="1"/>
  <c r="AA131" i="1"/>
  <c r="AA96" i="1"/>
  <c r="AA92" i="1"/>
  <c r="AB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AC92" i="1"/>
  <c r="AD92" i="1"/>
  <c r="AE92" i="1"/>
  <c r="AB93" i="1"/>
  <c r="Z91" i="1"/>
  <c r="AC91" i="1"/>
  <c r="Y91" i="1"/>
  <c r="Z93" i="1"/>
  <c r="AC93" i="1"/>
  <c r="AD91" i="1"/>
  <c r="Z120" i="1"/>
  <c r="X91" i="1"/>
  <c r="Z136" i="1"/>
  <c r="Z139" i="1"/>
  <c r="Z142" i="1"/>
  <c r="Z127" i="1"/>
  <c r="Z135" i="1"/>
  <c r="Z138" i="1"/>
  <c r="Z141" i="1"/>
  <c r="Z94" i="1"/>
  <c r="Y93" i="1"/>
  <c r="AD93" i="1"/>
  <c r="X93" i="1"/>
  <c r="Z97" i="1"/>
  <c r="Z123" i="1"/>
  <c r="Z130" i="1"/>
  <c r="Z131" i="1"/>
  <c r="AE91" i="1"/>
  <c r="AE93" i="1"/>
  <c r="Y136" i="1"/>
  <c r="Y139" i="1"/>
  <c r="Y142" i="1"/>
  <c r="Y135" i="1"/>
  <c r="Y138" i="1"/>
  <c r="Y141" i="1"/>
  <c r="Y120" i="1"/>
  <c r="Y127" i="1"/>
  <c r="Y94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Z96" i="1"/>
  <c r="Z124" i="1"/>
  <c r="Z122" i="1"/>
  <c r="Z132" i="1"/>
  <c r="X127" i="1"/>
  <c r="X135" i="1"/>
  <c r="X138" i="1"/>
  <c r="Y131" i="1"/>
  <c r="Y130" i="1"/>
  <c r="Y132" i="1"/>
  <c r="Y123" i="1"/>
  <c r="Z113" i="1"/>
  <c r="X132" i="1"/>
  <c r="E93" i="1"/>
  <c r="E94" i="1"/>
  <c r="E97" i="1"/>
  <c r="E115" i="1"/>
  <c r="M93" i="1"/>
  <c r="M127" i="1"/>
  <c r="M131" i="1"/>
  <c r="Z114" i="1"/>
  <c r="G93" i="1"/>
  <c r="G94" i="1"/>
  <c r="G97" i="1"/>
  <c r="F117" i="1"/>
  <c r="V93" i="1"/>
  <c r="V135" i="1"/>
  <c r="V138" i="1"/>
  <c r="AC120" i="1"/>
  <c r="AE120" i="1"/>
  <c r="AB94" i="1"/>
  <c r="X131" i="1"/>
  <c r="AE135" i="1"/>
  <c r="Y122" i="1"/>
  <c r="Q93" i="1"/>
  <c r="Q94" i="1"/>
  <c r="Q96" i="1"/>
  <c r="O93" i="1"/>
  <c r="AC123" i="1"/>
  <c r="V94" i="1"/>
  <c r="V97" i="1"/>
  <c r="U117" i="1"/>
  <c r="N93" i="1"/>
  <c r="N94" i="1"/>
  <c r="N97" i="1"/>
  <c r="N115" i="1"/>
  <c r="Z115" i="1"/>
  <c r="R93" i="1"/>
  <c r="R127" i="1"/>
  <c r="R131" i="1"/>
  <c r="Z98" i="1"/>
  <c r="AE127" i="1"/>
  <c r="S93" i="1"/>
  <c r="S94" i="1"/>
  <c r="S97" i="1"/>
  <c r="S114" i="1"/>
  <c r="P93" i="1"/>
  <c r="P94" i="1"/>
  <c r="P97" i="1"/>
  <c r="P113" i="1"/>
  <c r="M94" i="1"/>
  <c r="M97" i="1"/>
  <c r="M114" i="1"/>
  <c r="M135" i="1"/>
  <c r="J93" i="1"/>
  <c r="N127" i="1"/>
  <c r="N130" i="1"/>
  <c r="L93" i="1"/>
  <c r="L94" i="1"/>
  <c r="L97" i="1"/>
  <c r="L114" i="1"/>
  <c r="X130" i="1"/>
  <c r="L98" i="1"/>
  <c r="R120" i="1"/>
  <c r="R124" i="1"/>
  <c r="Y117" i="1"/>
  <c r="AC127" i="1"/>
  <c r="AD127" i="1"/>
  <c r="Z117" i="1"/>
  <c r="AB120" i="1"/>
  <c r="AD120" i="1"/>
  <c r="AE136" i="1"/>
  <c r="AD123" i="1"/>
  <c r="AC132" i="1"/>
  <c r="AC135" i="1"/>
  <c r="AD136" i="1"/>
  <c r="AD135" i="1"/>
  <c r="I93" i="1"/>
  <c r="I94" i="1"/>
  <c r="I97" i="1"/>
  <c r="H93" i="1"/>
  <c r="H94" i="1"/>
  <c r="H97" i="1"/>
  <c r="H114" i="1"/>
  <c r="U93" i="1"/>
  <c r="U127" i="1"/>
  <c r="U130" i="1"/>
  <c r="X141" i="1"/>
  <c r="X120" i="1"/>
  <c r="X136" i="1"/>
  <c r="X139" i="1"/>
  <c r="X142" i="1"/>
  <c r="X94" i="1"/>
  <c r="Y96" i="1"/>
  <c r="Y97" i="1"/>
  <c r="Y113" i="1"/>
  <c r="F93" i="1"/>
  <c r="L127" i="1"/>
  <c r="K93" i="1"/>
  <c r="K94" i="1"/>
  <c r="K97" i="1"/>
  <c r="T93" i="1"/>
  <c r="T94" i="1"/>
  <c r="T97" i="1"/>
  <c r="F120" i="1"/>
  <c r="V113" i="1"/>
  <c r="L115" i="1"/>
  <c r="Y115" i="1"/>
  <c r="AE123" i="1"/>
  <c r="M113" i="1"/>
  <c r="V98" i="1"/>
  <c r="G113" i="1"/>
  <c r="N98" i="1"/>
  <c r="O127" i="1"/>
  <c r="T96" i="1"/>
  <c r="M96" i="1"/>
  <c r="Y114" i="1"/>
  <c r="G115" i="1"/>
  <c r="I96" i="1"/>
  <c r="F123" i="1"/>
  <c r="H98" i="1"/>
  <c r="E114" i="1"/>
  <c r="F124" i="1"/>
  <c r="AB96" i="1"/>
  <c r="S135" i="1"/>
  <c r="S138" i="1"/>
  <c r="S141" i="1"/>
  <c r="R135" i="1"/>
  <c r="F135" i="1"/>
  <c r="F94" i="1"/>
  <c r="G114" i="1"/>
  <c r="P114" i="1"/>
  <c r="Q120" i="1"/>
  <c r="O117" i="1"/>
  <c r="N131" i="1"/>
  <c r="P98" i="1"/>
  <c r="I135" i="1"/>
  <c r="I138" i="1"/>
  <c r="I136" i="1"/>
  <c r="I139" i="1"/>
  <c r="H120" i="1"/>
  <c r="R138" i="1"/>
  <c r="R141" i="1"/>
  <c r="H124" i="1"/>
  <c r="W93" i="1"/>
  <c r="W120" i="1"/>
  <c r="W122" i="1"/>
  <c r="AE94" i="1"/>
  <c r="AE139" i="1"/>
  <c r="AB97" i="1"/>
  <c r="AD138" i="1"/>
  <c r="X123" i="1"/>
  <c r="H113" i="1"/>
  <c r="E127" i="1"/>
  <c r="I114" i="1"/>
  <c r="J94" i="1"/>
  <c r="J97" i="1"/>
  <c r="J113" i="1"/>
  <c r="I98" i="1"/>
  <c r="U132" i="1"/>
  <c r="AB136" i="1"/>
  <c r="X122" i="1"/>
  <c r="G127" i="1"/>
  <c r="G98" i="1"/>
  <c r="V115" i="1"/>
  <c r="U94" i="1"/>
  <c r="T127" i="1"/>
  <c r="K113" i="1"/>
  <c r="S113" i="1"/>
  <c r="O120" i="1"/>
  <c r="R136" i="1"/>
  <c r="R139" i="1"/>
  <c r="H136" i="1"/>
  <c r="T130" i="1"/>
  <c r="G120" i="1"/>
  <c r="S136" i="1"/>
  <c r="T136" i="1"/>
  <c r="T139" i="1"/>
  <c r="W94" i="1"/>
  <c r="V141" i="1"/>
  <c r="X96" i="1"/>
  <c r="G130" i="1"/>
  <c r="T131" i="1"/>
  <c r="R132" i="1"/>
  <c r="R130" i="1"/>
  <c r="E120" i="1"/>
  <c r="E122" i="1"/>
  <c r="K117" i="1"/>
  <c r="K120" i="1"/>
  <c r="K122" i="1"/>
  <c r="N132" i="1"/>
  <c r="S96" i="1"/>
  <c r="M138" i="1"/>
  <c r="M141" i="1"/>
  <c r="F97" i="1"/>
  <c r="F115" i="1"/>
  <c r="M120" i="1"/>
  <c r="M124" i="1"/>
  <c r="P127" i="1"/>
  <c r="AE130" i="1"/>
  <c r="M122" i="1"/>
  <c r="O94" i="1"/>
  <c r="O96" i="1"/>
  <c r="H117" i="1"/>
  <c r="L131" i="1"/>
  <c r="E98" i="1"/>
  <c r="R142" i="1"/>
  <c r="O123" i="1"/>
  <c r="X124" i="1"/>
  <c r="J115" i="1"/>
  <c r="AA117" i="1"/>
  <c r="L120" i="1"/>
  <c r="F127" i="1"/>
  <c r="F132" i="1"/>
  <c r="G132" i="1"/>
  <c r="AE142" i="1"/>
  <c r="F138" i="1"/>
  <c r="F141" i="1"/>
  <c r="F136" i="1"/>
  <c r="F139" i="1"/>
  <c r="F142" i="1"/>
  <c r="I120" i="1"/>
  <c r="I122" i="1"/>
  <c r="I124" i="1"/>
  <c r="I123" i="1"/>
  <c r="J135" i="1"/>
  <c r="J138" i="1"/>
  <c r="J141" i="1"/>
  <c r="J136" i="1"/>
  <c r="J139" i="1"/>
  <c r="J142" i="1"/>
  <c r="L132" i="1"/>
  <c r="M98" i="1"/>
  <c r="AE122" i="1"/>
  <c r="Q97" i="1"/>
  <c r="I113" i="1"/>
  <c r="J114" i="1"/>
  <c r="Y124" i="1"/>
  <c r="H139" i="1"/>
  <c r="T135" i="1"/>
  <c r="W97" i="1"/>
  <c r="J98" i="1"/>
  <c r="E96" i="1"/>
  <c r="AD124" i="1"/>
  <c r="F96" i="1"/>
  <c r="T113" i="1"/>
  <c r="R122" i="1"/>
  <c r="U120" i="1"/>
  <c r="U123" i="1"/>
  <c r="U124" i="1"/>
  <c r="U122" i="1"/>
  <c r="G135" i="1"/>
  <c r="G138" i="1"/>
  <c r="G141" i="1"/>
  <c r="G136" i="1"/>
  <c r="G139" i="1"/>
  <c r="G142" i="1"/>
  <c r="Q136" i="1"/>
  <c r="N120" i="1"/>
  <c r="S115" i="1"/>
  <c r="P130" i="1"/>
  <c r="AE132" i="1"/>
  <c r="H127" i="1"/>
  <c r="H130" i="1"/>
  <c r="W124" i="1"/>
  <c r="G124" i="1"/>
  <c r="H123" i="1"/>
  <c r="E124" i="1"/>
  <c r="AB114" i="1"/>
  <c r="W96" i="1"/>
  <c r="R94" i="1"/>
  <c r="R97" i="1"/>
  <c r="R115" i="1"/>
  <c r="N122" i="1"/>
  <c r="U131" i="1"/>
  <c r="V127" i="1"/>
  <c r="L117" i="1"/>
  <c r="R117" i="1"/>
  <c r="Q139" i="1"/>
  <c r="Q142" i="1"/>
  <c r="Q135" i="1"/>
  <c r="Q138" i="1"/>
  <c r="Q141" i="1"/>
  <c r="O136" i="1"/>
  <c r="O139" i="1"/>
  <c r="O142" i="1"/>
  <c r="O135" i="1"/>
  <c r="O138" i="1"/>
  <c r="O141" i="1"/>
  <c r="J120" i="1"/>
  <c r="J122" i="1"/>
  <c r="J123" i="1"/>
  <c r="J124" i="1"/>
  <c r="K135" i="1"/>
  <c r="K138" i="1"/>
  <c r="K141" i="1"/>
  <c r="X117" i="1"/>
  <c r="W136" i="1"/>
  <c r="W139" i="1"/>
  <c r="W142" i="1"/>
  <c r="AD94" i="1"/>
  <c r="AD131" i="1"/>
  <c r="AD141" i="1"/>
  <c r="V114" i="1"/>
  <c r="H96" i="1"/>
  <c r="AB139" i="1"/>
  <c r="K96" i="1"/>
  <c r="K136" i="1"/>
  <c r="S120" i="1"/>
  <c r="S123" i="1"/>
  <c r="S122" i="1"/>
  <c r="S124" i="1"/>
  <c r="Q123" i="1"/>
  <c r="Q124" i="1"/>
  <c r="Q122" i="1"/>
  <c r="P120" i="1"/>
  <c r="P122" i="1"/>
  <c r="P123" i="1"/>
  <c r="P124" i="1"/>
  <c r="P136" i="1"/>
  <c r="P139" i="1"/>
  <c r="P142" i="1"/>
  <c r="P135" i="1"/>
  <c r="P138" i="1"/>
  <c r="P141" i="1"/>
  <c r="L136" i="1"/>
  <c r="L139" i="1"/>
  <c r="L142" i="1"/>
  <c r="L135" i="1"/>
  <c r="L138" i="1"/>
  <c r="L141" i="1"/>
  <c r="E135" i="1"/>
  <c r="E138" i="1"/>
  <c r="E141" i="1"/>
  <c r="E136" i="1"/>
  <c r="E139" i="1"/>
  <c r="N136" i="1"/>
  <c r="N139" i="1"/>
  <c r="N142" i="1"/>
  <c r="N135" i="1"/>
  <c r="N138" i="1"/>
  <c r="V120" i="1"/>
  <c r="J127" i="1"/>
  <c r="J132" i="1"/>
  <c r="N114" i="1"/>
  <c r="K127" i="1"/>
  <c r="K130" i="1"/>
  <c r="V122" i="1"/>
  <c r="U135" i="1"/>
  <c r="U138" i="1"/>
  <c r="U141" i="1"/>
  <c r="AE138" i="1"/>
  <c r="F98" i="1"/>
  <c r="E113" i="1"/>
  <c r="T115" i="1"/>
  <c r="S127" i="1"/>
  <c r="G123" i="1"/>
  <c r="AB127" i="1"/>
  <c r="AE131" i="1"/>
  <c r="AE96" i="1"/>
  <c r="AC94" i="1"/>
  <c r="AC97" i="1"/>
  <c r="AB117" i="1"/>
  <c r="AC136" i="1"/>
  <c r="AC124" i="1"/>
  <c r="AC131" i="1"/>
  <c r="AC138" i="1"/>
  <c r="AD97" i="1"/>
  <c r="AC117" i="1"/>
  <c r="AC113" i="1"/>
  <c r="J131" i="1"/>
  <c r="H135" i="1"/>
  <c r="H138" i="1"/>
  <c r="U97" i="1"/>
  <c r="K115" i="1"/>
  <c r="AB124" i="1"/>
  <c r="U136" i="1"/>
  <c r="U139" i="1"/>
  <c r="J96" i="1"/>
  <c r="M117" i="1"/>
  <c r="AB132" i="1"/>
  <c r="AC139" i="1"/>
  <c r="AC142" i="1"/>
  <c r="S139" i="1"/>
  <c r="P131" i="1"/>
  <c r="V132" i="1"/>
  <c r="M136" i="1"/>
  <c r="D117" i="1"/>
  <c r="T120" i="1"/>
  <c r="O130" i="1"/>
  <c r="H141" i="1"/>
  <c r="F113" i="1"/>
  <c r="X97" i="1"/>
  <c r="F131" i="1"/>
  <c r="R123" i="1"/>
  <c r="P96" i="1"/>
  <c r="H115" i="1"/>
  <c r="N96" i="1"/>
  <c r="F122" i="1"/>
  <c r="H142" i="1"/>
  <c r="AD130" i="1"/>
  <c r="AE97" i="1"/>
  <c r="AE114" i="1"/>
  <c r="E131" i="1"/>
  <c r="AE98" i="1"/>
  <c r="O97" i="1"/>
  <c r="O113" i="1"/>
  <c r="AB130" i="1"/>
  <c r="T114" i="1"/>
  <c r="P117" i="1"/>
  <c r="V124" i="1"/>
  <c r="E123" i="1"/>
  <c r="X114" i="1"/>
  <c r="Q113" i="1"/>
  <c r="S117" i="1"/>
  <c r="W98" i="1"/>
  <c r="S98" i="1"/>
  <c r="O132" i="1"/>
  <c r="AC96" i="1"/>
  <c r="T122" i="1"/>
  <c r="V96" i="1"/>
  <c r="AE141" i="1"/>
  <c r="N117" i="1"/>
  <c r="R113" i="1"/>
  <c r="U115" i="1"/>
  <c r="U114" i="1"/>
  <c r="V136" i="1"/>
  <c r="V139" i="1"/>
  <c r="V142" i="1"/>
  <c r="K139" i="1"/>
  <c r="K142" i="1"/>
  <c r="L122" i="1"/>
  <c r="W115" i="1"/>
  <c r="O131" i="1"/>
  <c r="M130" i="1"/>
  <c r="W114" i="1"/>
  <c r="AD117" i="1"/>
  <c r="AE115" i="1"/>
  <c r="W113" i="1"/>
  <c r="W117" i="1"/>
  <c r="X113" i="1"/>
  <c r="M139" i="1"/>
  <c r="M142" i="1"/>
  <c r="X98" i="1"/>
  <c r="T138" i="1"/>
  <c r="T141" i="1"/>
  <c r="X115" i="1"/>
  <c r="AE113" i="1"/>
  <c r="M132" i="1"/>
  <c r="V117" i="1"/>
  <c r="T124" i="1"/>
  <c r="T123" i="1"/>
  <c r="AD139" i="1"/>
  <c r="AD142" i="1"/>
  <c r="AC122" i="1"/>
  <c r="O122" i="1"/>
  <c r="R98" i="1"/>
  <c r="P132" i="1"/>
  <c r="AD113" i="1"/>
  <c r="AC115" i="1"/>
  <c r="U98" i="1"/>
  <c r="AB135" i="1"/>
  <c r="K123" i="1"/>
  <c r="G96" i="1"/>
  <c r="W127" i="1"/>
  <c r="AD114" i="1"/>
  <c r="W135" i="1"/>
  <c r="W138" i="1"/>
  <c r="W141" i="1"/>
  <c r="J117" i="1"/>
  <c r="R96" i="1"/>
  <c r="E130" i="1"/>
  <c r="O124" i="1"/>
  <c r="R114" i="1"/>
  <c r="K114" i="1"/>
  <c r="F130" i="1"/>
  <c r="AD122" i="1"/>
  <c r="G122" i="1"/>
  <c r="AB131" i="1"/>
  <c r="H132" i="1"/>
  <c r="AB138" i="1"/>
  <c r="AB141" i="1"/>
  <c r="Q114" i="1"/>
  <c r="M115" i="1"/>
  <c r="T142" i="1"/>
  <c r="G117" i="1"/>
  <c r="N123" i="1"/>
  <c r="W132" i="1"/>
  <c r="F114" i="1"/>
  <c r="L96" i="1"/>
  <c r="AC130" i="1"/>
  <c r="Q117" i="1"/>
  <c r="V130" i="1"/>
  <c r="AB115" i="1"/>
  <c r="K131" i="1"/>
  <c r="S130" i="1"/>
  <c r="E142" i="1"/>
  <c r="L123" i="1"/>
  <c r="T117" i="1"/>
  <c r="E117" i="1"/>
  <c r="Q115" i="1"/>
  <c r="I117" i="1"/>
  <c r="AC141" i="1"/>
  <c r="G131" i="1"/>
  <c r="W130" i="1"/>
  <c r="K132" i="1"/>
  <c r="Q98" i="1"/>
  <c r="O114" i="1"/>
  <c r="S132" i="1"/>
  <c r="AD115" i="1"/>
  <c r="AD96" i="1"/>
  <c r="O98" i="1"/>
  <c r="AC98" i="1"/>
  <c r="W131" i="1"/>
  <c r="AD98" i="1"/>
  <c r="N124" i="1"/>
  <c r="H131" i="1"/>
  <c r="Q127" i="1"/>
  <c r="I115" i="1"/>
  <c r="I127" i="1"/>
  <c r="O115" i="1"/>
  <c r="N113" i="1"/>
  <c r="L113" i="1"/>
  <c r="AB122" i="1"/>
  <c r="AB98" i="1"/>
  <c r="I142" i="1"/>
  <c r="AB123" i="1"/>
  <c r="Y98" i="1"/>
  <c r="L130" i="1"/>
  <c r="K98" i="1"/>
  <c r="T98" i="1"/>
  <c r="U142" i="1"/>
  <c r="J130" i="1"/>
  <c r="AD132" i="1"/>
  <c r="AB113" i="1"/>
  <c r="W123" i="1"/>
  <c r="M123" i="1"/>
  <c r="H122" i="1"/>
  <c r="V131" i="1"/>
  <c r="U96" i="1"/>
  <c r="AE124" i="1"/>
  <c r="K124" i="1"/>
  <c r="P115" i="1"/>
  <c r="I141" i="1"/>
  <c r="T132" i="1"/>
  <c r="L124" i="1"/>
  <c r="V123" i="1"/>
  <c r="AB142" i="1"/>
  <c r="E132" i="1"/>
  <c r="S131" i="1"/>
  <c r="AC114" i="1"/>
  <c r="S142" i="1"/>
  <c r="N141" i="1"/>
  <c r="U113" i="1"/>
  <c r="Q131" i="1"/>
  <c r="I130" i="1"/>
  <c r="I132" i="1"/>
  <c r="Q130" i="1"/>
  <c r="I131" i="1"/>
  <c r="Q1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<sst xmlns="http://schemas.openxmlformats.org/spreadsheetml/2006/main" count="689" uniqueCount="550">
  <si>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</si>
  <si>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</si>
  <si>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</si>
  <si>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</si>
  <si>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</si>
  <si>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</si>
  <si>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</si>
  <si>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</si>
  <si>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</si>
  <si>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</si>
  <si>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</si>
  <si>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</si>
  <si>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</si>
  <si>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</si>
  <si>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</si>
  <si>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</si>
  <si>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</si>
  <si>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</si>
  <si>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</si>
  <si>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</si>
  <si>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</si>
  <si>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</si>
  <si>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</si>
  <si>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</si>
  <si>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</si>
  <si>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</si>
  <si>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</si>
  <si>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</si>
  <si>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</si>
  <si>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</si>
  <si>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</si>
  <si>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</si>
  <si>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</si>
  <si>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</si>
  <si>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</si>
  <si>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</si>
  <si>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</si>
  <si>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</si>
  <si>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</si>
  <si>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</si>
  <si>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</si>
  <si>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</si>
  <si>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</si>
  <si>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</si>
  <si>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</si>
  <si>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</si>
  <si>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</si>
  <si>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</si>
  <si>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</si>
  <si>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</si>
  <si>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</si>
  <si>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</si>
  <si>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</si>
  <si>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</si>
  <si>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</si>
  <si>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</si>
  <si>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</si>
  <si>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</si>
  <si>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</si>
  <si>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</si>
  <si>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</si>
  <si>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</si>
  <si>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</si>
  <si>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</si>
  <si>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</si>
  <si>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</si>
  <si>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</si>
  <si>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</si>
  <si>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</si>
  <si>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</si>
  <si>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</si>
  <si>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</si>
  <si>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</si>
  <si>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</si>
  <si>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</si>
  <si>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</si>
  <si>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</si>
  <si>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</si>
  <si>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</si>
  <si>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</si>
  <si>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</si>
  <si>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</si>
  <si>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</si>
  <si>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</si>
  <si>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</si>
  <si>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</si>
  <si>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</si>
  <si>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</si>
  <si>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</si>
  <si>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</si>
  <si>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</si>
  <si>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</si>
  <si>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</si>
  <si>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</si>
  <si>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</si>
  <si>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</si>
  <si>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</si>
  <si>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</si>
  <si>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</si>
  <si>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</si>
  <si>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</si>
  <si>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</si>
  <si>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</si>
  <si>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</si>
  <si>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</si>
  <si>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</si>
  <si>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</si>
  <si>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</si>
  <si>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</si>
  <si>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</si>
  <si>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</si>
  <si>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</si>
  <si>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</si>
  <si>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</si>
  <si>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</si>
  <si>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</si>
  <si>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</si>
  <si>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</si>
  <si>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</si>
  <si>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</si>
  <si>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</si>
  <si>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</si>
  <si>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</si>
  <si>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</si>
  <si>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</si>
  <si>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</si>
  <si>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</si>
  <si>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</si>
  <si>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</si>
  <si>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</si>
  <si>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</si>
  <si>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</si>
  <si>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</si>
  <si>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</si>
  <si>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</si>
  <si>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</si>
  <si>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</si>
  <si>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</si>
  <si>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</si>
  <si>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</si>
  <si>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</si>
  <si>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</si>
  <si>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</si>
  <si>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</si>
  <si>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</si>
  <si>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</si>
  <si>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</si>
  <si>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</si>
  <si>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</si>
  <si>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</si>
  <si>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</si>
  <si>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</si>
  <si>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</si>
  <si>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</si>
  <si>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</si>
  <si>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</si>
  <si>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</si>
  <si>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</si>
  <si>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</si>
  <si>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</si>
  <si>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</si>
  <si>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</si>
  <si>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</si>
  <si>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</si>
  <si>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</si>
  <si>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</si>
  <si>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</si>
  <si>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</si>
  <si>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</si>
  <si>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</si>
  <si>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</si>
  <si>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</si>
  <si>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</si>
  <si>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</si>
  <si>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</si>
  <si>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</si>
  <si>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</si>
  <si>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</si>
  <si>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</si>
  <si>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</si>
  <si>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</si>
  <si>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</si>
  <si>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</si>
  <si>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</si>
  <si>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</si>
  <si>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</si>
  <si>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</si>
  <si>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</si>
  <si>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</si>
  <si>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</si>
  <si>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</si>
  <si>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</si>
  <si>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</si>
  <si>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</si>
  <si>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</si>
  <si>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</si>
  <si>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</si>
  <si>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</si>
  <si>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</si>
  <si>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</si>
  <si>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</si>
  <si>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</si>
  <si>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</si>
  <si>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</si>
  <si>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</si>
  <si>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</si>
  <si>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</si>
  <si>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</si>
  <si>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</si>
  <si>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</si>
  <si>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</si>
  <si>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</si>
  <si>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</si>
  <si>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</si>
  <si>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</si>
  <si>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</si>
  <si>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</si>
  <si>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</si>
  <si>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</si>
  <si>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</si>
  <si>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</si>
  <si>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</si>
  <si>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</si>
  <si>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</si>
  <si>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</si>
  <si>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</si>
  <si>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</si>
  <si>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</si>
  <si>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</si>
  <si>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</si>
  <si>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</si>
  <si>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</si>
  <si>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</si>
  <si>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</si>
  <si>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</si>
  <si>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</si>
  <si>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</si>
  <si>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</si>
  <si>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</si>
  <si>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</si>
  <si>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</si>
  <si>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</si>
  <si>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</si>
  <si>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</si>
  <si>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</si>
  <si>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</si>
  <si>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</si>
  <si>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</si>
  <si>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</si>
  <si>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</si>
  <si>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</si>
  <si>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</si>
  <si>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</si>
  <si>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</si>
  <si>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</si>
  <si>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</si>
  <si>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</si>
  <si>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</si>
  <si>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</si>
  <si>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</si>
  <si>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</si>
  <si>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</si>
  <si>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</si>
  <si>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</si>
  <si>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</si>
  <si>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</si>
  <si>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</si>
  <si>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</si>
  <si>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</si>
  <si>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</si>
  <si>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</si>
  <si>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</si>
  <si>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</si>
  <si>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</si>
  <si>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</si>
  <si>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</si>
  <si>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</si>
  <si>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</si>
  <si>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</si>
  <si>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</si>
  <si>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</si>
  <si>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</si>
  <si>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</si>
  <si>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</si>
  <si>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</si>
  <si>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</si>
  <si>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</si>
  <si>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</si>
  <si>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</si>
  <si>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</si>
  <si>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</si>
  <si>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</si>
  <si>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</si>
  <si>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</si>
  <si>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</si>
  <si>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</si>
  <si>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</si>
  <si>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</si>
  <si>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</si>
  <si>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</si>
  <si>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</si>
  <si>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</si>
  <si>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</si>
  <si>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</si>
  <si>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</si>
  <si>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</si>
  <si>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</si>
  <si>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</si>
  <si>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</si>
  <si>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</si>
  <si>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</si>
  <si>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</si>
  <si>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</si>
  <si>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</si>
  <si>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</si>
  <si>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</si>
  <si>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</si>
  <si>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</si>
  <si>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</si>
  <si>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</si>
  <si>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</si>
  <si>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</si>
  <si>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</si>
  <si>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</si>
  <si>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</si>
  <si>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</si>
  <si>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</si>
  <si>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</si>
  <si>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</si>
  <si>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</si>
  <si>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</si>
  <si>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</si>
  <si>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</si>
  <si>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</si>
  <si>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</si>
  <si>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</si>
  <si>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</si>
  <si>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</si>
  <si>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</si>
  <si>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</si>
  <si>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</si>
  <si>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</si>
  <si>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</si>
  <si>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</si>
  <si>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</si>
  <si>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</si>
  <si>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</si>
  <si>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</si>
  <si>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</si>
  <si>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</si>
  <si>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</si>
  <si>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</si>
  <si>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</si>
  <si>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</si>
  <si>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</si>
  <si>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</si>
  <si>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</si>
  <si>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</si>
  <si>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</si>
  <si>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</si>
  <si>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</si>
  <si>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</si>
  <si>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</si>
  <si>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</si>
  <si>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</si>
  <si>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</si>
  <si>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</si>
  <si>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</si>
  <si>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</si>
  <si>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</si>
  <si>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</si>
  <si>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</si>
  <si>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</si>
  <si>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</si>
  <si>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</si>
  <si>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</si>
  <si>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</si>
  <si>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</si>
  <si>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</si>
  <si>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</si>
  <si>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</si>
  <si>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</si>
  <si>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</si>
  <si>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</si>
  <si>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</si>
  <si>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</si>
  <si>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</si>
  <si>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</si>
  <si>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</si>
  <si>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</si>
  <si>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</si>
  <si>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</si>
  <si>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</si>
  <si>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</si>
  <si>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</si>
  <si>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</si>
  <si>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</si>
  <si>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</si>
  <si>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</si>
  <si>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</si>
  <si>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</si>
  <si>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</si>
  <si>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</si>
  <si>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</si>
  <si>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</si>
  <si>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</si>
  <si>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</si>
  <si>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</si>
  <si>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</si>
  <si>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</si>
  <si>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</si>
  <si>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</si>
  <si>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</si>
  <si>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</si>
  <si>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</si>
  <si>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</si>
  <si>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</si>
  <si>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</si>
  <si>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</si>
  <si>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</si>
  <si>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</si>
  <si>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</si>
  <si>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</si>
  <si>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</si>
  <si>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</si>
  <si>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</si>
  <si>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</si>
  <si>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</si>
  <si>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</si>
  <si>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</si>
  <si>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</si>
  <si>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</si>
  <si>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</si>
  <si>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</si>
  <si>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</si>
  <si>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</si>
  <si>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</si>
  <si>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</si>
  <si>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</si>
  <si>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</si>
  <si>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</si>
  <si>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</si>
  <si>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</si>
  <si>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</si>
  <si>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</si>
  <si>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</si>
  <si>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</si>
  <si>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</si>
  <si>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</si>
  <si>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</si>
  <si>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</si>
  <si>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</si>
  <si>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</si>
  <si>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</si>
  <si>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</si>
  <si>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</si>
  <si>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</si>
  <si>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</si>
  <si>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</si>
  <si>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</si>
  <si>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</si>
  <si>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</si>
  <si>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</si>
  <si>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</si>
  <si>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</si>
  <si>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</si>
  <si>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</si>
  <si>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</si>
  <si>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</si>
  <si>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</si>
  <si>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</si>
  <si>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</si>
  <si>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</si>
  <si>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</si>
  <si>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</si>
  <si>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</si>
  <si>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</si>
  <si>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</si>
  <si>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</si>
  <si>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</si>
  <si>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</si>
  <si>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</si>
  <si>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</si>
  <si>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</si>
  <si>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</si>
  <si>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</si>
  <si>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</si>
  <si>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</si>
  <si>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</si>
  <si>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</si>
  <si>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</si>
  <si>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</si>
  <si>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</si>
  <si>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</si>
  <si>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</si>
  <si>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</si>
  <si>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</si>
  <si>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</si>
  <si>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</si>
  <si>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</si>
  <si>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</si>
  <si>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</si>
  <si>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</si>
  <si>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</si>
  <si>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</si>
  <si>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</si>
  <si>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</si>
  <si>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</si>
  <si>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</si>
  <si>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</si>
  <si>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</si>
  <si>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</si>
  <si>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</si>
  <si>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</si>
  <si>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</si>
  <si>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</si>
  <si>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ADJCLOSE</t>
  </si>
  <si>
    <t>ADJHIGH</t>
  </si>
  <si>
    <t>ADJLOW</t>
  </si>
  <si>
    <t>ADJOPEN</t>
  </si>
  <si>
    <t>CLOSE</t>
  </si>
  <si>
    <t>VOLUME</t>
  </si>
  <si>
    <t>Revenue Volume MT</t>
  </si>
  <si>
    <t>Zinc</t>
  </si>
  <si>
    <t>Lead</t>
  </si>
  <si>
    <t>Silver</t>
  </si>
  <si>
    <t>Total Volume</t>
  </si>
  <si>
    <t>Realisation in INR</t>
  </si>
  <si>
    <t>DAP</t>
  </si>
  <si>
    <t>Revenue - Zinc</t>
  </si>
  <si>
    <t>Revenue - Lead</t>
  </si>
  <si>
    <t>Revenue - Silver</t>
  </si>
  <si>
    <t>Revenue - Fertilizer-DAP</t>
  </si>
  <si>
    <t>Revenue - Wind Energy</t>
  </si>
  <si>
    <t>Revenue - Other</t>
  </si>
  <si>
    <t>Total Revenue Cr</t>
  </si>
  <si>
    <t>Hindustan Zinc Ltd.</t>
  </si>
  <si>
    <t>EBIDTA per tonne</t>
  </si>
  <si>
    <t>Volume TTM</t>
  </si>
  <si>
    <t>Growth %</t>
  </si>
  <si>
    <t>Ebitda per Tonne</t>
  </si>
  <si>
    <t>Realisation Growth YOY %</t>
  </si>
  <si>
    <t>Zinc YoY %</t>
  </si>
  <si>
    <t>Lead YoY %</t>
  </si>
  <si>
    <t>Silver YoY %</t>
  </si>
  <si>
    <t>DAP YoY %</t>
  </si>
  <si>
    <t>Zinc (In MT)</t>
  </si>
  <si>
    <t>Lead (In MT)</t>
  </si>
  <si>
    <t>Silver (In MT)</t>
  </si>
  <si>
    <t>Fertilizer-DAP (In 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</si>
</sst>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5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165" fontId="20" fillId="2" borderId="0" xfId="2" applyNumberFormat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165" fontId="20" fillId="7" borderId="0" xfId="2" applyNumberFormat="1" applyFont="1" applyFill="1" applyAlignment="1">
      <alignment horizontal="center"/>
    </xf>
    <xf numFmtId="165" fontId="20" fillId="2" borderId="0" xfId="2" applyNumberFormat="1" applyFont="1" applyFill="1" applyAlignment="1">
      <alignment horizontal="left"/>
    </xf>
    <xf numFmtId="165" fontId="7" fillId="0" borderId="0" xfId="2" applyNumberFormat="1" applyFont="1" applyAlignment="1">
      <alignment horizontal="center"/>
    </xf>
    <xf numFmtId="165" fontId="20" fillId="0" borderId="0" xfId="2" applyNumberFormat="1" applyFont="1" applyFill="1" applyAlignment="1">
      <alignment horizontal="center"/>
    </xf>
    <xf numFmtId="165" fontId="18" fillId="2" borderId="0" xfId="2" applyNumberFormat="1" applyFont="1" applyFill="1" applyAlignment="1">
      <alignment horizontal="left"/>
    </xf>
    <xf numFmtId="165" fontId="18" fillId="2" borderId="0" xfId="2" applyNumberFormat="1" applyFont="1" applyFill="1" applyAlignment="1">
      <alignment horizontal="center"/>
    </xf>
    <xf numFmtId="165" fontId="18" fillId="7" borderId="0" xfId="2" applyNumberFormat="1" applyFont="1" applyFill="1" applyAlignment="1">
      <alignment horizontal="center"/>
    </xf>
    <xf numFmtId="165" fontId="4" fillId="0" borderId="0" xfId="2" applyNumberFormat="1" applyFont="1" applyAlignment="1">
      <alignment horizontal="center"/>
    </xf>
    <xf numFmtId="165" fontId="18" fillId="0" borderId="0" xfId="2" applyNumberFormat="1" applyFont="1" applyFill="1" applyAlignment="1">
      <alignment horizontal="center"/>
    </xf>
    <xf numFmtId="9" fontId="20" fillId="2" borderId="0" xfId="1" applyFont="1" applyFill="1" applyAlignment="1">
      <alignment horizontal="left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9" fontId="20" fillId="0" borderId="0" xfId="1" applyFont="1" applyFill="1" applyAlignment="1">
      <alignment horizontal="right"/>
    </xf>
    <xf numFmtId="9" fontId="4" fillId="3" borderId="0" xfId="1" applyFont="1" applyFill="1"/>
    <xf numFmtId="9" fontId="5" fillId="3" borderId="0" xfId="1" applyFont="1" applyFill="1"/>
    <xf numFmtId="9" fontId="5" fillId="7" borderId="0" xfId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87"/>
  <sheetViews>
    <sheetView tabSelected="1" zoomScale="109" zoomScaleNormal="100" workbookViewId="0">
      <pane xSplit="1" ySplit="1" topLeftCell="CD88" activePane="bottomRight" state="frozen"/>
      <selection pane="topRight" activeCell="B1" sqref="B1"/>
      <selection pane="bottomLeft" activeCell="A2" sqref="A2"/>
      <selection pane="bottomRight" activeCell="CK141" sqref="CK141"/>
    </sheetView>
  </sheetViews>
  <sheetFormatPr defaultColWidth="11.140625" defaultRowHeight="12" outlineLevelRow="1" x14ac:dyDescent="0.2"/>
  <cols>
    <col min="1" max="1" width="35.85546875" style="2" customWidth="1"/>
    <col min="2" max="16" width="11.140625" style="2"/>
    <col min="17" max="17" width="11.28515625" style="2" bestFit="1" customWidth="1"/>
    <col min="18" max="25" width="11.85546875" style="2" bestFit="1" customWidth="1"/>
    <col min="26" max="26" width="12.7109375" style="2" bestFit="1" customWidth="1"/>
    <col min="27" max="31" width="12.7109375" style="19" bestFit="1" customWidth="1"/>
    <col min="32" max="50" width="11.140625" style="2"/>
    <col min="51" max="87" width="12.85546875" style="2" bestFit="1" customWidth="1"/>
    <col min="88" max="89" width="13.85546875" style="2" bestFit="1" customWidth="1"/>
    <col min="90" max="106" width="12.7109375" style="24" bestFit="1" customWidth="1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Hindustan Zinc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204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1" t="s">
        <v>522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90" customFormat="1" x14ac:dyDescent="0.2">
      <c r="A5" s="189" t="s">
        <v>546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>
        <f t="shared" ref="R5:R8" si="33">+SUM(AY5:BB5)</f>
        <v>696000</v>
      </c>
      <c r="S5" s="186">
        <f t="shared" ref="S5:S8" si="34">+SUM(BC5:BF5)</f>
        <v>793000</v>
      </c>
      <c r="T5" s="186">
        <f t="shared" ref="T5:T8" si="35">+SUM(BG5:BJ5)</f>
        <v>694000</v>
      </c>
      <c r="U5" s="186">
        <f t="shared" ref="U5:U8" si="36">+SUM(BK5:BN5)</f>
        <v>680400</v>
      </c>
      <c r="V5" s="186">
        <f t="shared" ref="V5:V8" si="37">+SUM(BO5:BR5)</f>
        <v>724000</v>
      </c>
      <c r="W5" s="186">
        <f t="shared" ref="W5:W8" si="38">+SUM(BS5:BV5)</f>
        <v>777000</v>
      </c>
      <c r="X5" s="186">
        <f t="shared" ref="X5:X8" si="39">+SUM(BW5:BZ5)</f>
        <v>821000</v>
      </c>
      <c r="Y5" s="186">
        <f t="shared" ref="Y5:Y8" si="40">+SUM(CA5:CD5)</f>
        <v>817000</v>
      </c>
      <c r="Z5" s="186">
        <f t="shared" ref="Z5:Z8" si="41">+SUM(CE5:CH5)</f>
        <v>827000</v>
      </c>
      <c r="AA5" s="188">
        <f t="shared" ref="AA5:AA8" si="42">+SUM(CI5:CL5)</f>
        <v>851000</v>
      </c>
      <c r="AB5" s="188">
        <f t="shared" ref="AB5:AB8" si="43">+SUM(CM5:CP5)</f>
        <v>885525.86727000005</v>
      </c>
      <c r="AC5" s="188">
        <f t="shared" ref="AC5:AC8" si="44">+SUM(CQ5:CT5)</f>
        <v>870042.80360018439</v>
      </c>
      <c r="AD5" s="188">
        <f t="shared" ref="AD5:AD8" si="45">+SUM(CU5:CX5)</f>
        <v>868737.52221073001</v>
      </c>
      <c r="AE5" s="188">
        <f t="shared" ref="AE5:AE8" si="46">+SUM(CY5:DB5)</f>
        <v>868737.52221073001</v>
      </c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>
        <v>120000</v>
      </c>
      <c r="AZ5" s="186">
        <v>148000</v>
      </c>
      <c r="BA5" s="186">
        <v>211000</v>
      </c>
      <c r="BB5" s="186">
        <v>217000</v>
      </c>
      <c r="BC5" s="186">
        <v>190000</v>
      </c>
      <c r="BD5" s="186">
        <v>193000</v>
      </c>
      <c r="BE5" s="186">
        <v>200000</v>
      </c>
      <c r="BF5" s="186">
        <v>210000</v>
      </c>
      <c r="BG5" s="186">
        <v>170000</v>
      </c>
      <c r="BH5" s="186">
        <v>160000</v>
      </c>
      <c r="BI5" s="186">
        <v>187000</v>
      </c>
      <c r="BJ5" s="186">
        <v>177000</v>
      </c>
      <c r="BK5" s="186">
        <v>167500</v>
      </c>
      <c r="BL5" s="186">
        <v>167900</v>
      </c>
      <c r="BM5" s="186">
        <v>172000</v>
      </c>
      <c r="BN5" s="186">
        <v>173000</v>
      </c>
      <c r="BO5" s="186">
        <v>163000</v>
      </c>
      <c r="BP5" s="186">
        <v>181000</v>
      </c>
      <c r="BQ5" s="186">
        <v>182000</v>
      </c>
      <c r="BR5" s="186">
        <v>198000</v>
      </c>
      <c r="BS5" s="186">
        <v>187000</v>
      </c>
      <c r="BT5" s="186">
        <v>164000</v>
      </c>
      <c r="BU5" s="186">
        <v>212000</v>
      </c>
      <c r="BV5" s="186">
        <v>214000</v>
      </c>
      <c r="BW5" s="186">
        <v>206000</v>
      </c>
      <c r="BX5" s="186">
        <v>189000</v>
      </c>
      <c r="BY5" s="186">
        <v>210000</v>
      </c>
      <c r="BZ5" s="186">
        <v>216000</v>
      </c>
      <c r="CA5" s="186">
        <v>208000</v>
      </c>
      <c r="CB5" s="186">
        <v>185000</v>
      </c>
      <c r="CC5" s="186">
        <v>203000</v>
      </c>
      <c r="CD5" s="186">
        <v>221000</v>
      </c>
      <c r="CE5" s="186">
        <v>211000</v>
      </c>
      <c r="CF5" s="186">
        <v>198000</v>
      </c>
      <c r="CG5" s="186">
        <v>204000</v>
      </c>
      <c r="CH5" s="186">
        <v>214000</v>
      </c>
      <c r="CI5" s="186">
        <v>201000</v>
      </c>
      <c r="CJ5" s="186">
        <v>202000</v>
      </c>
      <c r="CK5" s="186">
        <v>221000</v>
      </c>
      <c r="CL5" s="186">
        <v>227000</v>
      </c>
      <c r="CM5" s="188">
        <f>+CL5*0.99</f>
        <v>224730</v>
      </c>
      <c r="CN5" s="188">
        <f t="shared" ref="CN5:CP5" si="47">+CM5*0.99</f>
        <v>222482.7</v>
      </c>
      <c r="CO5" s="188">
        <f t="shared" si="47"/>
        <v>220257.87300000002</v>
      </c>
      <c r="CP5" s="188">
        <f t="shared" si="47"/>
        <v>218055.29427000001</v>
      </c>
      <c r="CQ5" s="188">
        <f>+CP5*0.999</f>
        <v>217837.23897573003</v>
      </c>
      <c r="CR5" s="188">
        <f t="shared" ref="CR5:CT5" si="48">+CQ5*0.999</f>
        <v>217619.40173675428</v>
      </c>
      <c r="CS5" s="188">
        <f t="shared" si="48"/>
        <v>217401.78233501752</v>
      </c>
      <c r="CT5" s="188">
        <f t="shared" si="48"/>
        <v>217184.3805526825</v>
      </c>
      <c r="CU5" s="188">
        <f t="shared" ref="CU5:DB5" si="49">+CT5*1</f>
        <v>217184.3805526825</v>
      </c>
      <c r="CV5" s="188">
        <f t="shared" si="49"/>
        <v>217184.3805526825</v>
      </c>
      <c r="CW5" s="188">
        <f t="shared" si="49"/>
        <v>217184.3805526825</v>
      </c>
      <c r="CX5" s="188">
        <f t="shared" si="49"/>
        <v>217184.3805526825</v>
      </c>
      <c r="CY5" s="188">
        <f t="shared" si="49"/>
        <v>217184.3805526825</v>
      </c>
      <c r="CZ5" s="188">
        <f t="shared" si="49"/>
        <v>217184.3805526825</v>
      </c>
      <c r="DA5" s="188">
        <f t="shared" si="49"/>
        <v>217184.3805526825</v>
      </c>
      <c r="DB5" s="188">
        <f t="shared" si="49"/>
        <v>217184.3805526825</v>
      </c>
      <c r="DE5" s="191"/>
    </row>
    <row r="6" spans="1:110" s="190" customFormat="1" x14ac:dyDescent="0.2">
      <c r="A6" s="189" t="s">
        <v>547</v>
      </c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>
        <f t="shared" si="33"/>
        <v>138000</v>
      </c>
      <c r="S6" s="186">
        <f t="shared" si="34"/>
        <v>169000</v>
      </c>
      <c r="T6" s="186">
        <f t="shared" si="35"/>
        <v>197000</v>
      </c>
      <c r="U6" s="186">
        <f t="shared" si="36"/>
        <v>181400</v>
      </c>
      <c r="V6" s="186">
        <f t="shared" si="37"/>
        <v>217000</v>
      </c>
      <c r="W6" s="186">
        <f t="shared" si="38"/>
        <v>192000</v>
      </c>
      <c r="X6" s="186">
        <f t="shared" si="39"/>
        <v>211000</v>
      </c>
      <c r="Y6" s="186">
        <f t="shared" si="40"/>
        <v>216000</v>
      </c>
      <c r="Z6" s="186">
        <f t="shared" si="41"/>
        <v>225000</v>
      </c>
      <c r="AA6" s="188">
        <f t="shared" si="42"/>
        <v>197000</v>
      </c>
      <c r="AB6" s="188">
        <f t="shared" si="43"/>
        <v>214554.72555</v>
      </c>
      <c r="AC6" s="188">
        <f t="shared" si="44"/>
        <v>222111.13119666689</v>
      </c>
      <c r="AD6" s="188">
        <f t="shared" si="45"/>
        <v>228751.60307816998</v>
      </c>
      <c r="AE6" s="188">
        <f t="shared" si="46"/>
        <v>228751.60307816998</v>
      </c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>
        <v>23000</v>
      </c>
      <c r="AZ6" s="186">
        <v>32000</v>
      </c>
      <c r="BA6" s="186">
        <v>36000</v>
      </c>
      <c r="BB6" s="186">
        <v>47000</v>
      </c>
      <c r="BC6" s="186">
        <v>34000</v>
      </c>
      <c r="BD6" s="186">
        <v>40000</v>
      </c>
      <c r="BE6" s="186">
        <v>45000</v>
      </c>
      <c r="BF6" s="186">
        <v>50000</v>
      </c>
      <c r="BG6" s="186">
        <v>42000</v>
      </c>
      <c r="BH6" s="186">
        <v>49000</v>
      </c>
      <c r="BI6" s="186">
        <v>54000</v>
      </c>
      <c r="BJ6" s="186">
        <v>52000</v>
      </c>
      <c r="BK6" s="186">
        <v>47500</v>
      </c>
      <c r="BL6" s="186">
        <v>43900</v>
      </c>
      <c r="BM6" s="186">
        <v>42000</v>
      </c>
      <c r="BN6" s="186">
        <v>48000</v>
      </c>
      <c r="BO6" s="186">
        <v>45000</v>
      </c>
      <c r="BP6" s="186">
        <v>57000</v>
      </c>
      <c r="BQ6" s="186">
        <v>53000</v>
      </c>
      <c r="BR6" s="186">
        <v>62000</v>
      </c>
      <c r="BS6" s="186">
        <v>49000</v>
      </c>
      <c r="BT6" s="186">
        <v>47000</v>
      </c>
      <c r="BU6" s="186">
        <v>47000</v>
      </c>
      <c r="BV6" s="186">
        <v>49000</v>
      </c>
      <c r="BW6" s="186">
        <v>54000</v>
      </c>
      <c r="BX6" s="186">
        <v>57000</v>
      </c>
      <c r="BY6" s="186">
        <v>46000</v>
      </c>
      <c r="BZ6" s="186">
        <v>54000</v>
      </c>
      <c r="CA6" s="186">
        <v>50000</v>
      </c>
      <c r="CB6" s="186">
        <v>57000</v>
      </c>
      <c r="CC6" s="186">
        <v>56000</v>
      </c>
      <c r="CD6" s="186">
        <v>53000</v>
      </c>
      <c r="CE6" s="186">
        <v>51000</v>
      </c>
      <c r="CF6" s="186">
        <v>63000</v>
      </c>
      <c r="CG6" s="186">
        <v>55000</v>
      </c>
      <c r="CH6" s="186">
        <v>56000</v>
      </c>
      <c r="CI6" s="186">
        <v>48000</v>
      </c>
      <c r="CJ6" s="186">
        <v>45000</v>
      </c>
      <c r="CK6" s="186">
        <v>49000</v>
      </c>
      <c r="CL6" s="186">
        <v>55000</v>
      </c>
      <c r="CM6" s="188">
        <f>+CL6*0.99</f>
        <v>54450</v>
      </c>
      <c r="CN6" s="188">
        <f t="shared" ref="CN6:CP6" si="50">+CM6*0.99</f>
        <v>53905.5</v>
      </c>
      <c r="CO6" s="188">
        <f t="shared" si="50"/>
        <v>53366.445</v>
      </c>
      <c r="CP6" s="188">
        <f t="shared" si="50"/>
        <v>52832.780549999996</v>
      </c>
      <c r="CQ6" s="188">
        <f>+CP6*1.02</f>
        <v>53889.436160999998</v>
      </c>
      <c r="CR6" s="188">
        <f t="shared" ref="CR6:CT6" si="51">+CQ6*1.02</f>
        <v>54967.224884219999</v>
      </c>
      <c r="CS6" s="188">
        <f t="shared" si="51"/>
        <v>56066.569381904403</v>
      </c>
      <c r="CT6" s="188">
        <f t="shared" si="51"/>
        <v>57187.900769542495</v>
      </c>
      <c r="CU6" s="188">
        <f t="shared" ref="CU6:DB6" si="52">+CT6*1</f>
        <v>57187.900769542495</v>
      </c>
      <c r="CV6" s="188">
        <f t="shared" si="52"/>
        <v>57187.900769542495</v>
      </c>
      <c r="CW6" s="188">
        <f t="shared" si="52"/>
        <v>57187.900769542495</v>
      </c>
      <c r="CX6" s="188">
        <f t="shared" si="52"/>
        <v>57187.900769542495</v>
      </c>
      <c r="CY6" s="188">
        <f t="shared" si="52"/>
        <v>57187.900769542495</v>
      </c>
      <c r="CZ6" s="188">
        <f t="shared" si="52"/>
        <v>57187.900769542495</v>
      </c>
      <c r="DA6" s="188">
        <f t="shared" si="52"/>
        <v>57187.900769542495</v>
      </c>
      <c r="DB6" s="188">
        <f t="shared" si="52"/>
        <v>57187.900769542495</v>
      </c>
      <c r="DE6" s="191"/>
    </row>
    <row r="7" spans="1:110" s="190" customFormat="1" x14ac:dyDescent="0.2">
      <c r="A7" s="189" t="s">
        <v>548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>
        <f t="shared" si="33"/>
        <v>447</v>
      </c>
      <c r="S7" s="186">
        <f t="shared" si="34"/>
        <v>555</v>
      </c>
      <c r="T7" s="186">
        <f t="shared" si="35"/>
        <v>679</v>
      </c>
      <c r="U7" s="186">
        <f t="shared" si="36"/>
        <v>586.70000000000005</v>
      </c>
      <c r="V7" s="186">
        <f t="shared" si="37"/>
        <v>735</v>
      </c>
      <c r="W7" s="186">
        <f t="shared" si="38"/>
        <v>657.4</v>
      </c>
      <c r="X7" s="186">
        <f t="shared" si="39"/>
        <v>714</v>
      </c>
      <c r="Y7" s="186">
        <f t="shared" si="40"/>
        <v>746</v>
      </c>
      <c r="Z7" s="186">
        <f t="shared" si="41"/>
        <v>688</v>
      </c>
      <c r="AA7" s="188">
        <f t="shared" si="42"/>
        <v>623</v>
      </c>
      <c r="AB7" s="188">
        <f t="shared" si="43"/>
        <v>704</v>
      </c>
      <c r="AC7" s="188">
        <f t="shared" si="44"/>
        <v>721.77688176000004</v>
      </c>
      <c r="AD7" s="188">
        <f t="shared" si="45"/>
        <v>732.58522303999996</v>
      </c>
      <c r="AE7" s="188">
        <f t="shared" si="46"/>
        <v>732.58522303999996</v>
      </c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>
        <v>88</v>
      </c>
      <c r="AZ7" s="186">
        <v>107</v>
      </c>
      <c r="BA7" s="186">
        <v>117</v>
      </c>
      <c r="BB7" s="186">
        <v>135</v>
      </c>
      <c r="BC7" s="186">
        <v>110</v>
      </c>
      <c r="BD7" s="186">
        <v>146</v>
      </c>
      <c r="BE7" s="186">
        <v>132</v>
      </c>
      <c r="BF7" s="186">
        <v>167</v>
      </c>
      <c r="BG7" s="186">
        <v>141</v>
      </c>
      <c r="BH7" s="186">
        <v>161</v>
      </c>
      <c r="BI7" s="186">
        <v>178</v>
      </c>
      <c r="BJ7" s="186">
        <v>199</v>
      </c>
      <c r="BK7" s="186">
        <v>155</v>
      </c>
      <c r="BL7" s="186">
        <v>134.69999999999999</v>
      </c>
      <c r="BM7" s="186">
        <v>153</v>
      </c>
      <c r="BN7" s="186">
        <v>144</v>
      </c>
      <c r="BO7" s="186">
        <v>146</v>
      </c>
      <c r="BP7" s="186">
        <v>203</v>
      </c>
      <c r="BQ7" s="186">
        <v>183</v>
      </c>
      <c r="BR7" s="186">
        <v>203</v>
      </c>
      <c r="BS7" s="186">
        <v>160</v>
      </c>
      <c r="BT7" s="186">
        <v>152</v>
      </c>
      <c r="BU7" s="186">
        <v>173</v>
      </c>
      <c r="BV7" s="186">
        <v>172.4</v>
      </c>
      <c r="BW7" s="186">
        <v>177</v>
      </c>
      <c r="BX7" s="186">
        <v>194</v>
      </c>
      <c r="BY7" s="186">
        <v>161</v>
      </c>
      <c r="BZ7" s="186">
        <v>182</v>
      </c>
      <c r="CA7" s="186">
        <v>179</v>
      </c>
      <c r="CB7" s="186">
        <v>181</v>
      </c>
      <c r="CC7" s="186">
        <v>197</v>
      </c>
      <c r="CD7" s="186">
        <v>189</v>
      </c>
      <c r="CE7" s="186">
        <v>167</v>
      </c>
      <c r="CF7" s="186">
        <v>184</v>
      </c>
      <c r="CG7" s="186">
        <v>160</v>
      </c>
      <c r="CH7" s="186">
        <v>177</v>
      </c>
      <c r="CI7" s="186">
        <v>145</v>
      </c>
      <c r="CJ7" s="186">
        <v>144</v>
      </c>
      <c r="CK7" s="186">
        <v>158</v>
      </c>
      <c r="CL7" s="186">
        <v>176</v>
      </c>
      <c r="CM7" s="188">
        <f t="shared" ref="CM7:DB7" si="53">+CL7*1</f>
        <v>176</v>
      </c>
      <c r="CN7" s="188">
        <f t="shared" si="53"/>
        <v>176</v>
      </c>
      <c r="CO7" s="188">
        <f t="shared" si="53"/>
        <v>176</v>
      </c>
      <c r="CP7" s="188">
        <f t="shared" si="53"/>
        <v>176</v>
      </c>
      <c r="CQ7" s="188">
        <f>+CP7*1.01</f>
        <v>177.76</v>
      </c>
      <c r="CR7" s="188">
        <f t="shared" ref="CR7:CT7" si="54">+CQ7*1.01</f>
        <v>179.5376</v>
      </c>
      <c r="CS7" s="188">
        <f t="shared" si="54"/>
        <v>181.332976</v>
      </c>
      <c r="CT7" s="188">
        <f t="shared" si="54"/>
        <v>183.14630575999999</v>
      </c>
      <c r="CU7" s="188">
        <f t="shared" si="53"/>
        <v>183.14630575999999</v>
      </c>
      <c r="CV7" s="188">
        <f t="shared" si="53"/>
        <v>183.14630575999999</v>
      </c>
      <c r="CW7" s="188">
        <f t="shared" si="53"/>
        <v>183.14630575999999</v>
      </c>
      <c r="CX7" s="188">
        <f t="shared" si="53"/>
        <v>183.14630575999999</v>
      </c>
      <c r="CY7" s="188">
        <f t="shared" si="53"/>
        <v>183.14630575999999</v>
      </c>
      <c r="CZ7" s="188">
        <f t="shared" si="53"/>
        <v>183.14630575999999</v>
      </c>
      <c r="DA7" s="188">
        <f t="shared" si="53"/>
        <v>183.14630575999999</v>
      </c>
      <c r="DB7" s="188">
        <f t="shared" si="53"/>
        <v>183.14630575999999</v>
      </c>
      <c r="DE7" s="191"/>
    </row>
    <row r="8" spans="1:110" s="190" customFormat="1" x14ac:dyDescent="0.2">
      <c r="A8" s="189" t="s">
        <v>549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>
        <f t="shared" si="33"/>
        <v>0</v>
      </c>
      <c r="S8" s="186">
        <f t="shared" si="34"/>
        <v>0</v>
      </c>
      <c r="T8" s="186">
        <f t="shared" si="35"/>
        <v>0</v>
      </c>
      <c r="U8" s="186">
        <f t="shared" si="36"/>
        <v>0</v>
      </c>
      <c r="V8" s="186">
        <f t="shared" si="37"/>
        <v>0</v>
      </c>
      <c r="W8" s="186">
        <f t="shared" si="38"/>
        <v>0</v>
      </c>
      <c r="X8" s="186">
        <f t="shared" si="39"/>
        <v>0</v>
      </c>
      <c r="Y8" s="186">
        <f t="shared" si="40"/>
        <v>0</v>
      </c>
      <c r="Z8" s="186">
        <f t="shared" si="41"/>
        <v>0</v>
      </c>
      <c r="AA8" s="188">
        <f t="shared" si="42"/>
        <v>0</v>
      </c>
      <c r="AB8" s="188">
        <f t="shared" si="43"/>
        <v>0</v>
      </c>
      <c r="AC8" s="188">
        <f t="shared" si="44"/>
        <v>0</v>
      </c>
      <c r="AD8" s="188">
        <f t="shared" si="45"/>
        <v>0</v>
      </c>
      <c r="AE8" s="188">
        <f t="shared" si="46"/>
        <v>0</v>
      </c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8"/>
      <c r="CN8" s="188"/>
      <c r="CO8" s="188"/>
      <c r="CP8" s="188"/>
      <c r="CQ8" s="188"/>
      <c r="CR8" s="188"/>
      <c r="CS8" s="188"/>
      <c r="CT8" s="188"/>
      <c r="CU8" s="188"/>
      <c r="CV8" s="188"/>
      <c r="CW8" s="188"/>
      <c r="CX8" s="188"/>
      <c r="CY8" s="188"/>
      <c r="CZ8" s="188"/>
      <c r="DA8" s="188"/>
      <c r="DB8" s="188"/>
      <c r="DE8" s="191"/>
    </row>
    <row r="9" spans="1:110" s="195" customFormat="1" x14ac:dyDescent="0.2">
      <c r="A9" s="192" t="s">
        <v>526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>
        <f t="shared" ref="R9:AE9" si="55">+SUM(R5:R8)</f>
        <v>834447</v>
      </c>
      <c r="S9" s="193">
        <f t="shared" si="55"/>
        <v>962555</v>
      </c>
      <c r="T9" s="193">
        <f t="shared" si="55"/>
        <v>891679</v>
      </c>
      <c r="U9" s="193">
        <f t="shared" si="55"/>
        <v>862386.7</v>
      </c>
      <c r="V9" s="193">
        <f t="shared" si="55"/>
        <v>941735</v>
      </c>
      <c r="W9" s="193">
        <f t="shared" si="55"/>
        <v>969657.4</v>
      </c>
      <c r="X9" s="193">
        <f t="shared" si="55"/>
        <v>1032714</v>
      </c>
      <c r="Y9" s="193">
        <f t="shared" si="55"/>
        <v>1033746</v>
      </c>
      <c r="Z9" s="193">
        <f t="shared" si="55"/>
        <v>1052688</v>
      </c>
      <c r="AA9" s="194">
        <f t="shared" si="55"/>
        <v>1048623</v>
      </c>
      <c r="AB9" s="194">
        <f t="shared" si="55"/>
        <v>1100784.5928200001</v>
      </c>
      <c r="AC9" s="194">
        <f t="shared" si="55"/>
        <v>1092875.7116786113</v>
      </c>
      <c r="AD9" s="194">
        <f t="shared" si="55"/>
        <v>1098221.7105119401</v>
      </c>
      <c r="AE9" s="194">
        <f t="shared" si="55"/>
        <v>1098221.7105119401</v>
      </c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>
        <f>+SUM(AY5:AY8)</f>
        <v>143088</v>
      </c>
      <c r="AZ9" s="193">
        <f t="shared" ref="AZ9:CK9" si="56">+SUM(AZ5:AZ8)</f>
        <v>180107</v>
      </c>
      <c r="BA9" s="193">
        <f t="shared" si="56"/>
        <v>247117</v>
      </c>
      <c r="BB9" s="193">
        <f t="shared" si="56"/>
        <v>264135</v>
      </c>
      <c r="BC9" s="193">
        <f t="shared" si="56"/>
        <v>224110</v>
      </c>
      <c r="BD9" s="193">
        <f t="shared" si="56"/>
        <v>233146</v>
      </c>
      <c r="BE9" s="193">
        <f t="shared" si="56"/>
        <v>245132</v>
      </c>
      <c r="BF9" s="193">
        <f t="shared" si="56"/>
        <v>260167</v>
      </c>
      <c r="BG9" s="193">
        <f t="shared" si="56"/>
        <v>212141</v>
      </c>
      <c r="BH9" s="193">
        <f t="shared" si="56"/>
        <v>209161</v>
      </c>
      <c r="BI9" s="193">
        <f t="shared" si="56"/>
        <v>241178</v>
      </c>
      <c r="BJ9" s="193">
        <f t="shared" si="56"/>
        <v>229199</v>
      </c>
      <c r="BK9" s="193">
        <f t="shared" si="56"/>
        <v>215155</v>
      </c>
      <c r="BL9" s="193">
        <f t="shared" si="56"/>
        <v>211934.7</v>
      </c>
      <c r="BM9" s="193">
        <f t="shared" si="56"/>
        <v>214153</v>
      </c>
      <c r="BN9" s="193">
        <f t="shared" si="56"/>
        <v>221144</v>
      </c>
      <c r="BO9" s="193">
        <f t="shared" si="56"/>
        <v>208146</v>
      </c>
      <c r="BP9" s="193">
        <f t="shared" si="56"/>
        <v>238203</v>
      </c>
      <c r="BQ9" s="193">
        <f t="shared" si="56"/>
        <v>235183</v>
      </c>
      <c r="BR9" s="193">
        <f t="shared" si="56"/>
        <v>260203</v>
      </c>
      <c r="BS9" s="193">
        <f t="shared" si="56"/>
        <v>236160</v>
      </c>
      <c r="BT9" s="193">
        <f t="shared" si="56"/>
        <v>211152</v>
      </c>
      <c r="BU9" s="193">
        <f t="shared" si="56"/>
        <v>259173</v>
      </c>
      <c r="BV9" s="193">
        <f t="shared" si="56"/>
        <v>263172.40000000002</v>
      </c>
      <c r="BW9" s="193">
        <f t="shared" si="56"/>
        <v>260177</v>
      </c>
      <c r="BX9" s="193">
        <f t="shared" si="56"/>
        <v>246194</v>
      </c>
      <c r="BY9" s="193">
        <f t="shared" si="56"/>
        <v>256161</v>
      </c>
      <c r="BZ9" s="193">
        <f t="shared" si="56"/>
        <v>270182</v>
      </c>
      <c r="CA9" s="193">
        <f t="shared" si="56"/>
        <v>258179</v>
      </c>
      <c r="CB9" s="193">
        <f t="shared" si="56"/>
        <v>242181</v>
      </c>
      <c r="CC9" s="193">
        <f t="shared" si="56"/>
        <v>259197</v>
      </c>
      <c r="CD9" s="193">
        <f t="shared" si="56"/>
        <v>274189</v>
      </c>
      <c r="CE9" s="193">
        <f t="shared" si="56"/>
        <v>262167</v>
      </c>
      <c r="CF9" s="193">
        <f t="shared" si="56"/>
        <v>261184</v>
      </c>
      <c r="CG9" s="193">
        <f t="shared" si="56"/>
        <v>259160</v>
      </c>
      <c r="CH9" s="193">
        <f t="shared" si="56"/>
        <v>270177</v>
      </c>
      <c r="CI9" s="193">
        <f t="shared" si="56"/>
        <v>249145</v>
      </c>
      <c r="CJ9" s="193">
        <f t="shared" si="56"/>
        <v>247144</v>
      </c>
      <c r="CK9" s="193">
        <f t="shared" si="56"/>
        <v>270158</v>
      </c>
      <c r="CL9" s="193">
        <f t="shared" ref="CL9" si="57">+SUM(CL5:CL8)</f>
        <v>282176</v>
      </c>
      <c r="CM9" s="194">
        <f t="shared" ref="CM9" si="58">+SUM(CM5:CM8)</f>
        <v>279356</v>
      </c>
      <c r="CN9" s="194">
        <f t="shared" ref="CN9" si="59">+SUM(CN5:CN8)</f>
        <v>276564.2</v>
      </c>
      <c r="CO9" s="194">
        <f t="shared" ref="CO9" si="60">+SUM(CO5:CO8)</f>
        <v>273800.31800000003</v>
      </c>
      <c r="CP9" s="194">
        <f t="shared" ref="CP9" si="61">+SUM(CP5:CP8)</f>
        <v>271064.07481999998</v>
      </c>
      <c r="CQ9" s="194">
        <f t="shared" ref="CQ9" si="62">+SUM(CQ5:CQ8)</f>
        <v>271904.43513673003</v>
      </c>
      <c r="CR9" s="194">
        <f t="shared" ref="CR9" si="63">+SUM(CR5:CR8)</f>
        <v>272766.16422097426</v>
      </c>
      <c r="CS9" s="194">
        <f t="shared" ref="CS9" si="64">+SUM(CS5:CS8)</f>
        <v>273649.68469292187</v>
      </c>
      <c r="CT9" s="194">
        <f t="shared" ref="CT9" si="65">+SUM(CT5:CT8)</f>
        <v>274555.42762798502</v>
      </c>
      <c r="CU9" s="194">
        <f t="shared" ref="CU9" si="66">+SUM(CU5:CU8)</f>
        <v>274555.42762798502</v>
      </c>
      <c r="CV9" s="194">
        <f t="shared" ref="CV9" si="67">+SUM(CV5:CV8)</f>
        <v>274555.42762798502</v>
      </c>
      <c r="CW9" s="194">
        <f t="shared" ref="CW9" si="68">+SUM(CW5:CW8)</f>
        <v>274555.42762798502</v>
      </c>
      <c r="CX9" s="194">
        <f t="shared" ref="CX9" si="69">+SUM(CX5:CX8)</f>
        <v>274555.42762798502</v>
      </c>
      <c r="CY9" s="194">
        <f t="shared" ref="CY9" si="70">+SUM(CY5:CY8)</f>
        <v>274555.42762798502</v>
      </c>
      <c r="CZ9" s="194">
        <f t="shared" ref="CZ9" si="71">+SUM(CZ5:CZ8)</f>
        <v>274555.42762798502</v>
      </c>
      <c r="DA9" s="194">
        <f t="shared" ref="DA9" si="72">+SUM(DA5:DA8)</f>
        <v>274555.42762798502</v>
      </c>
      <c r="DB9" s="194">
        <f t="shared" ref="DB9" si="73">+SUM(DB5:DB8)</f>
        <v>274555.42762798502</v>
      </c>
      <c r="DE9" s="196"/>
    </row>
    <row r="10" spans="1:110" s="158" customFormat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  <c r="DF10" s="157"/>
    </row>
    <row r="11" spans="1:110" s="158" customFormat="1" x14ac:dyDescent="0.2">
      <c r="A11" s="155" t="s">
        <v>529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>
        <f t="shared" ref="R11:R16" si="74">+SUM(AY11:BB11)</f>
        <v>13303</v>
      </c>
      <c r="S11" s="156">
        <f t="shared" ref="S11:S16" si="75">+SUM(BC11:BF11)</f>
        <v>16679</v>
      </c>
      <c r="T11" s="156">
        <f t="shared" ref="T11:T16" si="76">+SUM(BG11:BJ11)</f>
        <v>14475</v>
      </c>
      <c r="U11" s="156">
        <f t="shared" ref="U11:U16" si="77">+SUM(BK11:BN11)</f>
        <v>12646</v>
      </c>
      <c r="V11" s="156">
        <f t="shared" ref="V11:V16" si="78">+SUM(BO11:BR11)</f>
        <v>13961</v>
      </c>
      <c r="W11" s="156">
        <f t="shared" ref="W11:W16" si="79">+SUM(BS11:BV11)</f>
        <v>20298</v>
      </c>
      <c r="X11" s="156">
        <f t="shared" ref="X11:X16" si="80">+SUM(BW11:BZ11)</f>
        <v>24181</v>
      </c>
      <c r="Y11" s="156">
        <f t="shared" ref="Y11:Y16" si="81">+SUM(CA11:CD11)</f>
        <v>18061</v>
      </c>
      <c r="Z11" s="156">
        <f t="shared" ref="Z11:Z16" si="82">+SUM(CE11:CH11)</f>
        <v>21887</v>
      </c>
      <c r="AA11" s="157">
        <f t="shared" ref="AA11:AA16" si="83">+SUM(CI11:CL11)</f>
        <v>23771</v>
      </c>
      <c r="AB11" s="157">
        <f t="shared" ref="AB11:AB16" si="84">+SUM(CM11:CP11)</f>
        <v>25828.982512457878</v>
      </c>
      <c r="AC11" s="157">
        <f t="shared" ref="AC11:AC16" si="85">+SUM(CQ11:CT11)</f>
        <v>24637.762592523402</v>
      </c>
      <c r="AD11" s="157">
        <f t="shared" ref="AD11:AD16" si="86">+SUM(CU11:CX11)</f>
        <v>23865.1000814127</v>
      </c>
      <c r="AE11" s="157">
        <f t="shared" ref="AE11:AE16" si="87">+SUM(CY11:DB11)</f>
        <v>23149.147078970316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>
        <v>1726</v>
      </c>
      <c r="AZ11" s="156">
        <v>2697</v>
      </c>
      <c r="BA11" s="156">
        <v>4120</v>
      </c>
      <c r="BB11" s="156">
        <v>4760</v>
      </c>
      <c r="BC11" s="156">
        <v>3779</v>
      </c>
      <c r="BD11" s="156">
        <v>3903</v>
      </c>
      <c r="BE11" s="156">
        <v>4433</v>
      </c>
      <c r="BF11" s="156">
        <v>4564</v>
      </c>
      <c r="BG11" s="156">
        <v>3814</v>
      </c>
      <c r="BH11" s="156">
        <v>3131</v>
      </c>
      <c r="BI11" s="156">
        <v>3841</v>
      </c>
      <c r="BJ11" s="156">
        <v>3689</v>
      </c>
      <c r="BK11" s="156">
        <v>3510</v>
      </c>
      <c r="BL11" s="156">
        <v>3051</v>
      </c>
      <c r="BM11" s="156">
        <v>3165</v>
      </c>
      <c r="BN11" s="156">
        <v>2920</v>
      </c>
      <c r="BO11" s="156">
        <v>2562</v>
      </c>
      <c r="BP11" s="156">
        <v>3323</v>
      </c>
      <c r="BQ11" s="156">
        <v>3835</v>
      </c>
      <c r="BR11" s="156">
        <v>4241</v>
      </c>
      <c r="BS11" s="156">
        <v>4291</v>
      </c>
      <c r="BT11" s="156">
        <v>3926</v>
      </c>
      <c r="BU11" s="156">
        <v>5667</v>
      </c>
      <c r="BV11" s="156">
        <v>6414</v>
      </c>
      <c r="BW11" s="156">
        <v>6865</v>
      </c>
      <c r="BX11" s="156">
        <v>5824</v>
      </c>
      <c r="BY11" s="156">
        <v>5631</v>
      </c>
      <c r="BZ11" s="156">
        <v>5861</v>
      </c>
      <c r="CA11" s="156">
        <v>4668</v>
      </c>
      <c r="CB11" s="156">
        <v>4033</v>
      </c>
      <c r="CC11" s="156">
        <v>4502</v>
      </c>
      <c r="CD11" s="156">
        <v>4858</v>
      </c>
      <c r="CE11" s="156">
        <v>5325</v>
      </c>
      <c r="CF11" s="156">
        <v>5078</v>
      </c>
      <c r="CG11" s="156">
        <v>5628</v>
      </c>
      <c r="CH11" s="156">
        <v>5856</v>
      </c>
      <c r="CI11" s="156">
        <v>4935</v>
      </c>
      <c r="CJ11" s="156">
        <v>5354</v>
      </c>
      <c r="CK11" s="156">
        <v>6485</v>
      </c>
      <c r="CL11" s="156">
        <v>6997</v>
      </c>
      <c r="CM11" s="157">
        <f t="shared" ref="CM11:DB13" si="88">+CM5*CM20/10^7</f>
        <v>5793.505858208955</v>
      </c>
      <c r="CN11" s="157">
        <f t="shared" si="88"/>
        <v>6191.7375969801978</v>
      </c>
      <c r="CO11" s="157">
        <f t="shared" si="88"/>
        <v>6786.3842612002272</v>
      </c>
      <c r="CP11" s="157">
        <f t="shared" si="88"/>
        <v>7057.3547960685</v>
      </c>
      <c r="CQ11" s="157">
        <f t="shared" si="88"/>
        <v>5447.3371625403706</v>
      </c>
      <c r="CR11" s="157">
        <f t="shared" si="88"/>
        <v>5874.6993119861691</v>
      </c>
      <c r="CS11" s="157">
        <f t="shared" si="88"/>
        <v>6497.4334559899389</v>
      </c>
      <c r="CT11" s="157">
        <f t="shared" si="88"/>
        <v>6818.292662006922</v>
      </c>
      <c r="CU11" s="157">
        <f t="shared" si="88"/>
        <v>5268.0811429883915</v>
      </c>
      <c r="CV11" s="157">
        <f t="shared" si="88"/>
        <v>5687.0671144196631</v>
      </c>
      <c r="CW11" s="157">
        <f t="shared" si="88"/>
        <v>6296.2079418579306</v>
      </c>
      <c r="CX11" s="157">
        <f t="shared" si="88"/>
        <v>6613.743882146714</v>
      </c>
      <c r="CY11" s="157">
        <f t="shared" si="88"/>
        <v>5110.0387086987403</v>
      </c>
      <c r="CZ11" s="157">
        <f t="shared" si="88"/>
        <v>5516.4551009870729</v>
      </c>
      <c r="DA11" s="157">
        <f t="shared" si="88"/>
        <v>6107.3217036021924</v>
      </c>
      <c r="DB11" s="157">
        <f t="shared" si="88"/>
        <v>6415.3315656823124</v>
      </c>
      <c r="DE11" s="159"/>
      <c r="DF11" s="157">
        <v>6637.1095270119231</v>
      </c>
    </row>
    <row r="12" spans="1:110" s="158" customFormat="1" x14ac:dyDescent="0.2">
      <c r="A12" s="155" t="s">
        <v>530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>
        <f t="shared" si="74"/>
        <v>2304</v>
      </c>
      <c r="S12" s="156">
        <f t="shared" si="75"/>
        <v>2888</v>
      </c>
      <c r="T12" s="156">
        <f t="shared" si="76"/>
        <v>3158</v>
      </c>
      <c r="U12" s="156">
        <f t="shared" si="77"/>
        <v>2700</v>
      </c>
      <c r="V12" s="156">
        <f t="shared" si="78"/>
        <v>3281</v>
      </c>
      <c r="W12" s="156">
        <f t="shared" si="79"/>
        <v>3551</v>
      </c>
      <c r="X12" s="156">
        <f t="shared" si="80"/>
        <v>3913</v>
      </c>
      <c r="Y12" s="156">
        <f t="shared" si="81"/>
        <v>4077</v>
      </c>
      <c r="Z12" s="156">
        <f t="shared" si="82"/>
        <v>4227</v>
      </c>
      <c r="AA12" s="157">
        <f t="shared" si="83"/>
        <v>3901</v>
      </c>
      <c r="AB12" s="157">
        <f t="shared" si="84"/>
        <v>4019.732456267785</v>
      </c>
      <c r="AC12" s="157">
        <f t="shared" si="85"/>
        <v>4169.8541056029899</v>
      </c>
      <c r="AD12" s="157">
        <f t="shared" si="86"/>
        <v>4288.6828348768395</v>
      </c>
      <c r="AE12" s="157">
        <f t="shared" si="87"/>
        <v>4288.6828348768395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>
        <v>301</v>
      </c>
      <c r="AZ12" s="156">
        <v>496</v>
      </c>
      <c r="BA12" s="156">
        <v>649</v>
      </c>
      <c r="BB12" s="156">
        <v>858</v>
      </c>
      <c r="BC12" s="156">
        <v>595</v>
      </c>
      <c r="BD12" s="156">
        <v>638</v>
      </c>
      <c r="BE12" s="156">
        <v>788</v>
      </c>
      <c r="BF12" s="156">
        <v>867</v>
      </c>
      <c r="BG12" s="156">
        <v>729</v>
      </c>
      <c r="BH12" s="156">
        <v>794</v>
      </c>
      <c r="BI12" s="156">
        <v>826</v>
      </c>
      <c r="BJ12" s="156">
        <v>809</v>
      </c>
      <c r="BK12" s="156">
        <v>684</v>
      </c>
      <c r="BL12" s="156">
        <v>672</v>
      </c>
      <c r="BM12" s="156">
        <v>652</v>
      </c>
      <c r="BN12" s="156">
        <v>692</v>
      </c>
      <c r="BO12" s="156">
        <v>604</v>
      </c>
      <c r="BP12" s="156">
        <v>861</v>
      </c>
      <c r="BQ12" s="156">
        <v>817</v>
      </c>
      <c r="BR12" s="156">
        <v>999</v>
      </c>
      <c r="BS12" s="156">
        <v>826</v>
      </c>
      <c r="BT12" s="156">
        <v>885</v>
      </c>
      <c r="BU12" s="156">
        <v>900</v>
      </c>
      <c r="BV12" s="156">
        <v>940</v>
      </c>
      <c r="BW12" s="156">
        <v>988</v>
      </c>
      <c r="BX12" s="156">
        <v>991</v>
      </c>
      <c r="BY12" s="156">
        <v>884</v>
      </c>
      <c r="BZ12" s="156">
        <v>1050</v>
      </c>
      <c r="CA12" s="156">
        <v>961</v>
      </c>
      <c r="CB12" s="156">
        <v>1117</v>
      </c>
      <c r="CC12" s="156">
        <v>1038</v>
      </c>
      <c r="CD12" s="156">
        <v>961</v>
      </c>
      <c r="CE12" s="156">
        <v>998</v>
      </c>
      <c r="CF12" s="156">
        <v>1194</v>
      </c>
      <c r="CG12" s="156">
        <v>1008</v>
      </c>
      <c r="CH12" s="156">
        <v>1027</v>
      </c>
      <c r="CI12" s="156">
        <v>872</v>
      </c>
      <c r="CJ12" s="156">
        <v>840</v>
      </c>
      <c r="CK12" s="156">
        <v>1036</v>
      </c>
      <c r="CL12" s="156">
        <v>1153</v>
      </c>
      <c r="CM12" s="157">
        <f t="shared" ref="CM12:CZ12" si="89">+CM6*CM21/10^7</f>
        <v>939.71624999999983</v>
      </c>
      <c r="CN12" s="157">
        <f t="shared" si="89"/>
        <v>955.92419999999981</v>
      </c>
      <c r="CO12" s="157">
        <f t="shared" si="89"/>
        <v>1071.9031667142856</v>
      </c>
      <c r="CP12" s="157">
        <f t="shared" si="89"/>
        <v>1052.1888395534997</v>
      </c>
      <c r="CQ12" s="157">
        <f t="shared" si="89"/>
        <v>930.04185241192488</v>
      </c>
      <c r="CR12" s="157">
        <f t="shared" si="89"/>
        <v>974.75212128016801</v>
      </c>
      <c r="CS12" s="157">
        <f t="shared" si="89"/>
        <v>1126.1370935851085</v>
      </c>
      <c r="CT12" s="157">
        <f t="shared" si="89"/>
        <v>1138.9230383257884</v>
      </c>
      <c r="CU12" s="157">
        <f t="shared" si="89"/>
        <v>986.96785411435417</v>
      </c>
      <c r="CV12" s="157">
        <f t="shared" si="89"/>
        <v>1014.1321069798868</v>
      </c>
      <c r="CW12" s="157">
        <f t="shared" si="89"/>
        <v>1148.6598354568105</v>
      </c>
      <c r="CX12" s="157">
        <f t="shared" si="89"/>
        <v>1138.9230383257884</v>
      </c>
      <c r="CY12" s="157">
        <f t="shared" si="89"/>
        <v>986.96785411435417</v>
      </c>
      <c r="CZ12" s="157">
        <f t="shared" si="89"/>
        <v>1014.1321069798868</v>
      </c>
      <c r="DA12" s="157">
        <f t="shared" si="88"/>
        <v>1148.6598354568105</v>
      </c>
      <c r="DB12" s="157">
        <f t="shared" si="88"/>
        <v>1138.9230383257884</v>
      </c>
      <c r="DE12" s="159"/>
      <c r="DF12" s="157">
        <v>1120.0168571428571</v>
      </c>
    </row>
    <row r="13" spans="1:110" s="158" customFormat="1" x14ac:dyDescent="0.2">
      <c r="A13" s="155" t="s">
        <v>531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>
        <f t="shared" si="74"/>
        <v>1860</v>
      </c>
      <c r="S13" s="156">
        <f t="shared" si="75"/>
        <v>2148</v>
      </c>
      <c r="T13" s="156">
        <f t="shared" si="76"/>
        <v>2568</v>
      </c>
      <c r="U13" s="156">
        <f t="shared" si="77"/>
        <v>2444</v>
      </c>
      <c r="V13" s="156">
        <f t="shared" si="78"/>
        <v>4378</v>
      </c>
      <c r="W13" s="156">
        <f t="shared" si="79"/>
        <v>4206</v>
      </c>
      <c r="X13" s="156">
        <f t="shared" si="80"/>
        <v>4388</v>
      </c>
      <c r="Y13" s="156">
        <f t="shared" si="81"/>
        <v>5368</v>
      </c>
      <c r="Z13" s="156">
        <f t="shared" si="82"/>
        <v>6130</v>
      </c>
      <c r="AA13" s="157">
        <f t="shared" si="83"/>
        <v>9841</v>
      </c>
      <c r="AB13" s="157">
        <f t="shared" si="84"/>
        <v>15769.6</v>
      </c>
      <c r="AC13" s="157">
        <f t="shared" si="85"/>
        <v>16167.802151423999</v>
      </c>
      <c r="AD13" s="157">
        <f t="shared" si="86"/>
        <v>16409.908996096001</v>
      </c>
      <c r="AE13" s="157">
        <f t="shared" si="87"/>
        <v>16409.908996096001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>
        <v>332</v>
      </c>
      <c r="AZ13" s="156">
        <v>482</v>
      </c>
      <c r="BA13" s="156">
        <v>483</v>
      </c>
      <c r="BB13" s="156">
        <v>563</v>
      </c>
      <c r="BC13" s="156">
        <v>435</v>
      </c>
      <c r="BD13" s="156">
        <v>557</v>
      </c>
      <c r="BE13" s="156">
        <v>519</v>
      </c>
      <c r="BF13" s="156">
        <v>637</v>
      </c>
      <c r="BG13" s="156">
        <v>547</v>
      </c>
      <c r="BH13" s="156">
        <v>599</v>
      </c>
      <c r="BI13" s="156">
        <v>677</v>
      </c>
      <c r="BJ13" s="156">
        <v>745</v>
      </c>
      <c r="BK13" s="156">
        <v>576</v>
      </c>
      <c r="BL13" s="156">
        <v>577</v>
      </c>
      <c r="BM13" s="156">
        <v>690</v>
      </c>
      <c r="BN13" s="156">
        <v>601</v>
      </c>
      <c r="BO13" s="156">
        <v>643</v>
      </c>
      <c r="BP13" s="156">
        <v>1237</v>
      </c>
      <c r="BQ13" s="156">
        <v>1146</v>
      </c>
      <c r="BR13" s="156">
        <v>1352</v>
      </c>
      <c r="BS13" s="156">
        <v>1106</v>
      </c>
      <c r="BT13" s="156">
        <v>983</v>
      </c>
      <c r="BU13" s="156">
        <v>1081</v>
      </c>
      <c r="BV13" s="156">
        <v>1036</v>
      </c>
      <c r="BW13" s="156">
        <v>1109</v>
      </c>
      <c r="BX13" s="156">
        <v>1079</v>
      </c>
      <c r="BY13" s="156">
        <v>983</v>
      </c>
      <c r="BZ13" s="156">
        <v>1217</v>
      </c>
      <c r="CA13" s="156">
        <v>1298</v>
      </c>
      <c r="CB13" s="156">
        <v>1297</v>
      </c>
      <c r="CC13" s="156">
        <v>1413</v>
      </c>
      <c r="CD13" s="156">
        <v>1360</v>
      </c>
      <c r="CE13" s="156">
        <v>1427</v>
      </c>
      <c r="CF13" s="156">
        <v>1550</v>
      </c>
      <c r="CG13" s="156">
        <v>1465</v>
      </c>
      <c r="CH13" s="156">
        <v>1688</v>
      </c>
      <c r="CI13" s="156">
        <v>1427</v>
      </c>
      <c r="CJ13" s="156">
        <v>1706</v>
      </c>
      <c r="CK13" s="156">
        <v>2676</v>
      </c>
      <c r="CL13" s="156">
        <v>4032</v>
      </c>
      <c r="CM13" s="157">
        <f t="shared" si="88"/>
        <v>3942.4</v>
      </c>
      <c r="CN13" s="157">
        <f t="shared" si="88"/>
        <v>3942.4</v>
      </c>
      <c r="CO13" s="157">
        <f t="shared" si="88"/>
        <v>3942.4</v>
      </c>
      <c r="CP13" s="157">
        <f t="shared" si="88"/>
        <v>3942.4</v>
      </c>
      <c r="CQ13" s="157">
        <f t="shared" si="88"/>
        <v>3981.8240000000001</v>
      </c>
      <c r="CR13" s="157">
        <f t="shared" si="88"/>
        <v>4021.6422400000001</v>
      </c>
      <c r="CS13" s="157">
        <f t="shared" si="88"/>
        <v>4061.8586624</v>
      </c>
      <c r="CT13" s="157">
        <f t="shared" si="88"/>
        <v>4102.4772490240002</v>
      </c>
      <c r="CU13" s="157">
        <f t="shared" si="88"/>
        <v>4102.4772490240002</v>
      </c>
      <c r="CV13" s="157">
        <f t="shared" si="88"/>
        <v>4102.4772490240002</v>
      </c>
      <c r="CW13" s="157">
        <f t="shared" si="88"/>
        <v>4102.4772490240002</v>
      </c>
      <c r="CX13" s="157">
        <f t="shared" si="88"/>
        <v>4102.4772490240002</v>
      </c>
      <c r="CY13" s="157">
        <f t="shared" si="88"/>
        <v>4102.4772490240002</v>
      </c>
      <c r="CZ13" s="157">
        <f t="shared" si="88"/>
        <v>4102.4772490240002</v>
      </c>
      <c r="DA13" s="157">
        <f t="shared" si="88"/>
        <v>4102.4772490240002</v>
      </c>
      <c r="DB13" s="157">
        <f t="shared" si="88"/>
        <v>4102.4772490240002</v>
      </c>
      <c r="DE13" s="159"/>
      <c r="DF13" s="157">
        <v>4400</v>
      </c>
    </row>
    <row r="14" spans="1:110" s="158" customFormat="1" x14ac:dyDescent="0.2">
      <c r="A14" s="155" t="s">
        <v>532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>
        <f t="shared" si="74"/>
        <v>0</v>
      </c>
      <c r="S14" s="156">
        <f t="shared" si="75"/>
        <v>0</v>
      </c>
      <c r="T14" s="156">
        <f t="shared" si="76"/>
        <v>0</v>
      </c>
      <c r="U14" s="156">
        <f t="shared" si="77"/>
        <v>0</v>
      </c>
      <c r="V14" s="156">
        <f t="shared" si="78"/>
        <v>0</v>
      </c>
      <c r="W14" s="156">
        <f t="shared" si="79"/>
        <v>0</v>
      </c>
      <c r="X14" s="156">
        <f t="shared" si="80"/>
        <v>0</v>
      </c>
      <c r="Y14" s="156">
        <f t="shared" si="81"/>
        <v>0</v>
      </c>
      <c r="Z14" s="156">
        <f t="shared" si="82"/>
        <v>0</v>
      </c>
      <c r="AA14" s="157">
        <f t="shared" si="83"/>
        <v>0</v>
      </c>
      <c r="AB14" s="157">
        <f t="shared" si="84"/>
        <v>0</v>
      </c>
      <c r="AC14" s="157">
        <f t="shared" si="85"/>
        <v>0</v>
      </c>
      <c r="AD14" s="157">
        <f t="shared" si="86"/>
        <v>0</v>
      </c>
      <c r="AE14" s="157">
        <f t="shared" si="87"/>
        <v>0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  <c r="DF14" s="157"/>
    </row>
    <row r="15" spans="1:110" s="158" customFormat="1" x14ac:dyDescent="0.2">
      <c r="A15" s="155" t="s">
        <v>533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>
        <f t="shared" si="74"/>
        <v>176.21</v>
      </c>
      <c r="S15" s="156">
        <f t="shared" si="75"/>
        <v>162</v>
      </c>
      <c r="T15" s="156">
        <f t="shared" si="76"/>
        <v>177</v>
      </c>
      <c r="U15" s="156">
        <f t="shared" si="77"/>
        <v>173</v>
      </c>
      <c r="V15" s="156">
        <f t="shared" si="78"/>
        <v>139</v>
      </c>
      <c r="W15" s="156">
        <f t="shared" si="79"/>
        <v>166</v>
      </c>
      <c r="X15" s="156">
        <f t="shared" si="80"/>
        <v>152</v>
      </c>
      <c r="Y15" s="156">
        <f t="shared" si="81"/>
        <v>156</v>
      </c>
      <c r="Z15" s="156">
        <f t="shared" si="82"/>
        <v>137</v>
      </c>
      <c r="AA15" s="157">
        <f t="shared" si="83"/>
        <v>0</v>
      </c>
      <c r="AB15" s="157">
        <f t="shared" si="84"/>
        <v>0</v>
      </c>
      <c r="AC15" s="157">
        <f t="shared" si="85"/>
        <v>0</v>
      </c>
      <c r="AD15" s="157">
        <f t="shared" si="86"/>
        <v>0</v>
      </c>
      <c r="AE15" s="157">
        <f t="shared" si="87"/>
        <v>0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>
        <v>59.67</v>
      </c>
      <c r="AZ15" s="156">
        <v>68.19</v>
      </c>
      <c r="BA15" s="156">
        <v>19.79</v>
      </c>
      <c r="BB15" s="156">
        <v>28.56</v>
      </c>
      <c r="BC15" s="156">
        <v>62</v>
      </c>
      <c r="BD15" s="156">
        <v>57</v>
      </c>
      <c r="BE15" s="156">
        <v>21</v>
      </c>
      <c r="BF15" s="156">
        <v>22</v>
      </c>
      <c r="BG15" s="156">
        <v>56</v>
      </c>
      <c r="BH15" s="156">
        <v>74</v>
      </c>
      <c r="BI15" s="156">
        <v>18</v>
      </c>
      <c r="BJ15" s="156">
        <v>29</v>
      </c>
      <c r="BK15" s="156">
        <v>54</v>
      </c>
      <c r="BL15" s="156">
        <v>65</v>
      </c>
      <c r="BM15" s="156">
        <v>26</v>
      </c>
      <c r="BN15" s="156">
        <v>28</v>
      </c>
      <c r="BO15" s="156">
        <v>46</v>
      </c>
      <c r="BP15" s="156">
        <v>42</v>
      </c>
      <c r="BQ15" s="156">
        <v>26</v>
      </c>
      <c r="BR15" s="156">
        <v>25</v>
      </c>
      <c r="BS15" s="156">
        <v>55</v>
      </c>
      <c r="BT15" s="156">
        <v>62</v>
      </c>
      <c r="BU15" s="156">
        <v>23</v>
      </c>
      <c r="BV15" s="156">
        <v>26</v>
      </c>
      <c r="BW15" s="156">
        <v>61</v>
      </c>
      <c r="BX15" s="156">
        <v>49</v>
      </c>
      <c r="BY15" s="156">
        <v>15</v>
      </c>
      <c r="BZ15" s="156">
        <v>27</v>
      </c>
      <c r="CA15" s="156">
        <v>49</v>
      </c>
      <c r="CB15" s="156">
        <v>63</v>
      </c>
      <c r="CC15" s="156">
        <v>21</v>
      </c>
      <c r="CD15" s="156">
        <v>23</v>
      </c>
      <c r="CE15" s="156">
        <v>45</v>
      </c>
      <c r="CF15" s="156">
        <v>51</v>
      </c>
      <c r="CG15" s="156">
        <v>18</v>
      </c>
      <c r="CH15" s="156">
        <v>23</v>
      </c>
      <c r="CI15" s="156"/>
      <c r="CJ15" s="156"/>
      <c r="CK15" s="156"/>
      <c r="CL15" s="156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  <c r="DF15" s="157"/>
    </row>
    <row r="16" spans="1:110" s="158" customFormat="1" x14ac:dyDescent="0.2">
      <c r="A16" s="155" t="s">
        <v>534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>
        <f t="shared" si="74"/>
        <v>658.79</v>
      </c>
      <c r="S16" s="156">
        <f t="shared" si="75"/>
        <v>644</v>
      </c>
      <c r="T16" s="156">
        <f t="shared" si="76"/>
        <v>740</v>
      </c>
      <c r="U16" s="156">
        <f t="shared" si="77"/>
        <v>598</v>
      </c>
      <c r="V16" s="156">
        <f t="shared" si="78"/>
        <v>870</v>
      </c>
      <c r="W16" s="156">
        <f t="shared" si="79"/>
        <v>1219</v>
      </c>
      <c r="X16" s="156">
        <f t="shared" si="80"/>
        <v>1464</v>
      </c>
      <c r="Y16" s="156">
        <f t="shared" si="81"/>
        <v>1270</v>
      </c>
      <c r="Z16" s="156">
        <f t="shared" si="82"/>
        <v>1702</v>
      </c>
      <c r="AA16" s="157">
        <f t="shared" si="83"/>
        <v>3331</v>
      </c>
      <c r="AB16" s="157">
        <f t="shared" si="84"/>
        <v>2800</v>
      </c>
      <c r="AC16" s="157">
        <f t="shared" si="85"/>
        <v>2800</v>
      </c>
      <c r="AD16" s="157">
        <f t="shared" si="86"/>
        <v>2800</v>
      </c>
      <c r="AE16" s="157">
        <f t="shared" si="87"/>
        <v>2800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>
        <v>385.33</v>
      </c>
      <c r="AZ16" s="156">
        <v>108.81</v>
      </c>
      <c r="BA16" s="156">
        <v>119.21000000000001</v>
      </c>
      <c r="BB16" s="156">
        <v>45.44</v>
      </c>
      <c r="BC16" s="156">
        <v>142</v>
      </c>
      <c r="BD16" s="156">
        <v>154</v>
      </c>
      <c r="BE16" s="156">
        <v>161</v>
      </c>
      <c r="BF16" s="156">
        <v>187</v>
      </c>
      <c r="BG16" s="156">
        <v>164</v>
      </c>
      <c r="BH16" s="156">
        <v>179</v>
      </c>
      <c r="BI16" s="156">
        <v>178</v>
      </c>
      <c r="BJ16" s="156">
        <v>219</v>
      </c>
      <c r="BK16" s="156">
        <v>163</v>
      </c>
      <c r="BL16" s="156">
        <v>146</v>
      </c>
      <c r="BM16" s="156">
        <v>139</v>
      </c>
      <c r="BN16" s="156">
        <v>150</v>
      </c>
      <c r="BO16" s="156">
        <v>134</v>
      </c>
      <c r="BP16" s="156">
        <v>197</v>
      </c>
      <c r="BQ16" s="156">
        <v>209</v>
      </c>
      <c r="BR16" s="156">
        <v>330</v>
      </c>
      <c r="BS16" s="156">
        <v>253</v>
      </c>
      <c r="BT16" s="156">
        <v>266</v>
      </c>
      <c r="BU16" s="156">
        <v>319</v>
      </c>
      <c r="BV16" s="156">
        <v>381</v>
      </c>
      <c r="BW16" s="156">
        <v>364</v>
      </c>
      <c r="BX16" s="156">
        <v>393</v>
      </c>
      <c r="BY16" s="156">
        <v>353</v>
      </c>
      <c r="BZ16" s="156">
        <v>354</v>
      </c>
      <c r="CA16" s="156">
        <v>306</v>
      </c>
      <c r="CB16" s="156">
        <v>281</v>
      </c>
      <c r="CC16" s="156">
        <v>336</v>
      </c>
      <c r="CD16" s="156">
        <v>347</v>
      </c>
      <c r="CE16" s="156">
        <v>335</v>
      </c>
      <c r="CF16" s="156">
        <v>379</v>
      </c>
      <c r="CG16" s="156">
        <v>495</v>
      </c>
      <c r="CH16" s="156">
        <v>493</v>
      </c>
      <c r="CI16" s="156">
        <v>537</v>
      </c>
      <c r="CJ16" s="156">
        <v>649</v>
      </c>
      <c r="CK16" s="156">
        <v>783</v>
      </c>
      <c r="CL16" s="156">
        <v>1362</v>
      </c>
      <c r="CM16" s="157">
        <v>700</v>
      </c>
      <c r="CN16" s="157">
        <f t="shared" ref="CN16:DB16" si="90">+CM16</f>
        <v>700</v>
      </c>
      <c r="CO16" s="157">
        <f t="shared" si="90"/>
        <v>700</v>
      </c>
      <c r="CP16" s="157">
        <f t="shared" si="90"/>
        <v>700</v>
      </c>
      <c r="CQ16" s="157">
        <v>700</v>
      </c>
      <c r="CR16" s="157">
        <f t="shared" si="90"/>
        <v>700</v>
      </c>
      <c r="CS16" s="157">
        <f t="shared" si="90"/>
        <v>700</v>
      </c>
      <c r="CT16" s="157">
        <f t="shared" si="90"/>
        <v>700</v>
      </c>
      <c r="CU16" s="157">
        <f t="shared" si="90"/>
        <v>700</v>
      </c>
      <c r="CV16" s="157">
        <f t="shared" si="90"/>
        <v>700</v>
      </c>
      <c r="CW16" s="157">
        <f t="shared" si="90"/>
        <v>700</v>
      </c>
      <c r="CX16" s="157">
        <f t="shared" si="90"/>
        <v>700</v>
      </c>
      <c r="CY16" s="157">
        <f t="shared" si="90"/>
        <v>700</v>
      </c>
      <c r="CZ16" s="157">
        <f t="shared" si="90"/>
        <v>700</v>
      </c>
      <c r="DA16" s="157">
        <f t="shared" si="90"/>
        <v>700</v>
      </c>
      <c r="DB16" s="157">
        <f t="shared" si="90"/>
        <v>700</v>
      </c>
      <c r="DE16" s="159"/>
      <c r="DF16" s="157">
        <v>783</v>
      </c>
    </row>
    <row r="17" spans="1:110" s="109" customFormat="1" x14ac:dyDescent="0.2">
      <c r="A17" s="185" t="s">
        <v>535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>
        <f t="shared" ref="R17:AE17" si="91">+SUM(R11:R16)</f>
        <v>18302</v>
      </c>
      <c r="S17" s="107">
        <f t="shared" si="91"/>
        <v>22521</v>
      </c>
      <c r="T17" s="107">
        <f t="shared" si="91"/>
        <v>21118</v>
      </c>
      <c r="U17" s="107">
        <f t="shared" si="91"/>
        <v>18561</v>
      </c>
      <c r="V17" s="107">
        <f t="shared" si="91"/>
        <v>22629</v>
      </c>
      <c r="W17" s="107">
        <f t="shared" si="91"/>
        <v>29440</v>
      </c>
      <c r="X17" s="107">
        <f t="shared" si="91"/>
        <v>34098</v>
      </c>
      <c r="Y17" s="107">
        <f t="shared" si="91"/>
        <v>28932</v>
      </c>
      <c r="Z17" s="107">
        <f t="shared" si="91"/>
        <v>34083</v>
      </c>
      <c r="AA17" s="108">
        <f t="shared" si="91"/>
        <v>40844</v>
      </c>
      <c r="AB17" s="108">
        <f t="shared" si="91"/>
        <v>48418.314968725666</v>
      </c>
      <c r="AC17" s="108">
        <f t="shared" si="91"/>
        <v>47775.418849550391</v>
      </c>
      <c r="AD17" s="108">
        <f t="shared" si="91"/>
        <v>47363.69191238554</v>
      </c>
      <c r="AE17" s="108">
        <f t="shared" si="91"/>
        <v>46647.73890994316</v>
      </c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>
        <f>+SUM(AY11:AY16)</f>
        <v>2804</v>
      </c>
      <c r="AZ17" s="107">
        <f t="shared" ref="AZ17:CK17" si="92">+SUM(AZ11:AZ16)</f>
        <v>3852</v>
      </c>
      <c r="BA17" s="107">
        <f t="shared" si="92"/>
        <v>5391</v>
      </c>
      <c r="BB17" s="107">
        <f t="shared" si="92"/>
        <v>6255</v>
      </c>
      <c r="BC17" s="107">
        <f t="shared" si="92"/>
        <v>5013</v>
      </c>
      <c r="BD17" s="107">
        <f t="shared" si="92"/>
        <v>5309</v>
      </c>
      <c r="BE17" s="107">
        <f t="shared" si="92"/>
        <v>5922</v>
      </c>
      <c r="BF17" s="107">
        <f t="shared" si="92"/>
        <v>6277</v>
      </c>
      <c r="BG17" s="107">
        <f t="shared" si="92"/>
        <v>5310</v>
      </c>
      <c r="BH17" s="107">
        <f t="shared" si="92"/>
        <v>4777</v>
      </c>
      <c r="BI17" s="107">
        <f t="shared" si="92"/>
        <v>5540</v>
      </c>
      <c r="BJ17" s="107">
        <f t="shared" si="92"/>
        <v>5491</v>
      </c>
      <c r="BK17" s="107">
        <f t="shared" si="92"/>
        <v>4987</v>
      </c>
      <c r="BL17" s="107">
        <f t="shared" si="92"/>
        <v>4511</v>
      </c>
      <c r="BM17" s="107">
        <f t="shared" si="92"/>
        <v>4672</v>
      </c>
      <c r="BN17" s="107">
        <f t="shared" si="92"/>
        <v>4391</v>
      </c>
      <c r="BO17" s="107">
        <f t="shared" si="92"/>
        <v>3989</v>
      </c>
      <c r="BP17" s="107">
        <f t="shared" si="92"/>
        <v>5660</v>
      </c>
      <c r="BQ17" s="107">
        <f t="shared" si="92"/>
        <v>6033</v>
      </c>
      <c r="BR17" s="107">
        <f t="shared" si="92"/>
        <v>6947</v>
      </c>
      <c r="BS17" s="107">
        <f t="shared" si="92"/>
        <v>6531</v>
      </c>
      <c r="BT17" s="107">
        <f t="shared" si="92"/>
        <v>6122</v>
      </c>
      <c r="BU17" s="107">
        <f t="shared" si="92"/>
        <v>7990</v>
      </c>
      <c r="BV17" s="107">
        <f t="shared" si="92"/>
        <v>8797</v>
      </c>
      <c r="BW17" s="107">
        <f t="shared" si="92"/>
        <v>9387</v>
      </c>
      <c r="BX17" s="107">
        <f t="shared" si="92"/>
        <v>8336</v>
      </c>
      <c r="BY17" s="107">
        <f t="shared" si="92"/>
        <v>7866</v>
      </c>
      <c r="BZ17" s="107">
        <f t="shared" si="92"/>
        <v>8509</v>
      </c>
      <c r="CA17" s="107">
        <f t="shared" si="92"/>
        <v>7282</v>
      </c>
      <c r="CB17" s="107">
        <f t="shared" si="92"/>
        <v>6791</v>
      </c>
      <c r="CC17" s="107">
        <f t="shared" si="92"/>
        <v>7310</v>
      </c>
      <c r="CD17" s="107">
        <f t="shared" si="92"/>
        <v>7549</v>
      </c>
      <c r="CE17" s="107">
        <f t="shared" si="92"/>
        <v>8130</v>
      </c>
      <c r="CF17" s="107">
        <f t="shared" si="92"/>
        <v>8252</v>
      </c>
      <c r="CG17" s="107">
        <f t="shared" si="92"/>
        <v>8614</v>
      </c>
      <c r="CH17" s="107">
        <f t="shared" si="92"/>
        <v>9087</v>
      </c>
      <c r="CI17" s="107">
        <f t="shared" si="92"/>
        <v>7771</v>
      </c>
      <c r="CJ17" s="107">
        <f t="shared" si="92"/>
        <v>8549</v>
      </c>
      <c r="CK17" s="107">
        <f t="shared" si="92"/>
        <v>10980</v>
      </c>
      <c r="CL17" s="107">
        <f t="shared" ref="CL17" si="93">+SUM(CL11:CL16)</f>
        <v>13544</v>
      </c>
      <c r="CM17" s="108">
        <f t="shared" ref="CM17" si="94">+SUM(CM11:CM16)</f>
        <v>11375.622108208954</v>
      </c>
      <c r="CN17" s="108">
        <f t="shared" ref="CN17" si="95">+SUM(CN11:CN16)</f>
        <v>11790.061796980197</v>
      </c>
      <c r="CO17" s="108">
        <f t="shared" ref="CO17" si="96">+SUM(CO11:CO16)</f>
        <v>12500.687427914512</v>
      </c>
      <c r="CP17" s="108">
        <f t="shared" ref="CP17" si="97">+SUM(CP11:CP16)</f>
        <v>12751.943635621999</v>
      </c>
      <c r="CQ17" s="108">
        <f t="shared" ref="CQ17" si="98">+SUM(CQ11:CQ16)</f>
        <v>11059.203014952296</v>
      </c>
      <c r="CR17" s="108">
        <f t="shared" ref="CR17" si="99">+SUM(CR11:CR16)</f>
        <v>11571.093673266336</v>
      </c>
      <c r="CS17" s="108">
        <f t="shared" ref="CS17" si="100">+SUM(CS11:CS16)</f>
        <v>12385.429211975046</v>
      </c>
      <c r="CT17" s="108">
        <f t="shared" ref="CT17" si="101">+SUM(CT11:CT16)</f>
        <v>12759.692949356711</v>
      </c>
      <c r="CU17" s="108">
        <f t="shared" ref="CU17" si="102">+SUM(CU11:CU16)</f>
        <v>11057.526246126745</v>
      </c>
      <c r="CV17" s="108">
        <f t="shared" ref="CV17" si="103">+SUM(CV11:CV16)</f>
        <v>11503.67647042355</v>
      </c>
      <c r="CW17" s="108">
        <f t="shared" ref="CW17" si="104">+SUM(CW11:CW16)</f>
        <v>12247.345026338742</v>
      </c>
      <c r="CX17" s="108">
        <f t="shared" ref="CX17" si="105">+SUM(CX11:CX16)</f>
        <v>12555.144169496503</v>
      </c>
      <c r="CY17" s="108">
        <f t="shared" ref="CY17" si="106">+SUM(CY11:CY16)</f>
        <v>10899.483811837094</v>
      </c>
      <c r="CZ17" s="108">
        <f t="shared" ref="CZ17" si="107">+SUM(CZ11:CZ16)</f>
        <v>11333.06445699096</v>
      </c>
      <c r="DA17" s="108">
        <f t="shared" ref="DA17" si="108">+SUM(DA11:DA16)</f>
        <v>12058.458788083004</v>
      </c>
      <c r="DB17" s="108">
        <f t="shared" ref="DB17" si="109">+SUM(DB11:DB16)</f>
        <v>12356.731853032101</v>
      </c>
      <c r="DE17" s="117"/>
      <c r="DF17" s="108">
        <v>12940.126384154781</v>
      </c>
    </row>
    <row r="18" spans="1:110" s="158" customFormat="1" x14ac:dyDescent="0.2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7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  <c r="DF18" s="157"/>
    </row>
    <row r="19" spans="1:110" s="109" customFormat="1" x14ac:dyDescent="0.2">
      <c r="A19" s="151" t="s">
        <v>527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8"/>
      <c r="AB19" s="108"/>
      <c r="AC19" s="108"/>
      <c r="AD19" s="108"/>
      <c r="AE19" s="108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BX19" s="107"/>
      <c r="BY19" s="107"/>
      <c r="BZ19" s="107"/>
      <c r="CA19" s="107"/>
      <c r="CB19" s="107"/>
      <c r="CC19" s="107"/>
      <c r="CD19" s="107"/>
      <c r="CE19" s="107"/>
      <c r="CF19" s="107"/>
      <c r="CG19" s="107"/>
      <c r="CH19" s="107"/>
      <c r="CI19" s="107"/>
      <c r="CJ19" s="107"/>
      <c r="CK19" s="107"/>
      <c r="CL19" s="107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E19" s="117"/>
      <c r="DF19" s="108"/>
    </row>
    <row r="20" spans="1:110" s="190" customFormat="1" x14ac:dyDescent="0.2">
      <c r="A20" s="189" t="s">
        <v>523</v>
      </c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>
        <f t="shared" ref="R20:AE20" si="110">+R11*10^7/R5</f>
        <v>191135.05747126436</v>
      </c>
      <c r="S20" s="186">
        <f t="shared" si="110"/>
        <v>210327.86885245901</v>
      </c>
      <c r="T20" s="186">
        <f t="shared" si="110"/>
        <v>208573.48703170029</v>
      </c>
      <c r="U20" s="186">
        <f t="shared" si="110"/>
        <v>185861.25808348029</v>
      </c>
      <c r="V20" s="186">
        <f t="shared" si="110"/>
        <v>192831.49171270718</v>
      </c>
      <c r="W20" s="186">
        <f t="shared" si="110"/>
        <v>261235.52123552124</v>
      </c>
      <c r="X20" s="186">
        <f t="shared" si="110"/>
        <v>294531.05968331301</v>
      </c>
      <c r="Y20" s="186">
        <f t="shared" si="110"/>
        <v>221064.87148102815</v>
      </c>
      <c r="Z20" s="186">
        <f t="shared" si="110"/>
        <v>264655.38089480047</v>
      </c>
      <c r="AA20" s="188">
        <f t="shared" si="110"/>
        <v>279330.19976498239</v>
      </c>
      <c r="AB20" s="188">
        <f t="shared" si="110"/>
        <v>291679.59364175785</v>
      </c>
      <c r="AC20" s="188">
        <f t="shared" si="110"/>
        <v>283178.74121334992</v>
      </c>
      <c r="AD20" s="188">
        <f t="shared" si="110"/>
        <v>274710.13362795365</v>
      </c>
      <c r="AE20" s="188">
        <f t="shared" si="110"/>
        <v>266468.82961911499</v>
      </c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>
        <f>+AY11*10^7/AY5</f>
        <v>143833.33333333334</v>
      </c>
      <c r="AZ20" s="186">
        <f t="shared" ref="AZ20:CJ22" si="111">+AZ11*10^7/AZ5</f>
        <v>182229.72972972973</v>
      </c>
      <c r="BA20" s="186">
        <f t="shared" si="111"/>
        <v>195260.66350710901</v>
      </c>
      <c r="BB20" s="186">
        <f t="shared" si="111"/>
        <v>219354.83870967742</v>
      </c>
      <c r="BC20" s="186">
        <f t="shared" si="111"/>
        <v>198894.73684210525</v>
      </c>
      <c r="BD20" s="186">
        <f t="shared" si="111"/>
        <v>202227.9792746114</v>
      </c>
      <c r="BE20" s="186">
        <f t="shared" si="111"/>
        <v>221650</v>
      </c>
      <c r="BF20" s="186">
        <f t="shared" si="111"/>
        <v>217333.33333333334</v>
      </c>
      <c r="BG20" s="186">
        <f t="shared" si="111"/>
        <v>224352.9411764706</v>
      </c>
      <c r="BH20" s="186">
        <f t="shared" si="111"/>
        <v>195687.5</v>
      </c>
      <c r="BI20" s="186">
        <f t="shared" si="111"/>
        <v>205401.06951871657</v>
      </c>
      <c r="BJ20" s="186">
        <f t="shared" si="111"/>
        <v>208418.0790960452</v>
      </c>
      <c r="BK20" s="186">
        <f t="shared" si="111"/>
        <v>209552.23880597015</v>
      </c>
      <c r="BL20" s="186">
        <f t="shared" si="111"/>
        <v>181715.30673019655</v>
      </c>
      <c r="BM20" s="186">
        <f t="shared" si="111"/>
        <v>184011.62790697673</v>
      </c>
      <c r="BN20" s="186">
        <f t="shared" si="111"/>
        <v>168786.12716763007</v>
      </c>
      <c r="BO20" s="186">
        <f t="shared" si="111"/>
        <v>157177.91411042944</v>
      </c>
      <c r="BP20" s="186">
        <f t="shared" si="111"/>
        <v>183591.16022099447</v>
      </c>
      <c r="BQ20" s="186">
        <f t="shared" si="111"/>
        <v>210714.28571428571</v>
      </c>
      <c r="BR20" s="186">
        <f t="shared" si="111"/>
        <v>214191.91919191918</v>
      </c>
      <c r="BS20" s="186">
        <f t="shared" si="111"/>
        <v>229465.24064171122</v>
      </c>
      <c r="BT20" s="186">
        <f t="shared" si="111"/>
        <v>239390.24390243902</v>
      </c>
      <c r="BU20" s="186">
        <f t="shared" si="111"/>
        <v>267311.32075471699</v>
      </c>
      <c r="BV20" s="186">
        <f t="shared" si="111"/>
        <v>299719.62616822432</v>
      </c>
      <c r="BW20" s="186">
        <f t="shared" si="111"/>
        <v>333252.42718446604</v>
      </c>
      <c r="BX20" s="186">
        <f t="shared" si="111"/>
        <v>308148.14814814815</v>
      </c>
      <c r="BY20" s="186">
        <f t="shared" si="111"/>
        <v>268142.85714285716</v>
      </c>
      <c r="BZ20" s="186">
        <f t="shared" si="111"/>
        <v>271342.59259259258</v>
      </c>
      <c r="CA20" s="186">
        <f t="shared" si="111"/>
        <v>224423.07692307694</v>
      </c>
      <c r="CB20" s="186">
        <f t="shared" si="111"/>
        <v>218000</v>
      </c>
      <c r="CC20" s="186">
        <f t="shared" si="111"/>
        <v>221773.39901477832</v>
      </c>
      <c r="CD20" s="186">
        <f t="shared" si="111"/>
        <v>219819.00452488687</v>
      </c>
      <c r="CE20" s="186">
        <f t="shared" si="111"/>
        <v>252369.66824644551</v>
      </c>
      <c r="CF20" s="186">
        <f t="shared" si="111"/>
        <v>256464.64646464647</v>
      </c>
      <c r="CG20" s="186">
        <f t="shared" si="111"/>
        <v>275882.35294117645</v>
      </c>
      <c r="CH20" s="186">
        <f t="shared" si="111"/>
        <v>273644.85981308413</v>
      </c>
      <c r="CI20" s="186">
        <f t="shared" si="111"/>
        <v>245522.38805970148</v>
      </c>
      <c r="CJ20" s="186">
        <f t="shared" si="111"/>
        <v>265049.50495049503</v>
      </c>
      <c r="CK20" s="186">
        <f t="shared" ref="CK20:CL20" si="112">+CK11*10^7/CK5</f>
        <v>293438.91402714932</v>
      </c>
      <c r="CL20" s="186">
        <f t="shared" si="112"/>
        <v>308237.88546255504</v>
      </c>
      <c r="CM20" s="188">
        <f t="shared" ref="CM20:DB21" si="113">+CI20*(1+CM26)</f>
        <v>257798.50746268657</v>
      </c>
      <c r="CN20" s="188">
        <f t="shared" si="113"/>
        <v>278301.98019801977</v>
      </c>
      <c r="CO20" s="188">
        <f t="shared" si="113"/>
        <v>308110.85972850682</v>
      </c>
      <c r="CP20" s="188">
        <f t="shared" si="113"/>
        <v>323649.77973568282</v>
      </c>
      <c r="CQ20" s="188">
        <f t="shared" si="113"/>
        <v>250064.55223880598</v>
      </c>
      <c r="CR20" s="188">
        <f t="shared" si="113"/>
        <v>269952.92079207918</v>
      </c>
      <c r="CS20" s="188">
        <f t="shared" si="113"/>
        <v>298867.5339366516</v>
      </c>
      <c r="CT20" s="188">
        <f t="shared" si="113"/>
        <v>313940.28634361236</v>
      </c>
      <c r="CU20" s="188">
        <f t="shared" si="113"/>
        <v>242562.6156716418</v>
      </c>
      <c r="CV20" s="188">
        <f t="shared" si="113"/>
        <v>261854.33316831681</v>
      </c>
      <c r="CW20" s="188">
        <f t="shared" si="113"/>
        <v>289901.50791855203</v>
      </c>
      <c r="CX20" s="188">
        <f t="shared" si="113"/>
        <v>304522.07775330398</v>
      </c>
      <c r="CY20" s="188">
        <f t="shared" si="113"/>
        <v>235285.73720149253</v>
      </c>
      <c r="CZ20" s="188">
        <f t="shared" si="113"/>
        <v>253998.70317326731</v>
      </c>
      <c r="DA20" s="188">
        <f t="shared" si="113"/>
        <v>281204.46268099546</v>
      </c>
      <c r="DB20" s="188">
        <f t="shared" si="113"/>
        <v>295386.41542070487</v>
      </c>
      <c r="DE20" s="191"/>
      <c r="DF20" s="188">
        <v>292383.67960404948</v>
      </c>
    </row>
    <row r="21" spans="1:110" s="190" customFormat="1" x14ac:dyDescent="0.2">
      <c r="A21" s="189" t="s">
        <v>524</v>
      </c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>
        <f t="shared" ref="R21:AE21" si="114">+R12*10^7/R6</f>
        <v>166956.52173913043</v>
      </c>
      <c r="S21" s="186">
        <f t="shared" si="114"/>
        <v>170887.57396449705</v>
      </c>
      <c r="T21" s="186">
        <f t="shared" si="114"/>
        <v>160304.56852791877</v>
      </c>
      <c r="U21" s="186">
        <f t="shared" si="114"/>
        <v>148842.33737596471</v>
      </c>
      <c r="V21" s="186">
        <f t="shared" si="114"/>
        <v>151198.15668202765</v>
      </c>
      <c r="W21" s="186">
        <f t="shared" si="114"/>
        <v>184947.91666666666</v>
      </c>
      <c r="X21" s="186">
        <f t="shared" si="114"/>
        <v>185450.23696682465</v>
      </c>
      <c r="Y21" s="186">
        <f t="shared" si="114"/>
        <v>188750</v>
      </c>
      <c r="Z21" s="186">
        <f t="shared" si="114"/>
        <v>187866.66666666666</v>
      </c>
      <c r="AA21" s="188">
        <f t="shared" si="114"/>
        <v>198020.30456852791</v>
      </c>
      <c r="AB21" s="188">
        <f t="shared" si="114"/>
        <v>187352.31517103189</v>
      </c>
      <c r="AC21" s="188">
        <f t="shared" si="114"/>
        <v>187737.28642671308</v>
      </c>
      <c r="AD21" s="188">
        <f t="shared" si="114"/>
        <v>187482.08874458869</v>
      </c>
      <c r="AE21" s="188">
        <f t="shared" si="114"/>
        <v>187482.08874458869</v>
      </c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>
        <f t="shared" ref="AY21:BN22" si="115">+AY12*10^7/AY6</f>
        <v>130869.56521739131</v>
      </c>
      <c r="AZ21" s="186">
        <f t="shared" si="115"/>
        <v>155000</v>
      </c>
      <c r="BA21" s="186">
        <f t="shared" si="115"/>
        <v>180277.77777777778</v>
      </c>
      <c r="BB21" s="186">
        <f t="shared" si="115"/>
        <v>182553.19148936169</v>
      </c>
      <c r="BC21" s="186">
        <f t="shared" si="115"/>
        <v>175000</v>
      </c>
      <c r="BD21" s="186">
        <f t="shared" si="115"/>
        <v>159500</v>
      </c>
      <c r="BE21" s="186">
        <f t="shared" si="115"/>
        <v>175111.11111111112</v>
      </c>
      <c r="BF21" s="186">
        <f t="shared" si="115"/>
        <v>173400</v>
      </c>
      <c r="BG21" s="186">
        <f t="shared" si="115"/>
        <v>173571.42857142858</v>
      </c>
      <c r="BH21" s="186">
        <f t="shared" si="115"/>
        <v>162040.81632653062</v>
      </c>
      <c r="BI21" s="186">
        <f t="shared" si="115"/>
        <v>152962.96296296295</v>
      </c>
      <c r="BJ21" s="186">
        <f t="shared" si="115"/>
        <v>155576.92307692306</v>
      </c>
      <c r="BK21" s="186">
        <f t="shared" si="115"/>
        <v>144000</v>
      </c>
      <c r="BL21" s="186">
        <f t="shared" si="115"/>
        <v>153075.17084282459</v>
      </c>
      <c r="BM21" s="186">
        <f t="shared" si="115"/>
        <v>155238.09523809524</v>
      </c>
      <c r="BN21" s="186">
        <f t="shared" si="115"/>
        <v>144166.66666666666</v>
      </c>
      <c r="BO21" s="186">
        <f t="shared" si="111"/>
        <v>134222.22222222222</v>
      </c>
      <c r="BP21" s="186">
        <f t="shared" si="111"/>
        <v>151052.63157894736</v>
      </c>
      <c r="BQ21" s="186">
        <f t="shared" si="111"/>
        <v>154150.94339622642</v>
      </c>
      <c r="BR21" s="186">
        <f t="shared" si="111"/>
        <v>161129.03225806452</v>
      </c>
      <c r="BS21" s="186">
        <f t="shared" si="111"/>
        <v>168571.42857142858</v>
      </c>
      <c r="BT21" s="186">
        <f t="shared" si="111"/>
        <v>188297.87234042553</v>
      </c>
      <c r="BU21" s="186">
        <f t="shared" si="111"/>
        <v>191489.36170212767</v>
      </c>
      <c r="BV21" s="186">
        <f t="shared" si="111"/>
        <v>191836.73469387754</v>
      </c>
      <c r="BW21" s="186">
        <f t="shared" si="111"/>
        <v>182962.96296296295</v>
      </c>
      <c r="BX21" s="186">
        <f t="shared" si="111"/>
        <v>173859.64912280702</v>
      </c>
      <c r="BY21" s="186">
        <f t="shared" si="111"/>
        <v>192173.91304347827</v>
      </c>
      <c r="BZ21" s="186">
        <f t="shared" si="111"/>
        <v>194444.44444444444</v>
      </c>
      <c r="CA21" s="186">
        <f t="shared" si="111"/>
        <v>192200</v>
      </c>
      <c r="CB21" s="186">
        <f t="shared" si="111"/>
        <v>195964.91228070174</v>
      </c>
      <c r="CC21" s="186">
        <f t="shared" si="111"/>
        <v>185357.14285714287</v>
      </c>
      <c r="CD21" s="186">
        <f t="shared" si="111"/>
        <v>181320.75471698114</v>
      </c>
      <c r="CE21" s="186">
        <f t="shared" si="111"/>
        <v>195686.27450980392</v>
      </c>
      <c r="CF21" s="186">
        <f t="shared" si="111"/>
        <v>189523.80952380953</v>
      </c>
      <c r="CG21" s="186">
        <f t="shared" si="111"/>
        <v>183272.72727272726</v>
      </c>
      <c r="CH21" s="186">
        <f t="shared" si="111"/>
        <v>183392.85714285713</v>
      </c>
      <c r="CI21" s="186">
        <f t="shared" si="111"/>
        <v>181666.66666666666</v>
      </c>
      <c r="CJ21" s="186">
        <f t="shared" si="111"/>
        <v>186666.66666666666</v>
      </c>
      <c r="CK21" s="186">
        <f t="shared" ref="CK21:CL21" si="116">+CK12*10^7/CK6</f>
        <v>211428.57142857142</v>
      </c>
      <c r="CL21" s="186">
        <f t="shared" si="116"/>
        <v>209636.36363636365</v>
      </c>
      <c r="CM21" s="188">
        <f t="shared" si="113"/>
        <v>172583.33333333331</v>
      </c>
      <c r="CN21" s="188">
        <f t="shared" si="113"/>
        <v>177333.33333333331</v>
      </c>
      <c r="CO21" s="188">
        <f t="shared" si="113"/>
        <v>200857.14285714284</v>
      </c>
      <c r="CP21" s="188">
        <f t="shared" si="113"/>
        <v>199154.54545454544</v>
      </c>
      <c r="CQ21" s="188">
        <f t="shared" si="113"/>
        <v>172583.33333333331</v>
      </c>
      <c r="CR21" s="188">
        <f t="shared" si="113"/>
        <v>177333.33333333331</v>
      </c>
      <c r="CS21" s="188">
        <f t="shared" si="113"/>
        <v>200857.14285714284</v>
      </c>
      <c r="CT21" s="188">
        <f t="shared" si="113"/>
        <v>199154.54545454544</v>
      </c>
      <c r="CU21" s="188">
        <f t="shared" si="113"/>
        <v>172583.33333333331</v>
      </c>
      <c r="CV21" s="188">
        <f t="shared" si="113"/>
        <v>177333.33333333331</v>
      </c>
      <c r="CW21" s="188">
        <f t="shared" si="113"/>
        <v>200857.14285714284</v>
      </c>
      <c r="CX21" s="188">
        <f t="shared" si="113"/>
        <v>199154.54545454544</v>
      </c>
      <c r="CY21" s="188">
        <f t="shared" si="113"/>
        <v>172583.33333333331</v>
      </c>
      <c r="CZ21" s="188">
        <f t="shared" si="113"/>
        <v>177333.33333333331</v>
      </c>
      <c r="DA21" s="188">
        <f t="shared" si="113"/>
        <v>200857.14285714284</v>
      </c>
      <c r="DB21" s="188">
        <f t="shared" si="113"/>
        <v>199154.54545454544</v>
      </c>
      <c r="DE21" s="191"/>
      <c r="DF21" s="188">
        <v>203639.42857142858</v>
      </c>
    </row>
    <row r="22" spans="1:110" s="190" customFormat="1" x14ac:dyDescent="0.2">
      <c r="A22" s="189" t="s">
        <v>525</v>
      </c>
      <c r="B22" s="186"/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>
        <f t="shared" ref="R22:AE22" si="117">+R13*10^7/R7</f>
        <v>41610738.25503356</v>
      </c>
      <c r="S22" s="186">
        <f t="shared" si="117"/>
        <v>38702702.702702701</v>
      </c>
      <c r="T22" s="186">
        <f t="shared" si="117"/>
        <v>37820324.005891018</v>
      </c>
      <c r="U22" s="186">
        <f t="shared" si="117"/>
        <v>41656724.049769893</v>
      </c>
      <c r="V22" s="186">
        <f t="shared" si="117"/>
        <v>59564625.850340135</v>
      </c>
      <c r="W22" s="186">
        <f t="shared" si="117"/>
        <v>63979312.442957103</v>
      </c>
      <c r="X22" s="186">
        <f t="shared" si="117"/>
        <v>61456582.633053221</v>
      </c>
      <c r="Y22" s="186">
        <f t="shared" si="117"/>
        <v>71957104.557640746</v>
      </c>
      <c r="Z22" s="186">
        <f t="shared" si="117"/>
        <v>89098837.209302321</v>
      </c>
      <c r="AA22" s="188">
        <f t="shared" si="117"/>
        <v>157961476.72552168</v>
      </c>
      <c r="AB22" s="188">
        <f t="shared" si="117"/>
        <v>224000000</v>
      </c>
      <c r="AC22" s="188">
        <f t="shared" si="117"/>
        <v>223999999.99999997</v>
      </c>
      <c r="AD22" s="188">
        <f t="shared" si="117"/>
        <v>224000000.00000003</v>
      </c>
      <c r="AE22" s="188">
        <f t="shared" si="117"/>
        <v>224000000.00000003</v>
      </c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>
        <f t="shared" si="115"/>
        <v>37727272.727272727</v>
      </c>
      <c r="AZ22" s="186">
        <f t="shared" si="111"/>
        <v>45046728.971962616</v>
      </c>
      <c r="BA22" s="186">
        <f t="shared" si="111"/>
        <v>41282051.28205128</v>
      </c>
      <c r="BB22" s="186">
        <f t="shared" si="111"/>
        <v>41703703.703703701</v>
      </c>
      <c r="BC22" s="186">
        <f t="shared" si="111"/>
        <v>39545454.545454547</v>
      </c>
      <c r="BD22" s="186">
        <f t="shared" si="111"/>
        <v>38150684.93150685</v>
      </c>
      <c r="BE22" s="186">
        <f t="shared" si="111"/>
        <v>39318181.81818182</v>
      </c>
      <c r="BF22" s="186">
        <f t="shared" si="111"/>
        <v>38143712.574850298</v>
      </c>
      <c r="BG22" s="186">
        <f t="shared" si="111"/>
        <v>38794326.241134755</v>
      </c>
      <c r="BH22" s="186">
        <f t="shared" si="111"/>
        <v>37204968.944099382</v>
      </c>
      <c r="BI22" s="186">
        <f t="shared" si="111"/>
        <v>38033707.865168542</v>
      </c>
      <c r="BJ22" s="186">
        <f t="shared" si="111"/>
        <v>37437185.929648243</v>
      </c>
      <c r="BK22" s="186">
        <f t="shared" si="111"/>
        <v>37161290.322580643</v>
      </c>
      <c r="BL22" s="186">
        <f t="shared" si="111"/>
        <v>42835931.700074241</v>
      </c>
      <c r="BM22" s="186">
        <f t="shared" si="111"/>
        <v>45098039.215686277</v>
      </c>
      <c r="BN22" s="186">
        <f t="shared" si="111"/>
        <v>41736111.111111112</v>
      </c>
      <c r="BO22" s="186">
        <f t="shared" si="111"/>
        <v>44041095.89041096</v>
      </c>
      <c r="BP22" s="186">
        <f t="shared" si="111"/>
        <v>60935960.591133006</v>
      </c>
      <c r="BQ22" s="186">
        <f t="shared" si="111"/>
        <v>62622950.81967213</v>
      </c>
      <c r="BR22" s="186">
        <f t="shared" si="111"/>
        <v>66600985.221674874</v>
      </c>
      <c r="BS22" s="186">
        <f t="shared" si="111"/>
        <v>69125000</v>
      </c>
      <c r="BT22" s="186">
        <f t="shared" si="111"/>
        <v>64671052.631578945</v>
      </c>
      <c r="BU22" s="186">
        <f t="shared" si="111"/>
        <v>62485549.132947974</v>
      </c>
      <c r="BV22" s="186">
        <f t="shared" si="111"/>
        <v>60092807.424593963</v>
      </c>
      <c r="BW22" s="186">
        <f t="shared" si="111"/>
        <v>62655367.231638417</v>
      </c>
      <c r="BX22" s="186">
        <f t="shared" si="111"/>
        <v>55618556.701030925</v>
      </c>
      <c r="BY22" s="186">
        <f t="shared" si="111"/>
        <v>61055900.621118009</v>
      </c>
      <c r="BZ22" s="186">
        <f t="shared" si="111"/>
        <v>66868131.868131869</v>
      </c>
      <c r="CA22" s="186">
        <f t="shared" si="111"/>
        <v>72513966.480446935</v>
      </c>
      <c r="CB22" s="186">
        <f t="shared" si="111"/>
        <v>71657458.563535914</v>
      </c>
      <c r="CC22" s="186">
        <f t="shared" si="111"/>
        <v>71725888.32487309</v>
      </c>
      <c r="CD22" s="186">
        <f t="shared" si="111"/>
        <v>71957671.957671955</v>
      </c>
      <c r="CE22" s="186">
        <f t="shared" si="111"/>
        <v>85449101.796407193</v>
      </c>
      <c r="CF22" s="186">
        <f t="shared" si="111"/>
        <v>84239130.434782609</v>
      </c>
      <c r="CG22" s="186">
        <f t="shared" si="111"/>
        <v>91562500</v>
      </c>
      <c r="CH22" s="186">
        <f t="shared" si="111"/>
        <v>95367231.638418078</v>
      </c>
      <c r="CI22" s="186">
        <f t="shared" si="111"/>
        <v>98413793.103448272</v>
      </c>
      <c r="CJ22" s="186">
        <f t="shared" si="111"/>
        <v>118472222.22222222</v>
      </c>
      <c r="CK22" s="186">
        <f t="shared" ref="CK22:CL22" si="118">+CK13*10^7/CK7</f>
        <v>169367088.60759494</v>
      </c>
      <c r="CL22" s="186">
        <f t="shared" si="118"/>
        <v>229090909.09090909</v>
      </c>
      <c r="CM22" s="188">
        <v>224000000</v>
      </c>
      <c r="CN22" s="188">
        <f>+CM22</f>
        <v>224000000</v>
      </c>
      <c r="CO22" s="188">
        <f t="shared" ref="CO22:DB22" si="119">+CN22</f>
        <v>224000000</v>
      </c>
      <c r="CP22" s="188">
        <f t="shared" si="119"/>
        <v>224000000</v>
      </c>
      <c r="CQ22" s="188">
        <f t="shared" si="119"/>
        <v>224000000</v>
      </c>
      <c r="CR22" s="188">
        <f t="shared" si="119"/>
        <v>224000000</v>
      </c>
      <c r="CS22" s="188">
        <f t="shared" si="119"/>
        <v>224000000</v>
      </c>
      <c r="CT22" s="188">
        <f t="shared" si="119"/>
        <v>224000000</v>
      </c>
      <c r="CU22" s="188">
        <f t="shared" si="119"/>
        <v>224000000</v>
      </c>
      <c r="CV22" s="188">
        <f t="shared" si="119"/>
        <v>224000000</v>
      </c>
      <c r="CW22" s="188">
        <f t="shared" si="119"/>
        <v>224000000</v>
      </c>
      <c r="CX22" s="188">
        <f t="shared" si="119"/>
        <v>224000000</v>
      </c>
      <c r="CY22" s="188">
        <f t="shared" si="119"/>
        <v>224000000</v>
      </c>
      <c r="CZ22" s="188">
        <f t="shared" si="119"/>
        <v>224000000</v>
      </c>
      <c r="DA22" s="188">
        <f t="shared" si="119"/>
        <v>224000000</v>
      </c>
      <c r="DB22" s="188">
        <f t="shared" si="119"/>
        <v>224000000</v>
      </c>
      <c r="DE22" s="191"/>
      <c r="DF22" s="188">
        <v>250000000</v>
      </c>
    </row>
    <row r="23" spans="1:110" s="158" customFormat="1" x14ac:dyDescent="0.2">
      <c r="A23" s="155" t="s">
        <v>528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7"/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86"/>
      <c r="AZ23" s="186"/>
      <c r="BA23" s="186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6"/>
      <c r="BM23" s="186"/>
      <c r="BN23" s="186"/>
      <c r="BO23" s="186"/>
      <c r="BP23" s="186"/>
      <c r="BQ23" s="186"/>
      <c r="BR23" s="186"/>
      <c r="BS23" s="186"/>
      <c r="BT23" s="186"/>
      <c r="BU23" s="186"/>
      <c r="BV23" s="186"/>
      <c r="BW23" s="186"/>
      <c r="BX23" s="186"/>
      <c r="BY23" s="186"/>
      <c r="BZ23" s="186"/>
      <c r="CA23" s="186"/>
      <c r="CB23" s="186"/>
      <c r="CC23" s="186"/>
      <c r="CD23" s="186"/>
      <c r="CE23" s="186"/>
      <c r="CF23" s="186"/>
      <c r="CG23" s="186"/>
      <c r="CH23" s="186"/>
      <c r="CI23" s="186"/>
      <c r="CJ23" s="186"/>
      <c r="CK23" s="186"/>
      <c r="CL23" s="186"/>
      <c r="CM23" s="157">
        <v>49000</v>
      </c>
      <c r="CN23" s="157">
        <v>49000</v>
      </c>
      <c r="CO23" s="157">
        <v>49000</v>
      </c>
      <c r="CP23" s="157">
        <v>49000</v>
      </c>
      <c r="CQ23" s="157">
        <v>49000</v>
      </c>
      <c r="CR23" s="157">
        <v>49000</v>
      </c>
      <c r="CS23" s="157">
        <v>49000</v>
      </c>
      <c r="CT23" s="157">
        <v>49000</v>
      </c>
      <c r="CU23" s="157">
        <v>49000</v>
      </c>
      <c r="CV23" s="157">
        <v>49000</v>
      </c>
      <c r="CW23" s="157">
        <v>49000</v>
      </c>
      <c r="CX23" s="157">
        <v>49000</v>
      </c>
      <c r="CY23" s="157">
        <v>49000</v>
      </c>
      <c r="CZ23" s="157">
        <v>49000</v>
      </c>
      <c r="DA23" s="157">
        <v>49000</v>
      </c>
      <c r="DB23" s="157">
        <v>49000</v>
      </c>
      <c r="DE23" s="159"/>
      <c r="DF23" s="157">
        <v>49000</v>
      </c>
    </row>
    <row r="24" spans="1:110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  <c r="DF24" s="157"/>
    </row>
    <row r="25" spans="1:110" s="109" customFormat="1" x14ac:dyDescent="0.2">
      <c r="A25" s="151" t="s">
        <v>541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8"/>
      <c r="AB25" s="108"/>
      <c r="AC25" s="108"/>
      <c r="AD25" s="108"/>
      <c r="AE25" s="108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107"/>
      <c r="CB25" s="107"/>
      <c r="CC25" s="107"/>
      <c r="CD25" s="107"/>
      <c r="CE25" s="107"/>
      <c r="CF25" s="107"/>
      <c r="CG25" s="107"/>
      <c r="CH25" s="107"/>
      <c r="CI25" s="107"/>
      <c r="CJ25" s="107"/>
      <c r="CK25" s="107"/>
      <c r="CL25" s="107"/>
      <c r="CM25" s="108"/>
      <c r="CN25" s="108"/>
      <c r="CO25" s="108"/>
      <c r="CP25" s="108"/>
      <c r="CQ25" s="108"/>
      <c r="CR25" s="108"/>
      <c r="CS25" s="108"/>
      <c r="CT25" s="108"/>
      <c r="CU25" s="108"/>
      <c r="CV25" s="108"/>
      <c r="CW25" s="108"/>
      <c r="CX25" s="108"/>
      <c r="CY25" s="108"/>
      <c r="CZ25" s="108"/>
      <c r="DA25" s="108"/>
      <c r="DB25" s="108"/>
      <c r="DE25" s="117"/>
      <c r="DF25" s="108"/>
    </row>
    <row r="26" spans="1:110" s="199" customFormat="1" x14ac:dyDescent="0.2">
      <c r="A26" s="197" t="s">
        <v>542</v>
      </c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>
        <f t="shared" ref="V26:V28" si="120">+V20/R20-1</f>
        <v>8.875578681832641E-3</v>
      </c>
      <c r="W26" s="187">
        <f t="shared" ref="W26:W28" si="121">+W20/S20-1</f>
        <v>0.24203950080801229</v>
      </c>
      <c r="X26" s="187">
        <f t="shared" ref="X26:X28" si="122">+X20/T20-1</f>
        <v>0.41212128096869938</v>
      </c>
      <c r="Y26" s="187">
        <f t="shared" ref="Y26:Y28" si="123">+Y20/U20-1</f>
        <v>0.18940802273993018</v>
      </c>
      <c r="Z26" s="187">
        <f t="shared" ref="Z26:Z28" si="124">+Z20/V20-1</f>
        <v>0.37246970681065505</v>
      </c>
      <c r="AA26" s="198">
        <f t="shared" ref="AA26:AA28" si="125">+AA20/W20-1</f>
        <v>6.9265766171008547E-2</v>
      </c>
      <c r="AB26" s="198">
        <f t="shared" ref="AB26:AB28" si="126">+AB20/X20-1</f>
        <v>-9.6813763703601508E-3</v>
      </c>
      <c r="AC26" s="198">
        <f t="shared" ref="AC26:AC28" si="127">+AC20/Y20-1</f>
        <v>0.28097575755111492</v>
      </c>
      <c r="AD26" s="198">
        <f t="shared" ref="AD26:AD28" si="128">+AD20/Z20-1</f>
        <v>3.7991869650101373E-2</v>
      </c>
      <c r="AE26" s="198">
        <f t="shared" ref="AE26:AE28" si="129">+AE20/AA20-1</f>
        <v>-4.6043607732670688E-2</v>
      </c>
      <c r="AI26" s="187"/>
      <c r="AJ26" s="187"/>
      <c r="AK26" s="187"/>
      <c r="AL26" s="187"/>
      <c r="AM26" s="187"/>
      <c r="AN26" s="187"/>
      <c r="AO26" s="187"/>
      <c r="AP26" s="187"/>
      <c r="AQ26" s="187"/>
      <c r="AR26" s="187"/>
      <c r="AS26" s="187"/>
      <c r="AT26" s="187"/>
      <c r="AU26" s="187"/>
      <c r="AV26" s="187"/>
      <c r="AW26" s="187"/>
      <c r="AX26" s="187"/>
      <c r="AY26" s="187"/>
      <c r="AZ26" s="187"/>
      <c r="BA26" s="187"/>
      <c r="BB26" s="187"/>
      <c r="BC26" s="187">
        <f t="shared" ref="BC26:CI28" si="130">+BC20/AY20-1</f>
        <v>0.38281392937732495</v>
      </c>
      <c r="BD26" s="187">
        <f t="shared" si="130"/>
        <v>0.10974197006460829</v>
      </c>
      <c r="BE26" s="187">
        <f t="shared" si="130"/>
        <v>0.13514927184466008</v>
      </c>
      <c r="BF26" s="187">
        <f t="shared" si="130"/>
        <v>-9.215686274509749E-3</v>
      </c>
      <c r="BG26" s="187">
        <f t="shared" si="130"/>
        <v>0.12799838114658413</v>
      </c>
      <c r="BH26" s="187">
        <f t="shared" si="130"/>
        <v>-3.2342108634383804E-2</v>
      </c>
      <c r="BI26" s="187">
        <f t="shared" si="130"/>
        <v>-7.3308957731935132E-2</v>
      </c>
      <c r="BJ26" s="187">
        <f t="shared" si="130"/>
        <v>-4.102110845377982E-2</v>
      </c>
      <c r="BK26" s="187">
        <f t="shared" si="130"/>
        <v>-6.597061885120814E-2</v>
      </c>
      <c r="BL26" s="187">
        <f t="shared" si="130"/>
        <v>-7.1400540503626653E-2</v>
      </c>
      <c r="BM26" s="187">
        <f t="shared" si="130"/>
        <v>-0.10413500602435177</v>
      </c>
      <c r="BN26" s="187">
        <f t="shared" si="130"/>
        <v>-0.19015601765599022</v>
      </c>
      <c r="BO26" s="187">
        <f t="shared" si="130"/>
        <v>-0.24993445545592785</v>
      </c>
      <c r="BP26" s="187">
        <f t="shared" si="130"/>
        <v>1.0323035106685419E-2</v>
      </c>
      <c r="BQ26" s="187">
        <f t="shared" si="130"/>
        <v>0.14511396975851953</v>
      </c>
      <c r="BR26" s="187">
        <f t="shared" si="130"/>
        <v>0.26901376781513764</v>
      </c>
      <c r="BS26" s="187">
        <f t="shared" si="130"/>
        <v>0.45990765903977082</v>
      </c>
      <c r="BT26" s="187">
        <f t="shared" si="130"/>
        <v>0.30393121114479271</v>
      </c>
      <c r="BU26" s="187">
        <f t="shared" si="130"/>
        <v>0.26859609849696198</v>
      </c>
      <c r="BV26" s="187">
        <f t="shared" si="130"/>
        <v>0.39930407878586216</v>
      </c>
      <c r="BW26" s="187">
        <f t="shared" si="130"/>
        <v>0.45230025363540327</v>
      </c>
      <c r="BX26" s="187">
        <f t="shared" si="130"/>
        <v>0.28722099583026739</v>
      </c>
      <c r="BY26" s="187">
        <f t="shared" si="130"/>
        <v>3.1107413849604804E-3</v>
      </c>
      <c r="BZ26" s="187">
        <f t="shared" si="130"/>
        <v>-9.4678596588481323E-2</v>
      </c>
      <c r="CA26" s="187">
        <f t="shared" si="130"/>
        <v>-0.32656731469550115</v>
      </c>
      <c r="CB26" s="187">
        <f t="shared" si="130"/>
        <v>-0.29254807692307694</v>
      </c>
      <c r="CC26" s="187">
        <f t="shared" si="130"/>
        <v>-0.17292818694541923</v>
      </c>
      <c r="CD26" s="187">
        <f t="shared" si="130"/>
        <v>-0.1898838939195433</v>
      </c>
      <c r="CE26" s="187">
        <f t="shared" si="130"/>
        <v>0.12452637093531838</v>
      </c>
      <c r="CF26" s="187">
        <f t="shared" si="130"/>
        <v>0.17644333240663523</v>
      </c>
      <c r="CG26" s="187">
        <f t="shared" si="130"/>
        <v>0.2439830663495961</v>
      </c>
      <c r="CH26" s="187">
        <f t="shared" si="130"/>
        <v>0.24486443019126369</v>
      </c>
      <c r="CI26" s="187">
        <f t="shared" si="130"/>
        <v>-2.7131945904281474E-2</v>
      </c>
      <c r="CJ26" s="187">
        <f>+CJ20/CF20-1</f>
        <v>3.3473847581686034E-2</v>
      </c>
      <c r="CK26" s="187">
        <f>+CK20/CG20-1</f>
        <v>6.3637854682630834E-2</v>
      </c>
      <c r="CL26" s="187">
        <f>+CL20/CH20-1</f>
        <v>0.12641576996220594</v>
      </c>
      <c r="CM26" s="198">
        <v>0.05</v>
      </c>
      <c r="CN26" s="198">
        <f>CM26</f>
        <v>0.05</v>
      </c>
      <c r="CO26" s="198">
        <v>0.05</v>
      </c>
      <c r="CP26" s="198">
        <f t="shared" ref="CP26:CT26" si="131">CO26</f>
        <v>0.05</v>
      </c>
      <c r="CQ26" s="198">
        <v>-0.03</v>
      </c>
      <c r="CR26" s="198">
        <f t="shared" si="131"/>
        <v>-0.03</v>
      </c>
      <c r="CS26" s="198">
        <f t="shared" si="131"/>
        <v>-0.03</v>
      </c>
      <c r="CT26" s="198">
        <f t="shared" si="131"/>
        <v>-0.03</v>
      </c>
      <c r="CU26" s="198">
        <f t="shared" ref="CU26:DB26" si="132">+AVERAGE(CQ26:CT26)</f>
        <v>-0.03</v>
      </c>
      <c r="CV26" s="198">
        <f t="shared" si="132"/>
        <v>-0.03</v>
      </c>
      <c r="CW26" s="198">
        <f t="shared" si="132"/>
        <v>-0.03</v>
      </c>
      <c r="CX26" s="198">
        <f t="shared" si="132"/>
        <v>-0.03</v>
      </c>
      <c r="CY26" s="198">
        <f t="shared" si="132"/>
        <v>-0.03</v>
      </c>
      <c r="CZ26" s="198">
        <f t="shared" si="132"/>
        <v>-0.03</v>
      </c>
      <c r="DA26" s="198">
        <f t="shared" si="132"/>
        <v>-0.03</v>
      </c>
      <c r="DB26" s="198">
        <f t="shared" si="132"/>
        <v>-0.03</v>
      </c>
      <c r="DE26" s="200"/>
      <c r="DF26" s="198">
        <v>6.8478610574907547E-2</v>
      </c>
    </row>
    <row r="27" spans="1:110" s="199" customFormat="1" x14ac:dyDescent="0.2">
      <c r="A27" s="197" t="s">
        <v>543</v>
      </c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>
        <f t="shared" si="120"/>
        <v>-9.4386040706605168E-2</v>
      </c>
      <c r="W27" s="187">
        <f t="shared" si="121"/>
        <v>8.2278321214219741E-2</v>
      </c>
      <c r="X27" s="187">
        <f t="shared" si="122"/>
        <v>0.15686183288361177</v>
      </c>
      <c r="Y27" s="187">
        <f t="shared" si="123"/>
        <v>0.26812037037037051</v>
      </c>
      <c r="Z27" s="187">
        <f t="shared" si="124"/>
        <v>0.24251955704561601</v>
      </c>
      <c r="AA27" s="198">
        <f t="shared" si="125"/>
        <v>7.0681455284634209E-2</v>
      </c>
      <c r="AB27" s="198">
        <f t="shared" si="126"/>
        <v>1.0256542322712114E-2</v>
      </c>
      <c r="AC27" s="198">
        <f t="shared" si="127"/>
        <v>-5.3653699246989373E-3</v>
      </c>
      <c r="AD27" s="198">
        <f t="shared" si="128"/>
        <v>-2.047079074226188E-3</v>
      </c>
      <c r="AE27" s="198">
        <f t="shared" si="129"/>
        <v>-5.3217854840195478E-2</v>
      </c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7"/>
      <c r="AT27" s="187"/>
      <c r="AU27" s="187"/>
      <c r="AV27" s="187"/>
      <c r="AW27" s="187"/>
      <c r="AX27" s="187"/>
      <c r="AY27" s="187"/>
      <c r="AZ27" s="187"/>
      <c r="BA27" s="187"/>
      <c r="BB27" s="187"/>
      <c r="BC27" s="187">
        <f t="shared" si="130"/>
        <v>0.33720930232558133</v>
      </c>
      <c r="BD27" s="187">
        <f t="shared" si="130"/>
        <v>2.9032258064516148E-2</v>
      </c>
      <c r="BE27" s="187">
        <f t="shared" si="130"/>
        <v>-2.8659476117103178E-2</v>
      </c>
      <c r="BF27" s="187">
        <f t="shared" si="130"/>
        <v>-5.0139860139860049E-2</v>
      </c>
      <c r="BG27" s="187">
        <f t="shared" si="130"/>
        <v>-8.1632653061224358E-3</v>
      </c>
      <c r="BH27" s="187">
        <f t="shared" si="130"/>
        <v>1.5929882924956784E-2</v>
      </c>
      <c r="BI27" s="187">
        <f t="shared" si="130"/>
        <v>-0.12648054145516086</v>
      </c>
      <c r="BJ27" s="187">
        <f t="shared" si="130"/>
        <v>-0.10278591074438836</v>
      </c>
      <c r="BK27" s="187">
        <f t="shared" si="130"/>
        <v>-0.17037037037037039</v>
      </c>
      <c r="BL27" s="187">
        <f t="shared" si="130"/>
        <v>-5.5329550214306744E-2</v>
      </c>
      <c r="BM27" s="187">
        <f t="shared" si="130"/>
        <v>1.4873746108613028E-2</v>
      </c>
      <c r="BN27" s="187">
        <f t="shared" si="130"/>
        <v>-7.3341573959620932E-2</v>
      </c>
      <c r="BO27" s="187">
        <f t="shared" si="130"/>
        <v>-6.7901234567901203E-2</v>
      </c>
      <c r="BP27" s="187">
        <f t="shared" si="130"/>
        <v>-1.3212719298245634E-2</v>
      </c>
      <c r="BQ27" s="187">
        <f t="shared" si="130"/>
        <v>-7.0031253617316436E-3</v>
      </c>
      <c r="BR27" s="187">
        <f t="shared" si="130"/>
        <v>0.117658027223569</v>
      </c>
      <c r="BS27" s="187">
        <f t="shared" si="130"/>
        <v>0.25591296121097451</v>
      </c>
      <c r="BT27" s="187">
        <f t="shared" si="130"/>
        <v>0.24657128030246867</v>
      </c>
      <c r="BU27" s="187">
        <f t="shared" si="130"/>
        <v>0.24221984947524677</v>
      </c>
      <c r="BV27" s="187">
        <f t="shared" si="130"/>
        <v>0.19057833343547625</v>
      </c>
      <c r="BW27" s="187">
        <f t="shared" si="130"/>
        <v>8.5373509102322442E-2</v>
      </c>
      <c r="BX27" s="187">
        <f t="shared" si="130"/>
        <v>-7.6677569630290376E-2</v>
      </c>
      <c r="BY27" s="187">
        <f t="shared" si="130"/>
        <v>3.5748792270531293E-3</v>
      </c>
      <c r="BZ27" s="187">
        <f t="shared" si="130"/>
        <v>1.3593380614657313E-2</v>
      </c>
      <c r="CA27" s="187">
        <f t="shared" si="130"/>
        <v>5.0485829959514339E-2</v>
      </c>
      <c r="CB27" s="187">
        <f t="shared" si="130"/>
        <v>0.12714429868819366</v>
      </c>
      <c r="CC27" s="187">
        <f t="shared" si="130"/>
        <v>-3.5471881060116339E-2</v>
      </c>
      <c r="CD27" s="187">
        <f t="shared" si="130"/>
        <v>-6.7493261455525477E-2</v>
      </c>
      <c r="CE27" s="187">
        <f t="shared" si="130"/>
        <v>1.8138785170676019E-2</v>
      </c>
      <c r="CF27" s="187">
        <f t="shared" si="130"/>
        <v>-3.2868653280470617E-2</v>
      </c>
      <c r="CG27" s="187">
        <f t="shared" si="130"/>
        <v>-1.1245401996847204E-2</v>
      </c>
      <c r="CH27" s="187">
        <f t="shared" si="130"/>
        <v>1.1427828155195385E-2</v>
      </c>
      <c r="CI27" s="187">
        <f t="shared" si="130"/>
        <v>-7.1643286573146336E-2</v>
      </c>
      <c r="CJ27" s="187">
        <f t="shared" ref="CJ27:CL28" si="133">+CJ21/CF21-1</f>
        <v>-1.5075376884422176E-2</v>
      </c>
      <c r="CK27" s="187">
        <f t="shared" si="133"/>
        <v>0.15362811791383213</v>
      </c>
      <c r="CL27" s="187">
        <f t="shared" si="133"/>
        <v>0.14309993803664711</v>
      </c>
      <c r="CM27" s="198">
        <v>-0.05</v>
      </c>
      <c r="CN27" s="198">
        <f>+CM27</f>
        <v>-0.05</v>
      </c>
      <c r="CO27" s="198">
        <f t="shared" ref="CO27:CP27" si="134">+CN27</f>
        <v>-0.05</v>
      </c>
      <c r="CP27" s="198">
        <f t="shared" si="134"/>
        <v>-0.05</v>
      </c>
      <c r="CQ27" s="198">
        <v>0</v>
      </c>
      <c r="CR27" s="198">
        <f>+CQ27</f>
        <v>0</v>
      </c>
      <c r="CS27" s="198">
        <f t="shared" ref="CS27:DB27" si="135">+CR27</f>
        <v>0</v>
      </c>
      <c r="CT27" s="198">
        <f t="shared" si="135"/>
        <v>0</v>
      </c>
      <c r="CU27" s="198">
        <f t="shared" si="135"/>
        <v>0</v>
      </c>
      <c r="CV27" s="198">
        <f t="shared" si="135"/>
        <v>0</v>
      </c>
      <c r="CW27" s="198">
        <f t="shared" si="135"/>
        <v>0</v>
      </c>
      <c r="CX27" s="198">
        <f t="shared" si="135"/>
        <v>0</v>
      </c>
      <c r="CY27" s="198">
        <f t="shared" si="135"/>
        <v>0</v>
      </c>
      <c r="CZ27" s="198">
        <f t="shared" si="135"/>
        <v>0</v>
      </c>
      <c r="DA27" s="198">
        <f t="shared" si="135"/>
        <v>0</v>
      </c>
      <c r="DB27" s="198">
        <f t="shared" si="135"/>
        <v>0</v>
      </c>
      <c r="DE27" s="200"/>
      <c r="DF27" s="198">
        <v>0.1104</v>
      </c>
    </row>
    <row r="28" spans="1:110" s="199" customFormat="1" x14ac:dyDescent="0.2">
      <c r="A28" s="197" t="s">
        <v>544</v>
      </c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>
        <f t="shared" si="120"/>
        <v>0.43147245995172256</v>
      </c>
      <c r="W28" s="187">
        <f t="shared" si="121"/>
        <v>0.65309676004847272</v>
      </c>
      <c r="X28" s="187">
        <f t="shared" si="122"/>
        <v>0.62496182273532463</v>
      </c>
      <c r="Y28" s="187">
        <f t="shared" si="123"/>
        <v>0.72738270229000945</v>
      </c>
      <c r="Z28" s="187">
        <f t="shared" si="124"/>
        <v>0.49583474985923259</v>
      </c>
      <c r="AA28" s="198">
        <f t="shared" si="125"/>
        <v>1.4689461435891098</v>
      </c>
      <c r="AB28" s="198">
        <f t="shared" si="126"/>
        <v>2.6448495897903372</v>
      </c>
      <c r="AC28" s="198">
        <f t="shared" si="127"/>
        <v>2.1129657228017882</v>
      </c>
      <c r="AD28" s="198">
        <f t="shared" si="128"/>
        <v>1.5140619902120722</v>
      </c>
      <c r="AE28" s="198">
        <f t="shared" si="129"/>
        <v>0.41806726958642426</v>
      </c>
      <c r="AI28" s="187"/>
      <c r="AJ28" s="187"/>
      <c r="AK28" s="187"/>
      <c r="AL28" s="187"/>
      <c r="AM28" s="187"/>
      <c r="AN28" s="187"/>
      <c r="AO28" s="187"/>
      <c r="AP28" s="187"/>
      <c r="AQ28" s="187"/>
      <c r="AR28" s="187"/>
      <c r="AS28" s="187"/>
      <c r="AT28" s="187"/>
      <c r="AU28" s="187"/>
      <c r="AV28" s="187"/>
      <c r="AW28" s="187"/>
      <c r="AX28" s="187"/>
      <c r="AY28" s="187"/>
      <c r="AZ28" s="187"/>
      <c r="BA28" s="187"/>
      <c r="BB28" s="187"/>
      <c r="BC28" s="187">
        <f t="shared" si="130"/>
        <v>4.8192771084337505E-2</v>
      </c>
      <c r="BD28" s="187">
        <f t="shared" si="130"/>
        <v>-0.15308645483999317</v>
      </c>
      <c r="BE28" s="187">
        <f t="shared" si="130"/>
        <v>-4.7571993224167053E-2</v>
      </c>
      <c r="BF28" s="187">
        <f t="shared" si="130"/>
        <v>-8.5363908063092242E-2</v>
      </c>
      <c r="BG28" s="187">
        <f t="shared" si="130"/>
        <v>-1.8994049074753327E-2</v>
      </c>
      <c r="BH28" s="187">
        <f t="shared" si="130"/>
        <v>-2.4788964840482985E-2</v>
      </c>
      <c r="BI28" s="187">
        <f t="shared" si="130"/>
        <v>-3.266870169513536E-2</v>
      </c>
      <c r="BJ28" s="187">
        <f t="shared" si="130"/>
        <v>-1.8522755062597041E-2</v>
      </c>
      <c r="BK28" s="187">
        <f t="shared" si="130"/>
        <v>-4.2094710149201076E-2</v>
      </c>
      <c r="BL28" s="187">
        <f t="shared" si="130"/>
        <v>0.15134975020232933</v>
      </c>
      <c r="BM28" s="187">
        <f t="shared" si="130"/>
        <v>0.18573869725142633</v>
      </c>
      <c r="BN28" s="187">
        <f t="shared" si="130"/>
        <v>0.1148303504847128</v>
      </c>
      <c r="BO28" s="187">
        <f t="shared" si="130"/>
        <v>0.18513365677321159</v>
      </c>
      <c r="BP28" s="187">
        <f t="shared" si="130"/>
        <v>0.42254313546371147</v>
      </c>
      <c r="BQ28" s="187">
        <f t="shared" si="130"/>
        <v>0.38859586600142548</v>
      </c>
      <c r="BR28" s="187">
        <f t="shared" si="130"/>
        <v>0.59576403858921489</v>
      </c>
      <c r="BS28" s="187">
        <f t="shared" si="130"/>
        <v>0.56955676516329712</v>
      </c>
      <c r="BT28" s="187">
        <f t="shared" si="130"/>
        <v>6.1295366548951069E-2</v>
      </c>
      <c r="BU28" s="187">
        <f t="shared" si="130"/>
        <v>-2.1941107042339203E-3</v>
      </c>
      <c r="BV28" s="187">
        <f t="shared" si="130"/>
        <v>-9.7718941775697177E-2</v>
      </c>
      <c r="BW28" s="187">
        <f t="shared" si="130"/>
        <v>-9.3593240771957853E-2</v>
      </c>
      <c r="BX28" s="187">
        <f t="shared" si="130"/>
        <v>-0.13997755660664279</v>
      </c>
      <c r="BY28" s="187">
        <f t="shared" si="130"/>
        <v>-2.2879666285530398E-2</v>
      </c>
      <c r="BZ28" s="187">
        <f t="shared" si="130"/>
        <v>0.1127476770333915</v>
      </c>
      <c r="CA28" s="187">
        <f t="shared" si="130"/>
        <v>0.15734644427764732</v>
      </c>
      <c r="CB28" s="187">
        <f t="shared" si="130"/>
        <v>0.2883732123564382</v>
      </c>
      <c r="CC28" s="187">
        <f t="shared" si="130"/>
        <v>0.17475768263525615</v>
      </c>
      <c r="CD28" s="187">
        <f t="shared" si="130"/>
        <v>7.611308926017224E-2</v>
      </c>
      <c r="CE28" s="187">
        <f t="shared" si="130"/>
        <v>0.17838129595969843</v>
      </c>
      <c r="CF28" s="187">
        <f t="shared" si="130"/>
        <v>0.17558077168046671</v>
      </c>
      <c r="CG28" s="187">
        <f t="shared" si="130"/>
        <v>0.27656139419674464</v>
      </c>
      <c r="CH28" s="187">
        <f t="shared" si="130"/>
        <v>0.32532402791625126</v>
      </c>
      <c r="CI28" s="187">
        <f t="shared" si="130"/>
        <v>0.15172413793103434</v>
      </c>
      <c r="CJ28" s="187">
        <f t="shared" ref="CJ28" si="136">+CJ22/CF22-1</f>
        <v>0.40637992831541214</v>
      </c>
      <c r="CK28" s="187">
        <f t="shared" ref="CK28" si="137">+CK22/CG22-1</f>
        <v>0.84974294725018362</v>
      </c>
      <c r="CL28" s="187">
        <f t="shared" si="133"/>
        <v>1.4021973287376133</v>
      </c>
      <c r="CM28" s="198">
        <f t="shared" ref="CM28" si="138">+CM22/CI22-1</f>
        <v>1.2761037140854943</v>
      </c>
      <c r="CN28" s="198">
        <f t="shared" ref="CN28" si="139">+CN22/CJ22-1</f>
        <v>0.89073856975381016</v>
      </c>
      <c r="CO28" s="198">
        <f t="shared" ref="CO28" si="140">+CO22/CK22-1</f>
        <v>0.32257100149476825</v>
      </c>
      <c r="CP28" s="198">
        <f t="shared" ref="CP28" si="141">+CP22/CL22-1</f>
        <v>-2.2222222222222254E-2</v>
      </c>
      <c r="CQ28" s="198">
        <f t="shared" ref="CQ28" si="142">+CQ22/CM22-1</f>
        <v>0</v>
      </c>
      <c r="CR28" s="198">
        <f t="shared" ref="CR28" si="143">+CR22/CN22-1</f>
        <v>0</v>
      </c>
      <c r="CS28" s="198">
        <f t="shared" ref="CS28" si="144">+CS22/CO22-1</f>
        <v>0</v>
      </c>
      <c r="CT28" s="198">
        <f t="shared" ref="CT28" si="145">+CT22/CP22-1</f>
        <v>0</v>
      </c>
      <c r="CU28" s="198">
        <f t="shared" ref="CU28" si="146">+CU22/CQ22-1</f>
        <v>0</v>
      </c>
      <c r="CV28" s="198">
        <f t="shared" ref="CV28" si="147">+CV22/CR22-1</f>
        <v>0</v>
      </c>
      <c r="CW28" s="198">
        <f t="shared" ref="CW28" si="148">+CW22/CS22-1</f>
        <v>0</v>
      </c>
      <c r="CX28" s="198">
        <f t="shared" ref="CX28" si="149">+CX22/CT22-1</f>
        <v>0</v>
      </c>
      <c r="CY28" s="198">
        <f t="shared" ref="CY28" si="150">+CY22/CU22-1</f>
        <v>0</v>
      </c>
      <c r="CZ28" s="198">
        <f t="shared" ref="CZ28" si="151">+CZ22/CV22-1</f>
        <v>0</v>
      </c>
      <c r="DA28" s="198">
        <f t="shared" ref="DA28" si="152">+DA22/CW22-1</f>
        <v>0</v>
      </c>
      <c r="DB28" s="198">
        <f t="shared" ref="DB28" si="153">+DB22/CX22-1</f>
        <v>0</v>
      </c>
      <c r="DE28" s="200"/>
      <c r="DF28" s="198">
        <v>0.38996348431789829</v>
      </c>
    </row>
    <row r="29" spans="1:110" s="158" customFormat="1" x14ac:dyDescent="0.2">
      <c r="A29" s="197" t="s">
        <v>545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7"/>
      <c r="AB29" s="157"/>
      <c r="AC29" s="157"/>
      <c r="AD29" s="157"/>
      <c r="AE29" s="157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/>
      <c r="CC29" s="156"/>
      <c r="CD29" s="156"/>
      <c r="CE29" s="156"/>
      <c r="CF29" s="156"/>
      <c r="CG29" s="156"/>
      <c r="CH29" s="156"/>
      <c r="CI29" s="156"/>
      <c r="CJ29" s="156"/>
      <c r="CK29" s="156"/>
      <c r="CL29" s="156"/>
      <c r="CM29" s="198"/>
      <c r="CN29" s="198"/>
      <c r="CO29" s="198"/>
      <c r="CP29" s="198"/>
      <c r="CQ29" s="198"/>
      <c r="CR29" s="198"/>
      <c r="CS29" s="198"/>
      <c r="CT29" s="198"/>
      <c r="CU29" s="198"/>
      <c r="CV29" s="198"/>
      <c r="CW29" s="198"/>
      <c r="CX29" s="198"/>
      <c r="CY29" s="198"/>
      <c r="CZ29" s="198"/>
      <c r="DA29" s="198"/>
      <c r="DB29" s="198"/>
      <c r="DE29" s="159"/>
      <c r="DF29" s="198"/>
    </row>
    <row r="30" spans="1:110" s="158" customFormat="1" x14ac:dyDescent="0.2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7"/>
      <c r="AB30" s="157"/>
      <c r="AC30" s="157"/>
      <c r="AD30" s="157"/>
      <c r="AE30" s="157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/>
      <c r="CL30" s="156"/>
      <c r="CM30" s="198"/>
      <c r="CN30" s="198"/>
      <c r="CO30" s="198"/>
      <c r="CP30" s="198"/>
      <c r="CQ30" s="198"/>
      <c r="CR30" s="198"/>
      <c r="CS30" s="198"/>
      <c r="CT30" s="198"/>
      <c r="CU30" s="198"/>
      <c r="CV30" s="198"/>
      <c r="CW30" s="198"/>
      <c r="CX30" s="198"/>
      <c r="CY30" s="198"/>
      <c r="CZ30" s="198"/>
      <c r="DA30" s="198"/>
      <c r="DB30" s="198"/>
      <c r="DE30" s="159"/>
      <c r="DF30" s="198"/>
    </row>
    <row r="31" spans="1:110" s="158" customFormat="1" x14ac:dyDescent="0.2">
      <c r="A31" s="155" t="s">
        <v>537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7"/>
      <c r="AB31" s="157"/>
      <c r="AC31" s="157"/>
      <c r="AD31" s="157"/>
      <c r="AE31" s="157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>
        <f t="shared" ref="BX31:CB31" si="154">+BX56*10^7/BX9</f>
        <v>179005.17478086386</v>
      </c>
      <c r="BY31" s="156">
        <f t="shared" si="154"/>
        <v>144713.6761645996</v>
      </c>
      <c r="BZ31" s="156">
        <f t="shared" si="154"/>
        <v>157486.43506969378</v>
      </c>
      <c r="CA31" s="156">
        <f t="shared" si="154"/>
        <v>129638.73901440474</v>
      </c>
      <c r="CB31" s="156">
        <f t="shared" si="154"/>
        <v>129613.80124782704</v>
      </c>
      <c r="CC31" s="156">
        <f t="shared" ref="CC31:CJ31" si="155">+CC56*10^7/CC9</f>
        <v>135842.62163528128</v>
      </c>
      <c r="CD31" s="156">
        <f t="shared" si="155"/>
        <v>133083.38408907724</v>
      </c>
      <c r="CE31" s="156">
        <f t="shared" si="155"/>
        <v>150514.74823299653</v>
      </c>
      <c r="CF31" s="156">
        <f t="shared" si="155"/>
        <v>157858.06174957118</v>
      </c>
      <c r="CG31" s="156">
        <f t="shared" si="155"/>
        <v>173599.32088285231</v>
      </c>
      <c r="CH31" s="156">
        <f t="shared" si="155"/>
        <v>178401.56638055792</v>
      </c>
      <c r="CI31" s="156">
        <f t="shared" si="155"/>
        <v>154889.72285215437</v>
      </c>
      <c r="CJ31" s="156">
        <f t="shared" si="155"/>
        <v>179854.65963163177</v>
      </c>
      <c r="CK31" s="156">
        <f>+CK56*10^7/CK9</f>
        <v>224091.08743772164</v>
      </c>
      <c r="CL31" s="156">
        <f>+CL56*10^7/CL9</f>
        <v>273091.97096847359</v>
      </c>
      <c r="CM31" s="157">
        <f t="shared" ref="CM31:DB31" si="156">+CM56*10^7/CM9</f>
        <v>231183.56393493066</v>
      </c>
      <c r="CN31" s="157">
        <f t="shared" si="156"/>
        <v>249305.38408344836</v>
      </c>
      <c r="CO31" s="157">
        <f t="shared" si="156"/>
        <v>270084.28967446787</v>
      </c>
      <c r="CP31" s="157">
        <f t="shared" si="156"/>
        <v>278889.72649869922</v>
      </c>
      <c r="CQ31" s="157">
        <f t="shared" si="156"/>
        <v>244706.1361302126</v>
      </c>
      <c r="CR31" s="157">
        <f t="shared" si="156"/>
        <v>258700.96889450739</v>
      </c>
      <c r="CS31" s="157">
        <f t="shared" si="156"/>
        <v>278751.06066324672</v>
      </c>
      <c r="CT31" s="157">
        <f t="shared" si="156"/>
        <v>288949.71662315552</v>
      </c>
      <c r="CU31" s="157">
        <f t="shared" si="156"/>
        <v>246590.36405570735</v>
      </c>
      <c r="CV31" s="157">
        <f t="shared" si="156"/>
        <v>257653.96605011864</v>
      </c>
      <c r="CW31" s="157">
        <f t="shared" si="156"/>
        <v>274878.93319177424</v>
      </c>
      <c r="CX31" s="157">
        <f t="shared" si="156"/>
        <v>281824.32055596361</v>
      </c>
      <c r="CY31" s="157">
        <f t="shared" si="156"/>
        <v>244118.72120310523</v>
      </c>
      <c r="CZ31" s="157">
        <f t="shared" si="156"/>
        <v>254103.41849273309</v>
      </c>
      <c r="DA31" s="157">
        <f t="shared" si="156"/>
        <v>270439.8082119184</v>
      </c>
      <c r="DB31" s="157">
        <f t="shared" si="156"/>
        <v>277078.11804493121</v>
      </c>
      <c r="DE31" s="159"/>
      <c r="DF31" s="157">
        <v>273091.97096847359</v>
      </c>
    </row>
    <row r="32" spans="1:110" s="158" customFormat="1" x14ac:dyDescent="0.2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7"/>
      <c r="AB32" s="157"/>
      <c r="AC32" s="157"/>
      <c r="AD32" s="157"/>
      <c r="AE32" s="157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/>
      <c r="CB32" s="156"/>
      <c r="CC32" s="156"/>
      <c r="CD32" s="156"/>
      <c r="CE32" s="156"/>
      <c r="CF32" s="156"/>
      <c r="CG32" s="156"/>
      <c r="CH32" s="156"/>
      <c r="CI32" s="156"/>
      <c r="CJ32" s="156"/>
      <c r="CK32" s="156"/>
      <c r="CL32" s="156"/>
      <c r="CM32" s="157"/>
      <c r="CN32" s="157"/>
      <c r="CO32" s="157"/>
      <c r="CP32" s="157"/>
      <c r="CQ32" s="157"/>
      <c r="CR32" s="157"/>
      <c r="CS32" s="157"/>
      <c r="CT32" s="157"/>
      <c r="CU32" s="157"/>
      <c r="CV32" s="157"/>
      <c r="CW32" s="157"/>
      <c r="CX32" s="157"/>
      <c r="CY32" s="157"/>
      <c r="CZ32" s="157"/>
      <c r="DA32" s="157"/>
      <c r="DB32" s="157"/>
      <c r="DE32" s="159"/>
      <c r="DF32" s="157"/>
    </row>
    <row r="33" spans="1:110" s="158" customFormat="1" x14ac:dyDescent="0.2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7"/>
      <c r="AB33" s="157"/>
      <c r="AC33" s="157"/>
      <c r="AD33" s="157"/>
      <c r="AE33" s="157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/>
      <c r="CB33" s="156"/>
      <c r="CC33" s="156"/>
      <c r="CD33" s="156"/>
      <c r="CE33" s="156"/>
      <c r="CF33" s="156"/>
      <c r="CG33" s="156"/>
      <c r="CH33" s="156"/>
      <c r="CI33" s="156"/>
      <c r="CJ33" s="156"/>
      <c r="CK33" s="156"/>
      <c r="CL33" s="156"/>
      <c r="CM33" s="157"/>
      <c r="CN33" s="157"/>
      <c r="CO33" s="157"/>
      <c r="CP33" s="157"/>
      <c r="CQ33" s="157"/>
      <c r="CR33" s="157"/>
      <c r="CS33" s="157"/>
      <c r="CT33" s="157"/>
      <c r="CU33" s="157"/>
      <c r="CV33" s="157"/>
      <c r="CW33" s="157"/>
      <c r="CX33" s="157"/>
      <c r="CY33" s="157"/>
      <c r="CZ33" s="157"/>
      <c r="DA33" s="157"/>
      <c r="DB33" s="157"/>
      <c r="DE33" s="159"/>
      <c r="DF33" s="157"/>
    </row>
    <row r="34" spans="1:110" s="106" customFormat="1" x14ac:dyDescent="0.2">
      <c r="A34" s="151" t="s">
        <v>500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57"/>
      <c r="AB34" s="157"/>
      <c r="AC34" s="157"/>
      <c r="AD34" s="105"/>
      <c r="AE34" s="105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5"/>
      <c r="CN34" s="105"/>
      <c r="CO34" s="105"/>
      <c r="CP34" s="105"/>
      <c r="CQ34" s="105"/>
      <c r="CR34" s="105"/>
      <c r="CS34" s="105"/>
      <c r="CT34" s="105"/>
      <c r="CU34" s="105"/>
      <c r="CV34" s="105"/>
      <c r="CW34" s="105"/>
      <c r="CX34" s="105"/>
      <c r="CY34" s="105"/>
      <c r="CZ34" s="105"/>
      <c r="DA34" s="105"/>
      <c r="DB34" s="105"/>
      <c r="DE34" s="118"/>
      <c r="DF34" s="105"/>
    </row>
    <row r="35" spans="1:110" s="106" customFormat="1" x14ac:dyDescent="0.2">
      <c r="A35" s="151" t="s">
        <v>485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57"/>
      <c r="AC35" s="157"/>
      <c r="AD35" s="105"/>
      <c r="AE35" s="105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8"/>
      <c r="CG35" s="118"/>
      <c r="CH35" s="118"/>
      <c r="CI35" s="118"/>
      <c r="CJ35" s="160"/>
      <c r="CK35" s="160"/>
      <c r="CL35" s="160"/>
      <c r="CM35" s="105"/>
      <c r="CN35" s="105"/>
      <c r="CO35" s="105"/>
      <c r="CP35" s="105"/>
      <c r="CQ35" s="105"/>
      <c r="CR35" s="105"/>
      <c r="CS35" s="105"/>
      <c r="CT35" s="105"/>
      <c r="CU35" s="105"/>
      <c r="CV35" s="105"/>
      <c r="CW35" s="105"/>
      <c r="CX35" s="105"/>
      <c r="CY35" s="105"/>
      <c r="CZ35" s="105"/>
      <c r="DA35" s="105"/>
      <c r="DB35" s="105"/>
      <c r="DE35" s="118"/>
    </row>
    <row r="36" spans="1:110" s="25" customFormat="1" outlineLevel="1" x14ac:dyDescent="0.2">
      <c r="A36" s="25" t="s">
        <v>430</v>
      </c>
      <c r="B36" s="25">
        <f>'Annual Raw'!C6</f>
        <v>1613.0481</v>
      </c>
      <c r="C36" s="25">
        <f>'Annual Raw'!D6</f>
        <v>1418.4069999999999</v>
      </c>
      <c r="D36" s="25">
        <f>'Annual Raw'!E6</f>
        <v>1649.492</v>
      </c>
      <c r="E36" s="25">
        <f>'Annual Raw'!F6</f>
        <v>2079.0129999999999</v>
      </c>
      <c r="F36" s="25">
        <f>'Annual Raw'!G6</f>
        <v>2456.11</v>
      </c>
      <c r="G36" s="25">
        <f>'Annual Raw'!H6</f>
        <v>4326.26</v>
      </c>
      <c r="H36" s="25">
        <f>'Annual Raw'!I6</f>
        <v>9220.4500000000007</v>
      </c>
      <c r="I36" s="25">
        <f>'Annual Raw'!J6</f>
        <v>8736.91</v>
      </c>
      <c r="J36" s="25">
        <f>'Annual Raw'!K6</f>
        <v>6141.47</v>
      </c>
      <c r="K36" s="25">
        <f>'Annual Raw'!L6</f>
        <v>8437.8700000000008</v>
      </c>
      <c r="L36" s="25">
        <f>'Annual Raw'!M6</f>
        <v>10616.85</v>
      </c>
      <c r="M36" s="25">
        <f>'Annual Raw'!N6</f>
        <v>12061.09</v>
      </c>
      <c r="N36" s="25">
        <f>'Annual Raw'!O6</f>
        <v>13658.14</v>
      </c>
      <c r="O36" s="25">
        <f>'Annual Raw'!P6</f>
        <v>14933.05</v>
      </c>
      <c r="P36" s="25">
        <f>'Annual Raw'!Q6</f>
        <v>16100.08</v>
      </c>
      <c r="Q36" s="25">
        <f>'Annual Raw'!R6</f>
        <v>15463</v>
      </c>
      <c r="R36" s="25">
        <f>'Annual Raw'!S6</f>
        <v>18798</v>
      </c>
      <c r="S36" s="25">
        <f>'Annual Raw'!T6</f>
        <v>22519</v>
      </c>
      <c r="T36" s="25">
        <f>'Annual Raw'!U6</f>
        <v>21118</v>
      </c>
      <c r="U36" s="25">
        <f>'Annual Raw'!V6</f>
        <v>18561</v>
      </c>
      <c r="V36" s="25">
        <f>'Annual Raw'!W6</f>
        <v>22629</v>
      </c>
      <c r="W36" s="25">
        <f>'Annual Raw'!X6</f>
        <v>29440</v>
      </c>
      <c r="X36" s="25">
        <f>'Annual Raw'!Y6</f>
        <v>34098</v>
      </c>
      <c r="Y36" s="25">
        <f>'Annual Raw'!Z6</f>
        <v>28932</v>
      </c>
      <c r="Z36" s="25">
        <f>'Annual Raw'!AA6</f>
        <v>34083</v>
      </c>
      <c r="AA36" s="25">
        <f>'Annual Raw'!AB6</f>
        <v>40844</v>
      </c>
      <c r="AB36" s="17">
        <f>+SUM(CM36:CP36)</f>
        <v>48418.314968725666</v>
      </c>
      <c r="AC36" s="17">
        <f>+SUM(CQ36:CT36)</f>
        <v>47775.418849550391</v>
      </c>
      <c r="AD36" s="17">
        <f>+SUM(CU36:CX36)</f>
        <v>47363.69191238554</v>
      </c>
      <c r="AE36" s="17">
        <f>+SUM(CY36:DB36)</f>
        <v>46647.738909943153</v>
      </c>
      <c r="AI36" s="25">
        <f>'QTR Raw'!C6+'QTR Raw'!C8</f>
        <v>2747.71</v>
      </c>
      <c r="AJ36" s="25">
        <f>'QTR Raw'!D6+'QTR Raw'!D8</f>
        <v>2865.46</v>
      </c>
      <c r="AK36" s="25">
        <f>'QTR Raw'!E6+'QTR Raw'!E8</f>
        <v>3178.02</v>
      </c>
      <c r="AL36" s="25">
        <f>'QTR Raw'!F6+'QTR Raw'!F8</f>
        <v>3908.65</v>
      </c>
      <c r="AM36" s="25">
        <f>'QTR Raw'!G6+'QTR Raw'!G8</f>
        <v>2984.16</v>
      </c>
      <c r="AN36" s="25">
        <f>'QTR Raw'!H6+'QTR Raw'!H8</f>
        <v>3559.1299999999997</v>
      </c>
      <c r="AO36" s="25">
        <f>'QTR Raw'!I6+'QTR Raw'!I8</f>
        <v>3450.07</v>
      </c>
      <c r="AP36" s="25">
        <f>'QTR Raw'!J6+'QTR Raw'!J8</f>
        <v>3642.68</v>
      </c>
      <c r="AQ36" s="25">
        <f>'QTR Raw'!K6+'QTR Raw'!K8</f>
        <v>3007.19</v>
      </c>
      <c r="AR36" s="25">
        <f>'QTR Raw'!L6+'QTR Raw'!L8</f>
        <v>3802.3799999999997</v>
      </c>
      <c r="AS36" s="25">
        <f>'QTR Raw'!M6+'QTR Raw'!M8</f>
        <v>3853.14</v>
      </c>
      <c r="AT36" s="25">
        <f>'QTR Raw'!N6+'QTR Raw'!N8</f>
        <v>4125.68</v>
      </c>
      <c r="AU36" s="25">
        <f>'QTR Raw'!O6+'QTR Raw'!O8</f>
        <v>3630.17</v>
      </c>
      <c r="AV36" s="25">
        <f>'QTR Raw'!P6+'QTR Raw'!P8</f>
        <v>4357.88</v>
      </c>
      <c r="AW36" s="25">
        <f>'QTR Raw'!Q6+'QTR Raw'!Q8</f>
        <v>3721.5</v>
      </c>
      <c r="AX36" s="25">
        <f>'QTR Raw'!R6+'QTR Raw'!R8</f>
        <v>3453.59</v>
      </c>
      <c r="AY36" s="25">
        <f>'QTR Raw'!S6+'QTR Raw'!S8</f>
        <v>2804</v>
      </c>
      <c r="AZ36" s="25">
        <f>'QTR Raw'!T6+'QTR Raw'!T8</f>
        <v>3852</v>
      </c>
      <c r="BA36" s="25">
        <f>'QTR Raw'!U6+'QTR Raw'!U8</f>
        <v>5391</v>
      </c>
      <c r="BB36" s="25">
        <f>'QTR Raw'!V6+'QTR Raw'!V8</f>
        <v>6255</v>
      </c>
      <c r="BC36" s="25">
        <f>'QTR Raw'!W6+'QTR Raw'!W8</f>
        <v>5013</v>
      </c>
      <c r="BD36" s="25">
        <f>'QTR Raw'!X6+'QTR Raw'!X8</f>
        <v>5309</v>
      </c>
      <c r="BE36" s="25">
        <f>'QTR Raw'!Y6+'QTR Raw'!Y8</f>
        <v>5922</v>
      </c>
      <c r="BF36" s="25">
        <f>'QTR Raw'!Z6+'QTR Raw'!Z8</f>
        <v>6277</v>
      </c>
      <c r="BG36" s="25">
        <f>'QTR Raw'!AA6+'QTR Raw'!AA8</f>
        <v>5310</v>
      </c>
      <c r="BH36" s="25">
        <f>'QTR Raw'!AB6+'QTR Raw'!AB8</f>
        <v>4777</v>
      </c>
      <c r="BI36" s="25">
        <f>'QTR Raw'!AC6+'QTR Raw'!AC8</f>
        <v>5540</v>
      </c>
      <c r="BJ36" s="25">
        <f>'QTR Raw'!AD6+'QTR Raw'!AD8</f>
        <v>5491</v>
      </c>
      <c r="BK36" s="25">
        <f>'QTR Raw'!AE6+'QTR Raw'!AE8</f>
        <v>4987</v>
      </c>
      <c r="BL36" s="25">
        <f>'QTR Raw'!AF6+'QTR Raw'!AF8</f>
        <v>4511</v>
      </c>
      <c r="BM36" s="25">
        <f>'QTR Raw'!AG6+'QTR Raw'!AG8</f>
        <v>4672</v>
      </c>
      <c r="BN36" s="25">
        <f>'QTR Raw'!AH6+'QTR Raw'!AH8</f>
        <v>4391</v>
      </c>
      <c r="BO36" s="25">
        <f>'QTR Raw'!AI6+'QTR Raw'!AI8</f>
        <v>3989</v>
      </c>
      <c r="BP36" s="25">
        <f>'QTR Raw'!AJ6+'QTR Raw'!AJ8</f>
        <v>5660</v>
      </c>
      <c r="BQ36" s="25">
        <f>'QTR Raw'!AK6+'QTR Raw'!AK8</f>
        <v>6033</v>
      </c>
      <c r="BR36" s="25">
        <f>'QTR Raw'!AL6+'QTR Raw'!AL8</f>
        <v>6947</v>
      </c>
      <c r="BS36" s="25">
        <f>'QTR Raw'!AM6+'QTR Raw'!AM8</f>
        <v>6531</v>
      </c>
      <c r="BT36" s="25">
        <f>'QTR Raw'!AN6+'QTR Raw'!AN8</f>
        <v>6122</v>
      </c>
      <c r="BU36" s="25">
        <f>'QTR Raw'!AO6+'QTR Raw'!AO8</f>
        <v>7990</v>
      </c>
      <c r="BV36" s="25">
        <f>'QTR Raw'!AP6+'QTR Raw'!AP8</f>
        <v>8797</v>
      </c>
      <c r="BW36" s="25">
        <f>'QTR Raw'!AQ6+'QTR Raw'!AQ8</f>
        <v>9387</v>
      </c>
      <c r="BX36" s="25">
        <f>'QTR Raw'!AR6+'QTR Raw'!AR8</f>
        <v>8336</v>
      </c>
      <c r="BY36" s="25">
        <f>'QTR Raw'!AS6+'QTR Raw'!AS8</f>
        <v>7866</v>
      </c>
      <c r="BZ36" s="25">
        <f>'QTR Raw'!AT6+'QTR Raw'!AT8</f>
        <v>8509</v>
      </c>
      <c r="CA36" s="25">
        <f>'QTR Raw'!AU6+'QTR Raw'!AU8</f>
        <v>7282</v>
      </c>
      <c r="CB36" s="25">
        <f>'QTR Raw'!AV6+'QTR Raw'!AV8</f>
        <v>6791</v>
      </c>
      <c r="CC36" s="25">
        <f>'QTR Raw'!AW6+'QTR Raw'!AW8</f>
        <v>7310</v>
      </c>
      <c r="CD36" s="25">
        <f>'QTR Raw'!AX6+'QTR Raw'!AX8</f>
        <v>7549</v>
      </c>
      <c r="CE36" s="25">
        <f>'QTR Raw'!AY6+'QTR Raw'!AY8</f>
        <v>8130</v>
      </c>
      <c r="CF36" s="25">
        <f>'QTR Raw'!AZ6+'QTR Raw'!AZ8</f>
        <v>8252</v>
      </c>
      <c r="CG36" s="25">
        <f>'QTR Raw'!BA6+'QTR Raw'!BA8</f>
        <v>8614</v>
      </c>
      <c r="CH36" s="25">
        <f>'QTR Raw'!BB6+'QTR Raw'!BB8</f>
        <v>9087</v>
      </c>
      <c r="CI36" s="25">
        <f>'QTR Raw'!BC6+'QTR Raw'!BC8</f>
        <v>7771</v>
      </c>
      <c r="CJ36" s="25">
        <f>'QTR Raw'!BD6+'QTR Raw'!BD8</f>
        <v>8549</v>
      </c>
      <c r="CK36" s="25">
        <f>'QTR Raw'!BE6+'QTR Raw'!BE8</f>
        <v>10980</v>
      </c>
      <c r="CL36" s="25">
        <f>'QTR Raw'!BF6+'QTR Raw'!BF8</f>
        <v>13544</v>
      </c>
      <c r="CM36" s="17">
        <f t="shared" ref="CM36:DB36" si="157">+CM17</f>
        <v>11375.622108208954</v>
      </c>
      <c r="CN36" s="17">
        <f t="shared" si="157"/>
        <v>11790.061796980197</v>
      </c>
      <c r="CO36" s="17">
        <f t="shared" si="157"/>
        <v>12500.687427914512</v>
      </c>
      <c r="CP36" s="17">
        <f t="shared" si="157"/>
        <v>12751.943635621999</v>
      </c>
      <c r="CQ36" s="17">
        <f t="shared" si="157"/>
        <v>11059.203014952296</v>
      </c>
      <c r="CR36" s="17">
        <f t="shared" si="157"/>
        <v>11571.093673266336</v>
      </c>
      <c r="CS36" s="17">
        <f t="shared" si="157"/>
        <v>12385.429211975046</v>
      </c>
      <c r="CT36" s="17">
        <f t="shared" si="157"/>
        <v>12759.692949356711</v>
      </c>
      <c r="CU36" s="17">
        <f t="shared" si="157"/>
        <v>11057.526246126745</v>
      </c>
      <c r="CV36" s="17">
        <f t="shared" si="157"/>
        <v>11503.67647042355</v>
      </c>
      <c r="CW36" s="17">
        <f t="shared" si="157"/>
        <v>12247.345026338742</v>
      </c>
      <c r="CX36" s="17">
        <f t="shared" si="157"/>
        <v>12555.144169496503</v>
      </c>
      <c r="CY36" s="17">
        <f t="shared" si="157"/>
        <v>10899.483811837094</v>
      </c>
      <c r="CZ36" s="17">
        <f t="shared" si="157"/>
        <v>11333.06445699096</v>
      </c>
      <c r="DA36" s="17">
        <f t="shared" si="157"/>
        <v>12058.458788083004</v>
      </c>
      <c r="DB36" s="17">
        <f t="shared" si="157"/>
        <v>12356.731853032101</v>
      </c>
      <c r="DE36" s="119"/>
      <c r="DF36" s="25">
        <v>12940.126384154781</v>
      </c>
    </row>
    <row r="37" spans="1:110" s="92" customFormat="1" outlineLevel="1" x14ac:dyDescent="0.2">
      <c r="A37" s="92" t="s">
        <v>109</v>
      </c>
      <c r="B37" s="92">
        <f>'Annual Raw'!C7+'Annual Raw'!C8+'Annual Raw'!C9</f>
        <v>209.3657</v>
      </c>
      <c r="C37" s="92">
        <f>'Annual Raw'!D7+'Annual Raw'!D8+'Annual Raw'!D9</f>
        <v>183.91800000000001</v>
      </c>
      <c r="D37" s="92">
        <f>'Annual Raw'!E7+'Annual Raw'!E8+'Annual Raw'!E9</f>
        <v>197.459</v>
      </c>
      <c r="E37" s="92">
        <f>'Annual Raw'!F7+'Annual Raw'!F8+'Annual Raw'!F9</f>
        <v>237.51900000000001</v>
      </c>
      <c r="F37" s="92">
        <f>'Annual Raw'!G7+'Annual Raw'!G8+'Annual Raw'!G9</f>
        <v>254</v>
      </c>
      <c r="G37" s="92">
        <f>'Annual Raw'!H7+'Annual Raw'!H8+'Annual Raw'!H9</f>
        <v>449.29</v>
      </c>
      <c r="H37" s="92">
        <f>'Annual Raw'!I7+'Annual Raw'!I8+'Annual Raw'!I9</f>
        <v>660.23</v>
      </c>
      <c r="I37" s="92">
        <f>'Annual Raw'!J7+'Annual Raw'!J8+'Annual Raw'!J9</f>
        <v>859.14</v>
      </c>
      <c r="J37" s="92">
        <f>'Annual Raw'!K7+'Annual Raw'!K8+'Annual Raw'!K9</f>
        <v>461.2</v>
      </c>
      <c r="K37" s="92">
        <f>'Annual Raw'!L7+'Annual Raw'!L8+'Annual Raw'!L9</f>
        <v>420.9</v>
      </c>
      <c r="L37" s="92">
        <f>'Annual Raw'!M7+'Annual Raw'!M8+'Annual Raw'!M9</f>
        <v>577.67999999999995</v>
      </c>
      <c r="M37" s="92">
        <f>'Annual Raw'!N7+'Annual Raw'!N8+'Annual Raw'!N9</f>
        <v>655.78</v>
      </c>
      <c r="N37" s="92">
        <f>'Annual Raw'!O7+'Annual Raw'!O8+'Annual Raw'!O9</f>
        <v>958.3</v>
      </c>
      <c r="O37" s="92">
        <f>'Annual Raw'!P7+'Annual Raw'!P8+'Annual Raw'!P9</f>
        <v>1297.01</v>
      </c>
      <c r="P37" s="92">
        <f>'Annual Raw'!Q7+'Annual Raw'!Q8+'Annual Raw'!Q9</f>
        <v>1311.69</v>
      </c>
      <c r="Q37" s="92">
        <f>'Annual Raw'!R7+'Annual Raw'!R8+'Annual Raw'!R9</f>
        <v>1282</v>
      </c>
      <c r="R37" s="92">
        <f>'Annual Raw'!S7+'Annual Raw'!S8+'Annual Raw'!S9</f>
        <v>1525</v>
      </c>
      <c r="S37" s="92">
        <f>'Annual Raw'!T7+'Annual Raw'!T8+'Annual Raw'!T9</f>
        <v>437</v>
      </c>
      <c r="T37" s="92">
        <f>'Annual Raw'!U7+'Annual Raw'!U8+'Annual Raw'!U9</f>
        <v>0</v>
      </c>
      <c r="U37" s="92">
        <f>'Annual Raw'!V7+'Annual Raw'!V8+'Annual Raw'!V9</f>
        <v>0</v>
      </c>
      <c r="V37" s="92">
        <f>'Annual Raw'!W7+'Annual Raw'!W8+'Annual Raw'!W9</f>
        <v>0</v>
      </c>
      <c r="W37" s="92">
        <f>'Annual Raw'!X7+'Annual Raw'!X8+'Annual Raw'!X9</f>
        <v>0</v>
      </c>
      <c r="X37" s="92">
        <f>'Annual Raw'!Y7+'Annual Raw'!Y8+'Annual Raw'!Y9</f>
        <v>0</v>
      </c>
      <c r="Y37" s="92">
        <f>'Annual Raw'!Z7+'Annual Raw'!Z8+'Annual Raw'!Z9</f>
        <v>0</v>
      </c>
      <c r="Z37" s="92">
        <f>'Annual Raw'!AA7+'Annual Raw'!AA8+'Annual Raw'!AA9</f>
        <v>0</v>
      </c>
      <c r="AA37" s="92">
        <f>'Annual Raw'!AB7+'Annual Raw'!AB8+'Annual Raw'!AB9</f>
        <v>0</v>
      </c>
      <c r="AB37" s="76">
        <f>+SUM(CM37:CP37)</f>
        <v>0</v>
      </c>
      <c r="AC37" s="76">
        <f>+SUM(CQ37:CT37)</f>
        <v>0</v>
      </c>
      <c r="AD37" s="76">
        <f>+SUM(CU37:CX37)</f>
        <v>0</v>
      </c>
      <c r="AE37" s="76">
        <f>+SUM(CY37:DB37)</f>
        <v>0</v>
      </c>
      <c r="AI37" s="92">
        <f>+'QTR Raw'!C20+'QTR Raw'!C19+'QTR Raw'!C13+'QTR Raw'!C7</f>
        <v>0</v>
      </c>
      <c r="AJ37" s="92">
        <f>+'QTR Raw'!D20+'QTR Raw'!D19+'QTR Raw'!D13+'QTR Raw'!D7</f>
        <v>0</v>
      </c>
      <c r="AK37" s="92">
        <f>+'QTR Raw'!E20+'QTR Raw'!E19+'QTR Raw'!E13+'QTR Raw'!E7</f>
        <v>0</v>
      </c>
      <c r="AL37" s="92">
        <f>+'QTR Raw'!F20+'QTR Raw'!F19+'QTR Raw'!F13+'QTR Raw'!F7</f>
        <v>0</v>
      </c>
      <c r="AM37" s="92">
        <f>+'QTR Raw'!G20+'QTR Raw'!G19+'QTR Raw'!G13+'QTR Raw'!G7</f>
        <v>0</v>
      </c>
      <c r="AN37" s="92">
        <f>+'QTR Raw'!H20+'QTR Raw'!H19+'QTR Raw'!H13+'QTR Raw'!H7</f>
        <v>0</v>
      </c>
      <c r="AO37" s="92">
        <f>+'QTR Raw'!I20+'QTR Raw'!I19+'QTR Raw'!I13+'QTR Raw'!I7</f>
        <v>0</v>
      </c>
      <c r="AP37" s="92">
        <f>+'QTR Raw'!J20+'QTR Raw'!J19+'QTR Raw'!J13+'QTR Raw'!J7</f>
        <v>0</v>
      </c>
      <c r="AQ37" s="92">
        <f>+'QTR Raw'!K20+'QTR Raw'!K19+'QTR Raw'!K13+'QTR Raw'!K7</f>
        <v>0</v>
      </c>
      <c r="AR37" s="92">
        <f>+'QTR Raw'!L20+'QTR Raw'!L19+'QTR Raw'!L13+'QTR Raw'!L7</f>
        <v>0</v>
      </c>
      <c r="AS37" s="92">
        <f>+'QTR Raw'!M20+'QTR Raw'!M19+'QTR Raw'!M13+'QTR Raw'!M7</f>
        <v>0</v>
      </c>
      <c r="AT37" s="92">
        <f>+'QTR Raw'!N20+'QTR Raw'!N19+'QTR Raw'!N13+'QTR Raw'!N7</f>
        <v>0</v>
      </c>
      <c r="AU37" s="92">
        <f>+'QTR Raw'!O20+'QTR Raw'!O19+'QTR Raw'!O13+'QTR Raw'!O7</f>
        <v>0</v>
      </c>
      <c r="AV37" s="92">
        <f>+'QTR Raw'!P20+'QTR Raw'!P19+'QTR Raw'!P13+'QTR Raw'!P7</f>
        <v>324.58</v>
      </c>
      <c r="AW37" s="92">
        <f>+'QTR Raw'!Q20+'QTR Raw'!Q19+'QTR Raw'!Q13+'QTR Raw'!Q7</f>
        <v>290.92</v>
      </c>
      <c r="AX37" s="92">
        <f>+'QTR Raw'!R20+'QTR Raw'!R19+'QTR Raw'!R13+'QTR Raw'!R7</f>
        <v>0</v>
      </c>
      <c r="AY37" s="92">
        <f>+'QTR Raw'!S20+'QTR Raw'!S19+'QTR Raw'!S13+'QTR Raw'!S7</f>
        <v>0</v>
      </c>
      <c r="AZ37" s="92">
        <f>+'QTR Raw'!T20+'QTR Raw'!T19+'QTR Raw'!T13+'QTR Raw'!T7</f>
        <v>352</v>
      </c>
      <c r="BA37" s="92">
        <f>+'QTR Raw'!U20+'QTR Raw'!U19+'QTR Raw'!U13+'QTR Raw'!U7</f>
        <v>404</v>
      </c>
      <c r="BB37" s="92">
        <f>+'QTR Raw'!V20+'QTR Raw'!V19+'QTR Raw'!V13+'QTR Raw'!V7</f>
        <v>0</v>
      </c>
      <c r="BC37" s="92">
        <f>+'QTR Raw'!W20+'QTR Raw'!W19+'QTR Raw'!W13+'QTR Raw'!W7</f>
        <v>437</v>
      </c>
      <c r="BD37" s="92">
        <f>+'QTR Raw'!X20+'QTR Raw'!X19+'QTR Raw'!X13+'QTR Raw'!X7</f>
        <v>0</v>
      </c>
      <c r="BE37" s="92">
        <f>+'QTR Raw'!Y20+'QTR Raw'!Y19+'QTR Raw'!Y13+'QTR Raw'!Y7</f>
        <v>0</v>
      </c>
      <c r="BF37" s="92">
        <f>+'QTR Raw'!Z20+'QTR Raw'!Z19+'QTR Raw'!Z13+'QTR Raw'!Z7</f>
        <v>0</v>
      </c>
      <c r="BG37" s="92">
        <f>+'QTR Raw'!AA20+'QTR Raw'!AA19+'QTR Raw'!AA13+'QTR Raw'!AA7</f>
        <v>0</v>
      </c>
      <c r="BH37" s="92">
        <f>+'QTR Raw'!AB20+'QTR Raw'!AB19+'QTR Raw'!AB13+'QTR Raw'!AB7</f>
        <v>0</v>
      </c>
      <c r="BI37" s="92">
        <f>+'QTR Raw'!AC20+'QTR Raw'!AC19+'QTR Raw'!AC13+'QTR Raw'!AC7</f>
        <v>0</v>
      </c>
      <c r="BJ37" s="92">
        <f>+'QTR Raw'!AD20+'QTR Raw'!AD19+'QTR Raw'!AD13+'QTR Raw'!AD7</f>
        <v>0</v>
      </c>
      <c r="BK37" s="92">
        <f>+'QTR Raw'!AE20+'QTR Raw'!AE19+'QTR Raw'!AE13+'QTR Raw'!AE7</f>
        <v>0</v>
      </c>
      <c r="BL37" s="92">
        <f>+'QTR Raw'!AF20+'QTR Raw'!AF19+'QTR Raw'!AF13+'QTR Raw'!AF7</f>
        <v>0</v>
      </c>
      <c r="BM37" s="92">
        <f>+'QTR Raw'!AG20+'QTR Raw'!AG19+'QTR Raw'!AG13+'QTR Raw'!AG7</f>
        <v>0</v>
      </c>
      <c r="BN37" s="92">
        <f>+'QTR Raw'!AH20+'QTR Raw'!AH19+'QTR Raw'!AH13+'QTR Raw'!AH7</f>
        <v>0</v>
      </c>
      <c r="BO37" s="92">
        <f>+'QTR Raw'!AI20+'QTR Raw'!AI19+'QTR Raw'!AI13+'QTR Raw'!AI7</f>
        <v>0</v>
      </c>
      <c r="BP37" s="92">
        <f>+'QTR Raw'!AJ20+'QTR Raw'!AJ19+'QTR Raw'!AJ13+'QTR Raw'!AJ7</f>
        <v>0</v>
      </c>
      <c r="BQ37" s="92">
        <f>+'QTR Raw'!AK20+'QTR Raw'!AK19+'QTR Raw'!AK13+'QTR Raw'!AK7</f>
        <v>0</v>
      </c>
      <c r="BR37" s="92">
        <f>+'QTR Raw'!AL20+'QTR Raw'!AL19+'QTR Raw'!AL13+'QTR Raw'!AL7</f>
        <v>0</v>
      </c>
      <c r="BS37" s="92">
        <f>+'QTR Raw'!AM20+'QTR Raw'!AM19+'QTR Raw'!AM13+'QTR Raw'!AM7</f>
        <v>0</v>
      </c>
      <c r="BT37" s="92">
        <f>+'QTR Raw'!AN20+'QTR Raw'!AN19+'QTR Raw'!AN13+'QTR Raw'!AN7</f>
        <v>0</v>
      </c>
      <c r="BU37" s="92">
        <f>+'QTR Raw'!AO20+'QTR Raw'!AO19+'QTR Raw'!AO13+'QTR Raw'!AO7</f>
        <v>0</v>
      </c>
      <c r="BV37" s="92">
        <f>+'QTR Raw'!AP20+'QTR Raw'!AP19+'QTR Raw'!AP13+'QTR Raw'!AP7</f>
        <v>0</v>
      </c>
      <c r="BW37" s="92">
        <f>+'QTR Raw'!AQ20+'QTR Raw'!AQ19+'QTR Raw'!AQ13+'QTR Raw'!AQ7</f>
        <v>0</v>
      </c>
      <c r="BX37" s="92">
        <f>+'QTR Raw'!AR20+'QTR Raw'!AR19+'QTR Raw'!AR13+'QTR Raw'!AR7</f>
        <v>0</v>
      </c>
      <c r="BY37" s="92">
        <f>+'QTR Raw'!AS20+'QTR Raw'!AS19+'QTR Raw'!AS13+'QTR Raw'!AS7</f>
        <v>0</v>
      </c>
      <c r="BZ37" s="92">
        <f>+'QTR Raw'!AT20+'QTR Raw'!AT19+'QTR Raw'!AT13+'QTR Raw'!AT7</f>
        <v>0</v>
      </c>
      <c r="CA37" s="92">
        <f>+'QTR Raw'!AU20+'QTR Raw'!AU19+'QTR Raw'!AU13+'QTR Raw'!AU7</f>
        <v>0</v>
      </c>
      <c r="CB37" s="92">
        <f>+'QTR Raw'!AV20+'QTR Raw'!AV19+'QTR Raw'!AV13+'QTR Raw'!AV7</f>
        <v>0</v>
      </c>
      <c r="CC37" s="92">
        <f>+'QTR Raw'!AW20+'QTR Raw'!AW19+'QTR Raw'!AW13+'QTR Raw'!AW7</f>
        <v>0</v>
      </c>
      <c r="CD37" s="92">
        <f>+'QTR Raw'!AX20+'QTR Raw'!AX19+'QTR Raw'!AX13+'QTR Raw'!AX7</f>
        <v>0</v>
      </c>
      <c r="CE37" s="92">
        <f>+'QTR Raw'!AY20+'QTR Raw'!AY19+'QTR Raw'!AY13+'QTR Raw'!AY7</f>
        <v>0</v>
      </c>
      <c r="CF37" s="92">
        <f>+'QTR Raw'!AZ20+'QTR Raw'!AZ19+'QTR Raw'!AZ13+'QTR Raw'!AZ7</f>
        <v>0</v>
      </c>
      <c r="CG37" s="92">
        <f>+'QTR Raw'!BA20+'QTR Raw'!BA19+'QTR Raw'!BA13+'QTR Raw'!BA7</f>
        <v>0</v>
      </c>
      <c r="CH37" s="92">
        <f>+'QTR Raw'!BB20+'QTR Raw'!BB19+'QTR Raw'!BB13+'QTR Raw'!BB7</f>
        <v>0</v>
      </c>
      <c r="CI37" s="92">
        <f>+'QTR Raw'!BC20+'QTR Raw'!BC19+'QTR Raw'!BC13+'QTR Raw'!BC7</f>
        <v>0</v>
      </c>
      <c r="CJ37" s="92">
        <f>+'QTR Raw'!BD20+'QTR Raw'!BD19+'QTR Raw'!BD13+'QTR Raw'!BD7</f>
        <v>0</v>
      </c>
      <c r="CK37" s="92">
        <f>+'QTR Raw'!BE20+'QTR Raw'!BE19+'QTR Raw'!BE13+'QTR Raw'!BE7</f>
        <v>0</v>
      </c>
      <c r="CL37" s="92">
        <f>+'QTR Raw'!BF20+'QTR Raw'!BF19+'QTR Raw'!BF13+'QTR Raw'!BF7</f>
        <v>0</v>
      </c>
      <c r="CM37" s="74"/>
      <c r="CN37" s="74"/>
      <c r="CO37" s="74"/>
      <c r="CP37" s="74"/>
      <c r="CQ37" s="74"/>
      <c r="CR37" s="74"/>
      <c r="CS37" s="74"/>
      <c r="CT37" s="74"/>
      <c r="CU37" s="74"/>
      <c r="CV37" s="74"/>
      <c r="CW37" s="74"/>
      <c r="CX37" s="74"/>
      <c r="CY37" s="74"/>
      <c r="CZ37" s="74"/>
      <c r="DA37" s="74"/>
      <c r="DB37" s="74"/>
      <c r="DE37" s="120"/>
      <c r="DF37" s="92">
        <v>0</v>
      </c>
    </row>
    <row r="38" spans="1:110" s="26" customFormat="1" x14ac:dyDescent="0.2">
      <c r="A38" s="26" t="s">
        <v>431</v>
      </c>
      <c r="B38" s="26">
        <f>+B36-B37</f>
        <v>1403.6823999999999</v>
      </c>
      <c r="C38" s="26">
        <f>+C36-C37</f>
        <v>1234.489</v>
      </c>
      <c r="D38" s="26">
        <f t="shared" ref="D38:U38" si="158">+D36-D37</f>
        <v>1452.0329999999999</v>
      </c>
      <c r="E38" s="26">
        <f t="shared" si="158"/>
        <v>1841.4939999999999</v>
      </c>
      <c r="F38" s="26">
        <f t="shared" si="158"/>
        <v>2202.11</v>
      </c>
      <c r="G38" s="26">
        <f t="shared" si="158"/>
        <v>3876.9700000000003</v>
      </c>
      <c r="H38" s="26">
        <f t="shared" si="158"/>
        <v>8560.2200000000012</v>
      </c>
      <c r="I38" s="26">
        <f t="shared" si="158"/>
        <v>7877.7699999999995</v>
      </c>
      <c r="J38" s="26">
        <f t="shared" si="158"/>
        <v>5680.27</v>
      </c>
      <c r="K38" s="26">
        <f t="shared" si="158"/>
        <v>8016.9700000000012</v>
      </c>
      <c r="L38" s="26">
        <f t="shared" si="158"/>
        <v>10039.17</v>
      </c>
      <c r="M38" s="26">
        <f t="shared" si="158"/>
        <v>11405.31</v>
      </c>
      <c r="N38" s="26">
        <f t="shared" si="158"/>
        <v>12699.84</v>
      </c>
      <c r="O38" s="26">
        <f t="shared" si="158"/>
        <v>13636.039999999999</v>
      </c>
      <c r="P38" s="26">
        <f t="shared" si="158"/>
        <v>14788.39</v>
      </c>
      <c r="Q38" s="26">
        <f t="shared" si="158"/>
        <v>14181</v>
      </c>
      <c r="R38" s="26">
        <f t="shared" si="158"/>
        <v>17273</v>
      </c>
      <c r="S38" s="26">
        <f t="shared" si="158"/>
        <v>22082</v>
      </c>
      <c r="T38" s="26">
        <f t="shared" si="158"/>
        <v>21118</v>
      </c>
      <c r="U38" s="26">
        <f t="shared" si="158"/>
        <v>18561</v>
      </c>
      <c r="V38" s="26">
        <f>+V36-V37</f>
        <v>22629</v>
      </c>
      <c r="W38" s="26">
        <f>+W36-W37</f>
        <v>29440</v>
      </c>
      <c r="X38" s="26">
        <f>+X36-X37</f>
        <v>34098</v>
      </c>
      <c r="Y38" s="26">
        <f>+Y36-Y37</f>
        <v>28932</v>
      </c>
      <c r="Z38" s="26">
        <f>+Z36-Z37</f>
        <v>34083</v>
      </c>
      <c r="AA38" s="26">
        <f>+AA36-AA37</f>
        <v>40844</v>
      </c>
      <c r="AB38" s="27">
        <f t="shared" ref="AB38:AD38" si="159">+AB36-AB37</f>
        <v>48418.314968725666</v>
      </c>
      <c r="AC38" s="27">
        <f t="shared" si="159"/>
        <v>47775.418849550391</v>
      </c>
      <c r="AD38" s="27">
        <f t="shared" si="159"/>
        <v>47363.69191238554</v>
      </c>
      <c r="AE38" s="27">
        <f t="shared" ref="AE38" si="160">+AE36-AE37</f>
        <v>46647.738909943153</v>
      </c>
      <c r="AI38" s="26">
        <f t="shared" ref="AI38" si="161">+AI36-AI37</f>
        <v>2747.71</v>
      </c>
      <c r="AJ38" s="26">
        <f t="shared" ref="AJ38" si="162">+AJ36-AJ37</f>
        <v>2865.46</v>
      </c>
      <c r="AK38" s="26">
        <f t="shared" ref="AK38:AM38" si="163">+AK36-AK37</f>
        <v>3178.02</v>
      </c>
      <c r="AL38" s="26">
        <f t="shared" si="163"/>
        <v>3908.65</v>
      </c>
      <c r="AM38" s="26">
        <f t="shared" si="163"/>
        <v>2984.16</v>
      </c>
      <c r="AN38" s="26">
        <f t="shared" ref="AN38:AO38" si="164">+AN36-AN37</f>
        <v>3559.1299999999997</v>
      </c>
      <c r="AO38" s="26">
        <f t="shared" si="164"/>
        <v>3450.07</v>
      </c>
      <c r="AP38" s="26">
        <f t="shared" ref="AP38:AW38" si="165">+AP36-AP37</f>
        <v>3642.68</v>
      </c>
      <c r="AQ38" s="26">
        <f t="shared" si="165"/>
        <v>3007.19</v>
      </c>
      <c r="AR38" s="26">
        <f t="shared" si="165"/>
        <v>3802.3799999999997</v>
      </c>
      <c r="AS38" s="26">
        <f t="shared" si="165"/>
        <v>3853.14</v>
      </c>
      <c r="AT38" s="26">
        <f t="shared" si="165"/>
        <v>4125.68</v>
      </c>
      <c r="AU38" s="26">
        <f t="shared" si="165"/>
        <v>3630.17</v>
      </c>
      <c r="AV38" s="26">
        <f t="shared" si="165"/>
        <v>4033.3</v>
      </c>
      <c r="AW38" s="26">
        <f t="shared" si="165"/>
        <v>3430.58</v>
      </c>
      <c r="AX38" s="26">
        <f t="shared" ref="AX38:CF38" si="166">+AX36-AX37</f>
        <v>3453.59</v>
      </c>
      <c r="AY38" s="26">
        <f t="shared" si="166"/>
        <v>2804</v>
      </c>
      <c r="AZ38" s="26">
        <f t="shared" si="166"/>
        <v>3500</v>
      </c>
      <c r="BA38" s="26">
        <f t="shared" si="166"/>
        <v>4987</v>
      </c>
      <c r="BB38" s="26">
        <f t="shared" si="166"/>
        <v>6255</v>
      </c>
      <c r="BC38" s="26">
        <f t="shared" si="166"/>
        <v>4576</v>
      </c>
      <c r="BD38" s="26">
        <f t="shared" si="166"/>
        <v>5309</v>
      </c>
      <c r="BE38" s="26">
        <f t="shared" si="166"/>
        <v>5922</v>
      </c>
      <c r="BF38" s="26">
        <f t="shared" si="166"/>
        <v>6277</v>
      </c>
      <c r="BG38" s="26">
        <f t="shared" si="166"/>
        <v>5310</v>
      </c>
      <c r="BH38" s="26">
        <f t="shared" si="166"/>
        <v>4777</v>
      </c>
      <c r="BI38" s="26">
        <f t="shared" si="166"/>
        <v>5540</v>
      </c>
      <c r="BJ38" s="26">
        <f t="shared" si="166"/>
        <v>5491</v>
      </c>
      <c r="BK38" s="26">
        <f t="shared" si="166"/>
        <v>4987</v>
      </c>
      <c r="BL38" s="26">
        <f t="shared" si="166"/>
        <v>4511</v>
      </c>
      <c r="BM38" s="26">
        <f t="shared" si="166"/>
        <v>4672</v>
      </c>
      <c r="BN38" s="26">
        <f t="shared" si="166"/>
        <v>4391</v>
      </c>
      <c r="BO38" s="26">
        <f t="shared" si="166"/>
        <v>3989</v>
      </c>
      <c r="BP38" s="26">
        <f t="shared" si="166"/>
        <v>5660</v>
      </c>
      <c r="BQ38" s="26">
        <f t="shared" si="166"/>
        <v>6033</v>
      </c>
      <c r="BR38" s="26">
        <f t="shared" si="166"/>
        <v>6947</v>
      </c>
      <c r="BS38" s="26">
        <f t="shared" si="166"/>
        <v>6531</v>
      </c>
      <c r="BT38" s="26">
        <f t="shared" si="166"/>
        <v>6122</v>
      </c>
      <c r="BU38" s="26">
        <f t="shared" si="166"/>
        <v>7990</v>
      </c>
      <c r="BV38" s="26">
        <f t="shared" si="166"/>
        <v>8797</v>
      </c>
      <c r="BW38" s="26">
        <f t="shared" si="166"/>
        <v>9387</v>
      </c>
      <c r="BX38" s="26">
        <f t="shared" si="166"/>
        <v>8336</v>
      </c>
      <c r="BY38" s="26">
        <f t="shared" si="166"/>
        <v>7866</v>
      </c>
      <c r="BZ38" s="26">
        <f t="shared" si="166"/>
        <v>8509</v>
      </c>
      <c r="CA38" s="26">
        <f t="shared" si="166"/>
        <v>7282</v>
      </c>
      <c r="CB38" s="26">
        <f t="shared" si="166"/>
        <v>6791</v>
      </c>
      <c r="CC38" s="26">
        <f t="shared" si="166"/>
        <v>7310</v>
      </c>
      <c r="CD38" s="26">
        <f t="shared" si="166"/>
        <v>7549</v>
      </c>
      <c r="CE38" s="26">
        <f t="shared" si="166"/>
        <v>8130</v>
      </c>
      <c r="CF38" s="26">
        <f t="shared" si="166"/>
        <v>8252</v>
      </c>
      <c r="CG38" s="26">
        <f t="shared" ref="CG38:CH38" si="167">+CG36-CG37</f>
        <v>8614</v>
      </c>
      <c r="CH38" s="26">
        <f t="shared" si="167"/>
        <v>9087</v>
      </c>
      <c r="CI38" s="26">
        <f t="shared" ref="CI38:CJ38" si="168">+CI36-CI37</f>
        <v>7771</v>
      </c>
      <c r="CJ38" s="26">
        <f t="shared" si="168"/>
        <v>8549</v>
      </c>
      <c r="CK38" s="26">
        <f t="shared" ref="CK38:CL38" si="169">+CK36-CK37</f>
        <v>10980</v>
      </c>
      <c r="CL38" s="26">
        <f t="shared" si="169"/>
        <v>13544</v>
      </c>
      <c r="CM38" s="27">
        <f t="shared" ref="CM38:DB38" si="170">+CM36-CM37</f>
        <v>11375.622108208954</v>
      </c>
      <c r="CN38" s="27">
        <f t="shared" si="170"/>
        <v>11790.061796980197</v>
      </c>
      <c r="CO38" s="27">
        <f t="shared" si="170"/>
        <v>12500.687427914512</v>
      </c>
      <c r="CP38" s="27">
        <f t="shared" si="170"/>
        <v>12751.943635621999</v>
      </c>
      <c r="CQ38" s="27">
        <f t="shared" si="170"/>
        <v>11059.203014952296</v>
      </c>
      <c r="CR38" s="27">
        <f t="shared" si="170"/>
        <v>11571.093673266336</v>
      </c>
      <c r="CS38" s="27">
        <f t="shared" si="170"/>
        <v>12385.429211975046</v>
      </c>
      <c r="CT38" s="27">
        <f t="shared" si="170"/>
        <v>12759.692949356711</v>
      </c>
      <c r="CU38" s="27">
        <f t="shared" si="170"/>
        <v>11057.526246126745</v>
      </c>
      <c r="CV38" s="27">
        <f t="shared" si="170"/>
        <v>11503.67647042355</v>
      </c>
      <c r="CW38" s="27">
        <f t="shared" si="170"/>
        <v>12247.345026338742</v>
      </c>
      <c r="CX38" s="27">
        <f t="shared" si="170"/>
        <v>12555.144169496503</v>
      </c>
      <c r="CY38" s="27">
        <f t="shared" si="170"/>
        <v>10899.483811837094</v>
      </c>
      <c r="CZ38" s="27">
        <f t="shared" si="170"/>
        <v>11333.06445699096</v>
      </c>
      <c r="DA38" s="27">
        <f t="shared" si="170"/>
        <v>12058.458788083004</v>
      </c>
      <c r="DB38" s="27">
        <f t="shared" si="170"/>
        <v>12356.731853032101</v>
      </c>
      <c r="DE38" s="121"/>
      <c r="DF38" s="26">
        <v>12940.126384154781</v>
      </c>
    </row>
    <row r="39" spans="1:110" s="39" customFormat="1" x14ac:dyDescent="0.2">
      <c r="A39" s="39" t="s">
        <v>484</v>
      </c>
      <c r="C39" s="39">
        <f t="shared" ref="C39" si="171">C38/B38-1</f>
        <v>-0.12053538606738956</v>
      </c>
      <c r="D39" s="39">
        <f t="shared" ref="D39" si="172">D38/C38-1</f>
        <v>0.17622190234177859</v>
      </c>
      <c r="E39" s="39">
        <f t="shared" ref="E39" si="173">E38/D38-1</f>
        <v>0.26821773334352605</v>
      </c>
      <c r="F39" s="39">
        <f t="shared" ref="F39:R39" si="174">F38/E38-1</f>
        <v>0.19582795273837461</v>
      </c>
      <c r="G39" s="39">
        <f t="shared" si="174"/>
        <v>0.76057054370580945</v>
      </c>
      <c r="H39" s="39">
        <f t="shared" si="174"/>
        <v>1.2079665305638168</v>
      </c>
      <c r="I39" s="39">
        <f t="shared" si="174"/>
        <v>-7.972341832336105E-2</v>
      </c>
      <c r="J39" s="39">
        <f t="shared" si="174"/>
        <v>-0.27894949966805316</v>
      </c>
      <c r="K39" s="39">
        <f>K38/J38-1</f>
        <v>0.41137129044922172</v>
      </c>
      <c r="L39" s="39">
        <f t="shared" si="174"/>
        <v>0.25223993603568418</v>
      </c>
      <c r="M39" s="39">
        <f t="shared" si="174"/>
        <v>0.13608097083723059</v>
      </c>
      <c r="N39" s="39">
        <f t="shared" si="174"/>
        <v>0.11350239493709524</v>
      </c>
      <c r="O39" s="39">
        <f t="shared" si="174"/>
        <v>7.3717464157028623E-2</v>
      </c>
      <c r="P39" s="39">
        <f t="shared" si="174"/>
        <v>8.4507672315422999E-2</v>
      </c>
      <c r="Q39" s="39">
        <f t="shared" si="174"/>
        <v>-4.1072084249874408E-2</v>
      </c>
      <c r="R39" s="39">
        <f t="shared" si="174"/>
        <v>0.21803822015372676</v>
      </c>
      <c r="S39" s="39">
        <f t="shared" ref="S39:AA39" si="175">S38/R38-1</f>
        <v>0.2784113935043131</v>
      </c>
      <c r="T39" s="39">
        <f t="shared" si="175"/>
        <v>-4.3655465990399378E-2</v>
      </c>
      <c r="U39" s="39">
        <f t="shared" si="175"/>
        <v>-0.12108154181267161</v>
      </c>
      <c r="V39" s="39">
        <f t="shared" si="175"/>
        <v>0.21916922579602383</v>
      </c>
      <c r="W39" s="39">
        <f t="shared" si="175"/>
        <v>0.30098546113394309</v>
      </c>
      <c r="X39" s="39">
        <f t="shared" si="175"/>
        <v>0.15822010869565228</v>
      </c>
      <c r="Y39" s="39">
        <f t="shared" si="175"/>
        <v>-0.15150448706669017</v>
      </c>
      <c r="Z39" s="39">
        <f t="shared" si="175"/>
        <v>0.1780381584404811</v>
      </c>
      <c r="AA39" s="39">
        <f t="shared" si="175"/>
        <v>0.19836868820232967</v>
      </c>
      <c r="AB39" s="40">
        <f t="shared" ref="AB39" si="176">AB38/AA38-1</f>
        <v>0.18544498503392592</v>
      </c>
      <c r="AC39" s="40">
        <f t="shared" ref="AC39" si="177">AC38/AB38-1</f>
        <v>-1.3277953179298696E-2</v>
      </c>
      <c r="AD39" s="40">
        <f t="shared" ref="AD39" si="178">AD38/AC38-1</f>
        <v>-8.6179660394275492E-3</v>
      </c>
      <c r="AE39" s="40">
        <f t="shared" ref="AE39" si="179">AE38/AD38-1</f>
        <v>-1.5116072534353431E-2</v>
      </c>
      <c r="AM39" s="39">
        <f t="shared" ref="AM39:CI39" si="180">+IF(AI38&lt;0,1-AM38/AI38,AM38/AI38-1)</f>
        <v>8.6053477259244948E-2</v>
      </c>
      <c r="AN39" s="39">
        <f t="shared" si="180"/>
        <v>0.24207980568564902</v>
      </c>
      <c r="AO39" s="39">
        <f t="shared" si="180"/>
        <v>8.5603614829359298E-2</v>
      </c>
      <c r="AP39" s="39">
        <f t="shared" si="180"/>
        <v>-6.8046512222890265E-2</v>
      </c>
      <c r="AQ39" s="39">
        <f t="shared" si="180"/>
        <v>7.7174146158383028E-3</v>
      </c>
      <c r="AR39" s="39">
        <f t="shared" si="180"/>
        <v>6.8345354061245311E-2</v>
      </c>
      <c r="AS39" s="39">
        <f t="shared" si="180"/>
        <v>0.11682951360407179</v>
      </c>
      <c r="AT39" s="39">
        <f t="shared" si="180"/>
        <v>0.13259468303556732</v>
      </c>
      <c r="AU39" s="39">
        <f t="shared" si="180"/>
        <v>0.20716349814943524</v>
      </c>
      <c r="AV39" s="39">
        <f t="shared" si="180"/>
        <v>6.07303846538223E-2</v>
      </c>
      <c r="AW39" s="39">
        <f t="shared" si="180"/>
        <v>-0.10966640194750255</v>
      </c>
      <c r="AX39" s="39">
        <f t="shared" si="180"/>
        <v>-0.16290405460433188</v>
      </c>
      <c r="AY39" s="39">
        <f t="shared" si="180"/>
        <v>-0.22758438310051599</v>
      </c>
      <c r="AZ39" s="39">
        <f t="shared" si="180"/>
        <v>-0.13222423325812616</v>
      </c>
      <c r="BA39" s="39">
        <f t="shared" si="180"/>
        <v>0.45369004658104473</v>
      </c>
      <c r="BB39" s="39">
        <f t="shared" si="180"/>
        <v>0.81115882313766252</v>
      </c>
      <c r="BC39" s="39">
        <f t="shared" si="180"/>
        <v>0.63195435092724672</v>
      </c>
      <c r="BD39" s="39">
        <f t="shared" si="180"/>
        <v>0.5168571428571429</v>
      </c>
      <c r="BE39" s="39">
        <f t="shared" si="180"/>
        <v>0.18748746741527977</v>
      </c>
      <c r="BF39" s="39">
        <f t="shared" si="180"/>
        <v>3.5171862509992824E-3</v>
      </c>
      <c r="BG39" s="39">
        <f t="shared" si="180"/>
        <v>0.16040209790209792</v>
      </c>
      <c r="BH39" s="39">
        <f t="shared" si="180"/>
        <v>-0.10020719532868716</v>
      </c>
      <c r="BI39" s="39">
        <f t="shared" si="180"/>
        <v>-6.4505234718000626E-2</v>
      </c>
      <c r="BJ39" s="39">
        <f t="shared" si="180"/>
        <v>-0.12521905368806752</v>
      </c>
      <c r="BK39" s="39">
        <f t="shared" si="180"/>
        <v>-6.0828625235404887E-2</v>
      </c>
      <c r="BL39" s="39">
        <f t="shared" si="180"/>
        <v>-5.5683483357755859E-2</v>
      </c>
      <c r="BM39" s="39">
        <f t="shared" si="180"/>
        <v>-0.15667870036101084</v>
      </c>
      <c r="BN39" s="39">
        <f t="shared" si="180"/>
        <v>-0.20032780914223269</v>
      </c>
      <c r="BO39" s="39">
        <f t="shared" si="180"/>
        <v>-0.20012031281331466</v>
      </c>
      <c r="BP39" s="39">
        <f t="shared" si="180"/>
        <v>0.25471070716027477</v>
      </c>
      <c r="BQ39" s="39">
        <f t="shared" si="180"/>
        <v>0.29130993150684925</v>
      </c>
      <c r="BR39" s="39">
        <f t="shared" si="180"/>
        <v>0.58209974948758836</v>
      </c>
      <c r="BS39" s="39">
        <f t="shared" si="180"/>
        <v>0.63725244422160943</v>
      </c>
      <c r="BT39" s="39">
        <f t="shared" si="180"/>
        <v>8.1625441696113077E-2</v>
      </c>
      <c r="BU39" s="39">
        <f t="shared" si="180"/>
        <v>0.32438256257251785</v>
      </c>
      <c r="BV39" s="39">
        <f t="shared" si="180"/>
        <v>0.26630200086368228</v>
      </c>
      <c r="BW39" s="39">
        <f t="shared" si="180"/>
        <v>0.43729903536977499</v>
      </c>
      <c r="BX39" s="39">
        <f t="shared" si="180"/>
        <v>0.3616465207448547</v>
      </c>
      <c r="BY39" s="39">
        <f t="shared" si="180"/>
        <v>-1.5519399249061316E-2</v>
      </c>
      <c r="BZ39" s="39">
        <f t="shared" si="180"/>
        <v>-3.2738433556894431E-2</v>
      </c>
      <c r="CA39" s="39">
        <f t="shared" si="180"/>
        <v>-0.22424629807180141</v>
      </c>
      <c r="CB39" s="39">
        <f t="shared" si="180"/>
        <v>-0.18534069097888672</v>
      </c>
      <c r="CC39" s="39">
        <f t="shared" si="180"/>
        <v>-7.0683956267480252E-2</v>
      </c>
      <c r="CD39" s="39">
        <f t="shared" si="180"/>
        <v>-0.11282171818074982</v>
      </c>
      <c r="CE39" s="39">
        <f t="shared" si="180"/>
        <v>0.11645152430650918</v>
      </c>
      <c r="CF39" s="39">
        <f t="shared" si="180"/>
        <v>0.21513768222647611</v>
      </c>
      <c r="CG39" s="39">
        <f t="shared" si="180"/>
        <v>0.17838577291381674</v>
      </c>
      <c r="CH39" s="39">
        <f t="shared" si="180"/>
        <v>0.20373559411842623</v>
      </c>
      <c r="CI39" s="39">
        <f t="shared" si="180"/>
        <v>-4.4157441574415701E-2</v>
      </c>
      <c r="CJ39" s="39">
        <f>+IF(CF38&lt;0,1-CJ38/CF38,CJ38/CF38-1)</f>
        <v>3.5991274842462451E-2</v>
      </c>
      <c r="CK39" s="39">
        <f>+IF(CG38&lt;0,1-CK38/CG38,CK38/CG38-1)</f>
        <v>0.274669143255166</v>
      </c>
      <c r="CL39" s="39">
        <f>+IF(CH38&lt;0,1-CL38/CH38,CL38/CH38-1)</f>
        <v>0.49048090678991962</v>
      </c>
      <c r="CM39" s="40">
        <f t="shared" ref="CM39" si="181">+AVERAGE(CI39:CL39)</f>
        <v>0.18924597082828309</v>
      </c>
      <c r="CN39" s="40">
        <f t="shared" ref="CN39" si="182">+AVERAGE(CJ39:CM39)</f>
        <v>0.24759682392895779</v>
      </c>
      <c r="CO39" s="40">
        <f t="shared" ref="CO39" si="183">+AVERAGE(CK39:CN39)</f>
        <v>0.30049821120058162</v>
      </c>
      <c r="CP39" s="40">
        <f t="shared" ref="CP39" si="184">+AVERAGE(CL39:CO39)</f>
        <v>0.30695547818693553</v>
      </c>
      <c r="CQ39" s="40">
        <f t="shared" ref="CQ39" si="185">+AVERAGE(CM39:CP39)</f>
        <v>0.26107412103618949</v>
      </c>
      <c r="CR39" s="40">
        <f t="shared" ref="CR39" si="186">+AVERAGE(CN39:CQ39)</f>
        <v>0.27903115858816613</v>
      </c>
      <c r="CS39" s="40">
        <f t="shared" ref="CS39" si="187">+AVERAGE(CO39:CR39)</f>
        <v>0.28688974225296821</v>
      </c>
      <c r="CT39" s="40">
        <f t="shared" ref="CT39" si="188">+AVERAGE(CP39:CS39)</f>
        <v>0.28348762501606484</v>
      </c>
      <c r="CU39" s="40">
        <f t="shared" ref="CU39" si="189">+AVERAGE(CQ39:CT39)</f>
        <v>0.27762066172334721</v>
      </c>
      <c r="CV39" s="40">
        <f t="shared" ref="CV39" si="190">+AVERAGE(CR39:CU39)</f>
        <v>0.28175729689513662</v>
      </c>
      <c r="CW39" s="40">
        <f t="shared" ref="CW39" si="191">+AVERAGE(CS39:CV39)</f>
        <v>0.2824388314718792</v>
      </c>
      <c r="CX39" s="40">
        <f t="shared" ref="CX39" si="192">+AVERAGE(CT39:CW39)</f>
        <v>0.28132610377660694</v>
      </c>
      <c r="CY39" s="40">
        <f t="shared" ref="CY39" si="193">+AVERAGE(CU39:CX39)</f>
        <v>0.28078572346674247</v>
      </c>
      <c r="CZ39" s="40">
        <f t="shared" ref="CZ39" si="194">+AVERAGE(CV39:CY39)</f>
        <v>0.28157698890259131</v>
      </c>
      <c r="DA39" s="40">
        <f t="shared" ref="DA39" si="195">+AVERAGE(CW39:CZ39)</f>
        <v>0.28153191190445498</v>
      </c>
      <c r="DB39" s="40">
        <f t="shared" ref="DB39" si="196">+AVERAGE(CX39:DA39)</f>
        <v>0.28130518201259891</v>
      </c>
      <c r="DE39" s="122"/>
      <c r="DF39" s="39">
        <v>0.11755964266040975</v>
      </c>
    </row>
    <row r="40" spans="1:110" s="39" customFormat="1" x14ac:dyDescent="0.2">
      <c r="A40" s="39" t="s">
        <v>446</v>
      </c>
      <c r="AB40" s="40"/>
      <c r="AC40" s="40"/>
      <c r="AD40" s="40"/>
      <c r="AE40" s="40"/>
      <c r="AJ40" s="39">
        <f t="shared" ref="AJ40:AL40" si="197">+IF(AI38&lt;0,1-AJ38/AI38,AJ38/AI38-1)</f>
        <v>4.2853867402309564E-2</v>
      </c>
      <c r="AK40" s="39">
        <f t="shared" si="197"/>
        <v>0.10907847256635939</v>
      </c>
      <c r="AL40" s="39">
        <f t="shared" si="197"/>
        <v>0.22990100754557874</v>
      </c>
      <c r="AM40" s="39">
        <f t="shared" ref="AM40:CI40" si="198">+IF(AL38&lt;0,1-AM38/AL38,AM38/AL38-1)</f>
        <v>-0.23652411958092956</v>
      </c>
      <c r="AN40" s="39">
        <f t="shared" si="198"/>
        <v>0.19267398530909863</v>
      </c>
      <c r="AO40" s="39">
        <f t="shared" si="198"/>
        <v>-3.0642319892782655E-2</v>
      </c>
      <c r="AP40" s="39">
        <f t="shared" si="198"/>
        <v>5.5827852768204567E-2</v>
      </c>
      <c r="AQ40" s="39">
        <f t="shared" si="198"/>
        <v>-0.1744567186796534</v>
      </c>
      <c r="AR40" s="39">
        <f t="shared" si="198"/>
        <v>0.26442958376424497</v>
      </c>
      <c r="AS40" s="39">
        <f t="shared" si="198"/>
        <v>1.3349533713095552E-2</v>
      </c>
      <c r="AT40" s="39">
        <f t="shared" si="198"/>
        <v>7.0731922535905989E-2</v>
      </c>
      <c r="AU40" s="39">
        <f t="shared" si="198"/>
        <v>-0.12010383742801189</v>
      </c>
      <c r="AV40" s="39">
        <f t="shared" si="198"/>
        <v>0.11104989573491042</v>
      </c>
      <c r="AW40" s="39">
        <f t="shared" si="198"/>
        <v>-0.14943594575161789</v>
      </c>
      <c r="AX40" s="39">
        <f t="shared" si="198"/>
        <v>6.7073206279988362E-3</v>
      </c>
      <c r="AY40" s="39">
        <f t="shared" si="198"/>
        <v>-0.18809123260143801</v>
      </c>
      <c r="AZ40" s="39">
        <f t="shared" si="198"/>
        <v>0.24821683309557785</v>
      </c>
      <c r="BA40" s="39">
        <f t="shared" si="198"/>
        <v>0.42485714285714282</v>
      </c>
      <c r="BB40" s="39">
        <f t="shared" si="198"/>
        <v>0.25426107880489268</v>
      </c>
      <c r="BC40" s="39">
        <f t="shared" si="198"/>
        <v>-0.26842525979216625</v>
      </c>
      <c r="BD40" s="39">
        <f t="shared" si="198"/>
        <v>0.16018356643356646</v>
      </c>
      <c r="BE40" s="39">
        <f t="shared" si="198"/>
        <v>0.11546430589564882</v>
      </c>
      <c r="BF40" s="39">
        <f t="shared" si="198"/>
        <v>5.9945964201283397E-2</v>
      </c>
      <c r="BG40" s="39">
        <f t="shared" si="198"/>
        <v>-0.15405448462641391</v>
      </c>
      <c r="BH40" s="39">
        <f t="shared" si="198"/>
        <v>-0.10037664783427491</v>
      </c>
      <c r="BI40" s="39">
        <f t="shared" si="198"/>
        <v>0.15972367594724712</v>
      </c>
      <c r="BJ40" s="39">
        <f t="shared" si="198"/>
        <v>-8.8447653429603035E-3</v>
      </c>
      <c r="BK40" s="39">
        <f t="shared" si="198"/>
        <v>-9.1786559825168479E-2</v>
      </c>
      <c r="BL40" s="39">
        <f t="shared" si="198"/>
        <v>-9.5448165229596982E-2</v>
      </c>
      <c r="BM40" s="39">
        <f t="shared" si="198"/>
        <v>3.5690534249612105E-2</v>
      </c>
      <c r="BN40" s="39">
        <f t="shared" si="198"/>
        <v>-6.0145547945205435E-2</v>
      </c>
      <c r="BO40" s="39">
        <f t="shared" si="198"/>
        <v>-9.1550899567296784E-2</v>
      </c>
      <c r="BP40" s="39">
        <f t="shared" si="198"/>
        <v>0.41890198044622706</v>
      </c>
      <c r="BQ40" s="39">
        <f t="shared" si="198"/>
        <v>6.5901060070671313E-2</v>
      </c>
      <c r="BR40" s="39">
        <f t="shared" si="198"/>
        <v>0.15150008287750705</v>
      </c>
      <c r="BS40" s="39">
        <f t="shared" si="198"/>
        <v>-5.9881963437454999E-2</v>
      </c>
      <c r="BT40" s="39">
        <f t="shared" si="198"/>
        <v>-6.2624406675853672E-2</v>
      </c>
      <c r="BU40" s="39">
        <f t="shared" si="198"/>
        <v>0.30512904279647168</v>
      </c>
      <c r="BV40" s="39">
        <f t="shared" si="198"/>
        <v>0.10100125156445561</v>
      </c>
      <c r="BW40" s="39">
        <f t="shared" si="198"/>
        <v>6.7068318745026723E-2</v>
      </c>
      <c r="BX40" s="39">
        <f t="shared" si="198"/>
        <v>-0.11196335357409182</v>
      </c>
      <c r="BY40" s="39">
        <f t="shared" si="198"/>
        <v>-5.6381957773512514E-2</v>
      </c>
      <c r="BZ40" s="39">
        <f t="shared" si="198"/>
        <v>8.1744215611492477E-2</v>
      </c>
      <c r="CA40" s="39">
        <f t="shared" si="198"/>
        <v>-0.14420025854977081</v>
      </c>
      <c r="CB40" s="39">
        <f t="shared" si="198"/>
        <v>-6.7426531172754767E-2</v>
      </c>
      <c r="CC40" s="39">
        <f t="shared" si="198"/>
        <v>7.6424679723162914E-2</v>
      </c>
      <c r="CD40" s="39">
        <f t="shared" si="198"/>
        <v>3.2694938440492427E-2</v>
      </c>
      <c r="CE40" s="39">
        <f t="shared" si="198"/>
        <v>7.6963836269704489E-2</v>
      </c>
      <c r="CF40" s="39">
        <f t="shared" si="198"/>
        <v>1.5006150061500634E-2</v>
      </c>
      <c r="CG40" s="39">
        <f t="shared" si="198"/>
        <v>4.3868153174987823E-2</v>
      </c>
      <c r="CH40" s="39">
        <f t="shared" si="198"/>
        <v>5.4910610633851942E-2</v>
      </c>
      <c r="CI40" s="39">
        <f t="shared" si="198"/>
        <v>-0.14482227357763844</v>
      </c>
      <c r="CJ40" s="39">
        <f>+IF(CI38&lt;0,1-CJ38/CI38,CJ38/CI38-1)</f>
        <v>0.10011581521039759</v>
      </c>
      <c r="CK40" s="39">
        <f>+IF(CJ38&lt;0,1-CK38/CJ38,CK38/CJ38-1)</f>
        <v>0.28436074394666044</v>
      </c>
      <c r="CL40" s="39">
        <f>+IF(CK38&lt;0,1-CL38/CK38,CL38/CK38-1)</f>
        <v>0.23351548269581057</v>
      </c>
      <c r="CM40" s="40">
        <f t="shared" ref="CM40" si="199">+CM38/CL38-1</f>
        <v>-0.16009878114228038</v>
      </c>
      <c r="CN40" s="40">
        <f t="shared" ref="CN40" si="200">+CN38/CM38-1</f>
        <v>3.6432265842601508E-2</v>
      </c>
      <c r="CO40" s="40">
        <f t="shared" ref="CO40" si="201">+CO38/CN38-1</f>
        <v>6.0273274489225148E-2</v>
      </c>
      <c r="CP40" s="40">
        <f t="shared" ref="CP40" si="202">+CP38/CO38-1</f>
        <v>2.0099391265989253E-2</v>
      </c>
      <c r="CQ40" s="40">
        <f t="shared" ref="CQ40" si="203">+CQ38/CP38-1</f>
        <v>-0.1327437345269552</v>
      </c>
      <c r="CR40" s="40">
        <f t="shared" ref="CR40" si="204">+CR38/CQ38-1</f>
        <v>4.628639673419066E-2</v>
      </c>
      <c r="CS40" s="40">
        <f t="shared" ref="CS40" si="205">+CS38/CR38-1</f>
        <v>7.0376713014616676E-2</v>
      </c>
      <c r="CT40" s="40">
        <f t="shared" ref="CT40" si="206">+CT38/CS38-1</f>
        <v>3.0218067616082589E-2</v>
      </c>
      <c r="CU40" s="40">
        <f t="shared" ref="CU40" si="207">+CU38/CT38-1</f>
        <v>-0.13340185457329379</v>
      </c>
      <c r="CV40" s="40">
        <f t="shared" ref="CV40" si="208">+CV38/CU38-1</f>
        <v>4.0348104482508917E-2</v>
      </c>
      <c r="CW40" s="40">
        <f t="shared" ref="CW40" si="209">+CW38/CV38-1</f>
        <v>6.4646164017842178E-2</v>
      </c>
      <c r="CX40" s="40">
        <f t="shared" ref="CX40" si="210">+CX38/CW38-1</f>
        <v>2.5131907568196832E-2</v>
      </c>
      <c r="CY40" s="40">
        <f t="shared" ref="CY40" si="211">+CY38/CX38-1</f>
        <v>-0.1318710749400982</v>
      </c>
      <c r="CZ40" s="40">
        <f t="shared" ref="CZ40" si="212">+CZ38/CY38-1</f>
        <v>3.9779924686248691E-2</v>
      </c>
      <c r="DA40" s="40">
        <f t="shared" ref="DA40" si="213">+DA38/CZ38-1</f>
        <v>6.400690067941639E-2</v>
      </c>
      <c r="DB40" s="40">
        <f t="shared" ref="DB40" si="214">+DB38/DA38-1</f>
        <v>2.4735587705774664E-2</v>
      </c>
      <c r="DE40" s="122"/>
      <c r="DF40" s="39">
        <v>0.17851788562429705</v>
      </c>
    </row>
    <row r="41" spans="1:110" s="23" customFormat="1" outlineLevel="1" x14ac:dyDescent="0.2">
      <c r="A41" s="23" t="s">
        <v>2</v>
      </c>
      <c r="B41" s="23">
        <f>'Annual Raw'!C11</f>
        <v>-19.832000000000001</v>
      </c>
      <c r="C41" s="23">
        <f>'Annual Raw'!D11</f>
        <v>-4.8849999999999998</v>
      </c>
      <c r="D41" s="23">
        <f>'Annual Raw'!E11</f>
        <v>99.998000000000005</v>
      </c>
      <c r="E41" s="23">
        <f>'Annual Raw'!F11</f>
        <v>-17.23</v>
      </c>
      <c r="F41" s="23">
        <f>'Annual Raw'!G11</f>
        <v>11.95</v>
      </c>
      <c r="G41" s="23">
        <f>'Annual Raw'!H11</f>
        <v>-30.95</v>
      </c>
      <c r="H41" s="23">
        <f>'Annual Raw'!I11</f>
        <v>-44.11</v>
      </c>
      <c r="I41" s="23">
        <f>'Annual Raw'!J11</f>
        <v>41.41</v>
      </c>
      <c r="J41" s="23">
        <f>'Annual Raw'!K11</f>
        <v>-32.619999999999997</v>
      </c>
      <c r="K41" s="23">
        <f>'Annual Raw'!L11</f>
        <v>69.13</v>
      </c>
      <c r="L41" s="23">
        <f>'Annual Raw'!M11</f>
        <v>-151.43</v>
      </c>
      <c r="M41" s="23">
        <f>'Annual Raw'!N11</f>
        <v>87.36</v>
      </c>
      <c r="N41" s="23">
        <f>'Annual Raw'!O11</f>
        <v>-104.5</v>
      </c>
      <c r="O41" s="23">
        <f>'Annual Raw'!P11</f>
        <v>-156.72999999999999</v>
      </c>
      <c r="P41" s="23">
        <f>'Annual Raw'!Q11</f>
        <v>-132.78</v>
      </c>
      <c r="Q41" s="23">
        <f>'Annual Raw'!R11</f>
        <v>184</v>
      </c>
      <c r="R41" s="23">
        <f>'Annual Raw'!S11</f>
        <v>-676</v>
      </c>
      <c r="S41" s="23">
        <f>'Annual Raw'!T11</f>
        <v>498</v>
      </c>
      <c r="T41" s="23">
        <f>'Annual Raw'!U11</f>
        <v>-64</v>
      </c>
      <c r="U41" s="23">
        <f>'Annual Raw'!V11</f>
        <v>-291</v>
      </c>
      <c r="V41" s="23">
        <f>'Annual Raw'!W11</f>
        <v>239</v>
      </c>
      <c r="W41" s="23">
        <f>'Annual Raw'!X11</f>
        <v>-278</v>
      </c>
      <c r="X41" s="23">
        <f>'Annual Raw'!Y11</f>
        <v>-143</v>
      </c>
      <c r="Y41" s="23">
        <f>'Annual Raw'!Z11</f>
        <v>-157</v>
      </c>
      <c r="Z41" s="23">
        <f>'Annual Raw'!AA11</f>
        <v>-64</v>
      </c>
      <c r="AA41" s="23">
        <f>'Annual Raw'!AB11</f>
        <v>-195</v>
      </c>
      <c r="AB41" s="76">
        <f>+SUM(CM41:CP41)</f>
        <v>0</v>
      </c>
      <c r="AC41" s="76">
        <f>+SUM(CQ41:CT41)</f>
        <v>0</v>
      </c>
      <c r="AD41" s="76">
        <f>+SUM(CU41:CX41)</f>
        <v>0</v>
      </c>
      <c r="AE41" s="76">
        <f>+SUM(CY41:DB41)</f>
        <v>0</v>
      </c>
      <c r="AI41" s="23">
        <f>'QTR Raw'!C10</f>
        <v>8.08</v>
      </c>
      <c r="AJ41" s="23">
        <f>'QTR Raw'!D10</f>
        <v>-188.23</v>
      </c>
      <c r="AK41" s="23">
        <f>'QTR Raw'!E10</f>
        <v>-54.43</v>
      </c>
      <c r="AL41" s="23">
        <f>'QTR Raw'!F10</f>
        <v>122.04</v>
      </c>
      <c r="AM41" s="23">
        <f>'QTR Raw'!G10</f>
        <v>-208.49</v>
      </c>
      <c r="AN41" s="23">
        <f>'QTR Raw'!H10</f>
        <v>82.31</v>
      </c>
      <c r="AO41" s="23">
        <f>'QTR Raw'!I10</f>
        <v>34.4</v>
      </c>
      <c r="AP41" s="23">
        <f>'QTR Raw'!J10</f>
        <v>-63.38</v>
      </c>
      <c r="AQ41" s="23">
        <f>'QTR Raw'!K10</f>
        <v>72.989999999999995</v>
      </c>
      <c r="AR41" s="23">
        <f>'QTR Raw'!L10</f>
        <v>-38.47</v>
      </c>
      <c r="AS41" s="23">
        <f>'QTR Raw'!M10</f>
        <v>-186.65</v>
      </c>
      <c r="AT41" s="23">
        <f>'QTR Raw'!N10</f>
        <v>6.68</v>
      </c>
      <c r="AU41" s="23">
        <f>'QTR Raw'!O10</f>
        <v>-269.49</v>
      </c>
      <c r="AV41" s="23">
        <f>'QTR Raw'!P10</f>
        <v>138.58000000000001</v>
      </c>
      <c r="AW41" s="23">
        <f>'QTR Raw'!Q10</f>
        <v>165.55</v>
      </c>
      <c r="AX41" s="23">
        <f>'QTR Raw'!R10</f>
        <v>148.82</v>
      </c>
      <c r="AY41" s="23">
        <f>'QTR Raw'!S10</f>
        <v>-176</v>
      </c>
      <c r="AZ41" s="23">
        <f>'QTR Raw'!T10</f>
        <v>-66</v>
      </c>
      <c r="BA41" s="23">
        <f>'QTR Raw'!U10</f>
        <v>-234</v>
      </c>
      <c r="BB41" s="23">
        <f>'QTR Raw'!V10</f>
        <v>-200</v>
      </c>
      <c r="BC41" s="23">
        <f>'QTR Raw'!W10</f>
        <v>125</v>
      </c>
      <c r="BD41" s="23">
        <f>'QTR Raw'!X10</f>
        <v>124</v>
      </c>
      <c r="BE41" s="23">
        <f>'QTR Raw'!Y10</f>
        <v>231</v>
      </c>
      <c r="BF41" s="23">
        <f>'QTR Raw'!Z10</f>
        <v>18</v>
      </c>
      <c r="BG41" s="23">
        <f>'QTR Raw'!AA10</f>
        <v>41</v>
      </c>
      <c r="BH41" s="23">
        <f>'QTR Raw'!AB10</f>
        <v>-105</v>
      </c>
      <c r="BI41" s="23">
        <f>'QTR Raw'!AC10</f>
        <v>-25</v>
      </c>
      <c r="BJ41" s="23">
        <f>'QTR Raw'!AD10</f>
        <v>25</v>
      </c>
      <c r="BK41" s="23">
        <f>'QTR Raw'!AE10</f>
        <v>-6</v>
      </c>
      <c r="BL41" s="23">
        <f>'QTR Raw'!AF10</f>
        <v>-14</v>
      </c>
      <c r="BM41" s="23">
        <f>'QTR Raw'!AG10</f>
        <v>-171</v>
      </c>
      <c r="BN41" s="23">
        <f>'QTR Raw'!AH10</f>
        <v>-100</v>
      </c>
      <c r="BO41" s="23">
        <f>'QTR Raw'!AI10</f>
        <v>167</v>
      </c>
      <c r="BP41" s="23">
        <f>'QTR Raw'!AJ10</f>
        <v>142</v>
      </c>
      <c r="BQ41" s="23">
        <f>'QTR Raw'!AK10</f>
        <v>25</v>
      </c>
      <c r="BR41" s="23">
        <f>'QTR Raw'!AL10</f>
        <v>-95</v>
      </c>
      <c r="BS41" s="23">
        <f>'QTR Raw'!AM10</f>
        <v>164</v>
      </c>
      <c r="BT41" s="23">
        <f>'QTR Raw'!AN10</f>
        <v>-291</v>
      </c>
      <c r="BU41" s="23">
        <f>'QTR Raw'!AO10</f>
        <v>78</v>
      </c>
      <c r="BV41" s="23">
        <f>'QTR Raw'!AP10</f>
        <v>-229</v>
      </c>
      <c r="BW41" s="23">
        <f>'QTR Raw'!AQ10</f>
        <v>86</v>
      </c>
      <c r="BX41" s="23">
        <f>'QTR Raw'!AR10</f>
        <v>-28</v>
      </c>
      <c r="BY41" s="23">
        <f>'QTR Raw'!AS10</f>
        <v>52</v>
      </c>
      <c r="BZ41" s="23">
        <f>'QTR Raw'!AT10</f>
        <v>-253</v>
      </c>
      <c r="CA41" s="23">
        <f>'QTR Raw'!AU10</f>
        <v>142</v>
      </c>
      <c r="CB41" s="23">
        <f>'QTR Raw'!AV10</f>
        <v>-44</v>
      </c>
      <c r="CC41" s="23">
        <f>'QTR Raw'!AW10</f>
        <v>-48</v>
      </c>
      <c r="CD41" s="23">
        <f>'QTR Raw'!AX10</f>
        <v>-207</v>
      </c>
      <c r="CE41" s="23">
        <f>'QTR Raw'!AY10</f>
        <v>66</v>
      </c>
      <c r="CF41" s="23">
        <f>'QTR Raw'!AZ10</f>
        <v>173</v>
      </c>
      <c r="CG41" s="23">
        <f>'QTR Raw'!BA10</f>
        <v>-46</v>
      </c>
      <c r="CH41" s="23">
        <f>'QTR Raw'!BB10</f>
        <v>-257</v>
      </c>
      <c r="CI41" s="23">
        <f>'QTR Raw'!BC10</f>
        <v>-12</v>
      </c>
      <c r="CJ41" s="23">
        <f>'QTR Raw'!BD10</f>
        <v>-40</v>
      </c>
      <c r="CK41" s="23">
        <f>'QTR Raw'!BE10</f>
        <v>111</v>
      </c>
      <c r="CL41" s="23">
        <f>'QTR Raw'!BF10</f>
        <v>-254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-195</v>
      </c>
    </row>
    <row r="42" spans="1:110" s="23" customFormat="1" outlineLevel="1" x14ac:dyDescent="0.2">
      <c r="A42" s="23" t="s">
        <v>3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76">
        <f>+SUM(CM42:CP42)</f>
        <v>0</v>
      </c>
      <c r="AC42" s="76">
        <f>+SUM(CQ42:CT42)</f>
        <v>0</v>
      </c>
      <c r="AD42" s="76">
        <f>+SUM(CU42:CX42)</f>
        <v>0</v>
      </c>
      <c r="AE42" s="76">
        <f>+SUM(CY42:DB42)</f>
        <v>0</v>
      </c>
      <c r="AI42" s="23">
        <f>'QTR Raw'!C12</f>
        <v>0</v>
      </c>
      <c r="AJ42" s="23">
        <f>'QTR Raw'!D12</f>
        <v>0</v>
      </c>
      <c r="AK42" s="23">
        <f>'QTR Raw'!E12</f>
        <v>0</v>
      </c>
      <c r="AL42" s="23">
        <f>'QTR Raw'!F12</f>
        <v>0</v>
      </c>
      <c r="AM42" s="23">
        <f>'QTR Raw'!G12</f>
        <v>0</v>
      </c>
      <c r="AN42" s="23">
        <f>'QTR Raw'!H12</f>
        <v>0</v>
      </c>
      <c r="AO42" s="23">
        <f>'QTR Raw'!I12</f>
        <v>0</v>
      </c>
      <c r="AP42" s="23">
        <f>'QTR Raw'!J12</f>
        <v>0</v>
      </c>
      <c r="AQ42" s="23">
        <f>'QTR Raw'!K12</f>
        <v>52.3</v>
      </c>
      <c r="AR42" s="23">
        <f>'QTR Raw'!L12</f>
        <v>0</v>
      </c>
      <c r="AS42" s="23">
        <f>'QTR Raw'!M12</f>
        <v>0</v>
      </c>
      <c r="AT42" s="23">
        <f>'QTR Raw'!N12</f>
        <v>0</v>
      </c>
      <c r="AU42" s="23">
        <f>'QTR Raw'!O12</f>
        <v>0</v>
      </c>
      <c r="AV42" s="23">
        <f>'QTR Raw'!P12</f>
        <v>0</v>
      </c>
      <c r="AW42" s="23">
        <f>'QTR Raw'!Q12</f>
        <v>0</v>
      </c>
      <c r="AX42" s="23">
        <f>'QTR Raw'!R12</f>
        <v>0</v>
      </c>
      <c r="AY42" s="23">
        <f>'QTR Raw'!S12</f>
        <v>336</v>
      </c>
      <c r="AZ42" s="23">
        <f>'QTR Raw'!T12</f>
        <v>0</v>
      </c>
      <c r="BA42" s="23">
        <f>'QTR Raw'!U12</f>
        <v>0</v>
      </c>
      <c r="BB42" s="23">
        <f>'QTR Raw'!V12</f>
        <v>0</v>
      </c>
      <c r="BC42" s="23">
        <f>'QTR Raw'!W12</f>
        <v>0</v>
      </c>
      <c r="BD42" s="23">
        <f>'QTR Raw'!X12</f>
        <v>0</v>
      </c>
      <c r="BE42" s="23">
        <f>'QTR Raw'!Y12</f>
        <v>0</v>
      </c>
      <c r="BF42" s="23">
        <f>'QTR Raw'!Z12</f>
        <v>0</v>
      </c>
      <c r="BG42" s="23">
        <f>'QTR Raw'!AA12</f>
        <v>0</v>
      </c>
      <c r="BH42" s="23">
        <f>'QTR Raw'!AB12</f>
        <v>0</v>
      </c>
      <c r="BI42" s="23">
        <f>'QTR Raw'!AC12</f>
        <v>0</v>
      </c>
      <c r="BJ42" s="23">
        <f>'QTR Raw'!AD12</f>
        <v>0</v>
      </c>
      <c r="BK42" s="23">
        <f>'QTR Raw'!AE12</f>
        <v>0</v>
      </c>
      <c r="BL42" s="23">
        <f>'QTR Raw'!AF12</f>
        <v>0</v>
      </c>
      <c r="BM42" s="23">
        <f>'QTR Raw'!AG12</f>
        <v>0</v>
      </c>
      <c r="BN42" s="23">
        <f>'QTR Raw'!AH12</f>
        <v>0</v>
      </c>
      <c r="BO42" s="23">
        <f>'QTR Raw'!AI12</f>
        <v>0</v>
      </c>
      <c r="BP42" s="23">
        <f>'QTR Raw'!AJ12</f>
        <v>0</v>
      </c>
      <c r="BQ42" s="23">
        <f>'QTR Raw'!AK12</f>
        <v>0</v>
      </c>
      <c r="BR42" s="23">
        <f>'QTR Raw'!AL12</f>
        <v>0</v>
      </c>
      <c r="BS42" s="23">
        <f>'QTR Raw'!AM12</f>
        <v>0</v>
      </c>
      <c r="BT42" s="23">
        <f>'QTR Raw'!AN12</f>
        <v>0</v>
      </c>
      <c r="BU42" s="23">
        <f>'QTR Raw'!AO12</f>
        <v>0</v>
      </c>
      <c r="BV42" s="23">
        <f>'QTR Raw'!AP12</f>
        <v>0</v>
      </c>
      <c r="BW42" s="23">
        <f>'QTR Raw'!AQ12</f>
        <v>0</v>
      </c>
      <c r="BX42" s="23">
        <f>'QTR Raw'!AR12</f>
        <v>0</v>
      </c>
      <c r="BY42" s="23">
        <f>'QTR Raw'!AS12</f>
        <v>0</v>
      </c>
      <c r="BZ42" s="23">
        <f>'QTR Raw'!AT12</f>
        <v>0</v>
      </c>
      <c r="CA42" s="23">
        <f>'QTR Raw'!AU12</f>
        <v>0</v>
      </c>
      <c r="CB42" s="23">
        <f>'QTR Raw'!AV12</f>
        <v>0</v>
      </c>
      <c r="CC42" s="23">
        <f>'QTR Raw'!AW12</f>
        <v>0</v>
      </c>
      <c r="CD42" s="23">
        <f>'QTR Raw'!AX12</f>
        <v>0</v>
      </c>
      <c r="CE42" s="23">
        <f>'QTR Raw'!AY12</f>
        <v>0</v>
      </c>
      <c r="CF42" s="23">
        <f>'QTR Raw'!AZ12</f>
        <v>0</v>
      </c>
      <c r="CG42" s="23">
        <f>'QTR Raw'!BA12</f>
        <v>0</v>
      </c>
      <c r="CH42" s="23">
        <f>'QTR Raw'!BB12</f>
        <v>0</v>
      </c>
      <c r="CI42" s="23">
        <f>'QTR Raw'!BC12</f>
        <v>0</v>
      </c>
      <c r="CJ42" s="23">
        <f>'QTR Raw'!BD12</f>
        <v>0</v>
      </c>
      <c r="CK42" s="23">
        <f>'QTR Raw'!BE12</f>
        <v>0</v>
      </c>
      <c r="CL42" s="23">
        <f>'QTR Raw'!BF12</f>
        <v>0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3"/>
      <c r="DF42" s="23">
        <v>0</v>
      </c>
    </row>
    <row r="43" spans="1:110" s="23" customFormat="1" outlineLevel="1" x14ac:dyDescent="0.2">
      <c r="A43" s="23" t="s">
        <v>4</v>
      </c>
      <c r="B43" s="23">
        <f>'Annual Raw'!C12</f>
        <v>5.4725999999999999</v>
      </c>
      <c r="C43" s="23">
        <f>'Annual Raw'!D12</f>
        <v>1.0349999999999999</v>
      </c>
      <c r="D43" s="23">
        <f>'Annual Raw'!E12</f>
        <v>0.107</v>
      </c>
      <c r="E43" s="23">
        <f>'Annual Raw'!F12</f>
        <v>3.7989999999999999</v>
      </c>
      <c r="F43" s="23">
        <f>'Annual Raw'!G12</f>
        <v>7.0000000000000007E-2</v>
      </c>
      <c r="G43" s="23">
        <f>'Annual Raw'!H12</f>
        <v>53.88</v>
      </c>
      <c r="H43" s="23">
        <f>'Annual Raw'!I12</f>
        <v>0</v>
      </c>
      <c r="I43" s="23">
        <f>'Annual Raw'!J12</f>
        <v>6.09</v>
      </c>
      <c r="J43" s="23">
        <f>'Annual Raw'!K12</f>
        <v>40.340000000000003</v>
      </c>
      <c r="K43" s="23">
        <f>'Annual Raw'!L12</f>
        <v>0</v>
      </c>
      <c r="L43" s="23">
        <f>'Annual Raw'!M12</f>
        <v>169.23</v>
      </c>
      <c r="M43" s="23">
        <f>'Annual Raw'!N12</f>
        <v>217.69</v>
      </c>
      <c r="N43" s="23">
        <f>'Annual Raw'!O12</f>
        <v>766.34</v>
      </c>
      <c r="O43" s="23">
        <f>'Annual Raw'!P12</f>
        <v>501.26</v>
      </c>
      <c r="P43" s="23">
        <f>'Annual Raw'!Q12</f>
        <v>520.75</v>
      </c>
      <c r="Q43" s="23">
        <f>'Annual Raw'!R12</f>
        <v>51</v>
      </c>
      <c r="R43" s="23">
        <f>'Annual Raw'!S12</f>
        <v>362</v>
      </c>
      <c r="S43" s="23">
        <f>'Annual Raw'!T12</f>
        <v>0</v>
      </c>
      <c r="T43" s="23">
        <f>'Annual Raw'!U12</f>
        <v>0</v>
      </c>
      <c r="U43" s="23">
        <f>'Annual Raw'!V12</f>
        <v>0</v>
      </c>
      <c r="V43" s="23">
        <f>'Annual Raw'!W12</f>
        <v>0</v>
      </c>
      <c r="W43" s="23">
        <f>'Annual Raw'!X12</f>
        <v>0</v>
      </c>
      <c r="X43" s="23">
        <f>'Annual Raw'!Y12</f>
        <v>0</v>
      </c>
      <c r="Y43" s="23">
        <f>'Annual Raw'!Z12</f>
        <v>0</v>
      </c>
      <c r="Z43" s="23">
        <f>'Annual Raw'!AA12</f>
        <v>0</v>
      </c>
      <c r="AA43" s="23">
        <f>'Annual Raw'!AB12</f>
        <v>0</v>
      </c>
      <c r="AB43" s="24">
        <f>+SUM(CM43:CP43)</f>
        <v>-954.32190233101937</v>
      </c>
      <c r="AC43" s="24">
        <f>+SUM(CQ43:CT43)</f>
        <v>-1016.4093533736304</v>
      </c>
      <c r="AD43" s="24">
        <f>+SUM(CU43:CX43)</f>
        <v>-1024.2559884584698</v>
      </c>
      <c r="AE43" s="24">
        <f>+SUM(CY43:DB43)</f>
        <v>-1012.0477198096596</v>
      </c>
      <c r="AI43" s="23">
        <f>'QTR Raw'!C11</f>
        <v>53.73</v>
      </c>
      <c r="AJ43" s="23">
        <f>'QTR Raw'!D11</f>
        <v>294.35000000000002</v>
      </c>
      <c r="AK43" s="23">
        <f>'QTR Raw'!E11</f>
        <v>305.52</v>
      </c>
      <c r="AL43" s="23">
        <f>'QTR Raw'!F11</f>
        <v>118.21</v>
      </c>
      <c r="AM43" s="23">
        <f>'QTR Raw'!G11</f>
        <v>145.19999999999999</v>
      </c>
      <c r="AN43" s="23">
        <f>'QTR Raw'!H11</f>
        <v>18.63</v>
      </c>
      <c r="AO43" s="23">
        <f>'QTR Raw'!I11</f>
        <v>23.21</v>
      </c>
      <c r="AP43" s="23">
        <f>'QTR Raw'!J11</f>
        <v>314.22000000000003</v>
      </c>
      <c r="AQ43" s="23">
        <f>'QTR Raw'!K11</f>
        <v>149.88999999999999</v>
      </c>
      <c r="AR43" s="23">
        <f>'QTR Raw'!L11</f>
        <v>120.38</v>
      </c>
      <c r="AS43" s="23">
        <f>'QTR Raw'!M11</f>
        <v>147.41</v>
      </c>
      <c r="AT43" s="23">
        <f>'QTR Raw'!N11</f>
        <v>50.77</v>
      </c>
      <c r="AU43" s="23">
        <f>'QTR Raw'!O11</f>
        <v>41.13</v>
      </c>
      <c r="AV43" s="23">
        <f>'QTR Raw'!P11</f>
        <v>9.0399999999999991</v>
      </c>
      <c r="AW43" s="23">
        <f>'QTR Raw'!Q11</f>
        <v>0.63</v>
      </c>
      <c r="AX43" s="23">
        <f>'QTR Raw'!R11</f>
        <v>0.54</v>
      </c>
      <c r="AY43" s="23">
        <f>'QTR Raw'!S11</f>
        <v>13</v>
      </c>
      <c r="AZ43" s="23">
        <f>'QTR Raw'!T11</f>
        <v>13</v>
      </c>
      <c r="BA43" s="23">
        <f>'QTR Raw'!U11</f>
        <v>0</v>
      </c>
      <c r="BB43" s="23">
        <f>'QTR Raw'!V11</f>
        <v>0</v>
      </c>
      <c r="BC43" s="23">
        <f>'QTR Raw'!W11</f>
        <v>0</v>
      </c>
      <c r="BD43" s="23">
        <f>'QTR Raw'!X11</f>
        <v>0</v>
      </c>
      <c r="BE43" s="23">
        <f>'QTR Raw'!Y11</f>
        <v>0</v>
      </c>
      <c r="BF43" s="23">
        <f>'QTR Raw'!Z11</f>
        <v>0</v>
      </c>
      <c r="BG43" s="23">
        <f>'QTR Raw'!AA11</f>
        <v>0</v>
      </c>
      <c r="BH43" s="23">
        <f>'QTR Raw'!AB11</f>
        <v>0</v>
      </c>
      <c r="BI43" s="23">
        <f>'QTR Raw'!AC11</f>
        <v>0</v>
      </c>
      <c r="BJ43" s="23">
        <f>'QTR Raw'!AD11</f>
        <v>0</v>
      </c>
      <c r="BK43" s="23">
        <f>'QTR Raw'!AE11</f>
        <v>0</v>
      </c>
      <c r="BL43" s="23">
        <f>'QTR Raw'!AF11</f>
        <v>0</v>
      </c>
      <c r="BM43" s="23">
        <f>'QTR Raw'!AG11</f>
        <v>0</v>
      </c>
      <c r="BN43" s="23">
        <f>'QTR Raw'!AH11</f>
        <v>0</v>
      </c>
      <c r="BO43" s="23">
        <f>'QTR Raw'!AI11</f>
        <v>0</v>
      </c>
      <c r="BP43" s="23">
        <f>'QTR Raw'!AJ11</f>
        <v>0</v>
      </c>
      <c r="BQ43" s="23">
        <f>'QTR Raw'!AK11</f>
        <v>0</v>
      </c>
      <c r="BR43" s="23">
        <f>'QTR Raw'!AL11</f>
        <v>0</v>
      </c>
      <c r="BS43" s="23">
        <f>'QTR Raw'!AM11</f>
        <v>0</v>
      </c>
      <c r="BT43" s="23">
        <f>'QTR Raw'!AN11</f>
        <v>0</v>
      </c>
      <c r="BU43" s="23">
        <f>'QTR Raw'!AO11</f>
        <v>0</v>
      </c>
      <c r="BV43" s="23">
        <f>'QTR Raw'!AP11</f>
        <v>0</v>
      </c>
      <c r="BW43" s="23">
        <f>'QTR Raw'!AQ11</f>
        <v>0</v>
      </c>
      <c r="BX43" s="23">
        <f>'QTR Raw'!AR11</f>
        <v>0</v>
      </c>
      <c r="BY43" s="23">
        <f>'QTR Raw'!AS11</f>
        <v>0</v>
      </c>
      <c r="BZ43" s="23">
        <f>'QTR Raw'!AT11</f>
        <v>0</v>
      </c>
      <c r="CA43" s="23">
        <f>'QTR Raw'!AU11</f>
        <v>0</v>
      </c>
      <c r="CB43" s="23">
        <f>'QTR Raw'!AV11</f>
        <v>0</v>
      </c>
      <c r="CC43" s="23">
        <f>'QTR Raw'!AW11</f>
        <v>0</v>
      </c>
      <c r="CD43" s="23">
        <f>'QTR Raw'!AX11</f>
        <v>0</v>
      </c>
      <c r="CE43" s="23">
        <f>'QTR Raw'!AY11</f>
        <v>0</v>
      </c>
      <c r="CF43" s="23">
        <f>'QTR Raw'!AZ11</f>
        <v>0</v>
      </c>
      <c r="CG43" s="23">
        <f>'QTR Raw'!BA11</f>
        <v>0</v>
      </c>
      <c r="CH43" s="23">
        <f>'QTR Raw'!BB11</f>
        <v>0</v>
      </c>
      <c r="CI43" s="23">
        <f>'QTR Raw'!BC11</f>
        <v>0</v>
      </c>
      <c r="CJ43" s="23">
        <f>'QTR Raw'!BD11</f>
        <v>0</v>
      </c>
      <c r="CK43" s="23">
        <f>'QTR Raw'!BE11</f>
        <v>0</v>
      </c>
      <c r="CL43" s="23">
        <f>'QTR Raw'!BF11</f>
        <v>0</v>
      </c>
      <c r="CM43" s="24">
        <f t="shared" ref="CM43:DB43" si="215">+CM38-CM44</f>
        <v>-156.46084630688529</v>
      </c>
      <c r="CN43" s="24">
        <f t="shared" si="215"/>
        <v>-198.50966224885451</v>
      </c>
      <c r="CO43" s="24">
        <f t="shared" si="215"/>
        <v>-248.85067699213869</v>
      </c>
      <c r="CP43" s="24">
        <f t="shared" si="215"/>
        <v>-350.50071678314089</v>
      </c>
      <c r="CQ43" s="24">
        <f t="shared" si="215"/>
        <v>-215.61050493388757</v>
      </c>
      <c r="CR43" s="24">
        <f t="shared" si="215"/>
        <v>-242.20058000944846</v>
      </c>
      <c r="CS43" s="24">
        <f t="shared" si="215"/>
        <v>-271.92385510127133</v>
      </c>
      <c r="CT43" s="24">
        <f t="shared" si="215"/>
        <v>-286.67441332902308</v>
      </c>
      <c r="CU43" s="24">
        <f t="shared" si="215"/>
        <v>-234.55742993762215</v>
      </c>
      <c r="CV43" s="24">
        <f t="shared" si="215"/>
        <v>-248.9577293364182</v>
      </c>
      <c r="CW43" s="24">
        <f t="shared" si="215"/>
        <v>-267.22597722298087</v>
      </c>
      <c r="CX43" s="24">
        <f t="shared" si="215"/>
        <v>-273.51485196144858</v>
      </c>
      <c r="CY43" s="24">
        <f t="shared" si="215"/>
        <v>-235.58750654261348</v>
      </c>
      <c r="CZ43" s="24">
        <f t="shared" si="215"/>
        <v>-246.09838085618867</v>
      </c>
      <c r="DA43" s="24">
        <f t="shared" si="215"/>
        <v>-262.07194559841992</v>
      </c>
      <c r="DB43" s="24">
        <f t="shared" si="215"/>
        <v>-268.28988681243754</v>
      </c>
      <c r="DE43" s="123"/>
      <c r="DF43" s="23">
        <v>-78.921780127899183</v>
      </c>
    </row>
    <row r="44" spans="1:110" s="31" customFormat="1" x14ac:dyDescent="0.2">
      <c r="A44" s="31" t="s">
        <v>5</v>
      </c>
      <c r="B44" s="31">
        <f t="shared" ref="B44:T44" si="216">B38-B41-B43-B42</f>
        <v>1418.0418</v>
      </c>
      <c r="C44" s="31">
        <f t="shared" si="216"/>
        <v>1238.3389999999999</v>
      </c>
      <c r="D44" s="31">
        <f t="shared" si="216"/>
        <v>1351.9279999999999</v>
      </c>
      <c r="E44" s="31">
        <f t="shared" si="216"/>
        <v>1854.925</v>
      </c>
      <c r="F44" s="31">
        <f t="shared" si="216"/>
        <v>2190.09</v>
      </c>
      <c r="G44" s="31">
        <f t="shared" si="216"/>
        <v>3854.04</v>
      </c>
      <c r="H44" s="31">
        <f t="shared" si="216"/>
        <v>8604.3300000000017</v>
      </c>
      <c r="I44" s="31">
        <f t="shared" si="216"/>
        <v>7830.2699999999995</v>
      </c>
      <c r="J44" s="31">
        <f t="shared" si="216"/>
        <v>5672.55</v>
      </c>
      <c r="K44" s="31">
        <f t="shared" si="216"/>
        <v>7947.8400000000011</v>
      </c>
      <c r="L44" s="31">
        <f t="shared" si="216"/>
        <v>10021.370000000001</v>
      </c>
      <c r="M44" s="31">
        <f t="shared" si="216"/>
        <v>11100.259999999998</v>
      </c>
      <c r="N44" s="31">
        <f t="shared" si="216"/>
        <v>12038</v>
      </c>
      <c r="O44" s="31">
        <f t="shared" si="216"/>
        <v>13291.509999999998</v>
      </c>
      <c r="P44" s="31">
        <f t="shared" si="216"/>
        <v>14400.42</v>
      </c>
      <c r="Q44" s="31">
        <f t="shared" si="216"/>
        <v>13946</v>
      </c>
      <c r="R44" s="31">
        <f t="shared" si="216"/>
        <v>17587</v>
      </c>
      <c r="S44" s="31">
        <f t="shared" si="216"/>
        <v>21584</v>
      </c>
      <c r="T44" s="31">
        <f t="shared" si="216"/>
        <v>21182</v>
      </c>
      <c r="U44" s="31">
        <f t="shared" ref="U44:Z44" si="217">U38-U41-U43-U42</f>
        <v>18852</v>
      </c>
      <c r="V44" s="31">
        <f t="shared" si="217"/>
        <v>22390</v>
      </c>
      <c r="W44" s="31">
        <f t="shared" si="217"/>
        <v>29718</v>
      </c>
      <c r="X44" s="31">
        <f t="shared" si="217"/>
        <v>34241</v>
      </c>
      <c r="Y44" s="31">
        <f t="shared" si="217"/>
        <v>29089</v>
      </c>
      <c r="Z44" s="31">
        <f t="shared" si="217"/>
        <v>34147</v>
      </c>
      <c r="AA44" s="31">
        <f t="shared" ref="AA44" si="218">AA38-AA41-AA43-AA42</f>
        <v>41039</v>
      </c>
      <c r="AB44" s="32">
        <f t="shared" ref="AA44:AD44" si="219">AB38-AB41-AB43-AB42</f>
        <v>49372.636871056689</v>
      </c>
      <c r="AC44" s="32">
        <f t="shared" si="219"/>
        <v>48791.828202924022</v>
      </c>
      <c r="AD44" s="32">
        <f t="shared" si="219"/>
        <v>48387.94790084401</v>
      </c>
      <c r="AE44" s="32">
        <f t="shared" ref="AE44" si="220">AE38-AE41-AE43-AE42</f>
        <v>47659.786629752809</v>
      </c>
      <c r="AI44" s="31">
        <f t="shared" ref="AI44" si="221">AI38-AI41-AI43-AI42</f>
        <v>2685.9</v>
      </c>
      <c r="AJ44" s="31">
        <f t="shared" ref="AJ44" si="222">AJ38-AJ41-AJ43-AJ42</f>
        <v>2759.34</v>
      </c>
      <c r="AK44" s="31">
        <f t="shared" ref="AK44:AM44" si="223">AK38-AK41-AK43-AK42</f>
        <v>2926.93</v>
      </c>
      <c r="AL44" s="31">
        <f t="shared" si="223"/>
        <v>3668.4</v>
      </c>
      <c r="AM44" s="31">
        <f t="shared" si="223"/>
        <v>3047.45</v>
      </c>
      <c r="AN44" s="31">
        <f t="shared" ref="AN44:AO44" si="224">AN38-AN41-AN43-AN42</f>
        <v>3458.1899999999996</v>
      </c>
      <c r="AO44" s="31">
        <f t="shared" si="224"/>
        <v>3392.46</v>
      </c>
      <c r="AP44" s="31">
        <f t="shared" ref="AP44:CD44" si="225">AP38-AP41-AP43-AP42</f>
        <v>3391.84</v>
      </c>
      <c r="AQ44" s="31">
        <f t="shared" si="225"/>
        <v>2732.01</v>
      </c>
      <c r="AR44" s="31">
        <f t="shared" si="225"/>
        <v>3720.4699999999993</v>
      </c>
      <c r="AS44" s="31">
        <f t="shared" si="225"/>
        <v>3892.38</v>
      </c>
      <c r="AT44" s="31">
        <f t="shared" si="225"/>
        <v>4068.23</v>
      </c>
      <c r="AU44" s="31">
        <f t="shared" si="225"/>
        <v>3858.5299999999997</v>
      </c>
      <c r="AV44" s="31">
        <f t="shared" si="225"/>
        <v>3885.6800000000003</v>
      </c>
      <c r="AW44" s="31">
        <f t="shared" si="225"/>
        <v>3264.3999999999996</v>
      </c>
      <c r="AX44" s="31">
        <f t="shared" si="225"/>
        <v>3304.23</v>
      </c>
      <c r="AY44" s="31">
        <f t="shared" si="225"/>
        <v>2631</v>
      </c>
      <c r="AZ44" s="31">
        <f t="shared" si="225"/>
        <v>3553</v>
      </c>
      <c r="BA44" s="31">
        <f t="shared" si="225"/>
        <v>5221</v>
      </c>
      <c r="BB44" s="31">
        <f t="shared" si="225"/>
        <v>6455</v>
      </c>
      <c r="BC44" s="31">
        <f t="shared" si="225"/>
        <v>4451</v>
      </c>
      <c r="BD44" s="31">
        <f t="shared" si="225"/>
        <v>5185</v>
      </c>
      <c r="BE44" s="31">
        <f t="shared" si="225"/>
        <v>5691</v>
      </c>
      <c r="BF44" s="31">
        <f t="shared" si="225"/>
        <v>6259</v>
      </c>
      <c r="BG44" s="31">
        <f t="shared" si="225"/>
        <v>5269</v>
      </c>
      <c r="BH44" s="31">
        <f t="shared" si="225"/>
        <v>4882</v>
      </c>
      <c r="BI44" s="31">
        <f t="shared" si="225"/>
        <v>5565</v>
      </c>
      <c r="BJ44" s="31">
        <f t="shared" si="225"/>
        <v>5466</v>
      </c>
      <c r="BK44" s="31">
        <f t="shared" si="225"/>
        <v>4993</v>
      </c>
      <c r="BL44" s="31">
        <f t="shared" si="225"/>
        <v>4525</v>
      </c>
      <c r="BM44" s="31">
        <f t="shared" si="225"/>
        <v>4843</v>
      </c>
      <c r="BN44" s="31">
        <f t="shared" si="225"/>
        <v>4491</v>
      </c>
      <c r="BO44" s="31">
        <f t="shared" si="225"/>
        <v>3822</v>
      </c>
      <c r="BP44" s="31">
        <f t="shared" si="225"/>
        <v>5518</v>
      </c>
      <c r="BQ44" s="31">
        <f t="shared" si="225"/>
        <v>6008</v>
      </c>
      <c r="BR44" s="31">
        <f t="shared" si="225"/>
        <v>7042</v>
      </c>
      <c r="BS44" s="31">
        <f t="shared" si="225"/>
        <v>6367</v>
      </c>
      <c r="BT44" s="31">
        <f t="shared" si="225"/>
        <v>6413</v>
      </c>
      <c r="BU44" s="31">
        <f t="shared" si="225"/>
        <v>7912</v>
      </c>
      <c r="BV44" s="31">
        <f t="shared" si="225"/>
        <v>9026</v>
      </c>
      <c r="BW44" s="31">
        <f t="shared" si="225"/>
        <v>9301</v>
      </c>
      <c r="BX44" s="31">
        <f t="shared" si="225"/>
        <v>8364</v>
      </c>
      <c r="BY44" s="31">
        <f t="shared" si="225"/>
        <v>7814</v>
      </c>
      <c r="BZ44" s="31">
        <f t="shared" si="225"/>
        <v>8762</v>
      </c>
      <c r="CA44" s="31">
        <f t="shared" si="225"/>
        <v>7140</v>
      </c>
      <c r="CB44" s="31">
        <f t="shared" si="225"/>
        <v>6835</v>
      </c>
      <c r="CC44" s="31">
        <f t="shared" si="225"/>
        <v>7358</v>
      </c>
      <c r="CD44" s="31">
        <f t="shared" si="225"/>
        <v>7756</v>
      </c>
      <c r="CE44" s="31">
        <f t="shared" ref="CE44:CF44" si="226">CE38-CE41-CE43-CE42</f>
        <v>8064</v>
      </c>
      <c r="CF44" s="31">
        <f t="shared" si="226"/>
        <v>8079</v>
      </c>
      <c r="CG44" s="31">
        <f t="shared" ref="CG44:CH44" si="227">CG38-CG41-CG43-CG42</f>
        <v>8660</v>
      </c>
      <c r="CH44" s="31">
        <f t="shared" si="227"/>
        <v>9344</v>
      </c>
      <c r="CI44" s="31">
        <f t="shared" ref="CI44:CJ44" si="228">CI38-CI41-CI43-CI42</f>
        <v>7783</v>
      </c>
      <c r="CJ44" s="31">
        <f t="shared" si="228"/>
        <v>8589</v>
      </c>
      <c r="CK44" s="31">
        <f t="shared" ref="CK44:CL44" si="229">CK38-CK41-CK43-CK42</f>
        <v>10869</v>
      </c>
      <c r="CL44" s="31">
        <f t="shared" si="229"/>
        <v>13798</v>
      </c>
      <c r="CM44" s="32">
        <f t="shared" ref="CM44:DB44" si="230">+CM45*CM38</f>
        <v>11532.082954515839</v>
      </c>
      <c r="CN44" s="32">
        <f t="shared" si="230"/>
        <v>11988.571459229051</v>
      </c>
      <c r="CO44" s="32">
        <f t="shared" si="230"/>
        <v>12749.538104906651</v>
      </c>
      <c r="CP44" s="32">
        <f t="shared" si="230"/>
        <v>13102.44435240514</v>
      </c>
      <c r="CQ44" s="32">
        <f t="shared" si="230"/>
        <v>11274.813519886184</v>
      </c>
      <c r="CR44" s="32">
        <f t="shared" si="230"/>
        <v>11813.294253275784</v>
      </c>
      <c r="CS44" s="32">
        <f t="shared" si="230"/>
        <v>12657.353067076318</v>
      </c>
      <c r="CT44" s="32">
        <f t="shared" si="230"/>
        <v>13046.367362685734</v>
      </c>
      <c r="CU44" s="32">
        <f t="shared" si="230"/>
        <v>11292.083676064367</v>
      </c>
      <c r="CV44" s="32">
        <f t="shared" si="230"/>
        <v>11752.634199759968</v>
      </c>
      <c r="CW44" s="32">
        <f t="shared" si="230"/>
        <v>12514.571003561723</v>
      </c>
      <c r="CX44" s="32">
        <f t="shared" si="230"/>
        <v>12828.659021457952</v>
      </c>
      <c r="CY44" s="32">
        <f t="shared" si="230"/>
        <v>11135.071318379707</v>
      </c>
      <c r="CZ44" s="32">
        <f t="shared" si="230"/>
        <v>11579.162837847149</v>
      </c>
      <c r="DA44" s="32">
        <f t="shared" si="230"/>
        <v>12320.530733681424</v>
      </c>
      <c r="DB44" s="32">
        <f t="shared" si="230"/>
        <v>12625.021739844538</v>
      </c>
      <c r="DE44" s="124"/>
      <c r="DF44" s="31">
        <v>13019.04816428268</v>
      </c>
    </row>
    <row r="45" spans="1:110" s="41" customFormat="1" x14ac:dyDescent="0.2">
      <c r="A45" s="41" t="s">
        <v>6</v>
      </c>
      <c r="B45" s="41">
        <f>B44/B38</f>
        <v>1.0102298069705797</v>
      </c>
      <c r="C45" s="41">
        <f t="shared" ref="C45:U45" si="231">C44/C38</f>
        <v>1.0031186993160732</v>
      </c>
      <c r="D45" s="41">
        <f t="shared" si="231"/>
        <v>0.93105872938149481</v>
      </c>
      <c r="E45" s="41">
        <f t="shared" si="231"/>
        <v>1.0072935344888445</v>
      </c>
      <c r="F45" s="41">
        <f t="shared" si="231"/>
        <v>0.99454159873939085</v>
      </c>
      <c r="G45" s="41">
        <f t="shared" si="231"/>
        <v>0.99408558745618347</v>
      </c>
      <c r="H45" s="41">
        <f t="shared" si="231"/>
        <v>1.0051529049487047</v>
      </c>
      <c r="I45" s="41">
        <f t="shared" si="231"/>
        <v>0.99397037486496809</v>
      </c>
      <c r="J45" s="41">
        <f t="shared" si="231"/>
        <v>0.99864090967506824</v>
      </c>
      <c r="K45" s="41">
        <f t="shared" si="231"/>
        <v>0.99137704145082239</v>
      </c>
      <c r="L45" s="41">
        <f t="shared" si="231"/>
        <v>0.9982269450562149</v>
      </c>
      <c r="M45" s="41">
        <f t="shared" si="231"/>
        <v>0.97325368622159314</v>
      </c>
      <c r="N45" s="41">
        <f t="shared" si="231"/>
        <v>0.94788595761836369</v>
      </c>
      <c r="O45" s="41">
        <f t="shared" si="231"/>
        <v>0.97473386701711051</v>
      </c>
      <c r="P45" s="41">
        <f t="shared" si="231"/>
        <v>0.97376523069786503</v>
      </c>
      <c r="Q45" s="41">
        <f t="shared" si="231"/>
        <v>0.98342853113320639</v>
      </c>
      <c r="R45" s="41">
        <f t="shared" si="231"/>
        <v>1.018178660336942</v>
      </c>
      <c r="S45" s="41">
        <f t="shared" si="231"/>
        <v>0.97744769495516715</v>
      </c>
      <c r="T45" s="41">
        <f t="shared" si="231"/>
        <v>1.0030305900179941</v>
      </c>
      <c r="U45" s="41">
        <f t="shared" si="231"/>
        <v>1.0156780345886536</v>
      </c>
      <c r="V45" s="41">
        <f>V44/V38</f>
        <v>0.98943833134473458</v>
      </c>
      <c r="W45" s="41">
        <f>W44/W38</f>
        <v>1.0094429347826086</v>
      </c>
      <c r="X45" s="41">
        <f>X44/X38</f>
        <v>1.0041937943574404</v>
      </c>
      <c r="Y45" s="41">
        <f>Y44/Y38</f>
        <v>1.0054265173510299</v>
      </c>
      <c r="Z45" s="41">
        <f>Z44/Z38</f>
        <v>1.0018777689757357</v>
      </c>
      <c r="AA45" s="41">
        <f>AA44/AA38</f>
        <v>1.0047742630496523</v>
      </c>
      <c r="AB45" s="42">
        <f t="shared" ref="AA45:AD45" si="232">AB44/AB38</f>
        <v>1.0197099362699309</v>
      </c>
      <c r="AC45" s="42">
        <f t="shared" si="232"/>
        <v>1.0212747345360678</v>
      </c>
      <c r="AD45" s="42">
        <f t="shared" si="232"/>
        <v>1.0216253409964993</v>
      </c>
      <c r="AE45" s="42">
        <f t="shared" ref="AE45" si="233">AE44/AE38</f>
        <v>1.0216955364495477</v>
      </c>
      <c r="AI45" s="41">
        <f t="shared" ref="AI45" si="234">AI44/AI38</f>
        <v>0.97750490408376434</v>
      </c>
      <c r="AJ45" s="41">
        <f t="shared" ref="AJ45" si="235">AJ44/AJ38</f>
        <v>0.96296580653717034</v>
      </c>
      <c r="AK45" s="41">
        <f t="shared" ref="AK45:AM45" si="236">AK44/AK38</f>
        <v>0.92099168664766107</v>
      </c>
      <c r="AL45" s="41">
        <f t="shared" si="236"/>
        <v>0.93853376485487316</v>
      </c>
      <c r="AM45" s="41">
        <f t="shared" si="236"/>
        <v>1.0212086483298481</v>
      </c>
      <c r="AN45" s="41">
        <f t="shared" ref="AN45:AO45" si="237">AN44/AN38</f>
        <v>0.97163913653055656</v>
      </c>
      <c r="AO45" s="41">
        <f t="shared" si="237"/>
        <v>0.98330178807966206</v>
      </c>
      <c r="AP45" s="41">
        <f t="shared" ref="AP45:CD45" si="238">AP44/AP38</f>
        <v>0.93113861223055561</v>
      </c>
      <c r="AQ45" s="41">
        <f t="shared" si="238"/>
        <v>0.90849264595851942</v>
      </c>
      <c r="AR45" s="41">
        <f t="shared" si="238"/>
        <v>0.97845822879354505</v>
      </c>
      <c r="AS45" s="41">
        <f t="shared" si="238"/>
        <v>1.010183901960479</v>
      </c>
      <c r="AT45" s="41">
        <f t="shared" si="238"/>
        <v>0.98607502278412285</v>
      </c>
      <c r="AU45" s="41">
        <f t="shared" si="238"/>
        <v>1.062906144891286</v>
      </c>
      <c r="AV45" s="41">
        <f t="shared" si="238"/>
        <v>0.96339969751816135</v>
      </c>
      <c r="AW45" s="41">
        <f t="shared" si="238"/>
        <v>0.95155921156189327</v>
      </c>
      <c r="AX45" s="41">
        <f t="shared" si="238"/>
        <v>0.95675224910889822</v>
      </c>
      <c r="AY45" s="41">
        <f t="shared" si="238"/>
        <v>0.93830242510699002</v>
      </c>
      <c r="AZ45" s="41">
        <f t="shared" si="238"/>
        <v>1.0151428571428571</v>
      </c>
      <c r="BA45" s="41">
        <f t="shared" si="238"/>
        <v>1.0469219971927011</v>
      </c>
      <c r="BB45" s="41">
        <f t="shared" si="238"/>
        <v>1.0319744204636292</v>
      </c>
      <c r="BC45" s="41">
        <f t="shared" si="238"/>
        <v>0.97268356643356646</v>
      </c>
      <c r="BD45" s="41">
        <f t="shared" si="238"/>
        <v>0.97664343567526846</v>
      </c>
      <c r="BE45" s="41">
        <f t="shared" si="238"/>
        <v>0.96099290780141844</v>
      </c>
      <c r="BF45" s="41">
        <f t="shared" si="238"/>
        <v>0.99713238808347937</v>
      </c>
      <c r="BG45" s="41">
        <f t="shared" si="238"/>
        <v>0.99227871939736345</v>
      </c>
      <c r="BH45" s="41">
        <f t="shared" si="238"/>
        <v>1.0219803223780615</v>
      </c>
      <c r="BI45" s="41">
        <f t="shared" si="238"/>
        <v>1.0045126353790614</v>
      </c>
      <c r="BJ45" s="41">
        <f t="shared" si="238"/>
        <v>0.99544709524676744</v>
      </c>
      <c r="BK45" s="41">
        <f t="shared" si="238"/>
        <v>1.0012031281331462</v>
      </c>
      <c r="BL45" s="41">
        <f t="shared" si="238"/>
        <v>1.0031035247173576</v>
      </c>
      <c r="BM45" s="41">
        <f t="shared" si="238"/>
        <v>1.0366010273972603</v>
      </c>
      <c r="BN45" s="41">
        <f t="shared" si="238"/>
        <v>1.0227738556137553</v>
      </c>
      <c r="BO45" s="41">
        <f t="shared" si="238"/>
        <v>0.95813487089496119</v>
      </c>
      <c r="BP45" s="41">
        <f t="shared" si="238"/>
        <v>0.97491166077738511</v>
      </c>
      <c r="BQ45" s="41">
        <f t="shared" si="238"/>
        <v>0.99585612464777062</v>
      </c>
      <c r="BR45" s="41">
        <f t="shared" si="238"/>
        <v>1.0136749676119188</v>
      </c>
      <c r="BS45" s="41">
        <f t="shared" si="238"/>
        <v>0.97488899096616144</v>
      </c>
      <c r="BT45" s="41">
        <f t="shared" si="238"/>
        <v>1.0475334857889578</v>
      </c>
      <c r="BU45" s="41">
        <f t="shared" si="238"/>
        <v>0.99023779724655825</v>
      </c>
      <c r="BV45" s="41">
        <f t="shared" si="238"/>
        <v>1.0260316016823918</v>
      </c>
      <c r="BW45" s="41">
        <f t="shared" si="238"/>
        <v>0.99083839352295733</v>
      </c>
      <c r="BX45" s="41">
        <f t="shared" si="238"/>
        <v>1.0033589251439539</v>
      </c>
      <c r="BY45" s="41">
        <f t="shared" si="238"/>
        <v>0.99338927027714208</v>
      </c>
      <c r="BZ45" s="41">
        <f t="shared" si="238"/>
        <v>1.0297332236455519</v>
      </c>
      <c r="CA45" s="41">
        <f t="shared" si="238"/>
        <v>0.98049986267508926</v>
      </c>
      <c r="CB45" s="41">
        <f t="shared" si="238"/>
        <v>1.0064791635988808</v>
      </c>
      <c r="CC45" s="41">
        <f t="shared" si="238"/>
        <v>1.0065663474692204</v>
      </c>
      <c r="CD45" s="41">
        <f t="shared" si="238"/>
        <v>1.0274208504437674</v>
      </c>
      <c r="CE45" s="41">
        <f t="shared" ref="CE45:CF45" si="239">CE44/CE38</f>
        <v>0.99188191881918819</v>
      </c>
      <c r="CF45" s="41">
        <f t="shared" si="239"/>
        <v>0.97903538536112455</v>
      </c>
      <c r="CG45" s="41">
        <f t="shared" ref="CG45:CH45" si="240">CG44/CG38</f>
        <v>1.0053401439517065</v>
      </c>
      <c r="CH45" s="41">
        <f t="shared" si="240"/>
        <v>1.0282821613293716</v>
      </c>
      <c r="CI45" s="41">
        <f t="shared" ref="CI45:CJ45" si="241">CI44/CI38</f>
        <v>1.0015442028053017</v>
      </c>
      <c r="CJ45" s="41">
        <f t="shared" si="241"/>
        <v>1.0046789098140134</v>
      </c>
      <c r="CK45" s="41">
        <f t="shared" ref="CK45:CL45" si="242">CK44/CK38</f>
        <v>0.98989071038251364</v>
      </c>
      <c r="CL45" s="41">
        <f t="shared" si="242"/>
        <v>1.0187536916715889</v>
      </c>
      <c r="CM45" s="42">
        <f>AVERAGE(CI45:CL45)*1.01</f>
        <v>1.0137540474550379</v>
      </c>
      <c r="CN45" s="42">
        <f t="shared" ref="CN45:CP45" si="243">AVERAGE(CJ45:CM45)*1.01</f>
        <v>1.0168370332290964</v>
      </c>
      <c r="CO45" s="42">
        <f t="shared" si="243"/>
        <v>1.0199069593914047</v>
      </c>
      <c r="CP45" s="42">
        <f t="shared" si="243"/>
        <v>1.0274860622661499</v>
      </c>
      <c r="CQ45" s="42">
        <f t="shared" ref="CQ45:DB45" si="244">AVERAGE(CM45:CP45)</f>
        <v>1.0194960255854222</v>
      </c>
      <c r="CR45" s="42">
        <f t="shared" si="244"/>
        <v>1.0209315201180182</v>
      </c>
      <c r="CS45" s="42">
        <f t="shared" si="244"/>
        <v>1.0219551418402486</v>
      </c>
      <c r="CT45" s="42">
        <f t="shared" si="244"/>
        <v>1.0224671874524596</v>
      </c>
      <c r="CU45" s="42">
        <f t="shared" si="244"/>
        <v>1.0212124687490371</v>
      </c>
      <c r="CV45" s="42">
        <f t="shared" si="244"/>
        <v>1.0216415795399409</v>
      </c>
      <c r="CW45" s="42">
        <f t="shared" si="244"/>
        <v>1.0218190943954215</v>
      </c>
      <c r="CX45" s="42">
        <f t="shared" si="244"/>
        <v>1.021785082534215</v>
      </c>
      <c r="CY45" s="42">
        <f t="shared" si="244"/>
        <v>1.0216145563046537</v>
      </c>
      <c r="CZ45" s="42">
        <f t="shared" si="244"/>
        <v>1.0217150781935578</v>
      </c>
      <c r="DA45" s="42">
        <f t="shared" si="244"/>
        <v>1.0217334528569619</v>
      </c>
      <c r="DB45" s="42">
        <f t="shared" si="244"/>
        <v>1.0217120424723471</v>
      </c>
      <c r="DE45" s="125"/>
      <c r="DF45" s="41">
        <v>1.0060989960828002</v>
      </c>
    </row>
    <row r="46" spans="1:110" s="39" customFormat="1" x14ac:dyDescent="0.2">
      <c r="A46" s="39" t="s">
        <v>447</v>
      </c>
      <c r="C46" s="39">
        <f t="shared" ref="C46:AE46" si="245">+IF(B44&lt;0,1-C44/B44,C44/B44-1)</f>
        <v>-0.12672602457840099</v>
      </c>
      <c r="D46" s="39">
        <f t="shared" si="245"/>
        <v>9.172690192265609E-2</v>
      </c>
      <c r="E46" s="39">
        <f t="shared" si="245"/>
        <v>0.37205901497712901</v>
      </c>
      <c r="F46" s="39">
        <f t="shared" si="245"/>
        <v>0.18068924619593796</v>
      </c>
      <c r="G46" s="39">
        <f t="shared" si="245"/>
        <v>0.75976329739873694</v>
      </c>
      <c r="H46" s="39">
        <f t="shared" si="245"/>
        <v>1.2325481832051568</v>
      </c>
      <c r="I46" s="39">
        <f t="shared" si="245"/>
        <v>-8.9961682083323447E-2</v>
      </c>
      <c r="J46" s="39">
        <f t="shared" si="245"/>
        <v>-0.2755613791095326</v>
      </c>
      <c r="K46" s="39">
        <f t="shared" si="245"/>
        <v>0.40110532300288249</v>
      </c>
      <c r="L46" s="39">
        <f t="shared" si="245"/>
        <v>0.26089226758465189</v>
      </c>
      <c r="M46" s="39">
        <f t="shared" si="245"/>
        <v>0.1076589328604769</v>
      </c>
      <c r="N46" s="39">
        <f t="shared" si="245"/>
        <v>8.4479102291297847E-2</v>
      </c>
      <c r="O46" s="39">
        <f t="shared" si="245"/>
        <v>0.10412942349227428</v>
      </c>
      <c r="P46" s="39">
        <f t="shared" si="245"/>
        <v>8.3429948892187689E-2</v>
      </c>
      <c r="Q46" s="39">
        <f t="shared" si="245"/>
        <v>-3.155602406040936E-2</v>
      </c>
      <c r="R46" s="39">
        <f t="shared" si="245"/>
        <v>0.26107844543238201</v>
      </c>
      <c r="S46" s="39">
        <f t="shared" si="245"/>
        <v>0.22727014271905377</v>
      </c>
      <c r="T46" s="39">
        <f t="shared" si="245"/>
        <v>-1.8624907338769425E-2</v>
      </c>
      <c r="U46" s="39">
        <f t="shared" si="245"/>
        <v>-0.10999905580209612</v>
      </c>
      <c r="V46" s="39">
        <f t="shared" si="245"/>
        <v>0.18767239550180359</v>
      </c>
      <c r="W46" s="39">
        <f t="shared" si="245"/>
        <v>0.32728896828941489</v>
      </c>
      <c r="X46" s="39">
        <f t="shared" si="245"/>
        <v>0.15219732148866005</v>
      </c>
      <c r="Y46" s="39">
        <f t="shared" si="245"/>
        <v>-0.15046289535936452</v>
      </c>
      <c r="Z46" s="39">
        <f t="shared" si="245"/>
        <v>0.17388016088555802</v>
      </c>
      <c r="AA46" s="39">
        <f t="shared" si="245"/>
        <v>0.201833250358743</v>
      </c>
      <c r="AB46" s="40">
        <f t="shared" si="245"/>
        <v>0.20306627527612009</v>
      </c>
      <c r="AC46" s="40">
        <f t="shared" si="245"/>
        <v>-1.17637765560209E-2</v>
      </c>
      <c r="AD46" s="40">
        <f t="shared" si="245"/>
        <v>-8.2776218263493906E-3</v>
      </c>
      <c r="AE46" s="40">
        <f t="shared" si="245"/>
        <v>-1.5048401568575343E-2</v>
      </c>
      <c r="AM46" s="39">
        <f>+IF(AI44&lt;0,1-AM44/AI44,AM44/AI44-1)</f>
        <v>0.13461037268699494</v>
      </c>
      <c r="AN46" s="39">
        <f t="shared" ref="AN46" si="246">+IF(AJ44&lt;0,1-AN44/AJ44,AN44/AJ44-1)</f>
        <v>0.25326708560742772</v>
      </c>
      <c r="AO46" s="39">
        <f t="shared" ref="AO46" si="247">+IF(AK44&lt;0,1-AO44/AK44,AO44/AK44-1)</f>
        <v>0.15905060934152848</v>
      </c>
      <c r="AP46" s="39">
        <f t="shared" ref="AP46" si="248">+IF(AL44&lt;0,1-AP44/AL44,AP44/AL44-1)</f>
        <v>-7.5389815723476139E-2</v>
      </c>
      <c r="AQ46" s="39">
        <f t="shared" ref="AQ46" si="249">+IF(AM44&lt;0,1-AQ44/AM44,AQ44/AM44-1)</f>
        <v>-0.10350949154210887</v>
      </c>
      <c r="AR46" s="39">
        <f t="shared" ref="AR46" si="250">+IF(AN44&lt;0,1-AR44/AN44,AR44/AN44-1)</f>
        <v>7.5843143378472533E-2</v>
      </c>
      <c r="AS46" s="39">
        <f t="shared" ref="AS46" si="251">+IF(AO44&lt;0,1-AS44/AO44,AS44/AO44-1)</f>
        <v>0.14736209122583621</v>
      </c>
      <c r="AT46" s="39">
        <f t="shared" ref="AT46" si="252">+IF(AP44&lt;0,1-AT44/AP44,AT44/AP44-1)</f>
        <v>0.19941683569979718</v>
      </c>
      <c r="AU46" s="39">
        <f t="shared" ref="AU46" si="253">+IF(AQ44&lt;0,1-AU44/AQ44,AU44/AQ44-1)</f>
        <v>0.41234109684810805</v>
      </c>
      <c r="AV46" s="39">
        <f t="shared" ref="AV46" si="254">+IF(AR44&lt;0,1-AV44/AR44,AV44/AR44-1)</f>
        <v>4.4405679927536301E-2</v>
      </c>
      <c r="AW46" s="39">
        <f t="shared" ref="AW46" si="255">+IF(AS44&lt;0,1-AW44/AS44,AW44/AS44-1)</f>
        <v>-0.16133573803174417</v>
      </c>
      <c r="AX46" s="39">
        <f t="shared" ref="AX46" si="256">+IF(AT44&lt;0,1-AX44/AT44,AX44/AT44-1)</f>
        <v>-0.18779665849767591</v>
      </c>
      <c r="AY46" s="39">
        <f t="shared" ref="AY46" si="257">+IF(AU44&lt;0,1-AY44/AU44,AY44/AU44-1)</f>
        <v>-0.31813410806706177</v>
      </c>
      <c r="AZ46" s="39">
        <f t="shared" ref="AZ46" si="258">+IF(AV44&lt;0,1-AZ44/AV44,AZ44/AV44-1)</f>
        <v>-8.5616931914105243E-2</v>
      </c>
      <c r="BA46" s="39">
        <f t="shared" ref="BA46" si="259">+IF(AW44&lt;0,1-BA44/AW44,BA44/AW44-1)</f>
        <v>0.59937507658375222</v>
      </c>
      <c r="BB46" s="39">
        <f t="shared" ref="BB46" si="260">+IF(AX44&lt;0,1-BB44/AX44,BB44/AX44-1)</f>
        <v>0.95355650181736751</v>
      </c>
      <c r="BC46" s="39">
        <f t="shared" ref="BC46" si="261">+IF(AY44&lt;0,1-BC44/AY44,BC44/AY44-1)</f>
        <v>0.69175218548080575</v>
      </c>
      <c r="BD46" s="39">
        <f t="shared" ref="BD46" si="262">+IF(AZ44&lt;0,1-BD44/AZ44,BD44/AZ44-1)</f>
        <v>0.45933014354066981</v>
      </c>
      <c r="BE46" s="39">
        <f t="shared" ref="BE46" si="263">+IF(BA44&lt;0,1-BE44/BA44,BE44/BA44-1)</f>
        <v>9.002106876077387E-2</v>
      </c>
      <c r="BF46" s="39">
        <f t="shared" ref="BF46" si="264">+IF(BB44&lt;0,1-BF44/BB44,BF44/BB44-1)</f>
        <v>-3.0364058869093769E-2</v>
      </c>
      <c r="BG46" s="39">
        <f t="shared" ref="BG46" si="265">+IF(BC44&lt;0,1-BG44/BC44,BG44/BC44-1)</f>
        <v>0.18377892608402613</v>
      </c>
      <c r="BH46" s="39">
        <f t="shared" ref="BH46" si="266">+IF(BD44&lt;0,1-BH44/BD44,BH44/BD44-1)</f>
        <v>-5.8437801350048169E-2</v>
      </c>
      <c r="BI46" s="39">
        <f t="shared" ref="BI46" si="267">+IF(BE44&lt;0,1-BI44/BE44,BI44/BE44-1)</f>
        <v>-2.2140221402214055E-2</v>
      </c>
      <c r="BJ46" s="39">
        <f t="shared" ref="BJ46" si="268">+IF(BF44&lt;0,1-BJ44/BF44,BJ44/BF44-1)</f>
        <v>-0.12669755552005113</v>
      </c>
      <c r="BK46" s="39">
        <f t="shared" ref="BK46" si="269">+IF(BG44&lt;0,1-BK44/BG44,BK44/BG44-1)</f>
        <v>-5.2381856139684935E-2</v>
      </c>
      <c r="BL46" s="39">
        <f t="shared" ref="BL46" si="270">+IF(BH44&lt;0,1-BL44/BH44,BL44/BH44-1)</f>
        <v>-7.312576812781646E-2</v>
      </c>
      <c r="BM46" s="39">
        <f t="shared" ref="BM46" si="271">+IF(BI44&lt;0,1-BM44/BI44,BM44/BI44-1)</f>
        <v>-0.12973944294699014</v>
      </c>
      <c r="BN46" s="39">
        <f t="shared" ref="BN46" si="272">+IF(BJ44&lt;0,1-BN44/BJ44,BN44/BJ44-1)</f>
        <v>-0.17837541163556536</v>
      </c>
      <c r="BO46" s="39">
        <f t="shared" ref="BO46" si="273">+IF(BK44&lt;0,1-BO44/BK44,BO44/BK44-1)</f>
        <v>-0.23452833967554576</v>
      </c>
      <c r="BP46" s="39">
        <f t="shared" ref="BP46" si="274">+IF(BL44&lt;0,1-BP44/BL44,BP44/BL44-1)</f>
        <v>0.21944751381215477</v>
      </c>
      <c r="BQ46" s="39">
        <f t="shared" ref="BQ46" si="275">+IF(BM44&lt;0,1-BQ44/BM44,BQ44/BM44-1)</f>
        <v>0.24055337600660742</v>
      </c>
      <c r="BR46" s="39">
        <f t="shared" ref="BR46" si="276">+IF(BN44&lt;0,1-BR44/BN44,BR44/BN44-1)</f>
        <v>0.56802493876642179</v>
      </c>
      <c r="BS46" s="39">
        <f t="shared" ref="BS46" si="277">+IF(BO44&lt;0,1-BS44/BO44,BS44/BO44-1)</f>
        <v>0.66588173731030875</v>
      </c>
      <c r="BT46" s="39">
        <f t="shared" ref="BT46" si="278">+IF(BP44&lt;0,1-BT44/BP44,BT44/BP44-1)</f>
        <v>0.16219644798840149</v>
      </c>
      <c r="BU46" s="39">
        <f t="shared" ref="BU46" si="279">+IF(BQ44&lt;0,1-BU44/BQ44,BU44/BQ44-1)</f>
        <v>0.31691078561917441</v>
      </c>
      <c r="BV46" s="39">
        <f t="shared" ref="BV46" si="280">+IF(BR44&lt;0,1-BV44/BR44,BV44/BR44-1)</f>
        <v>0.28173814257313268</v>
      </c>
      <c r="BW46" s="39">
        <f t="shared" ref="BW46" si="281">+IF(BS44&lt;0,1-BW44/BS44,BW44/BS44-1)</f>
        <v>0.46081356997015854</v>
      </c>
      <c r="BX46" s="39">
        <f t="shared" ref="BX46" si="282">+IF(BT44&lt;0,1-BX44/BT44,BX44/BT44-1)</f>
        <v>0.30422579136129735</v>
      </c>
      <c r="BY46" s="39">
        <f t="shared" ref="BY46" si="283">+IF(BU44&lt;0,1-BY44/BU44,BY44/BU44-1)</f>
        <v>-1.2386248736097061E-2</v>
      </c>
      <c r="BZ46" s="39">
        <f t="shared" ref="BZ46" si="284">+IF(BV44&lt;0,1-BZ44/BV44,BZ44/BV44-1)</f>
        <v>-2.9248836693995139E-2</v>
      </c>
      <c r="CA46" s="39">
        <f t="shared" ref="CA46" si="285">+IF(BW44&lt;0,1-CA44/BW44,CA44/BW44-1)</f>
        <v>-0.23234060853671645</v>
      </c>
      <c r="CB46" s="39">
        <f t="shared" ref="CB46" si="286">+IF(BX44&lt;0,1-CB44/BX44,CB44/BX44-1)</f>
        <v>-0.18280726924916313</v>
      </c>
      <c r="CC46" s="39">
        <f t="shared" ref="CC46" si="287">+IF(BY44&lt;0,1-CC44/BY44,CC44/BY44-1)</f>
        <v>-5.8356795495264957E-2</v>
      </c>
      <c r="CD46" s="39">
        <f t="shared" ref="CD46" si="288">+IF(BZ44&lt;0,1-CD44/BZ44,CD44/BZ44-1)</f>
        <v>-0.11481396941337596</v>
      </c>
      <c r="CE46" s="39">
        <f t="shared" ref="CE46" si="289">+IF(CA44&lt;0,1-CE44/CA44,CE44/CA44-1)</f>
        <v>0.12941176470588234</v>
      </c>
      <c r="CF46" s="39">
        <f t="shared" ref="CF46" si="290">+IF(CB44&lt;0,1-CF44/CB44,CF44/CB44-1)</f>
        <v>0.18200438917337225</v>
      </c>
      <c r="CG46" s="39">
        <f t="shared" ref="CG46" si="291">+IF(CC44&lt;0,1-CG44/CC44,CG44/CC44-1)</f>
        <v>0.176950258222343</v>
      </c>
      <c r="CH46" s="39">
        <f t="shared" ref="CH46:CL46" si="292">+IF(CD44&lt;0,1-CH44/CD44,CH44/CD44-1)</f>
        <v>0.20474471376998449</v>
      </c>
      <c r="CI46" s="39">
        <f t="shared" si="292"/>
        <v>-3.4846230158730118E-2</v>
      </c>
      <c r="CJ46" s="39">
        <f t="shared" si="292"/>
        <v>6.3126624582250379E-2</v>
      </c>
      <c r="CK46" s="39">
        <f t="shared" si="292"/>
        <v>0.25508083140877602</v>
      </c>
      <c r="CL46" s="39">
        <f t="shared" si="292"/>
        <v>0.4766695205479452</v>
      </c>
      <c r="CM46" s="40">
        <f t="shared" ref="CM46" si="293">+CM44/CI44-1</f>
        <v>0.48170152312936398</v>
      </c>
      <c r="CN46" s="40">
        <f t="shared" ref="CN46" si="294">+CN44/CJ44-1</f>
        <v>0.39580526944103522</v>
      </c>
      <c r="CO46" s="40">
        <f t="shared" ref="CO46" si="295">+CO44/CK44-1</f>
        <v>0.17301850261354779</v>
      </c>
      <c r="CP46" s="40">
        <f t="shared" ref="CP46" si="296">+CP44/CL44-1</f>
        <v>-5.0409888940053604E-2</v>
      </c>
      <c r="CQ46" s="40">
        <f t="shared" ref="CQ46" si="297">+CQ44/CM44-1</f>
        <v>-2.2309016995833542E-2</v>
      </c>
      <c r="CR46" s="40">
        <f t="shared" ref="CR46" si="298">+CR44/CN44-1</f>
        <v>-1.4620357942508266E-2</v>
      </c>
      <c r="CS46" s="40">
        <f t="shared" ref="CS46" si="299">+CS44/CO44-1</f>
        <v>-7.2304609839046741E-3</v>
      </c>
      <c r="CT46" s="40">
        <f t="shared" ref="CT46" si="300">+CT44/CP44-1</f>
        <v>-4.2798876462399882E-3</v>
      </c>
      <c r="CU46" s="40">
        <f t="shared" ref="CU46" si="301">+CU44/CQ44-1</f>
        <v>1.5317465027446797E-3</v>
      </c>
      <c r="CV46" s="40">
        <f t="shared" ref="CV46" si="302">+CV44/CR44-1</f>
        <v>-5.1348973635355621E-3</v>
      </c>
      <c r="CW46" s="40">
        <f t="shared" ref="CW46" si="303">+CW44/CS44-1</f>
        <v>-1.1280562591399312E-2</v>
      </c>
      <c r="CX46" s="40">
        <f t="shared" ref="CX46" si="304">+CX44/CT44-1</f>
        <v>-1.6687276632302739E-2</v>
      </c>
      <c r="CY46" s="40">
        <f t="shared" ref="CY46" si="305">+CY44/CU44-1</f>
        <v>-1.3904639939701813E-2</v>
      </c>
      <c r="CZ46" s="40">
        <f t="shared" ref="CZ46" si="306">+CZ44/CV44-1</f>
        <v>-1.4760211112191612E-2</v>
      </c>
      <c r="DA46" s="40">
        <f t="shared" ref="DA46" si="307">+DA44/CW44-1</f>
        <v>-1.5505147545614939E-2</v>
      </c>
      <c r="DB46" s="40">
        <f t="shared" ref="DB46" si="308">+DB44/CX44-1</f>
        <v>-1.587362180823404E-2</v>
      </c>
      <c r="DE46" s="122"/>
      <c r="DF46" s="39">
        <v>0.39330566826655389</v>
      </c>
    </row>
    <row r="47" spans="1:110" s="39" customFormat="1" x14ac:dyDescent="0.2">
      <c r="A47" s="39" t="s">
        <v>448</v>
      </c>
      <c r="AB47" s="40"/>
      <c r="AC47" s="40"/>
      <c r="AD47" s="40"/>
      <c r="AE47" s="40"/>
      <c r="AJ47" s="39">
        <f>+IF(AI44&lt;0,1-AJ44/AI44,AJ44/AI44-1)</f>
        <v>2.7342790126214656E-2</v>
      </c>
      <c r="AK47" s="39">
        <f t="shared" ref="AK47" si="309">+IF(AJ44&lt;0,1-AK44/AJ44,AK44/AJ44-1)</f>
        <v>6.0735538208412043E-2</v>
      </c>
      <c r="AL47" s="39">
        <f t="shared" ref="AL47" si="310">+IF(AK44&lt;0,1-AL44/AK44,AL44/AK44-1)</f>
        <v>0.25332686466707455</v>
      </c>
      <c r="AM47" s="39">
        <f t="shared" ref="AM47" si="311">+IF(AL44&lt;0,1-AM44/AL44,AM44/AL44-1)</f>
        <v>-0.16926998146330829</v>
      </c>
      <c r="AN47" s="39">
        <f t="shared" ref="AN47" si="312">+IF(AM44&lt;0,1-AN44/AM44,AN44/AM44-1)</f>
        <v>0.13478153866347276</v>
      </c>
      <c r="AO47" s="39">
        <f t="shared" ref="AO47" si="313">+IF(AN44&lt;0,1-AO44/AN44,AO44/AN44-1)</f>
        <v>-1.9007052822430093E-2</v>
      </c>
      <c r="AP47" s="39">
        <f t="shared" ref="AP47" si="314">+IF(AO44&lt;0,1-AP44/AO44,AP44/AO44-1)</f>
        <v>-1.8275823443747452E-4</v>
      </c>
      <c r="AQ47" s="39">
        <f t="shared" ref="AQ47" si="315">+IF(AP44&lt;0,1-AQ44/AP44,AQ44/AP44-1)</f>
        <v>-0.19453452993065712</v>
      </c>
      <c r="AR47" s="39">
        <f t="shared" ref="AR47" si="316">+IF(AQ44&lt;0,1-AR44/AQ44,AR44/AQ44-1)</f>
        <v>0.3618068747918195</v>
      </c>
      <c r="AS47" s="39">
        <f t="shared" ref="AS47" si="317">+IF(AR44&lt;0,1-AS44/AR44,AS44/AR44-1)</f>
        <v>4.6206527669891306E-2</v>
      </c>
      <c r="AT47" s="39">
        <f t="shared" ref="AT47" si="318">+IF(AS44&lt;0,1-AT44/AS44,AT44/AS44-1)</f>
        <v>4.5178014479572814E-2</v>
      </c>
      <c r="AU47" s="39">
        <f t="shared" ref="AU47" si="319">+IF(AT44&lt;0,1-AU44/AT44,AU44/AT44-1)</f>
        <v>-5.1545758229008753E-2</v>
      </c>
      <c r="AV47" s="39">
        <f t="shared" ref="AV47" si="320">+IF(AU44&lt;0,1-AV44/AU44,AV44/AU44-1)</f>
        <v>7.03635840592165E-3</v>
      </c>
      <c r="AW47" s="39">
        <f t="shared" ref="AW47" si="321">+IF(AV44&lt;0,1-AW44/AV44,AW44/AV44-1)</f>
        <v>-0.15988964608511269</v>
      </c>
      <c r="AX47" s="39">
        <f t="shared" ref="AX47" si="322">+IF(AW44&lt;0,1-AX44/AW44,AX44/AW44-1)</f>
        <v>1.2201323367234451E-2</v>
      </c>
      <c r="AY47" s="39">
        <f t="shared" ref="AY47" si="323">+IF(AX44&lt;0,1-AY44/AX44,AY44/AX44-1)</f>
        <v>-0.20374792311673218</v>
      </c>
      <c r="AZ47" s="39">
        <f t="shared" ref="AZ47" si="324">+IF(AY44&lt;0,1-AZ44/AY44,AZ44/AY44-1)</f>
        <v>0.35043709616115537</v>
      </c>
      <c r="BA47" s="39">
        <f t="shared" ref="BA47" si="325">+IF(AZ44&lt;0,1-BA44/AZ44,BA44/AZ44-1)</f>
        <v>0.46946242611877276</v>
      </c>
      <c r="BB47" s="39">
        <f t="shared" ref="BB47" si="326">+IF(BA44&lt;0,1-BB44/BA44,BB44/BA44-1)</f>
        <v>0.23635318904424429</v>
      </c>
      <c r="BC47" s="39">
        <f t="shared" ref="BC47" si="327">+IF(BB44&lt;0,1-BC44/BB44,BC44/BB44-1)</f>
        <v>-0.31045701006971338</v>
      </c>
      <c r="BD47" s="39">
        <f t="shared" ref="BD47" si="328">+IF(BC44&lt;0,1-BD44/BC44,BD44/BC44-1)</f>
        <v>0.16490676252527514</v>
      </c>
      <c r="BE47" s="39">
        <f t="shared" ref="BE47" si="329">+IF(BD44&lt;0,1-BE44/BD44,BE44/BD44-1)</f>
        <v>9.7589199614271926E-2</v>
      </c>
      <c r="BF47" s="39">
        <f t="shared" ref="BF47" si="330">+IF(BE44&lt;0,1-BF44/BE44,BF44/BE44-1)</f>
        <v>9.980671235283789E-2</v>
      </c>
      <c r="BG47" s="39">
        <f t="shared" ref="BG47" si="331">+IF(BF44&lt;0,1-BG44/BF44,BG44/BF44-1)</f>
        <v>-0.15817223198594021</v>
      </c>
      <c r="BH47" s="39">
        <f t="shared" ref="BH47" si="332">+IF(BG44&lt;0,1-BH44/BG44,BH44/BG44-1)</f>
        <v>-7.3448472195862591E-2</v>
      </c>
      <c r="BI47" s="39">
        <f t="shared" ref="BI47" si="333">+IF(BH44&lt;0,1-BI44/BH44,BI44/BH44-1)</f>
        <v>0.13990167963949207</v>
      </c>
      <c r="BJ47" s="39">
        <f t="shared" ref="BJ47" si="334">+IF(BI44&lt;0,1-BJ44/BI44,BJ44/BI44-1)</f>
        <v>-1.7789757412398965E-2</v>
      </c>
      <c r="BK47" s="39">
        <f t="shared" ref="BK47" si="335">+IF(BJ44&lt;0,1-BK44/BJ44,BK44/BJ44-1)</f>
        <v>-8.6534943285766608E-2</v>
      </c>
      <c r="BL47" s="39">
        <f t="shared" ref="BL47" si="336">+IF(BK44&lt;0,1-BL44/BK44,BL44/BK44-1)</f>
        <v>-9.373122371319853E-2</v>
      </c>
      <c r="BM47" s="39">
        <f t="shared" ref="BM47" si="337">+IF(BL44&lt;0,1-BM44/BL44,BM44/BL44-1)</f>
        <v>7.0276243093922552E-2</v>
      </c>
      <c r="BN47" s="39">
        <f t="shared" ref="BN47" si="338">+IF(BM44&lt;0,1-BN44/BM44,BN44/BM44-1)</f>
        <v>-7.2682221763369803E-2</v>
      </c>
      <c r="BO47" s="39">
        <f t="shared" ref="BO47" si="339">+IF(BN44&lt;0,1-BO44/BN44,BO44/BN44-1)</f>
        <v>-0.1489645958583834</v>
      </c>
      <c r="BP47" s="39">
        <f t="shared" ref="BP47" si="340">+IF(BO44&lt;0,1-BP44/BO44,BP44/BO44-1)</f>
        <v>0.44374672946101512</v>
      </c>
      <c r="BQ47" s="39">
        <f t="shared" ref="BQ47" si="341">+IF(BP44&lt;0,1-BQ44/BP44,BQ44/BP44-1)</f>
        <v>8.8800289960130563E-2</v>
      </c>
      <c r="BR47" s="39">
        <f t="shared" ref="BR47" si="342">+IF(BQ44&lt;0,1-BR44/BQ44,BR44/BQ44-1)</f>
        <v>0.17210386151797596</v>
      </c>
      <c r="BS47" s="39">
        <f t="shared" ref="BS47" si="343">+IF(BR44&lt;0,1-BS44/BR44,BS44/BR44-1)</f>
        <v>-9.5853450724226019E-2</v>
      </c>
      <c r="BT47" s="39">
        <f t="shared" ref="BT47" si="344">+IF(BS44&lt;0,1-BT44/BS44,BT44/BS44-1)</f>
        <v>7.2247526307522847E-3</v>
      </c>
      <c r="BU47" s="39">
        <f t="shared" ref="BU47" si="345">+IF(BT44&lt;0,1-BU44/BT44,BU44/BT44-1)</f>
        <v>0.23374395758615307</v>
      </c>
      <c r="BV47" s="39">
        <f t="shared" ref="BV47" si="346">+IF(BU44&lt;0,1-BV44/BU44,BV44/BU44-1)</f>
        <v>0.14079878665318502</v>
      </c>
      <c r="BW47" s="39">
        <f t="shared" ref="BW47" si="347">+IF(BV44&lt;0,1-BW44/BV44,BW44/BV44-1)</f>
        <v>3.0467538222911594E-2</v>
      </c>
      <c r="BX47" s="39">
        <f t="shared" ref="BX47" si="348">+IF(BW44&lt;0,1-BX44/BW44,BX44/BW44-1)</f>
        <v>-0.10074185571443928</v>
      </c>
      <c r="BY47" s="39">
        <f t="shared" ref="BY47" si="349">+IF(BX44&lt;0,1-BY44/BX44,BY44/BX44-1)</f>
        <v>-6.5758010521281718E-2</v>
      </c>
      <c r="BZ47" s="39">
        <f t="shared" ref="BZ47" si="350">+IF(BY44&lt;0,1-BZ44/BY44,BZ44/BY44-1)</f>
        <v>0.12132070642436643</v>
      </c>
      <c r="CA47" s="39">
        <f t="shared" ref="CA47" si="351">+IF(BZ44&lt;0,1-CA44/BZ44,CA44/BZ44-1)</f>
        <v>-0.18511755307007538</v>
      </c>
      <c r="CB47" s="39">
        <f t="shared" ref="CB47" si="352">+IF(CA44&lt;0,1-CB44/CA44,CB44/CA44-1)</f>
        <v>-4.2717086834733853E-2</v>
      </c>
      <c r="CC47" s="39">
        <f t="shared" ref="CC47" si="353">+IF(CB44&lt;0,1-CC44/CB44,CC44/CB44-1)</f>
        <v>7.6517922457937093E-2</v>
      </c>
      <c r="CD47" s="39">
        <f t="shared" ref="CD47" si="354">+IF(CC44&lt;0,1-CD44/CC44,CD44/CC44-1)</f>
        <v>5.4090785539548714E-2</v>
      </c>
      <c r="CE47" s="39">
        <f t="shared" ref="CE47" si="355">+IF(CD44&lt;0,1-CE44/CD44,CE44/CD44-1)</f>
        <v>3.971119133573997E-2</v>
      </c>
      <c r="CF47" s="39">
        <f t="shared" ref="CF47" si="356">+IF(CE44&lt;0,1-CF44/CE44,CF44/CE44-1)</f>
        <v>1.8601190476190688E-3</v>
      </c>
      <c r="CG47" s="39">
        <f t="shared" ref="CG47" si="357">+IF(CF44&lt;0,1-CG44/CF44,CG44/CF44-1)</f>
        <v>7.1914840945661584E-2</v>
      </c>
      <c r="CH47" s="39">
        <f t="shared" ref="CH47:CL47" si="358">+IF(CG44&lt;0,1-CH44/CG44,CH44/CG44-1)</f>
        <v>7.8983833718244911E-2</v>
      </c>
      <c r="CI47" s="39">
        <f t="shared" si="358"/>
        <v>-0.16705907534246578</v>
      </c>
      <c r="CJ47" s="39">
        <f t="shared" si="358"/>
        <v>0.10355903893100349</v>
      </c>
      <c r="CK47" s="39">
        <f t="shared" si="358"/>
        <v>0.26545581557806486</v>
      </c>
      <c r="CL47" s="39">
        <f t="shared" si="358"/>
        <v>0.26948201306467934</v>
      </c>
      <c r="CM47" s="40">
        <f t="shared" ref="CM47" si="359">+CM44/CL44-1</f>
        <v>-0.16422068745355567</v>
      </c>
      <c r="CN47" s="40">
        <f t="shared" ref="CN47" si="360">+CN44/CM44-1</f>
        <v>3.9584219651702668E-2</v>
      </c>
      <c r="CO47" s="40">
        <f t="shared" ref="CO47" si="361">+CO44/CN44-1</f>
        <v>6.3474338728805924E-2</v>
      </c>
      <c r="CP47" s="40">
        <f t="shared" ref="CP47" si="362">+CP44/CO44-1</f>
        <v>2.767992413487308E-2</v>
      </c>
      <c r="CQ47" s="40">
        <f t="shared" ref="CQ47" si="363">+CQ44/CP44-1</f>
        <v>-0.13948777673560342</v>
      </c>
      <c r="CR47" s="40">
        <f t="shared" ref="CR47" si="364">+CR44/CQ44-1</f>
        <v>4.7759613268977263E-2</v>
      </c>
      <c r="CS47" s="40">
        <f t="shared" ref="CS47" si="365">+CS44/CR44-1</f>
        <v>7.1449910220130031E-2</v>
      </c>
      <c r="CT47" s="40">
        <f t="shared" ref="CT47" si="366">+CT44/CS44-1</f>
        <v>3.0734253326732297E-2</v>
      </c>
      <c r="CU47" s="40">
        <f t="shared" ref="CU47" si="367">+CU44/CT44-1</f>
        <v>-0.13446529887230074</v>
      </c>
      <c r="CV47" s="40">
        <f t="shared" ref="CV47" si="368">+CV44/CU44-1</f>
        <v>4.0785256017170868E-2</v>
      </c>
      <c r="CW47" s="40">
        <f t="shared" ref="CW47" si="369">+CW44/CV44-1</f>
        <v>6.4831151114812746E-2</v>
      </c>
      <c r="CX47" s="40">
        <f t="shared" ref="CX47" si="370">+CX44/CW44-1</f>
        <v>2.5097785438017661E-2</v>
      </c>
      <c r="CY47" s="40">
        <f t="shared" ref="CY47" si="371">+CY44/CX44-1</f>
        <v>-0.13201595741577143</v>
      </c>
      <c r="CZ47" s="40">
        <f t="shared" ref="CZ47" si="372">+CZ44/CY44-1</f>
        <v>3.988223395879098E-2</v>
      </c>
      <c r="DA47" s="40">
        <f t="shared" ref="DA47" si="373">+DA44/CZ44-1</f>
        <v>6.4026035924727775E-2</v>
      </c>
      <c r="DB47" s="40">
        <f t="shared" ref="DB47" si="374">+DB44/DA44-1</f>
        <v>2.4714114411541477E-2</v>
      </c>
      <c r="DE47" s="122"/>
      <c r="DF47" s="39">
        <v>0.19781471747931545</v>
      </c>
    </row>
    <row r="48" spans="1:110" s="23" customFormat="1" outlineLevel="1" x14ac:dyDescent="0.2">
      <c r="A48" s="23" t="s">
        <v>8</v>
      </c>
      <c r="B48" s="23">
        <f>'Annual Raw'!C14</f>
        <v>278.64179999999999</v>
      </c>
      <c r="C48" s="23">
        <f>'Annual Raw'!D14</f>
        <v>308.125</v>
      </c>
      <c r="D48" s="23">
        <f>'Annual Raw'!E14</f>
        <v>288.858</v>
      </c>
      <c r="E48" s="23">
        <f>'Annual Raw'!F14</f>
        <v>168.92400000000001</v>
      </c>
      <c r="F48" s="23">
        <f>'Annual Raw'!G14</f>
        <v>205.99</v>
      </c>
      <c r="G48" s="23">
        <f>'Annual Raw'!H14</f>
        <v>205.36</v>
      </c>
      <c r="H48" s="23">
        <f>'Annual Raw'!I14</f>
        <v>258.11</v>
      </c>
      <c r="I48" s="23">
        <f>'Annual Raw'!J14</f>
        <v>306.33</v>
      </c>
      <c r="J48" s="23">
        <f>'Annual Raw'!K14</f>
        <v>363.07</v>
      </c>
      <c r="K48" s="23">
        <f>'Annual Raw'!L14</f>
        <v>453.72</v>
      </c>
      <c r="L48" s="23">
        <f>'Annual Raw'!M14</f>
        <v>510.78</v>
      </c>
      <c r="M48" s="23">
        <f>'Annual Raw'!N14</f>
        <v>534.64</v>
      </c>
      <c r="N48" s="23">
        <f>'Annual Raw'!O14</f>
        <v>649.91</v>
      </c>
      <c r="O48" s="23">
        <f>'Annual Raw'!P14</f>
        <v>741.73</v>
      </c>
      <c r="P48" s="23">
        <f>'Annual Raw'!Q14</f>
        <v>841.85</v>
      </c>
      <c r="Q48" s="23">
        <f>'Annual Raw'!R14</f>
        <v>774</v>
      </c>
      <c r="R48" s="23">
        <f>'Annual Raw'!S14</f>
        <v>722</v>
      </c>
      <c r="S48" s="23">
        <f>'Annual Raw'!T14</f>
        <v>776</v>
      </c>
      <c r="T48" s="23">
        <f>'Annual Raw'!U14</f>
        <v>905</v>
      </c>
      <c r="U48" s="23">
        <f>'Annual Raw'!V14</f>
        <v>689</v>
      </c>
      <c r="V48" s="23">
        <f>'Annual Raw'!W14</f>
        <v>760</v>
      </c>
      <c r="W48" s="23">
        <f>'Annual Raw'!X14</f>
        <v>718</v>
      </c>
      <c r="X48" s="23">
        <f>'Annual Raw'!Y14</f>
        <v>845</v>
      </c>
      <c r="Y48" s="23">
        <f>'Annual Raw'!Z14</f>
        <v>828</v>
      </c>
      <c r="Z48" s="23">
        <f>'Annual Raw'!AA14</f>
        <v>886</v>
      </c>
      <c r="AA48" s="23">
        <f>'Annual Raw'!AB14</f>
        <v>771</v>
      </c>
      <c r="AB48" s="76">
        <f t="shared" ref="AB48:AB53" si="375">+SUM(CM48:CP48)</f>
        <v>824.97</v>
      </c>
      <c r="AC48" s="76">
        <f t="shared" ref="AC48:AC53" si="376">+SUM(CQ48:CT48)</f>
        <v>882.7179000000001</v>
      </c>
      <c r="AD48" s="76">
        <f t="shared" ref="AD48:AD53" si="377">+SUM(CU48:CX48)</f>
        <v>944.50815300000022</v>
      </c>
      <c r="AE48" s="76">
        <f t="shared" ref="AE48:AE53" si="378">+SUM(CY48:DB48)</f>
        <v>1010.6237237100003</v>
      </c>
      <c r="AI48" s="23">
        <f>'QTR Raw'!C16</f>
        <v>149.18</v>
      </c>
      <c r="AJ48" s="23">
        <f>'QTR Raw'!D16</f>
        <v>154.66</v>
      </c>
      <c r="AK48" s="23">
        <f>'QTR Raw'!E16</f>
        <v>169.24</v>
      </c>
      <c r="AL48" s="23">
        <f>'QTR Raw'!F16</f>
        <v>176.83</v>
      </c>
      <c r="AM48" s="23">
        <f>'QTR Raw'!G16</f>
        <v>178.05</v>
      </c>
      <c r="AN48" s="23">
        <f>'QTR Raw'!H16</f>
        <v>176.58</v>
      </c>
      <c r="AO48" s="23">
        <f>'QTR Raw'!I16</f>
        <v>159.11000000000001</v>
      </c>
      <c r="AP48" s="23">
        <f>'QTR Raw'!J16</f>
        <v>166.32</v>
      </c>
      <c r="AQ48" s="23">
        <f>'QTR Raw'!K16</f>
        <v>161.74</v>
      </c>
      <c r="AR48" s="23">
        <f>'QTR Raw'!L16</f>
        <v>215.63</v>
      </c>
      <c r="AS48" s="23">
        <f>'QTR Raw'!M16</f>
        <v>204.22</v>
      </c>
      <c r="AT48" s="23">
        <f>'QTR Raw'!N16</f>
        <v>260.26</v>
      </c>
      <c r="AU48" s="23">
        <f>'QTR Raw'!O16</f>
        <v>183.04</v>
      </c>
      <c r="AV48" s="23">
        <f>'QTR Raw'!P16</f>
        <v>184.71</v>
      </c>
      <c r="AW48" s="23">
        <f>'QTR Raw'!Q16</f>
        <v>212.23</v>
      </c>
      <c r="AX48" s="23">
        <f>'QTR Raw'!R16</f>
        <v>193.89</v>
      </c>
      <c r="AY48" s="23">
        <f>'QTR Raw'!S16</f>
        <v>173</v>
      </c>
      <c r="AZ48" s="23">
        <f>'QTR Raw'!T16</f>
        <v>181</v>
      </c>
      <c r="BA48" s="23">
        <f>'QTR Raw'!U16</f>
        <v>178</v>
      </c>
      <c r="BB48" s="23">
        <f>'QTR Raw'!V16</f>
        <v>190</v>
      </c>
      <c r="BC48" s="23">
        <f>'QTR Raw'!W16</f>
        <v>174</v>
      </c>
      <c r="BD48" s="23">
        <f>'QTR Raw'!X16</f>
        <v>225</v>
      </c>
      <c r="BE48" s="23">
        <f>'QTR Raw'!Y16</f>
        <v>195</v>
      </c>
      <c r="BF48" s="23">
        <f>'QTR Raw'!Z16</f>
        <v>182</v>
      </c>
      <c r="BG48" s="23">
        <f>'QTR Raw'!AA16</f>
        <v>232</v>
      </c>
      <c r="BH48" s="23">
        <f>'QTR Raw'!AB16</f>
        <v>245</v>
      </c>
      <c r="BI48" s="23">
        <f>'QTR Raw'!AC16</f>
        <v>215</v>
      </c>
      <c r="BJ48" s="23">
        <f>'QTR Raw'!AD16</f>
        <v>213</v>
      </c>
      <c r="BK48" s="23">
        <f>'QTR Raw'!AE16</f>
        <v>182</v>
      </c>
      <c r="BL48" s="23">
        <f>'QTR Raw'!AF16</f>
        <v>192</v>
      </c>
      <c r="BM48" s="23">
        <f>'QTR Raw'!AG16</f>
        <v>201</v>
      </c>
      <c r="BN48" s="23">
        <f>'QTR Raw'!AH16</f>
        <v>114</v>
      </c>
      <c r="BO48" s="23">
        <f>'QTR Raw'!AI16</f>
        <v>235</v>
      </c>
      <c r="BP48" s="23">
        <f>'QTR Raw'!AJ16</f>
        <v>166</v>
      </c>
      <c r="BQ48" s="23">
        <f>'QTR Raw'!AK16</f>
        <v>189</v>
      </c>
      <c r="BR48" s="23">
        <f>'QTR Raw'!AL16</f>
        <v>170</v>
      </c>
      <c r="BS48" s="23">
        <f>'QTR Raw'!AM16</f>
        <v>182</v>
      </c>
      <c r="BT48" s="23">
        <f>'QTR Raw'!AN16</f>
        <v>168</v>
      </c>
      <c r="BU48" s="23">
        <f>'QTR Raw'!AO16</f>
        <v>177</v>
      </c>
      <c r="BV48" s="23">
        <f>'QTR Raw'!AP16</f>
        <v>191</v>
      </c>
      <c r="BW48" s="23">
        <f>'QTR Raw'!AQ16</f>
        <v>209</v>
      </c>
      <c r="BX48" s="23">
        <f>'QTR Raw'!AR16</f>
        <v>229</v>
      </c>
      <c r="BY48" s="23">
        <f>'QTR Raw'!AS16</f>
        <v>189</v>
      </c>
      <c r="BZ48" s="23">
        <f>'QTR Raw'!AT16</f>
        <v>218</v>
      </c>
      <c r="CA48" s="23">
        <f>'QTR Raw'!AU16</f>
        <v>191</v>
      </c>
      <c r="CB48" s="23">
        <f>'QTR Raw'!AV16</f>
        <v>213</v>
      </c>
      <c r="CC48" s="23">
        <f>'QTR Raw'!AW16</f>
        <v>197</v>
      </c>
      <c r="CD48" s="23">
        <f>'QTR Raw'!AX16</f>
        <v>227</v>
      </c>
      <c r="CE48" s="23">
        <f>'QTR Raw'!AY16</f>
        <v>229</v>
      </c>
      <c r="CF48" s="23">
        <f>'QTR Raw'!AZ16</f>
        <v>187</v>
      </c>
      <c r="CG48" s="23">
        <f>'QTR Raw'!BA16</f>
        <v>243</v>
      </c>
      <c r="CH48" s="23">
        <f>'QTR Raw'!BB16</f>
        <v>227</v>
      </c>
      <c r="CI48" s="23">
        <f>'QTR Raw'!BC16</f>
        <v>192</v>
      </c>
      <c r="CJ48" s="23">
        <f>'QTR Raw'!BD16</f>
        <v>188</v>
      </c>
      <c r="CK48" s="23">
        <f>'QTR Raw'!BE16</f>
        <v>206</v>
      </c>
      <c r="CL48" s="23">
        <f>'QTR Raw'!BF16</f>
        <v>185</v>
      </c>
      <c r="CM48" s="24">
        <f t="shared" ref="CM48:DB48" si="379">CI48*107%</f>
        <v>205.44</v>
      </c>
      <c r="CN48" s="24">
        <f t="shared" si="379"/>
        <v>201.16000000000003</v>
      </c>
      <c r="CO48" s="24">
        <f t="shared" si="379"/>
        <v>220.42000000000002</v>
      </c>
      <c r="CP48" s="24">
        <f t="shared" si="379"/>
        <v>197.95000000000002</v>
      </c>
      <c r="CQ48" s="24">
        <f t="shared" si="379"/>
        <v>219.82080000000002</v>
      </c>
      <c r="CR48" s="24">
        <f t="shared" si="379"/>
        <v>215.24120000000005</v>
      </c>
      <c r="CS48" s="24">
        <f t="shared" si="379"/>
        <v>235.84940000000003</v>
      </c>
      <c r="CT48" s="24">
        <f t="shared" si="379"/>
        <v>211.80650000000003</v>
      </c>
      <c r="CU48" s="24">
        <f t="shared" si="379"/>
        <v>235.20825600000003</v>
      </c>
      <c r="CV48" s="24">
        <f t="shared" si="379"/>
        <v>230.30808400000006</v>
      </c>
      <c r="CW48" s="24">
        <f t="shared" si="379"/>
        <v>252.35885800000005</v>
      </c>
      <c r="CX48" s="24">
        <f t="shared" si="379"/>
        <v>226.63295500000004</v>
      </c>
      <c r="CY48" s="24">
        <f t="shared" si="379"/>
        <v>251.67283392000004</v>
      </c>
      <c r="CZ48" s="24">
        <f t="shared" si="379"/>
        <v>246.42964988000008</v>
      </c>
      <c r="DA48" s="24">
        <f t="shared" si="379"/>
        <v>270.02397806000005</v>
      </c>
      <c r="DB48" s="24">
        <f t="shared" si="379"/>
        <v>242.49726185000006</v>
      </c>
      <c r="DE48" s="123"/>
      <c r="DF48" s="23">
        <v>242.89000000000001</v>
      </c>
    </row>
    <row r="49" spans="1:110" s="23" customFormat="1" outlineLevel="1" x14ac:dyDescent="0.2">
      <c r="A49" s="23" t="s">
        <v>10</v>
      </c>
      <c r="B49" s="23">
        <f>'Annual Raw'!C17</f>
        <v>45.964300000000001</v>
      </c>
      <c r="C49" s="23">
        <f>'Annual Raw'!D17</f>
        <v>53.058999999999997</v>
      </c>
      <c r="D49" s="23">
        <f>'Annual Raw'!E17</f>
        <v>49.521999999999998</v>
      </c>
      <c r="E49" s="23">
        <f>'Annual Raw'!F17</f>
        <v>51.859000000000002</v>
      </c>
      <c r="F49" s="23">
        <f>'Annual Raw'!G17</f>
        <v>53.68</v>
      </c>
      <c r="G49" s="23">
        <f>'Annual Raw'!H17</f>
        <v>64.510000000000005</v>
      </c>
      <c r="H49" s="23">
        <f>'Annual Raw'!I17</f>
        <v>88.7</v>
      </c>
      <c r="I49" s="23">
        <f>'Annual Raw'!J17</f>
        <v>114.99</v>
      </c>
      <c r="J49" s="23">
        <f>'Annual Raw'!K17</f>
        <v>117.67</v>
      </c>
      <c r="K49" s="23">
        <f>'Annual Raw'!L17</f>
        <v>95.57</v>
      </c>
      <c r="L49" s="23">
        <f>'Annual Raw'!M17</f>
        <v>63.75</v>
      </c>
      <c r="M49" s="23">
        <f>'Annual Raw'!N17</f>
        <v>71.459999999999994</v>
      </c>
      <c r="N49" s="23">
        <f>'Annual Raw'!O17</f>
        <v>85.41</v>
      </c>
      <c r="O49" s="23">
        <f>'Annual Raw'!P17</f>
        <v>83.53</v>
      </c>
      <c r="P49" s="23">
        <f>'Annual Raw'!Q17</f>
        <v>85.39</v>
      </c>
      <c r="Q49" s="23">
        <f>'Annual Raw'!R17</f>
        <v>105</v>
      </c>
      <c r="R49" s="23">
        <f>'Annual Raw'!S17</f>
        <v>126</v>
      </c>
      <c r="S49" s="23">
        <f>'Annual Raw'!T17</f>
        <v>101</v>
      </c>
      <c r="T49" s="23">
        <f>'Annual Raw'!U17</f>
        <v>119</v>
      </c>
      <c r="U49" s="23">
        <f>'Annual Raw'!V17</f>
        <v>85</v>
      </c>
      <c r="V49" s="23">
        <f>'Annual Raw'!W17</f>
        <v>83</v>
      </c>
      <c r="W49" s="23">
        <f>'Annual Raw'!X17</f>
        <v>91</v>
      </c>
      <c r="X49" s="23">
        <f>'Annual Raw'!Y17</f>
        <v>85</v>
      </c>
      <c r="Y49" s="23">
        <f>'Annual Raw'!Z17</f>
        <v>61</v>
      </c>
      <c r="Z49" s="23">
        <f>'Annual Raw'!AA17</f>
        <v>74</v>
      </c>
      <c r="AA49" s="23">
        <f>'Annual Raw'!AB17</f>
        <v>87</v>
      </c>
      <c r="AB49" s="76">
        <f t="shared" si="375"/>
        <v>0</v>
      </c>
      <c r="AC49" s="76">
        <f t="shared" si="376"/>
        <v>0</v>
      </c>
      <c r="AD49" s="76">
        <f t="shared" si="377"/>
        <v>0</v>
      </c>
      <c r="AE49" s="76">
        <f t="shared" si="378"/>
        <v>0</v>
      </c>
      <c r="AI49" s="23">
        <f>'QTR Raw'!C17</f>
        <v>0</v>
      </c>
      <c r="AJ49" s="23">
        <f>'QTR Raw'!D17</f>
        <v>0</v>
      </c>
      <c r="AK49" s="23">
        <f>'QTR Raw'!E17</f>
        <v>0</v>
      </c>
      <c r="AL49" s="23">
        <f>'QTR Raw'!F17</f>
        <v>0</v>
      </c>
      <c r="AM49" s="23">
        <f>'QTR Raw'!G17</f>
        <v>0</v>
      </c>
      <c r="AN49" s="23">
        <f>'QTR Raw'!H17</f>
        <v>0</v>
      </c>
      <c r="AO49" s="23">
        <f>'QTR Raw'!I17</f>
        <v>0</v>
      </c>
      <c r="AP49" s="23">
        <f>'QTR Raw'!J17</f>
        <v>0</v>
      </c>
      <c r="AQ49" s="23">
        <f>'QTR Raw'!K17</f>
        <v>0</v>
      </c>
      <c r="AR49" s="23">
        <f>'QTR Raw'!L17</f>
        <v>0</v>
      </c>
      <c r="AS49" s="23">
        <f>'QTR Raw'!M17</f>
        <v>0</v>
      </c>
      <c r="AT49" s="23">
        <f>'QTR Raw'!N17</f>
        <v>0</v>
      </c>
      <c r="AU49" s="23">
        <f>'QTR Raw'!O17</f>
        <v>0</v>
      </c>
      <c r="AV49" s="23">
        <f>'QTR Raw'!P17</f>
        <v>0</v>
      </c>
      <c r="AW49" s="23">
        <f>'QTR Raw'!Q17</f>
        <v>0</v>
      </c>
      <c r="AX49" s="23">
        <f>'QTR Raw'!R17</f>
        <v>0</v>
      </c>
      <c r="AY49" s="23">
        <f>'QTR Raw'!S17</f>
        <v>0</v>
      </c>
      <c r="AZ49" s="23">
        <f>'QTR Raw'!T17</f>
        <v>0</v>
      </c>
      <c r="BA49" s="23">
        <f>'QTR Raw'!U17</f>
        <v>0</v>
      </c>
      <c r="BB49" s="23">
        <f>'QTR Raw'!V17</f>
        <v>0</v>
      </c>
      <c r="BC49" s="23">
        <f>'QTR Raw'!W17</f>
        <v>0</v>
      </c>
      <c r="BD49" s="23">
        <f>'QTR Raw'!X17</f>
        <v>0</v>
      </c>
      <c r="BE49" s="23">
        <f>'QTR Raw'!Y17</f>
        <v>0</v>
      </c>
      <c r="BF49" s="23">
        <f>'QTR Raw'!Z17</f>
        <v>0</v>
      </c>
      <c r="BG49" s="23">
        <f>'QTR Raw'!AA17</f>
        <v>0</v>
      </c>
      <c r="BH49" s="23">
        <f>'QTR Raw'!AB17</f>
        <v>0</v>
      </c>
      <c r="BI49" s="23">
        <f>'QTR Raw'!AC17</f>
        <v>0</v>
      </c>
      <c r="BJ49" s="23">
        <f>'QTR Raw'!AD17</f>
        <v>0</v>
      </c>
      <c r="BK49" s="23">
        <f>'QTR Raw'!AE17</f>
        <v>0</v>
      </c>
      <c r="BL49" s="23">
        <f>'QTR Raw'!AF17</f>
        <v>0</v>
      </c>
      <c r="BM49" s="23">
        <f>'QTR Raw'!AG17</f>
        <v>0</v>
      </c>
      <c r="BN49" s="23">
        <f>'QTR Raw'!AH17</f>
        <v>0</v>
      </c>
      <c r="BO49" s="23">
        <f>'QTR Raw'!AI17</f>
        <v>0</v>
      </c>
      <c r="BP49" s="23">
        <f>'QTR Raw'!AJ17</f>
        <v>0</v>
      </c>
      <c r="BQ49" s="23">
        <f>'QTR Raw'!AK17</f>
        <v>0</v>
      </c>
      <c r="BR49" s="23">
        <f>'QTR Raw'!AL17</f>
        <v>0</v>
      </c>
      <c r="BS49" s="23">
        <f>'QTR Raw'!AM17</f>
        <v>0</v>
      </c>
      <c r="BT49" s="23">
        <f>'QTR Raw'!AN17</f>
        <v>0</v>
      </c>
      <c r="BU49" s="23">
        <f>'QTR Raw'!AO17</f>
        <v>0</v>
      </c>
      <c r="BV49" s="23">
        <f>'QTR Raw'!AP17</f>
        <v>0</v>
      </c>
      <c r="BW49" s="23">
        <f>'QTR Raw'!AQ17</f>
        <v>0</v>
      </c>
      <c r="BX49" s="23">
        <f>'QTR Raw'!AR17</f>
        <v>0</v>
      </c>
      <c r="BY49" s="23">
        <f>'QTR Raw'!AS17</f>
        <v>0</v>
      </c>
      <c r="BZ49" s="23">
        <f>'QTR Raw'!AT17</f>
        <v>0</v>
      </c>
      <c r="CA49" s="23">
        <f>'QTR Raw'!AU17</f>
        <v>0</v>
      </c>
      <c r="CB49" s="23">
        <f>'QTR Raw'!AV17</f>
        <v>0</v>
      </c>
      <c r="CC49" s="23">
        <f>'QTR Raw'!AW17</f>
        <v>0</v>
      </c>
      <c r="CD49" s="23">
        <f>'QTR Raw'!AX17</f>
        <v>0</v>
      </c>
      <c r="CE49" s="23">
        <f>'QTR Raw'!AY17</f>
        <v>0</v>
      </c>
      <c r="CF49" s="23">
        <f>'QTR Raw'!AZ17</f>
        <v>0</v>
      </c>
      <c r="CG49" s="23">
        <f>'QTR Raw'!BA17</f>
        <v>0</v>
      </c>
      <c r="CH49" s="23">
        <f>'QTR Raw'!BB17</f>
        <v>0</v>
      </c>
      <c r="CI49" s="23">
        <f>'QTR Raw'!BC17</f>
        <v>0</v>
      </c>
      <c r="CJ49" s="23">
        <f>'QTR Raw'!BD17</f>
        <v>0</v>
      </c>
      <c r="CK49" s="23">
        <f>'QTR Raw'!BE17</f>
        <v>0</v>
      </c>
      <c r="CL49" s="23">
        <f>'QTR Raw'!BF17</f>
        <v>0</v>
      </c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E49" s="123"/>
      <c r="DF49" s="23">
        <v>0</v>
      </c>
    </row>
    <row r="50" spans="1:110" s="23" customFormat="1" outlineLevel="1" x14ac:dyDescent="0.2">
      <c r="A50" s="23" t="s">
        <v>12</v>
      </c>
      <c r="B50" s="23">
        <f>'Annual Raw'!C19-'Annual Raw'!C20</f>
        <v>12.2737</v>
      </c>
      <c r="C50" s="23">
        <f>'Annual Raw'!D19-'Annual Raw'!D20</f>
        <v>9.5269999999999992</v>
      </c>
      <c r="D50" s="23">
        <f>'Annual Raw'!E19-'Annual Raw'!E20</f>
        <v>48.082999999999998</v>
      </c>
      <c r="E50" s="23">
        <f>'Annual Raw'!F19-'Annual Raw'!F20</f>
        <v>21.344000000000001</v>
      </c>
      <c r="F50" s="23">
        <f>'Annual Raw'!G19-'Annual Raw'!G20</f>
        <v>7.75</v>
      </c>
      <c r="G50" s="23">
        <f>'Annual Raw'!H19-'Annual Raw'!H20</f>
        <v>7.36</v>
      </c>
      <c r="H50" s="23">
        <f>'Annual Raw'!I19-'Annual Raw'!I20</f>
        <v>13.18</v>
      </c>
      <c r="I50" s="23">
        <f>'Annual Raw'!J19-'Annual Raw'!J20</f>
        <v>22.21</v>
      </c>
      <c r="J50" s="23">
        <f>'Annual Raw'!K19-'Annual Raw'!K20</f>
        <v>8.34</v>
      </c>
      <c r="K50" s="23">
        <f>'Annual Raw'!L19-'Annual Raw'!L20</f>
        <v>4</v>
      </c>
      <c r="L50" s="23">
        <f>'Annual Raw'!M19-'Annual Raw'!M20</f>
        <v>82.1</v>
      </c>
      <c r="M50" s="23">
        <f>'Annual Raw'!N19-'Annual Raw'!N20</f>
        <v>118.59</v>
      </c>
      <c r="N50" s="23">
        <f>'Annual Raw'!O19-'Annual Raw'!O20</f>
        <v>165.63</v>
      </c>
      <c r="O50" s="23">
        <f>'Annual Raw'!P19-'Annual Raw'!P20</f>
        <v>340.11</v>
      </c>
      <c r="P50" s="23">
        <f>'Annual Raw'!Q19-'Annual Raw'!Q20</f>
        <v>512.48</v>
      </c>
      <c r="Q50" s="23">
        <f>'Annual Raw'!R19-'Annual Raw'!R20</f>
        <v>187</v>
      </c>
      <c r="R50" s="23">
        <f>'Annual Raw'!S19-'Annual Raw'!S20</f>
        <v>212</v>
      </c>
      <c r="S50" s="23">
        <f>'Annual Raw'!T19-'Annual Raw'!T20</f>
        <v>211</v>
      </c>
      <c r="T50" s="23">
        <f>'Annual Raw'!U19-'Annual Raw'!U20</f>
        <v>337</v>
      </c>
      <c r="U50" s="23">
        <f>'Annual Raw'!V19-'Annual Raw'!V20</f>
        <v>324</v>
      </c>
      <c r="V50" s="23">
        <f>'Annual Raw'!W19-'Annual Raw'!W20</f>
        <v>337</v>
      </c>
      <c r="W50" s="23">
        <f>'Annual Raw'!X19-'Annual Raw'!X20</f>
        <v>415</v>
      </c>
      <c r="X50" s="23">
        <f>'Annual Raw'!Y19-'Annual Raw'!Y20</f>
        <v>534</v>
      </c>
      <c r="Y50" s="23">
        <f>'Annual Raw'!Z19-'Annual Raw'!Z20</f>
        <v>505</v>
      </c>
      <c r="Z50" s="23">
        <f>'Annual Raw'!AA19-'Annual Raw'!AA20</f>
        <v>604</v>
      </c>
      <c r="AA50" s="23">
        <f>'Annual Raw'!AB19-'Annual Raw'!AB20</f>
        <v>537</v>
      </c>
      <c r="AB50" s="76">
        <f t="shared" si="375"/>
        <v>0</v>
      </c>
      <c r="AC50" s="76">
        <f t="shared" si="376"/>
        <v>0</v>
      </c>
      <c r="AD50" s="76">
        <f t="shared" si="377"/>
        <v>0</v>
      </c>
      <c r="AE50" s="76">
        <f t="shared" si="378"/>
        <v>0</v>
      </c>
      <c r="AI50" s="23">
        <f>+'QTR Raw'!C21</f>
        <v>0</v>
      </c>
      <c r="AJ50" s="23">
        <f>+'QTR Raw'!D21</f>
        <v>0</v>
      </c>
      <c r="AK50" s="23">
        <f>+'QTR Raw'!E21</f>
        <v>0</v>
      </c>
      <c r="AL50" s="23">
        <f>+'QTR Raw'!F21</f>
        <v>0</v>
      </c>
      <c r="AM50" s="23">
        <f>+'QTR Raw'!G21</f>
        <v>0</v>
      </c>
      <c r="AN50" s="23">
        <f>+'QTR Raw'!H21</f>
        <v>0</v>
      </c>
      <c r="AO50" s="23">
        <f>+'QTR Raw'!I21</f>
        <v>0</v>
      </c>
      <c r="AP50" s="23">
        <f>+'QTR Raw'!J21</f>
        <v>0</v>
      </c>
      <c r="AQ50" s="23">
        <f>+'QTR Raw'!K21</f>
        <v>0</v>
      </c>
      <c r="AR50" s="23">
        <f>+'QTR Raw'!L21</f>
        <v>0</v>
      </c>
      <c r="AS50" s="23">
        <f>+'QTR Raw'!M21</f>
        <v>0</v>
      </c>
      <c r="AT50" s="23">
        <f>+'QTR Raw'!N21</f>
        <v>0</v>
      </c>
      <c r="AU50" s="23">
        <f>+'QTR Raw'!O21</f>
        <v>0</v>
      </c>
      <c r="AV50" s="23">
        <f>+'QTR Raw'!P21</f>
        <v>0</v>
      </c>
      <c r="AW50" s="23">
        <f>+'QTR Raw'!Q21</f>
        <v>0</v>
      </c>
      <c r="AX50" s="23">
        <f>+'QTR Raw'!R21</f>
        <v>0</v>
      </c>
      <c r="AY50" s="23">
        <f>+'QTR Raw'!S21</f>
        <v>0</v>
      </c>
      <c r="AZ50" s="23">
        <f>+'QTR Raw'!T21</f>
        <v>0</v>
      </c>
      <c r="BA50" s="23">
        <f>+'QTR Raw'!U21</f>
        <v>0</v>
      </c>
      <c r="BB50" s="23">
        <f>+'QTR Raw'!V21</f>
        <v>0</v>
      </c>
      <c r="BC50" s="23">
        <f>+'QTR Raw'!W21</f>
        <v>0</v>
      </c>
      <c r="BD50" s="23">
        <f>+'QTR Raw'!X21</f>
        <v>0</v>
      </c>
      <c r="BE50" s="23">
        <f>+'QTR Raw'!Y21</f>
        <v>0</v>
      </c>
      <c r="BF50" s="23">
        <f>+'QTR Raw'!Z21</f>
        <v>0</v>
      </c>
      <c r="BG50" s="23">
        <f>+'QTR Raw'!AA21</f>
        <v>0</v>
      </c>
      <c r="BH50" s="23">
        <f>+'QTR Raw'!AB21</f>
        <v>0</v>
      </c>
      <c r="BI50" s="23">
        <f>+'QTR Raw'!AC21</f>
        <v>0</v>
      </c>
      <c r="BJ50" s="23">
        <f>+'QTR Raw'!AD21</f>
        <v>0</v>
      </c>
      <c r="BK50" s="23">
        <f>+'QTR Raw'!AE21</f>
        <v>0</v>
      </c>
      <c r="BL50" s="23">
        <f>+'QTR Raw'!AF21</f>
        <v>0</v>
      </c>
      <c r="BM50" s="23">
        <f>+'QTR Raw'!AG21</f>
        <v>0</v>
      </c>
      <c r="BN50" s="23">
        <f>+'QTR Raw'!AH21</f>
        <v>0</v>
      </c>
      <c r="BO50" s="23">
        <f>+'QTR Raw'!AI21</f>
        <v>0</v>
      </c>
      <c r="BP50" s="23">
        <f>+'QTR Raw'!AJ21</f>
        <v>0</v>
      </c>
      <c r="BQ50" s="23">
        <f>+'QTR Raw'!AK21</f>
        <v>0</v>
      </c>
      <c r="BR50" s="23">
        <f>+'QTR Raw'!AL21</f>
        <v>0</v>
      </c>
      <c r="BS50" s="23">
        <f>+'QTR Raw'!AM21</f>
        <v>0</v>
      </c>
      <c r="BT50" s="23">
        <f>+'QTR Raw'!AN21</f>
        <v>0</v>
      </c>
      <c r="BU50" s="23">
        <f>+'QTR Raw'!AO21</f>
        <v>0</v>
      </c>
      <c r="BV50" s="23">
        <f>+'QTR Raw'!AP21</f>
        <v>0</v>
      </c>
      <c r="BW50" s="23">
        <f>+'QTR Raw'!AQ21</f>
        <v>0</v>
      </c>
      <c r="BX50" s="23">
        <f>+'QTR Raw'!AR21</f>
        <v>0</v>
      </c>
      <c r="BY50" s="23">
        <f>+'QTR Raw'!AS21</f>
        <v>0</v>
      </c>
      <c r="BZ50" s="23">
        <f>+'QTR Raw'!AT21</f>
        <v>0</v>
      </c>
      <c r="CA50" s="23">
        <f>+'QTR Raw'!AU21</f>
        <v>0</v>
      </c>
      <c r="CB50" s="23">
        <f>+'QTR Raw'!AV21</f>
        <v>0</v>
      </c>
      <c r="CC50" s="23">
        <f>+'QTR Raw'!AW21</f>
        <v>0</v>
      </c>
      <c r="CD50" s="23">
        <f>+'QTR Raw'!AX21</f>
        <v>0</v>
      </c>
      <c r="CE50" s="23">
        <f>+'QTR Raw'!AY21</f>
        <v>0</v>
      </c>
      <c r="CF50" s="23">
        <f>+'QTR Raw'!AZ21</f>
        <v>0</v>
      </c>
      <c r="CG50" s="23">
        <f>+'QTR Raw'!BA21</f>
        <v>0</v>
      </c>
      <c r="CH50" s="23">
        <f>+'QTR Raw'!BB21</f>
        <v>0</v>
      </c>
      <c r="CI50" s="23">
        <f>+'QTR Raw'!BC21</f>
        <v>0</v>
      </c>
      <c r="CJ50" s="23">
        <f>+'QTR Raw'!BD21</f>
        <v>0</v>
      </c>
      <c r="CK50" s="23">
        <f>+'QTR Raw'!BE21</f>
        <v>0</v>
      </c>
      <c r="CL50" s="23">
        <f>+'QTR Raw'!BF21</f>
        <v>0</v>
      </c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E50" s="123"/>
      <c r="DF50" s="23">
        <v>0</v>
      </c>
    </row>
    <row r="51" spans="1:110" s="23" customFormat="1" outlineLevel="1" x14ac:dyDescent="0.2">
      <c r="A51" s="23" t="s">
        <v>9</v>
      </c>
      <c r="B51" s="23">
        <f>'Annual Raw'!C15+'Annual Raw'!C16</f>
        <v>459.86610000000002</v>
      </c>
      <c r="C51" s="23">
        <f>'Annual Raw'!D15+'Annual Raw'!D16</f>
        <v>399.108</v>
      </c>
      <c r="D51" s="23">
        <f>'Annual Raw'!E15+'Annual Raw'!E16</f>
        <v>365.28</v>
      </c>
      <c r="E51" s="23">
        <f>'Annual Raw'!F15+'Annual Raw'!F16</f>
        <v>532.54100000000005</v>
      </c>
      <c r="F51" s="23">
        <f>'Annual Raw'!G15+'Annual Raw'!G16</f>
        <v>710.2</v>
      </c>
      <c r="G51" s="23">
        <f>'Annual Raw'!H15+'Annual Raw'!H16</f>
        <v>845.02</v>
      </c>
      <c r="H51" s="23">
        <f>'Annual Raw'!I15+'Annual Raw'!I16</f>
        <v>1270.96</v>
      </c>
      <c r="I51" s="23">
        <f>'Annual Raw'!J15+'Annual Raw'!J16</f>
        <v>1271.1500000000001</v>
      </c>
      <c r="J51" s="23">
        <f>'Annual Raw'!K15+'Annual Raw'!K16</f>
        <v>1454.25</v>
      </c>
      <c r="K51" s="23">
        <f>'Annual Raw'!L15+'Annual Raw'!L16</f>
        <v>1827.72</v>
      </c>
      <c r="L51" s="23">
        <f>'Annual Raw'!M15+'Annual Raw'!M16</f>
        <v>2560.3000000000002</v>
      </c>
      <c r="M51" s="23">
        <f>'Annual Raw'!N15+'Annual Raw'!N16</f>
        <v>2898.28</v>
      </c>
      <c r="N51" s="23">
        <f>'Annual Raw'!O15+'Annual Raw'!O16</f>
        <v>3349.41</v>
      </c>
      <c r="O51" s="23">
        <f>'Annual Raw'!P15+'Annual Raw'!P16</f>
        <v>3993.79</v>
      </c>
      <c r="P51" s="23">
        <f>'Annual Raw'!Q15+'Annual Raw'!Q16</f>
        <v>4405.29</v>
      </c>
      <c r="Q51" s="23">
        <f>'Annual Raw'!R15+'Annual Raw'!R16</f>
        <v>4555</v>
      </c>
      <c r="R51" s="23">
        <f>'Annual Raw'!S15+'Annual Raw'!S16</f>
        <v>5482</v>
      </c>
      <c r="S51" s="23">
        <f>'Annual Raw'!T15+'Annual Raw'!T16</f>
        <v>6308</v>
      </c>
      <c r="T51" s="23">
        <f>'Annual Raw'!U15+'Annual Raw'!U16</f>
        <v>7149</v>
      </c>
      <c r="U51" s="23">
        <f>'Annual Raw'!V15+'Annual Raw'!V16</f>
        <v>6971</v>
      </c>
      <c r="V51" s="23">
        <f>'Annual Raw'!W15+'Annual Raw'!W16</f>
        <v>7530</v>
      </c>
      <c r="W51" s="23">
        <f>'Annual Raw'!X15+'Annual Raw'!X16</f>
        <v>9468</v>
      </c>
      <c r="X51" s="23">
        <f>'Annual Raw'!Y15+'Annual Raw'!Y16</f>
        <v>11225</v>
      </c>
      <c r="Y51" s="23">
        <f>'Annual Raw'!Z15+'Annual Raw'!Z16</f>
        <v>10928</v>
      </c>
      <c r="Z51" s="23">
        <f>'Annual Raw'!AA15+'Annual Raw'!AA16</f>
        <v>12160</v>
      </c>
      <c r="AA51" s="23">
        <f>'Annual Raw'!AB15+'Annual Raw'!AB16</f>
        <v>14763</v>
      </c>
      <c r="AB51" s="76">
        <f t="shared" si="375"/>
        <v>20239.905882938256</v>
      </c>
      <c r="AC51" s="76">
        <f t="shared" si="376"/>
        <v>18637.669547588805</v>
      </c>
      <c r="AD51" s="76">
        <f t="shared" si="377"/>
        <v>18314.547990264738</v>
      </c>
      <c r="AE51" s="76">
        <f t="shared" si="378"/>
        <v>17937.801806507068</v>
      </c>
      <c r="AI51" s="23">
        <f>'QTR Raw'!C14</f>
        <v>846.18</v>
      </c>
      <c r="AJ51" s="23">
        <f>'QTR Raw'!D14</f>
        <v>873.44</v>
      </c>
      <c r="AK51" s="23">
        <f>'QTR Raw'!E14</f>
        <v>998.42</v>
      </c>
      <c r="AL51" s="23">
        <f>'QTR Raw'!F14</f>
        <v>1099.27</v>
      </c>
      <c r="AM51" s="23">
        <f>'QTR Raw'!G14</f>
        <v>1105.78</v>
      </c>
      <c r="AN51" s="23">
        <f>'QTR Raw'!H14</f>
        <v>1088.5899999999999</v>
      </c>
      <c r="AO51" s="23">
        <f>'QTR Raw'!I14</f>
        <v>1120.33</v>
      </c>
      <c r="AP51" s="23">
        <f>'QTR Raw'!J14</f>
        <v>1178.9100000000001</v>
      </c>
      <c r="AQ51" s="23">
        <f>'QTR Raw'!K14</f>
        <v>990.22</v>
      </c>
      <c r="AR51" s="23">
        <f>'QTR Raw'!L14</f>
        <v>1200.95</v>
      </c>
      <c r="AS51" s="23">
        <f>'QTR Raw'!M14</f>
        <v>1286.03</v>
      </c>
      <c r="AT51" s="23">
        <f>'QTR Raw'!N14</f>
        <v>1478.92</v>
      </c>
      <c r="AU51" s="23">
        <f>'QTR Raw'!O14</f>
        <v>1471.24</v>
      </c>
      <c r="AV51" s="23">
        <f>'QTR Raw'!P14</f>
        <v>1194.23</v>
      </c>
      <c r="AW51" s="23">
        <f>'QTR Raw'!Q14</f>
        <v>1238.04</v>
      </c>
      <c r="AX51" s="23">
        <f>'QTR Raw'!R14</f>
        <v>1578.92</v>
      </c>
      <c r="AY51" s="23">
        <f>'QTR Raw'!S14</f>
        <v>1159</v>
      </c>
      <c r="AZ51" s="23">
        <f>'QTR Raw'!T14</f>
        <v>1173</v>
      </c>
      <c r="BA51" s="23">
        <f>'QTR Raw'!U14</f>
        <v>1878</v>
      </c>
      <c r="BB51" s="23">
        <f>'QTR Raw'!V14</f>
        <v>2129</v>
      </c>
      <c r="BC51" s="23">
        <f>'QTR Raw'!W14</f>
        <v>1506</v>
      </c>
      <c r="BD51" s="23">
        <f>'QTR Raw'!X14</f>
        <v>1541</v>
      </c>
      <c r="BE51" s="23">
        <f>'QTR Raw'!Y14</f>
        <v>1823</v>
      </c>
      <c r="BF51" s="23">
        <f>'QTR Raw'!Z14</f>
        <v>2015</v>
      </c>
      <c r="BG51" s="23">
        <f>'QTR Raw'!AA14</f>
        <v>1884</v>
      </c>
      <c r="BH51" s="23">
        <f>'QTR Raw'!AB14</f>
        <v>1869</v>
      </c>
      <c r="BI51" s="23">
        <f>'QTR Raw'!AC14</f>
        <v>2019</v>
      </c>
      <c r="BJ51" s="23">
        <f>'QTR Raw'!AD14</f>
        <v>2077</v>
      </c>
      <c r="BK51" s="23">
        <f>'QTR Raw'!AE14</f>
        <v>1889</v>
      </c>
      <c r="BL51" s="23">
        <f>'QTR Raw'!AF14</f>
        <v>1803</v>
      </c>
      <c r="BM51" s="23">
        <f>'QTR Raw'!AG14</f>
        <v>1949</v>
      </c>
      <c r="BN51" s="23">
        <f>'QTR Raw'!AH14</f>
        <v>1971</v>
      </c>
      <c r="BO51" s="23">
        <f>'QTR Raw'!AI14</f>
        <v>1623</v>
      </c>
      <c r="BP51" s="23">
        <f>'QTR Raw'!AJ14</f>
        <v>1965</v>
      </c>
      <c r="BQ51" s="23">
        <f>'QTR Raw'!AK14</f>
        <v>2110</v>
      </c>
      <c r="BR51" s="23">
        <f>'QTR Raw'!AL14</f>
        <v>2528</v>
      </c>
      <c r="BS51" s="23">
        <f>'QTR Raw'!AM14</f>
        <v>2147</v>
      </c>
      <c r="BT51" s="23">
        <f>'QTR Raw'!AN14</f>
        <v>2409</v>
      </c>
      <c r="BU51" s="23">
        <f>'QTR Raw'!AO14</f>
        <v>2663</v>
      </c>
      <c r="BV51" s="23">
        <f>'QTR Raw'!AP14</f>
        <v>3104</v>
      </c>
      <c r="BW51" s="23">
        <f>'QTR Raw'!AQ14</f>
        <v>3072</v>
      </c>
      <c r="BX51" s="23">
        <f>'QTR Raw'!AR14</f>
        <v>2745</v>
      </c>
      <c r="BY51" s="23">
        <f>'QTR Raw'!AS14</f>
        <v>2915</v>
      </c>
      <c r="BZ51" s="23">
        <f>'QTR Raw'!AT14</f>
        <v>3447</v>
      </c>
      <c r="CA51" s="23">
        <f>'QTR Raw'!AU14</f>
        <v>2824</v>
      </c>
      <c r="CB51" s="23">
        <f>'QTR Raw'!AV14</f>
        <v>2821</v>
      </c>
      <c r="CC51" s="23">
        <f>'QTR Raw'!AW14</f>
        <v>2917</v>
      </c>
      <c r="CD51" s="23">
        <f>'QTR Raw'!AX14</f>
        <v>3200</v>
      </c>
      <c r="CE51" s="23">
        <f>'QTR Raw'!AY14</f>
        <v>3224</v>
      </c>
      <c r="CF51" s="23">
        <f>'QTR Raw'!AZ14</f>
        <v>3067</v>
      </c>
      <c r="CG51" s="23">
        <f>'QTR Raw'!BA14</f>
        <v>3256</v>
      </c>
      <c r="CH51" s="23">
        <f>'QTR Raw'!BB14</f>
        <v>3624</v>
      </c>
      <c r="CI51" s="23">
        <f>'QTR Raw'!BC14</f>
        <v>3100</v>
      </c>
      <c r="CJ51" s="23">
        <f>'QTR Raw'!BD14</f>
        <v>3310</v>
      </c>
      <c r="CK51" s="23">
        <f>'QTR Raw'!BE14</f>
        <v>3961</v>
      </c>
      <c r="CL51" s="23">
        <f>'QTR Raw'!BF14</f>
        <v>5280</v>
      </c>
      <c r="CM51" s="24">
        <f t="shared" ref="CM51:DB51" si="380">CM54-CM48-CM49-CM50-CM52-CM53</f>
        <v>4868.3913858551905</v>
      </c>
      <c r="CN51" s="24">
        <f t="shared" si="380"/>
        <v>4892.5170487558889</v>
      </c>
      <c r="CO51" s="24">
        <f t="shared" si="380"/>
        <v>5134.2016649393081</v>
      </c>
      <c r="CP51" s="24">
        <f t="shared" si="380"/>
        <v>5344.7957833878681</v>
      </c>
      <c r="CQ51" s="24">
        <f t="shared" si="380"/>
        <v>4401.3243479884613</v>
      </c>
      <c r="CR51" s="24">
        <f t="shared" si="380"/>
        <v>4541.565956715348</v>
      </c>
      <c r="CS51" s="24">
        <f t="shared" si="380"/>
        <v>4793.4896812448169</v>
      </c>
      <c r="CT51" s="24">
        <f t="shared" si="380"/>
        <v>4901.2895616401793</v>
      </c>
      <c r="CU51" s="24">
        <f t="shared" si="380"/>
        <v>4286.6031348388433</v>
      </c>
      <c r="CV51" s="24">
        <f t="shared" si="380"/>
        <v>4448.2966328663015</v>
      </c>
      <c r="CW51" s="24">
        <f t="shared" si="380"/>
        <v>4715.2618407225327</v>
      </c>
      <c r="CX51" s="24">
        <f t="shared" si="380"/>
        <v>4864.3863818370601</v>
      </c>
      <c r="CY51" s="24">
        <f t="shared" si="380"/>
        <v>4180.9864952681655</v>
      </c>
      <c r="CZ51" s="24">
        <f t="shared" si="380"/>
        <v>4356.185915366631</v>
      </c>
      <c r="DA51" s="24">
        <f t="shared" si="380"/>
        <v>4625.4350364960719</v>
      </c>
      <c r="DB51" s="24">
        <f t="shared" si="380"/>
        <v>4775.1943593761989</v>
      </c>
      <c r="DE51" s="123"/>
      <c r="DF51" s="23">
        <v>5925.6920606134481</v>
      </c>
    </row>
    <row r="52" spans="1:110" s="23" customFormat="1" outlineLevel="1" x14ac:dyDescent="0.2">
      <c r="A52" s="23" t="s">
        <v>7</v>
      </c>
      <c r="B52" s="23">
        <f>'Annual Raw'!C13</f>
        <v>262.84460000000001</v>
      </c>
      <c r="C52" s="23">
        <f>'Annual Raw'!D13</f>
        <v>253.428</v>
      </c>
      <c r="D52" s="23">
        <f>'Annual Raw'!E13</f>
        <v>265.61599999999999</v>
      </c>
      <c r="E52" s="23">
        <f>'Annual Raw'!F13</f>
        <v>247.69800000000001</v>
      </c>
      <c r="F52" s="23">
        <f>'Annual Raw'!G13</f>
        <v>276.74</v>
      </c>
      <c r="G52" s="23">
        <f>'Annual Raw'!H13</f>
        <v>338.66</v>
      </c>
      <c r="H52" s="23">
        <f>'Annual Raw'!I13</f>
        <v>402.6</v>
      </c>
      <c r="I52" s="23">
        <f>'Annual Raw'!J13</f>
        <v>545.38</v>
      </c>
      <c r="J52" s="23">
        <f>'Annual Raw'!K13</f>
        <v>811.38</v>
      </c>
      <c r="K52" s="23">
        <f>'Annual Raw'!L13</f>
        <v>723.86</v>
      </c>
      <c r="L52" s="23">
        <f>'Annual Raw'!M13</f>
        <v>1022.6</v>
      </c>
      <c r="M52" s="23">
        <f>'Annual Raw'!N13</f>
        <v>1227.8399999999999</v>
      </c>
      <c r="N52" s="23">
        <f>'Annual Raw'!O13</f>
        <v>1070.46</v>
      </c>
      <c r="O52" s="23">
        <f>'Annual Raw'!P13</f>
        <v>1155.1300000000001</v>
      </c>
      <c r="P52" s="23">
        <f>'Annual Raw'!Q13</f>
        <v>1168.48</v>
      </c>
      <c r="Q52" s="23">
        <f>'Annual Raw'!R13</f>
        <v>1404</v>
      </c>
      <c r="R52" s="23">
        <f>'Annual Raw'!S13</f>
        <v>1060</v>
      </c>
      <c r="S52" s="23">
        <f>'Annual Raw'!T13</f>
        <v>1653</v>
      </c>
      <c r="T52" s="23">
        <f>'Annual Raw'!U13</f>
        <v>1758</v>
      </c>
      <c r="U52" s="23">
        <f>'Annual Raw'!V13</f>
        <v>1704</v>
      </c>
      <c r="V52" s="23">
        <f>'Annual Raw'!W13</f>
        <v>1732</v>
      </c>
      <c r="W52" s="23">
        <f>'Annual Raw'!X13</f>
        <v>2452</v>
      </c>
      <c r="X52" s="23">
        <f>'Annual Raw'!Y13</f>
        <v>3711</v>
      </c>
      <c r="Y52" s="23">
        <f>'Annual Raw'!Z13</f>
        <v>2843</v>
      </c>
      <c r="Z52" s="23">
        <f>'Annual Raw'!AA13</f>
        <v>2702</v>
      </c>
      <c r="AA52" s="23">
        <f>'Annual Raw'!AB13</f>
        <v>2553</v>
      </c>
      <c r="AB52" s="76">
        <f t="shared" si="375"/>
        <v>0</v>
      </c>
      <c r="AC52" s="76">
        <f t="shared" si="376"/>
        <v>0</v>
      </c>
      <c r="AD52" s="76">
        <f t="shared" si="377"/>
        <v>0</v>
      </c>
      <c r="AE52" s="76">
        <f t="shared" si="378"/>
        <v>0</v>
      </c>
      <c r="AI52" s="23">
        <f>'QTR Raw'!C15</f>
        <v>271.48</v>
      </c>
      <c r="AJ52" s="23">
        <f>'QTR Raw'!D15</f>
        <v>261.81</v>
      </c>
      <c r="AK52" s="23">
        <f>'QTR Raw'!E15</f>
        <v>260.83999999999997</v>
      </c>
      <c r="AL52" s="23">
        <f>'QTR Raw'!F15</f>
        <v>276.33</v>
      </c>
      <c r="AM52" s="23">
        <f>'QTR Raw'!G15</f>
        <v>264.85000000000002</v>
      </c>
      <c r="AN52" s="23">
        <f>'QTR Raw'!H15</f>
        <v>309.62</v>
      </c>
      <c r="AO52" s="23">
        <f>'QTR Raw'!I15</f>
        <v>289.27</v>
      </c>
      <c r="AP52" s="23">
        <f>'QTR Raw'!J15</f>
        <v>291.39</v>
      </c>
      <c r="AQ52" s="23">
        <f>'QTR Raw'!K15</f>
        <v>227.64</v>
      </c>
      <c r="AR52" s="23">
        <f>'QTR Raw'!L15</f>
        <v>304.33999999999997</v>
      </c>
      <c r="AS52" s="23">
        <f>'QTR Raw'!M15</f>
        <v>312.93</v>
      </c>
      <c r="AT52" s="23">
        <f>'QTR Raw'!N15</f>
        <v>323.57</v>
      </c>
      <c r="AU52" s="23">
        <f>'QTR Raw'!O15</f>
        <v>536.91999999999996</v>
      </c>
      <c r="AV52" s="23">
        <f>'QTR Raw'!P15</f>
        <v>313.02</v>
      </c>
      <c r="AW52" s="23">
        <f>'QTR Raw'!Q15</f>
        <v>336.06</v>
      </c>
      <c r="AX52" s="23">
        <f>'QTR Raw'!R15</f>
        <v>217.61</v>
      </c>
      <c r="AY52" s="23">
        <f>'QTR Raw'!S15</f>
        <v>168</v>
      </c>
      <c r="AZ52" s="23">
        <f>'QTR Raw'!T15</f>
        <v>122</v>
      </c>
      <c r="BA52" s="23">
        <f>'QTR Raw'!U15</f>
        <v>377</v>
      </c>
      <c r="BB52" s="23">
        <f>'QTR Raw'!V15</f>
        <v>393</v>
      </c>
      <c r="BC52" s="23">
        <f>'QTR Raw'!W15</f>
        <v>387</v>
      </c>
      <c r="BD52" s="23">
        <f>'QTR Raw'!X15</f>
        <v>395</v>
      </c>
      <c r="BE52" s="23">
        <f>'QTR Raw'!Y15</f>
        <v>429</v>
      </c>
      <c r="BF52" s="23">
        <f>'QTR Raw'!Z15</f>
        <v>442</v>
      </c>
      <c r="BG52" s="23">
        <f>'QTR Raw'!AA15</f>
        <v>440</v>
      </c>
      <c r="BH52" s="23">
        <f>'QTR Raw'!AB15</f>
        <v>438</v>
      </c>
      <c r="BI52" s="23">
        <f>'QTR Raw'!AC15</f>
        <v>493</v>
      </c>
      <c r="BJ52" s="23">
        <f>'QTR Raw'!AD15</f>
        <v>387</v>
      </c>
      <c r="BK52" s="23">
        <f>'QTR Raw'!AE15</f>
        <v>445</v>
      </c>
      <c r="BL52" s="23">
        <f>'QTR Raw'!AF15</f>
        <v>413</v>
      </c>
      <c r="BM52" s="23">
        <f>'QTR Raw'!AG15</f>
        <v>404</v>
      </c>
      <c r="BN52" s="23">
        <f>'QTR Raw'!AH15</f>
        <v>442</v>
      </c>
      <c r="BO52" s="23">
        <f>'QTR Raw'!AI15</f>
        <v>388</v>
      </c>
      <c r="BP52" s="23">
        <f>'QTR Raw'!AJ15</f>
        <v>435</v>
      </c>
      <c r="BQ52" s="23">
        <f>'QTR Raw'!AK15</f>
        <v>440</v>
      </c>
      <c r="BR52" s="23">
        <f>'QTR Raw'!AL15</f>
        <v>469</v>
      </c>
      <c r="BS52" s="23">
        <f>'QTR Raw'!AM15</f>
        <v>480</v>
      </c>
      <c r="BT52" s="23">
        <f>'QTR Raw'!AN15</f>
        <v>501</v>
      </c>
      <c r="BU52" s="23">
        <f>'QTR Raw'!AO15</f>
        <v>702</v>
      </c>
      <c r="BV52" s="23">
        <f>'QTR Raw'!AP15</f>
        <v>769</v>
      </c>
      <c r="BW52" s="23">
        <f>'QTR Raw'!AQ15</f>
        <v>883</v>
      </c>
      <c r="BX52" s="23">
        <f>'QTR Raw'!AR15</f>
        <v>983</v>
      </c>
      <c r="BY52" s="23">
        <f>'QTR Raw'!AS15</f>
        <v>1003</v>
      </c>
      <c r="BZ52" s="23">
        <f>'QTR Raw'!AT15</f>
        <v>842</v>
      </c>
      <c r="CA52" s="23">
        <f>'QTR Raw'!AU15</f>
        <v>778</v>
      </c>
      <c r="CB52" s="23">
        <f>'QTR Raw'!AV15</f>
        <v>662</v>
      </c>
      <c r="CC52" s="23">
        <f>'QTR Raw'!AW15</f>
        <v>723</v>
      </c>
      <c r="CD52" s="23">
        <f>'QTR Raw'!AX15</f>
        <v>680</v>
      </c>
      <c r="CE52" s="23">
        <f>'QTR Raw'!AY15</f>
        <v>665</v>
      </c>
      <c r="CF52" s="23">
        <f>'QTR Raw'!AZ15</f>
        <v>702</v>
      </c>
      <c r="CG52" s="23">
        <f>'QTR Raw'!BA15</f>
        <v>662</v>
      </c>
      <c r="CH52" s="23">
        <f>'QTR Raw'!BB15</f>
        <v>673</v>
      </c>
      <c r="CI52" s="23">
        <f>'QTR Raw'!BC15</f>
        <v>632</v>
      </c>
      <c r="CJ52" s="23">
        <f>'QTR Raw'!BD15</f>
        <v>646</v>
      </c>
      <c r="CK52" s="23">
        <f>'QTR Raw'!BE15</f>
        <v>648</v>
      </c>
      <c r="CL52" s="23">
        <f>'QTR Raw'!BF15</f>
        <v>627</v>
      </c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E52" s="123"/>
      <c r="DF52" s="23">
        <v>2553</v>
      </c>
    </row>
    <row r="53" spans="1:110" s="23" customFormat="1" outlineLevel="1" x14ac:dyDescent="0.2">
      <c r="A53" s="23" t="s">
        <v>11</v>
      </c>
      <c r="B53" s="23">
        <f>'Annual Raw'!C18</f>
        <v>95.084400000000002</v>
      </c>
      <c r="C53" s="23">
        <f>'Annual Raw'!D18</f>
        <v>70.212999999999994</v>
      </c>
      <c r="D53" s="23">
        <f>'Annual Raw'!E18</f>
        <v>110.107</v>
      </c>
      <c r="E53" s="23">
        <f>'Annual Raw'!F18</f>
        <v>58.823</v>
      </c>
      <c r="F53" s="23">
        <f>'Annual Raw'!G18</f>
        <v>55.73</v>
      </c>
      <c r="G53" s="23">
        <f>'Annual Raw'!H18</f>
        <v>93.7</v>
      </c>
      <c r="H53" s="23">
        <f>'Annual Raw'!I18</f>
        <v>163.87</v>
      </c>
      <c r="I53" s="23">
        <f>'Annual Raw'!J18</f>
        <v>191.82</v>
      </c>
      <c r="J53" s="23">
        <f>'Annual Raw'!K18</f>
        <v>183.68</v>
      </c>
      <c r="K53" s="23">
        <f>'Annual Raw'!L18</f>
        <v>172.89</v>
      </c>
      <c r="L53" s="23">
        <f>'Annual Raw'!M18</f>
        <v>174.13</v>
      </c>
      <c r="M53" s="23">
        <f>'Annual Raw'!N18</f>
        <v>179.99</v>
      </c>
      <c r="N53" s="23">
        <f>'Annual Raw'!O18</f>
        <v>208.82</v>
      </c>
      <c r="O53" s="23">
        <f>'Annual Raw'!P18</f>
        <v>248.4</v>
      </c>
      <c r="P53" s="23">
        <f>'Annual Raw'!Q18</f>
        <v>259.29000000000002</v>
      </c>
      <c r="Q53" s="23">
        <f>'Annual Raw'!R18</f>
        <v>269</v>
      </c>
      <c r="R53" s="23">
        <f>'Annual Raw'!S18</f>
        <v>246</v>
      </c>
      <c r="S53" s="23">
        <f>'Annual Raw'!T18</f>
        <v>265</v>
      </c>
      <c r="T53" s="23">
        <f>'Annual Raw'!U18</f>
        <v>244</v>
      </c>
      <c r="U53" s="23">
        <f>'Annual Raw'!V18</f>
        <v>232</v>
      </c>
      <c r="V53" s="23">
        <f>'Annual Raw'!W18</f>
        <v>276</v>
      </c>
      <c r="W53" s="23">
        <f>'Annual Raw'!X18</f>
        <v>349</v>
      </c>
      <c r="X53" s="23">
        <f>'Annual Raw'!Y18</f>
        <v>335</v>
      </c>
      <c r="Y53" s="23">
        <f>'Annual Raw'!Z18</f>
        <v>268</v>
      </c>
      <c r="Z53" s="23">
        <f>'Annual Raw'!AA18</f>
        <v>333</v>
      </c>
      <c r="AA53" s="23">
        <f>'Annual Raw'!AB18</f>
        <v>264</v>
      </c>
      <c r="AB53" s="76">
        <f t="shared" si="375"/>
        <v>0</v>
      </c>
      <c r="AC53" s="76">
        <f t="shared" si="376"/>
        <v>0</v>
      </c>
      <c r="AD53" s="76">
        <f t="shared" si="377"/>
        <v>0</v>
      </c>
      <c r="AE53" s="76">
        <f t="shared" si="378"/>
        <v>0</v>
      </c>
      <c r="AI53" s="23">
        <f>'QTR Raw'!C18</f>
        <v>0</v>
      </c>
      <c r="AJ53" s="23">
        <f>'QTR Raw'!D18</f>
        <v>0</v>
      </c>
      <c r="AK53" s="23">
        <f>'QTR Raw'!E18</f>
        <v>0</v>
      </c>
      <c r="AL53" s="23">
        <f>'QTR Raw'!F18</f>
        <v>0</v>
      </c>
      <c r="AM53" s="23">
        <f>'QTR Raw'!G18</f>
        <v>0</v>
      </c>
      <c r="AN53" s="23">
        <f>'QTR Raw'!H18</f>
        <v>0</v>
      </c>
      <c r="AO53" s="23">
        <f>'QTR Raw'!I18</f>
        <v>0</v>
      </c>
      <c r="AP53" s="23">
        <f>'QTR Raw'!J18</f>
        <v>0</v>
      </c>
      <c r="AQ53" s="23">
        <f>'QTR Raw'!K18</f>
        <v>0</v>
      </c>
      <c r="AR53" s="23">
        <f>'QTR Raw'!L18</f>
        <v>0</v>
      </c>
      <c r="AS53" s="23">
        <f>'QTR Raw'!M18</f>
        <v>0</v>
      </c>
      <c r="AT53" s="23">
        <f>'QTR Raw'!N18</f>
        <v>0</v>
      </c>
      <c r="AU53" s="23">
        <f>'QTR Raw'!O18</f>
        <v>0</v>
      </c>
      <c r="AV53" s="23">
        <f>'QTR Raw'!P18</f>
        <v>0</v>
      </c>
      <c r="AW53" s="23">
        <f>'QTR Raw'!Q18</f>
        <v>0</v>
      </c>
      <c r="AX53" s="23">
        <f>'QTR Raw'!R18</f>
        <v>0</v>
      </c>
      <c r="AY53" s="23">
        <f>'QTR Raw'!S18</f>
        <v>0</v>
      </c>
      <c r="AZ53" s="23">
        <f>'QTR Raw'!T18</f>
        <v>0</v>
      </c>
      <c r="BA53" s="23">
        <f>'QTR Raw'!U18</f>
        <v>0</v>
      </c>
      <c r="BB53" s="23">
        <f>'QTR Raw'!V18</f>
        <v>0</v>
      </c>
      <c r="BC53" s="23">
        <f>'QTR Raw'!W18</f>
        <v>0</v>
      </c>
      <c r="BD53" s="23">
        <f>'QTR Raw'!X18</f>
        <v>0</v>
      </c>
      <c r="BE53" s="23">
        <f>'QTR Raw'!Y18</f>
        <v>0</v>
      </c>
      <c r="BF53" s="23">
        <f>'QTR Raw'!Z18</f>
        <v>0</v>
      </c>
      <c r="BG53" s="23">
        <f>'QTR Raw'!AA18</f>
        <v>0</v>
      </c>
      <c r="BH53" s="23">
        <f>'QTR Raw'!AB18</f>
        <v>0</v>
      </c>
      <c r="BI53" s="23">
        <f>'QTR Raw'!AC18</f>
        <v>0</v>
      </c>
      <c r="BJ53" s="23">
        <f>'QTR Raw'!AD18</f>
        <v>0</v>
      </c>
      <c r="BK53" s="23">
        <f>'QTR Raw'!AE18</f>
        <v>0</v>
      </c>
      <c r="BL53" s="23">
        <f>'QTR Raw'!AF18</f>
        <v>0</v>
      </c>
      <c r="BM53" s="23">
        <f>'QTR Raw'!AG18</f>
        <v>0</v>
      </c>
      <c r="BN53" s="23">
        <f>'QTR Raw'!AH18</f>
        <v>0</v>
      </c>
      <c r="BO53" s="23">
        <f>'QTR Raw'!AI18</f>
        <v>0</v>
      </c>
      <c r="BP53" s="23">
        <f>'QTR Raw'!AJ18</f>
        <v>0</v>
      </c>
      <c r="BQ53" s="23">
        <f>'QTR Raw'!AK18</f>
        <v>0</v>
      </c>
      <c r="BR53" s="23">
        <f>'QTR Raw'!AL18</f>
        <v>0</v>
      </c>
      <c r="BS53" s="23">
        <f>'QTR Raw'!AM18</f>
        <v>0</v>
      </c>
      <c r="BT53" s="23">
        <f>'QTR Raw'!AN18</f>
        <v>0</v>
      </c>
      <c r="BU53" s="23">
        <f>'QTR Raw'!AO18</f>
        <v>0</v>
      </c>
      <c r="BV53" s="23">
        <f>'QTR Raw'!AP18</f>
        <v>0</v>
      </c>
      <c r="BW53" s="23">
        <f>'QTR Raw'!AQ18</f>
        <v>0</v>
      </c>
      <c r="BX53" s="23">
        <f>'QTR Raw'!AR18</f>
        <v>0</v>
      </c>
      <c r="BY53" s="23">
        <f>'QTR Raw'!AS18</f>
        <v>0</v>
      </c>
      <c r="BZ53" s="23">
        <f>'QTR Raw'!AT18</f>
        <v>0</v>
      </c>
      <c r="CA53" s="23">
        <f>'QTR Raw'!AU18</f>
        <v>0</v>
      </c>
      <c r="CB53" s="23">
        <f>'QTR Raw'!AV18</f>
        <v>0</v>
      </c>
      <c r="CC53" s="23">
        <f>'QTR Raw'!AW18</f>
        <v>0</v>
      </c>
      <c r="CD53" s="23">
        <f>'QTR Raw'!AX18</f>
        <v>0</v>
      </c>
      <c r="CE53" s="23">
        <f>'QTR Raw'!AY18</f>
        <v>0</v>
      </c>
      <c r="CF53" s="23">
        <f>'QTR Raw'!AZ18</f>
        <v>0</v>
      </c>
      <c r="CG53" s="23">
        <f>'QTR Raw'!BA18</f>
        <v>0</v>
      </c>
      <c r="CH53" s="23">
        <f>'QTR Raw'!BB18</f>
        <v>0</v>
      </c>
      <c r="CI53" s="23">
        <f>'QTR Raw'!BC18</f>
        <v>0</v>
      </c>
      <c r="CJ53" s="23">
        <f>'QTR Raw'!BD18</f>
        <v>0</v>
      </c>
      <c r="CK53" s="23">
        <f>'QTR Raw'!BE18</f>
        <v>0</v>
      </c>
      <c r="CL53" s="23">
        <f>'QTR Raw'!BF18</f>
        <v>0</v>
      </c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E53" s="123"/>
      <c r="DF53" s="23">
        <v>0</v>
      </c>
    </row>
    <row r="54" spans="1:110" s="22" customFormat="1" x14ac:dyDescent="0.2">
      <c r="A54" s="33" t="s">
        <v>348</v>
      </c>
      <c r="B54" s="22">
        <f t="shared" ref="B54:E54" si="381">+SUM(B48:B53)</f>
        <v>1154.6749</v>
      </c>
      <c r="C54" s="22">
        <f t="shared" si="381"/>
        <v>1093.46</v>
      </c>
      <c r="D54" s="22">
        <f t="shared" si="381"/>
        <v>1127.4659999999999</v>
      </c>
      <c r="E54" s="22">
        <f t="shared" si="381"/>
        <v>1081.1890000000001</v>
      </c>
      <c r="F54" s="22">
        <f t="shared" ref="F54:AE54" si="382">+SUM(F48:F53)</f>
        <v>1310.0900000000001</v>
      </c>
      <c r="G54" s="22">
        <f t="shared" si="382"/>
        <v>1554.6100000000001</v>
      </c>
      <c r="H54" s="22">
        <f t="shared" si="382"/>
        <v>2197.42</v>
      </c>
      <c r="I54" s="22">
        <f t="shared" si="382"/>
        <v>2451.88</v>
      </c>
      <c r="J54" s="22">
        <f t="shared" si="382"/>
        <v>2938.39</v>
      </c>
      <c r="K54" s="22">
        <f t="shared" si="382"/>
        <v>3277.76</v>
      </c>
      <c r="L54" s="22">
        <f t="shared" si="382"/>
        <v>4413.6600000000008</v>
      </c>
      <c r="M54" s="22">
        <f t="shared" si="382"/>
        <v>5030.8</v>
      </c>
      <c r="N54" s="22">
        <f t="shared" si="382"/>
        <v>5529.6399999999994</v>
      </c>
      <c r="O54" s="22">
        <f t="shared" si="382"/>
        <v>6562.69</v>
      </c>
      <c r="P54" s="22">
        <f t="shared" si="382"/>
        <v>7272.78</v>
      </c>
      <c r="Q54" s="22">
        <f t="shared" si="382"/>
        <v>7294</v>
      </c>
      <c r="R54" s="22">
        <f t="shared" si="382"/>
        <v>7848</v>
      </c>
      <c r="S54" s="22">
        <f t="shared" si="382"/>
        <v>9314</v>
      </c>
      <c r="T54" s="22">
        <f t="shared" si="382"/>
        <v>10512</v>
      </c>
      <c r="U54" s="22">
        <f t="shared" si="382"/>
        <v>10005</v>
      </c>
      <c r="V54" s="22">
        <f t="shared" si="382"/>
        <v>10718</v>
      </c>
      <c r="W54" s="22">
        <f t="shared" si="382"/>
        <v>13493</v>
      </c>
      <c r="X54" s="22">
        <f t="shared" si="382"/>
        <v>16735</v>
      </c>
      <c r="Y54" s="22">
        <f t="shared" si="382"/>
        <v>15433</v>
      </c>
      <c r="Z54" s="22">
        <f t="shared" ref="Z54:AA54" si="383">+SUM(Z48:Z53)</f>
        <v>16759</v>
      </c>
      <c r="AA54" s="22">
        <f t="shared" si="383"/>
        <v>18975</v>
      </c>
      <c r="AB54" s="21">
        <f t="shared" si="382"/>
        <v>21064.875882938257</v>
      </c>
      <c r="AC54" s="21">
        <f t="shared" si="382"/>
        <v>19520.387447588804</v>
      </c>
      <c r="AD54" s="21">
        <f t="shared" si="382"/>
        <v>19259.056143264737</v>
      </c>
      <c r="AE54" s="21">
        <f t="shared" si="382"/>
        <v>18948.425530217068</v>
      </c>
      <c r="AI54" s="22">
        <f t="shared" ref="AI54:BN54" si="384">+SUM(AI48:AI53)</f>
        <v>1266.8399999999999</v>
      </c>
      <c r="AJ54" s="22">
        <f t="shared" si="384"/>
        <v>1289.9100000000001</v>
      </c>
      <c r="AK54" s="22">
        <f t="shared" si="384"/>
        <v>1428.4999999999998</v>
      </c>
      <c r="AL54" s="22">
        <f t="shared" si="384"/>
        <v>1552.4299999999998</v>
      </c>
      <c r="AM54" s="22">
        <f t="shared" si="384"/>
        <v>1548.6799999999998</v>
      </c>
      <c r="AN54" s="22">
        <f t="shared" si="384"/>
        <v>1574.79</v>
      </c>
      <c r="AO54" s="22">
        <f t="shared" si="384"/>
        <v>1568.71</v>
      </c>
      <c r="AP54" s="22">
        <f t="shared" si="384"/>
        <v>1636.62</v>
      </c>
      <c r="AQ54" s="22">
        <f t="shared" si="384"/>
        <v>1379.6</v>
      </c>
      <c r="AR54" s="22">
        <f t="shared" si="384"/>
        <v>1720.9199999999998</v>
      </c>
      <c r="AS54" s="22">
        <f t="shared" si="384"/>
        <v>1803.18</v>
      </c>
      <c r="AT54" s="22">
        <f t="shared" si="384"/>
        <v>2062.75</v>
      </c>
      <c r="AU54" s="22">
        <f t="shared" si="384"/>
        <v>2191.1999999999998</v>
      </c>
      <c r="AV54" s="22">
        <f t="shared" si="384"/>
        <v>1691.96</v>
      </c>
      <c r="AW54" s="22">
        <f t="shared" si="384"/>
        <v>1786.33</v>
      </c>
      <c r="AX54" s="22">
        <f t="shared" si="384"/>
        <v>1990.42</v>
      </c>
      <c r="AY54" s="22">
        <f t="shared" si="384"/>
        <v>1500</v>
      </c>
      <c r="AZ54" s="22">
        <f t="shared" si="384"/>
        <v>1476</v>
      </c>
      <c r="BA54" s="22">
        <f t="shared" si="384"/>
        <v>2433</v>
      </c>
      <c r="BB54" s="22">
        <f t="shared" si="384"/>
        <v>2712</v>
      </c>
      <c r="BC54" s="22">
        <f t="shared" si="384"/>
        <v>2067</v>
      </c>
      <c r="BD54" s="22">
        <f t="shared" si="384"/>
        <v>2161</v>
      </c>
      <c r="BE54" s="22">
        <f t="shared" si="384"/>
        <v>2447</v>
      </c>
      <c r="BF54" s="22">
        <f t="shared" si="384"/>
        <v>2639</v>
      </c>
      <c r="BG54" s="22">
        <f t="shared" si="384"/>
        <v>2556</v>
      </c>
      <c r="BH54" s="22">
        <f t="shared" si="384"/>
        <v>2552</v>
      </c>
      <c r="BI54" s="22">
        <f t="shared" si="384"/>
        <v>2727</v>
      </c>
      <c r="BJ54" s="22">
        <f t="shared" si="384"/>
        <v>2677</v>
      </c>
      <c r="BK54" s="22">
        <f t="shared" si="384"/>
        <v>2516</v>
      </c>
      <c r="BL54" s="22">
        <f t="shared" si="384"/>
        <v>2408</v>
      </c>
      <c r="BM54" s="22">
        <f t="shared" si="384"/>
        <v>2554</v>
      </c>
      <c r="BN54" s="22">
        <f t="shared" si="384"/>
        <v>2527</v>
      </c>
      <c r="BO54" s="22">
        <f t="shared" ref="BO54:CH54" si="385">+SUM(BO48:BO53)</f>
        <v>2246</v>
      </c>
      <c r="BP54" s="22">
        <f t="shared" si="385"/>
        <v>2566</v>
      </c>
      <c r="BQ54" s="22">
        <f t="shared" si="385"/>
        <v>2739</v>
      </c>
      <c r="BR54" s="22">
        <f t="shared" si="385"/>
        <v>3167</v>
      </c>
      <c r="BS54" s="22">
        <f t="shared" si="385"/>
        <v>2809</v>
      </c>
      <c r="BT54" s="22">
        <f t="shared" si="385"/>
        <v>3078</v>
      </c>
      <c r="BU54" s="22">
        <f t="shared" si="385"/>
        <v>3542</v>
      </c>
      <c r="BV54" s="22">
        <f t="shared" si="385"/>
        <v>4064</v>
      </c>
      <c r="BW54" s="22">
        <f t="shared" si="385"/>
        <v>4164</v>
      </c>
      <c r="BX54" s="22">
        <f t="shared" si="385"/>
        <v>3957</v>
      </c>
      <c r="BY54" s="22">
        <f t="shared" si="385"/>
        <v>4107</v>
      </c>
      <c r="BZ54" s="22">
        <f t="shared" si="385"/>
        <v>4507</v>
      </c>
      <c r="CA54" s="22">
        <f t="shared" si="385"/>
        <v>3793</v>
      </c>
      <c r="CB54" s="22">
        <f t="shared" si="385"/>
        <v>3696</v>
      </c>
      <c r="CC54" s="22">
        <f t="shared" si="385"/>
        <v>3837</v>
      </c>
      <c r="CD54" s="22">
        <f t="shared" si="385"/>
        <v>4107</v>
      </c>
      <c r="CE54" s="22">
        <f t="shared" si="385"/>
        <v>4118</v>
      </c>
      <c r="CF54" s="22">
        <f t="shared" si="385"/>
        <v>3956</v>
      </c>
      <c r="CG54" s="22">
        <f t="shared" si="385"/>
        <v>4161</v>
      </c>
      <c r="CH54" s="22">
        <f t="shared" si="385"/>
        <v>4524</v>
      </c>
      <c r="CI54" s="22">
        <f t="shared" ref="CI54:CJ54" si="386">+SUM(CI48:CI53)</f>
        <v>3924</v>
      </c>
      <c r="CJ54" s="22">
        <f t="shared" si="386"/>
        <v>4144</v>
      </c>
      <c r="CK54" s="22">
        <f t="shared" ref="CK54:CL54" si="387">+SUM(CK48:CK53)</f>
        <v>4815</v>
      </c>
      <c r="CL54" s="22">
        <f t="shared" si="387"/>
        <v>6092</v>
      </c>
      <c r="CM54" s="21">
        <f t="shared" ref="CM54:DB54" si="388">CM55*CM38</f>
        <v>5073.8313858551901</v>
      </c>
      <c r="CN54" s="21">
        <f t="shared" si="388"/>
        <v>5093.6770487558888</v>
      </c>
      <c r="CO54" s="21">
        <f t="shared" si="388"/>
        <v>5354.6216649393082</v>
      </c>
      <c r="CP54" s="21">
        <f t="shared" si="388"/>
        <v>5542.745783387868</v>
      </c>
      <c r="CQ54" s="21">
        <f t="shared" si="388"/>
        <v>4621.1451479884618</v>
      </c>
      <c r="CR54" s="21">
        <f t="shared" si="388"/>
        <v>4756.8071567153484</v>
      </c>
      <c r="CS54" s="21">
        <f t="shared" si="388"/>
        <v>5029.339081244817</v>
      </c>
      <c r="CT54" s="21">
        <f t="shared" si="388"/>
        <v>5113.096061640179</v>
      </c>
      <c r="CU54" s="21">
        <f t="shared" si="388"/>
        <v>4521.8113908388432</v>
      </c>
      <c r="CV54" s="21">
        <f t="shared" si="388"/>
        <v>4678.6047168663017</v>
      </c>
      <c r="CW54" s="21">
        <f t="shared" si="388"/>
        <v>4967.6206987225323</v>
      </c>
      <c r="CX54" s="21">
        <f t="shared" si="388"/>
        <v>5091.0193368370601</v>
      </c>
      <c r="CY54" s="21">
        <f t="shared" si="388"/>
        <v>4432.6593291881654</v>
      </c>
      <c r="CZ54" s="21">
        <f t="shared" si="388"/>
        <v>4602.6155652466314</v>
      </c>
      <c r="DA54" s="21">
        <f t="shared" si="388"/>
        <v>4895.4590145560724</v>
      </c>
      <c r="DB54" s="21">
        <f t="shared" si="388"/>
        <v>5017.6916212261985</v>
      </c>
      <c r="DE54" s="126"/>
      <c r="DF54" s="22">
        <v>6168.5820606134484</v>
      </c>
    </row>
    <row r="55" spans="1:110" s="44" customFormat="1" x14ac:dyDescent="0.2">
      <c r="A55" s="43" t="s">
        <v>349</v>
      </c>
      <c r="B55" s="44">
        <f t="shared" ref="B55:E55" si="389">B54/B38</f>
        <v>0.82260410189655442</v>
      </c>
      <c r="C55" s="44">
        <f t="shared" si="389"/>
        <v>0.88575920887103898</v>
      </c>
      <c r="D55" s="44">
        <f t="shared" si="389"/>
        <v>0.77647408839881737</v>
      </c>
      <c r="E55" s="44">
        <f t="shared" si="389"/>
        <v>0.58712599660927489</v>
      </c>
      <c r="F55" s="44">
        <f t="shared" ref="F55:AE55" si="390">F54/F38</f>
        <v>0.59492486751343032</v>
      </c>
      <c r="G55" s="44">
        <f t="shared" si="390"/>
        <v>0.40098582140176481</v>
      </c>
      <c r="H55" s="44">
        <f t="shared" si="390"/>
        <v>0.25670134646072179</v>
      </c>
      <c r="I55" s="44">
        <f t="shared" si="390"/>
        <v>0.31124036370698815</v>
      </c>
      <c r="J55" s="44">
        <f t="shared" si="390"/>
        <v>0.51729759324820823</v>
      </c>
      <c r="K55" s="44">
        <f t="shared" si="390"/>
        <v>0.40885272116522825</v>
      </c>
      <c r="L55" s="44">
        <f t="shared" si="390"/>
        <v>0.43964391478578413</v>
      </c>
      <c r="M55" s="44">
        <f t="shared" si="390"/>
        <v>0.44109278923589101</v>
      </c>
      <c r="N55" s="44">
        <f t="shared" si="390"/>
        <v>0.43541020989240803</v>
      </c>
      <c r="O55" s="44">
        <f t="shared" si="390"/>
        <v>0.48127535560177293</v>
      </c>
      <c r="P55" s="44">
        <f t="shared" si="390"/>
        <v>0.49178984324865654</v>
      </c>
      <c r="Q55" s="44">
        <f t="shared" si="390"/>
        <v>0.51435018686975531</v>
      </c>
      <c r="R55" s="44">
        <f t="shared" si="390"/>
        <v>0.45435072077809296</v>
      </c>
      <c r="S55" s="44">
        <f t="shared" si="390"/>
        <v>0.42179150439271806</v>
      </c>
      <c r="T55" s="44">
        <f t="shared" si="390"/>
        <v>0.49777441045553555</v>
      </c>
      <c r="U55" s="44">
        <f t="shared" si="390"/>
        <v>0.53903345724907059</v>
      </c>
      <c r="V55" s="44">
        <f t="shared" si="390"/>
        <v>0.47364001944407619</v>
      </c>
      <c r="W55" s="44">
        <f t="shared" si="390"/>
        <v>0.4583220108695652</v>
      </c>
      <c r="X55" s="44">
        <f t="shared" si="390"/>
        <v>0.49079124875359259</v>
      </c>
      <c r="Y55" s="44">
        <f t="shared" si="390"/>
        <v>0.53342319922577075</v>
      </c>
      <c r="Z55" s="44">
        <f t="shared" ref="Z55:AA55" si="391">Z54/Z38</f>
        <v>0.49171141038054161</v>
      </c>
      <c r="AA55" s="44">
        <f t="shared" si="391"/>
        <v>0.46457251983155423</v>
      </c>
      <c r="AB55" s="52">
        <f t="shared" si="390"/>
        <v>0.43506007791771506</v>
      </c>
      <c r="AC55" s="52">
        <f t="shared" si="390"/>
        <v>0.40858642200627215</v>
      </c>
      <c r="AD55" s="52">
        <f t="shared" si="390"/>
        <v>0.40662067008818881</v>
      </c>
      <c r="AE55" s="52">
        <f t="shared" si="390"/>
        <v>0.40620244352675655</v>
      </c>
      <c r="AI55" s="44">
        <f t="shared" ref="AI55:BN55" si="392">AI54/AI38</f>
        <v>0.46105302233496254</v>
      </c>
      <c r="AJ55" s="44">
        <f t="shared" si="392"/>
        <v>0.45015808980059052</v>
      </c>
      <c r="AK55" s="44">
        <f t="shared" si="392"/>
        <v>0.44949370992001303</v>
      </c>
      <c r="AL55" s="44">
        <f t="shared" si="392"/>
        <v>0.39717805380374294</v>
      </c>
      <c r="AM55" s="44">
        <f t="shared" si="392"/>
        <v>0.51896681143102241</v>
      </c>
      <c r="AN55" s="44">
        <f t="shared" si="392"/>
        <v>0.44246487203333401</v>
      </c>
      <c r="AO55" s="44">
        <f t="shared" si="392"/>
        <v>0.45468932514412752</v>
      </c>
      <c r="AP55" s="44">
        <f t="shared" si="392"/>
        <v>0.44929008312561081</v>
      </c>
      <c r="AQ55" s="44">
        <f t="shared" si="392"/>
        <v>0.45876715471918966</v>
      </c>
      <c r="AR55" s="44">
        <f t="shared" si="392"/>
        <v>0.45259021980969816</v>
      </c>
      <c r="AS55" s="44">
        <f t="shared" si="392"/>
        <v>0.46797676700042046</v>
      </c>
      <c r="AT55" s="44">
        <f t="shared" si="392"/>
        <v>0.49997818541428318</v>
      </c>
      <c r="AU55" s="44">
        <f t="shared" si="392"/>
        <v>0.60360809548864092</v>
      </c>
      <c r="AV55" s="44">
        <f t="shared" si="392"/>
        <v>0.41949768179902314</v>
      </c>
      <c r="AW55" s="44">
        <f t="shared" si="392"/>
        <v>0.52070786864028817</v>
      </c>
      <c r="AX55" s="44">
        <f t="shared" si="392"/>
        <v>0.57633361227013047</v>
      </c>
      <c r="AY55" s="44">
        <f t="shared" si="392"/>
        <v>0.53495007132667616</v>
      </c>
      <c r="AZ55" s="44">
        <f t="shared" si="392"/>
        <v>0.42171428571428571</v>
      </c>
      <c r="BA55" s="44">
        <f t="shared" si="392"/>
        <v>0.48786845799077599</v>
      </c>
      <c r="BB55" s="44">
        <f t="shared" si="392"/>
        <v>0.43357314148681053</v>
      </c>
      <c r="BC55" s="44">
        <f t="shared" si="392"/>
        <v>0.45170454545454547</v>
      </c>
      <c r="BD55" s="44">
        <f t="shared" si="392"/>
        <v>0.4070446411753626</v>
      </c>
      <c r="BE55" s="44">
        <f t="shared" si="392"/>
        <v>0.4132049983113813</v>
      </c>
      <c r="BF55" s="44">
        <f t="shared" si="392"/>
        <v>0.42042376931655251</v>
      </c>
      <c r="BG55" s="44">
        <f t="shared" si="392"/>
        <v>0.48135593220338985</v>
      </c>
      <c r="BH55" s="44">
        <f t="shared" si="392"/>
        <v>0.53422650198869581</v>
      </c>
      <c r="BI55" s="44">
        <f t="shared" si="392"/>
        <v>0.49223826714801444</v>
      </c>
      <c r="BJ55" s="44">
        <f t="shared" si="392"/>
        <v>0.4875250409761428</v>
      </c>
      <c r="BK55" s="44">
        <f t="shared" si="392"/>
        <v>0.50451173049929821</v>
      </c>
      <c r="BL55" s="44">
        <f t="shared" si="392"/>
        <v>0.53380625138550208</v>
      </c>
      <c r="BM55" s="44">
        <f t="shared" si="392"/>
        <v>0.5466609589041096</v>
      </c>
      <c r="BN55" s="44">
        <f t="shared" si="392"/>
        <v>0.57549533135959918</v>
      </c>
      <c r="BO55" s="44">
        <f t="shared" ref="BO55:CH55" si="393">BO54/BO38</f>
        <v>0.56304838305339688</v>
      </c>
      <c r="BP55" s="44">
        <f t="shared" si="393"/>
        <v>0.45335689045936395</v>
      </c>
      <c r="BQ55" s="44">
        <f t="shared" si="393"/>
        <v>0.45400298359025359</v>
      </c>
      <c r="BR55" s="44">
        <f t="shared" si="393"/>
        <v>0.45588023607312511</v>
      </c>
      <c r="BS55" s="44">
        <f t="shared" si="393"/>
        <v>0.43010258765885778</v>
      </c>
      <c r="BT55" s="44">
        <f t="shared" si="393"/>
        <v>0.50277687030382223</v>
      </c>
      <c r="BU55" s="44">
        <f t="shared" si="393"/>
        <v>0.44330413016270337</v>
      </c>
      <c r="BV55" s="44">
        <f t="shared" si="393"/>
        <v>0.46197567352506536</v>
      </c>
      <c r="BW55" s="44">
        <f t="shared" si="393"/>
        <v>0.44359220198146371</v>
      </c>
      <c r="BX55" s="44">
        <f t="shared" si="393"/>
        <v>0.47468809980806143</v>
      </c>
      <c r="BY55" s="44">
        <f t="shared" si="393"/>
        <v>0.52212051868802445</v>
      </c>
      <c r="BZ55" s="44">
        <f t="shared" si="393"/>
        <v>0.52967446233399929</v>
      </c>
      <c r="CA55" s="44">
        <f t="shared" si="393"/>
        <v>0.52087338643229886</v>
      </c>
      <c r="CB55" s="44">
        <f t="shared" si="393"/>
        <v>0.54424974230599321</v>
      </c>
      <c r="CC55" s="44">
        <f t="shared" si="393"/>
        <v>0.52489740082079339</v>
      </c>
      <c r="CD55" s="44">
        <f t="shared" si="393"/>
        <v>0.54404556894952971</v>
      </c>
      <c r="CE55" s="44">
        <f t="shared" si="393"/>
        <v>0.50651906519065193</v>
      </c>
      <c r="CF55" s="44">
        <f t="shared" si="393"/>
        <v>0.47939893359185654</v>
      </c>
      <c r="CG55" s="44">
        <f t="shared" si="393"/>
        <v>0.48305084745762711</v>
      </c>
      <c r="CH55" s="44">
        <f t="shared" si="393"/>
        <v>0.4978540772532189</v>
      </c>
      <c r="CI55" s="44">
        <f t="shared" ref="CI55:CJ55" si="394">CI54/CI38</f>
        <v>0.50495431733367646</v>
      </c>
      <c r="CJ55" s="44">
        <f t="shared" si="394"/>
        <v>0.48473505673178152</v>
      </c>
      <c r="CK55" s="44">
        <f t="shared" ref="CK55:CL55" si="395">CK54/CK38</f>
        <v>0.43852459016393441</v>
      </c>
      <c r="CL55" s="44">
        <f t="shared" si="395"/>
        <v>0.44979326639102185</v>
      </c>
      <c r="CM55" s="52">
        <f>AVERAGE(CI55:CL55)*0.95</f>
        <v>0.44602671727234833</v>
      </c>
      <c r="CN55" s="52">
        <f t="shared" ref="CN55" si="396">AVERAGE(CJ55:CM55)*0.95</f>
        <v>0.43203141225778297</v>
      </c>
      <c r="CO55" s="52">
        <f>AVERAGE(CK55:CN55)*0.97</f>
        <v>0.42834617662563368</v>
      </c>
      <c r="CP55" s="52">
        <f t="shared" ref="CP55" si="397">AVERAGE(CL55:CO55)*0.99</f>
        <v>0.43465889920532969</v>
      </c>
      <c r="CQ55" s="52">
        <f>AVERAGE(CM55:CP55)*0.96</f>
        <v>0.41785516928666266</v>
      </c>
      <c r="CR55" s="52">
        <f t="shared" ref="CR55:CT55" si="398">AVERAGE(CN55:CQ55)*0.96</f>
        <v>0.4110939977700982</v>
      </c>
      <c r="CS55" s="52">
        <f t="shared" si="398"/>
        <v>0.40606901829305375</v>
      </c>
      <c r="CT55" s="52">
        <f t="shared" si="398"/>
        <v>0.40072250029323464</v>
      </c>
      <c r="CU55" s="52">
        <f t="shared" ref="CU55:DB55" si="399">AVERAGE(CQ55:CT55)</f>
        <v>0.4089351714107623</v>
      </c>
      <c r="CV55" s="52">
        <f t="shared" si="399"/>
        <v>0.40670517194178724</v>
      </c>
      <c r="CW55" s="52">
        <f t="shared" si="399"/>
        <v>0.40560796548470945</v>
      </c>
      <c r="CX55" s="52">
        <f t="shared" si="399"/>
        <v>0.40549270228262335</v>
      </c>
      <c r="CY55" s="52">
        <f t="shared" si="399"/>
        <v>0.40668525277997059</v>
      </c>
      <c r="CZ55" s="52">
        <f t="shared" si="399"/>
        <v>0.40612277312227263</v>
      </c>
      <c r="DA55" s="52">
        <f t="shared" si="399"/>
        <v>0.40597717341739403</v>
      </c>
      <c r="DB55" s="52">
        <f t="shared" si="399"/>
        <v>0.40606947540056515</v>
      </c>
      <c r="DE55" s="128"/>
      <c r="DF55" s="44">
        <v>0.47670184026694623</v>
      </c>
    </row>
    <row r="56" spans="1:110" s="26" customFormat="1" x14ac:dyDescent="0.2">
      <c r="A56" s="34" t="s">
        <v>13</v>
      </c>
      <c r="B56" s="26">
        <f t="shared" ref="B56:E56" si="400">B44-B54</f>
        <v>263.36689999999999</v>
      </c>
      <c r="C56" s="26">
        <f t="shared" si="400"/>
        <v>144.87899999999991</v>
      </c>
      <c r="D56" s="26">
        <f t="shared" si="400"/>
        <v>224.46199999999999</v>
      </c>
      <c r="E56" s="26">
        <f t="shared" si="400"/>
        <v>773.73599999999988</v>
      </c>
      <c r="F56" s="26">
        <f t="shared" ref="F56:AE56" si="401">F44-F54</f>
        <v>880</v>
      </c>
      <c r="G56" s="26">
        <f t="shared" si="401"/>
        <v>2299.4299999999998</v>
      </c>
      <c r="H56" s="26">
        <f t="shared" si="401"/>
        <v>6406.9100000000017</v>
      </c>
      <c r="I56" s="26">
        <f t="shared" si="401"/>
        <v>5378.3899999999994</v>
      </c>
      <c r="J56" s="26">
        <f t="shared" si="401"/>
        <v>2734.1600000000003</v>
      </c>
      <c r="K56" s="26">
        <f t="shared" si="401"/>
        <v>4670.0800000000008</v>
      </c>
      <c r="L56" s="26">
        <f t="shared" si="401"/>
        <v>5607.71</v>
      </c>
      <c r="M56" s="26">
        <f t="shared" si="401"/>
        <v>6069.4599999999982</v>
      </c>
      <c r="N56" s="26">
        <f t="shared" si="401"/>
        <v>6508.3600000000006</v>
      </c>
      <c r="O56" s="26">
        <f t="shared" si="401"/>
        <v>6728.8199999999988</v>
      </c>
      <c r="P56" s="26">
        <f t="shared" si="401"/>
        <v>7127.64</v>
      </c>
      <c r="Q56" s="26">
        <f t="shared" si="401"/>
        <v>6652</v>
      </c>
      <c r="R56" s="26">
        <f t="shared" si="401"/>
        <v>9739</v>
      </c>
      <c r="S56" s="26">
        <f t="shared" si="401"/>
        <v>12270</v>
      </c>
      <c r="T56" s="26">
        <f t="shared" si="401"/>
        <v>10670</v>
      </c>
      <c r="U56" s="26">
        <f t="shared" si="401"/>
        <v>8847</v>
      </c>
      <c r="V56" s="26">
        <f t="shared" si="401"/>
        <v>11672</v>
      </c>
      <c r="W56" s="26">
        <f t="shared" si="401"/>
        <v>16225</v>
      </c>
      <c r="X56" s="26">
        <f t="shared" si="401"/>
        <v>17506</v>
      </c>
      <c r="Y56" s="26">
        <f t="shared" si="401"/>
        <v>13656</v>
      </c>
      <c r="Z56" s="26">
        <f t="shared" ref="Z56:AA56" si="402">Z44-Z54</f>
        <v>17388</v>
      </c>
      <c r="AA56" s="26">
        <f t="shared" si="402"/>
        <v>22064</v>
      </c>
      <c r="AB56" s="27">
        <f t="shared" si="401"/>
        <v>28307.760988118433</v>
      </c>
      <c r="AC56" s="27">
        <f t="shared" si="401"/>
        <v>29271.440755335218</v>
      </c>
      <c r="AD56" s="27">
        <f t="shared" si="401"/>
        <v>29128.891757579273</v>
      </c>
      <c r="AE56" s="27">
        <f t="shared" si="401"/>
        <v>28711.361099535741</v>
      </c>
      <c r="AI56" s="26">
        <f t="shared" ref="AI56:BN56" si="403">AI44-AI54</f>
        <v>1419.0600000000002</v>
      </c>
      <c r="AJ56" s="26">
        <f t="shared" si="403"/>
        <v>1469.43</v>
      </c>
      <c r="AK56" s="26">
        <f t="shared" si="403"/>
        <v>1498.43</v>
      </c>
      <c r="AL56" s="26">
        <f t="shared" si="403"/>
        <v>2115.9700000000003</v>
      </c>
      <c r="AM56" s="26">
        <f t="shared" si="403"/>
        <v>1498.77</v>
      </c>
      <c r="AN56" s="26">
        <f t="shared" si="403"/>
        <v>1883.3999999999996</v>
      </c>
      <c r="AO56" s="26">
        <f t="shared" si="403"/>
        <v>1823.75</v>
      </c>
      <c r="AP56" s="26">
        <f t="shared" si="403"/>
        <v>1755.2200000000003</v>
      </c>
      <c r="AQ56" s="26">
        <f t="shared" si="403"/>
        <v>1352.4100000000003</v>
      </c>
      <c r="AR56" s="26">
        <f t="shared" si="403"/>
        <v>1999.5499999999995</v>
      </c>
      <c r="AS56" s="26">
        <f t="shared" si="403"/>
        <v>2089.1999999999998</v>
      </c>
      <c r="AT56" s="26">
        <f t="shared" si="403"/>
        <v>2005.48</v>
      </c>
      <c r="AU56" s="26">
        <f t="shared" si="403"/>
        <v>1667.33</v>
      </c>
      <c r="AV56" s="26">
        <f t="shared" si="403"/>
        <v>2193.7200000000003</v>
      </c>
      <c r="AW56" s="26">
        <f t="shared" si="403"/>
        <v>1478.0699999999997</v>
      </c>
      <c r="AX56" s="26">
        <f t="shared" si="403"/>
        <v>1313.81</v>
      </c>
      <c r="AY56" s="26">
        <f t="shared" si="403"/>
        <v>1131</v>
      </c>
      <c r="AZ56" s="26">
        <f t="shared" si="403"/>
        <v>2077</v>
      </c>
      <c r="BA56" s="26">
        <f t="shared" si="403"/>
        <v>2788</v>
      </c>
      <c r="BB56" s="26">
        <f t="shared" si="403"/>
        <v>3743</v>
      </c>
      <c r="BC56" s="26">
        <f t="shared" si="403"/>
        <v>2384</v>
      </c>
      <c r="BD56" s="26">
        <f t="shared" si="403"/>
        <v>3024</v>
      </c>
      <c r="BE56" s="26">
        <f t="shared" si="403"/>
        <v>3244</v>
      </c>
      <c r="BF56" s="26">
        <f t="shared" si="403"/>
        <v>3620</v>
      </c>
      <c r="BG56" s="26">
        <f t="shared" si="403"/>
        <v>2713</v>
      </c>
      <c r="BH56" s="26">
        <f t="shared" si="403"/>
        <v>2330</v>
      </c>
      <c r="BI56" s="26">
        <f t="shared" si="403"/>
        <v>2838</v>
      </c>
      <c r="BJ56" s="26">
        <f t="shared" si="403"/>
        <v>2789</v>
      </c>
      <c r="BK56" s="26">
        <f t="shared" si="403"/>
        <v>2477</v>
      </c>
      <c r="BL56" s="26">
        <f t="shared" si="403"/>
        <v>2117</v>
      </c>
      <c r="BM56" s="26">
        <f t="shared" si="403"/>
        <v>2289</v>
      </c>
      <c r="BN56" s="26">
        <f t="shared" si="403"/>
        <v>1964</v>
      </c>
      <c r="BO56" s="26">
        <f t="shared" ref="BO56:CT56" si="404">BO44-BO54</f>
        <v>1576</v>
      </c>
      <c r="BP56" s="26">
        <f t="shared" si="404"/>
        <v>2952</v>
      </c>
      <c r="BQ56" s="26">
        <f t="shared" si="404"/>
        <v>3269</v>
      </c>
      <c r="BR56" s="26">
        <f t="shared" si="404"/>
        <v>3875</v>
      </c>
      <c r="BS56" s="26">
        <f t="shared" si="404"/>
        <v>3558</v>
      </c>
      <c r="BT56" s="26">
        <f t="shared" si="404"/>
        <v>3335</v>
      </c>
      <c r="BU56" s="26">
        <f t="shared" si="404"/>
        <v>4370</v>
      </c>
      <c r="BV56" s="26">
        <f t="shared" si="404"/>
        <v>4962</v>
      </c>
      <c r="BW56" s="26">
        <f t="shared" si="404"/>
        <v>5137</v>
      </c>
      <c r="BX56" s="26">
        <f t="shared" si="404"/>
        <v>4407</v>
      </c>
      <c r="BY56" s="26">
        <f t="shared" si="404"/>
        <v>3707</v>
      </c>
      <c r="BZ56" s="26">
        <f t="shared" si="404"/>
        <v>4255</v>
      </c>
      <c r="CA56" s="26">
        <f t="shared" si="404"/>
        <v>3347</v>
      </c>
      <c r="CB56" s="26">
        <f t="shared" si="404"/>
        <v>3139</v>
      </c>
      <c r="CC56" s="26">
        <f t="shared" si="404"/>
        <v>3521</v>
      </c>
      <c r="CD56" s="26">
        <f t="shared" si="404"/>
        <v>3649</v>
      </c>
      <c r="CE56" s="26">
        <f t="shared" si="404"/>
        <v>3946</v>
      </c>
      <c r="CF56" s="26">
        <f t="shared" si="404"/>
        <v>4123</v>
      </c>
      <c r="CG56" s="26">
        <f t="shared" si="404"/>
        <v>4499</v>
      </c>
      <c r="CH56" s="26">
        <f t="shared" si="404"/>
        <v>4820</v>
      </c>
      <c r="CI56" s="26">
        <f t="shared" ref="CI56:CJ56" si="405">CI44-CI54</f>
        <v>3859</v>
      </c>
      <c r="CJ56" s="26">
        <f t="shared" si="405"/>
        <v>4445</v>
      </c>
      <c r="CK56" s="26">
        <f t="shared" ref="CK56:CL56" si="406">CK44-CK54</f>
        <v>6054</v>
      </c>
      <c r="CL56" s="26">
        <f t="shared" si="406"/>
        <v>7706</v>
      </c>
      <c r="CM56" s="27">
        <f t="shared" si="404"/>
        <v>6458.2515686606494</v>
      </c>
      <c r="CN56" s="27">
        <f t="shared" si="404"/>
        <v>6894.8944104731627</v>
      </c>
      <c r="CO56" s="27">
        <f t="shared" si="404"/>
        <v>7394.9164399673427</v>
      </c>
      <c r="CP56" s="27">
        <f t="shared" si="404"/>
        <v>7559.6985690172723</v>
      </c>
      <c r="CQ56" s="27">
        <f t="shared" si="404"/>
        <v>6653.668371897722</v>
      </c>
      <c r="CR56" s="27">
        <f t="shared" si="404"/>
        <v>7056.4870965604359</v>
      </c>
      <c r="CS56" s="27">
        <f t="shared" si="404"/>
        <v>7628.0139858315006</v>
      </c>
      <c r="CT56" s="27">
        <f t="shared" si="404"/>
        <v>7933.2713010455554</v>
      </c>
      <c r="CU56" s="27">
        <f t="shared" ref="CU56:DB56" si="407">CU44-CU54</f>
        <v>6770.2722852255238</v>
      </c>
      <c r="CV56" s="27">
        <f t="shared" si="407"/>
        <v>7074.0294828936667</v>
      </c>
      <c r="CW56" s="27">
        <f t="shared" si="407"/>
        <v>7546.9503048391907</v>
      </c>
      <c r="CX56" s="27">
        <f t="shared" si="407"/>
        <v>7737.6396846208918</v>
      </c>
      <c r="CY56" s="27">
        <f t="shared" si="407"/>
        <v>6702.4119891915416</v>
      </c>
      <c r="CZ56" s="27">
        <f t="shared" si="407"/>
        <v>6976.5472726005173</v>
      </c>
      <c r="DA56" s="27">
        <f t="shared" si="407"/>
        <v>7425.0717191253516</v>
      </c>
      <c r="DB56" s="27">
        <f t="shared" si="407"/>
        <v>7607.3301186183398</v>
      </c>
      <c r="DE56" s="121"/>
      <c r="DF56" s="26">
        <v>6850.4661036692314</v>
      </c>
    </row>
    <row r="57" spans="1:110" s="168" customFormat="1" x14ac:dyDescent="0.2">
      <c r="A57" s="165" t="s">
        <v>14</v>
      </c>
      <c r="B57" s="166">
        <f t="shared" ref="B57:E57" si="408">B56/B38</f>
        <v>0.18762570507402529</v>
      </c>
      <c r="C57" s="166">
        <f t="shared" si="408"/>
        <v>0.11735949044503426</v>
      </c>
      <c r="D57" s="166">
        <f t="shared" si="408"/>
        <v>0.15458464098267741</v>
      </c>
      <c r="E57" s="166">
        <f t="shared" si="408"/>
        <v>0.42016753787956945</v>
      </c>
      <c r="F57" s="166">
        <f t="shared" ref="F57:AE57" si="409">F56/F38</f>
        <v>0.39961673122596053</v>
      </c>
      <c r="G57" s="166">
        <f t="shared" si="409"/>
        <v>0.59309976605441872</v>
      </c>
      <c r="H57" s="166">
        <f t="shared" si="409"/>
        <v>0.74845155848798284</v>
      </c>
      <c r="I57" s="166">
        <f t="shared" si="409"/>
        <v>0.68273001115797993</v>
      </c>
      <c r="J57" s="166">
        <f t="shared" si="409"/>
        <v>0.48134331642686001</v>
      </c>
      <c r="K57" s="166">
        <f t="shared" si="409"/>
        <v>0.5825243202855942</v>
      </c>
      <c r="L57" s="166">
        <f t="shared" si="409"/>
        <v>0.55858303027043077</v>
      </c>
      <c r="M57" s="166">
        <f t="shared" si="409"/>
        <v>0.53216089698570213</v>
      </c>
      <c r="N57" s="166">
        <f t="shared" si="409"/>
        <v>0.51247574772595561</v>
      </c>
      <c r="O57" s="166">
        <f t="shared" si="409"/>
        <v>0.49345851141533753</v>
      </c>
      <c r="P57" s="166">
        <f t="shared" si="409"/>
        <v>0.48197538744920848</v>
      </c>
      <c r="Q57" s="166">
        <f t="shared" si="409"/>
        <v>0.46907834426345107</v>
      </c>
      <c r="R57" s="166">
        <f t="shared" si="409"/>
        <v>0.56382793955884902</v>
      </c>
      <c r="S57" s="166">
        <f t="shared" si="409"/>
        <v>0.55565619056244908</v>
      </c>
      <c r="T57" s="166">
        <f t="shared" si="409"/>
        <v>0.50525617956245861</v>
      </c>
      <c r="U57" s="166">
        <f t="shared" si="409"/>
        <v>0.47664457733958299</v>
      </c>
      <c r="V57" s="166">
        <f t="shared" si="409"/>
        <v>0.5157983119006585</v>
      </c>
      <c r="W57" s="166">
        <f t="shared" si="409"/>
        <v>0.55112092391304346</v>
      </c>
      <c r="X57" s="166">
        <f t="shared" si="409"/>
        <v>0.51340254560384768</v>
      </c>
      <c r="Y57" s="166">
        <f t="shared" si="409"/>
        <v>0.47200331812525925</v>
      </c>
      <c r="Z57" s="166">
        <f t="shared" ref="Z57:AA57" si="410">Z56/Z38</f>
        <v>0.5101663585951941</v>
      </c>
      <c r="AA57" s="166">
        <f t="shared" si="410"/>
        <v>0.54020174321809811</v>
      </c>
      <c r="AB57" s="167">
        <f t="shared" si="409"/>
        <v>0.58464985835221583</v>
      </c>
      <c r="AC57" s="167">
        <f t="shared" si="409"/>
        <v>0.61268831252979561</v>
      </c>
      <c r="AD57" s="167">
        <f t="shared" si="409"/>
        <v>0.61500467090831046</v>
      </c>
      <c r="AE57" s="167">
        <f t="shared" si="409"/>
        <v>0.6154930929227912</v>
      </c>
      <c r="AI57" s="166">
        <f t="shared" ref="AI57:BN57" si="411">AI56/AI38</f>
        <v>0.51645188174880174</v>
      </c>
      <c r="AJ57" s="166">
        <f t="shared" si="411"/>
        <v>0.51280771673657988</v>
      </c>
      <c r="AK57" s="166">
        <f t="shared" si="411"/>
        <v>0.47149797672764804</v>
      </c>
      <c r="AL57" s="166">
        <f t="shared" si="411"/>
        <v>0.54135571105113023</v>
      </c>
      <c r="AM57" s="166">
        <f t="shared" si="411"/>
        <v>0.50224183689882584</v>
      </c>
      <c r="AN57" s="166">
        <f t="shared" si="411"/>
        <v>0.5291742644972226</v>
      </c>
      <c r="AO57" s="166">
        <f t="shared" si="411"/>
        <v>0.52861246293553465</v>
      </c>
      <c r="AP57" s="166">
        <f t="shared" si="411"/>
        <v>0.4818485291049448</v>
      </c>
      <c r="AQ57" s="166">
        <f t="shared" si="411"/>
        <v>0.44972549123932981</v>
      </c>
      <c r="AR57" s="166">
        <f t="shared" si="411"/>
        <v>0.52586800898384689</v>
      </c>
      <c r="AS57" s="166">
        <f t="shared" si="411"/>
        <v>0.54220713496005857</v>
      </c>
      <c r="AT57" s="166">
        <f t="shared" si="411"/>
        <v>0.48609683736983961</v>
      </c>
      <c r="AU57" s="166">
        <f t="shared" si="411"/>
        <v>0.45929804940264501</v>
      </c>
      <c r="AV57" s="166">
        <f t="shared" si="411"/>
        <v>0.54390201571913821</v>
      </c>
      <c r="AW57" s="166">
        <f t="shared" si="411"/>
        <v>0.43085134292160504</v>
      </c>
      <c r="AX57" s="166">
        <f t="shared" si="411"/>
        <v>0.38041863683876775</v>
      </c>
      <c r="AY57" s="166">
        <f t="shared" si="411"/>
        <v>0.40335235378031381</v>
      </c>
      <c r="AZ57" s="166">
        <f t="shared" si="411"/>
        <v>0.59342857142857142</v>
      </c>
      <c r="BA57" s="166">
        <f t="shared" si="411"/>
        <v>0.55905353920192502</v>
      </c>
      <c r="BB57" s="166">
        <f t="shared" si="411"/>
        <v>0.5984012789768185</v>
      </c>
      <c r="BC57" s="166">
        <f t="shared" si="411"/>
        <v>0.52097902097902093</v>
      </c>
      <c r="BD57" s="166">
        <f t="shared" si="411"/>
        <v>0.5695987944999058</v>
      </c>
      <c r="BE57" s="166">
        <f t="shared" si="411"/>
        <v>0.54778790949003719</v>
      </c>
      <c r="BF57" s="166">
        <f t="shared" si="411"/>
        <v>0.57670861876692692</v>
      </c>
      <c r="BG57" s="166">
        <f t="shared" si="411"/>
        <v>0.51092278719397366</v>
      </c>
      <c r="BH57" s="166">
        <f t="shared" si="411"/>
        <v>0.48775382038936571</v>
      </c>
      <c r="BI57" s="166">
        <f t="shared" si="411"/>
        <v>0.51227436823104688</v>
      </c>
      <c r="BJ57" s="166">
        <f t="shared" si="411"/>
        <v>0.50792205427062465</v>
      </c>
      <c r="BK57" s="166">
        <f t="shared" si="411"/>
        <v>0.49669139763384801</v>
      </c>
      <c r="BL57" s="166">
        <f t="shared" si="411"/>
        <v>0.46929727333185545</v>
      </c>
      <c r="BM57" s="166">
        <f t="shared" si="411"/>
        <v>0.48994006849315069</v>
      </c>
      <c r="BN57" s="166">
        <f t="shared" si="411"/>
        <v>0.44727852425415621</v>
      </c>
      <c r="BO57" s="166">
        <f t="shared" ref="BO57:CT57" si="412">BO56/BO38</f>
        <v>0.3950864878415643</v>
      </c>
      <c r="BP57" s="166">
        <f t="shared" si="412"/>
        <v>0.52155477031802122</v>
      </c>
      <c r="BQ57" s="166">
        <f t="shared" si="412"/>
        <v>0.54185314105751703</v>
      </c>
      <c r="BR57" s="166">
        <f t="shared" si="412"/>
        <v>0.55779473153879378</v>
      </c>
      <c r="BS57" s="166">
        <f t="shared" si="412"/>
        <v>0.54478640330730366</v>
      </c>
      <c r="BT57" s="166">
        <f t="shared" si="412"/>
        <v>0.54475661548513554</v>
      </c>
      <c r="BU57" s="166">
        <f t="shared" si="412"/>
        <v>0.54693366708385482</v>
      </c>
      <c r="BV57" s="166">
        <f t="shared" si="412"/>
        <v>0.56405592815732641</v>
      </c>
      <c r="BW57" s="166">
        <f t="shared" si="412"/>
        <v>0.54724619154149357</v>
      </c>
      <c r="BX57" s="166">
        <f t="shared" si="412"/>
        <v>0.52867082533589249</v>
      </c>
      <c r="BY57" s="166">
        <f t="shared" si="412"/>
        <v>0.47126875158911774</v>
      </c>
      <c r="BZ57" s="166">
        <f t="shared" si="412"/>
        <v>0.50005876131155247</v>
      </c>
      <c r="CA57" s="166">
        <f t="shared" si="412"/>
        <v>0.45962647624279046</v>
      </c>
      <c r="CB57" s="166">
        <f t="shared" si="412"/>
        <v>0.46222942129288763</v>
      </c>
      <c r="CC57" s="166">
        <f t="shared" si="412"/>
        <v>0.4816689466484268</v>
      </c>
      <c r="CD57" s="166">
        <f t="shared" si="412"/>
        <v>0.48337528149423764</v>
      </c>
      <c r="CE57" s="166">
        <f t="shared" si="412"/>
        <v>0.48536285362853626</v>
      </c>
      <c r="CF57" s="166">
        <f t="shared" si="412"/>
        <v>0.49963645176926808</v>
      </c>
      <c r="CG57" s="166">
        <f t="shared" si="412"/>
        <v>0.5222892964940794</v>
      </c>
      <c r="CH57" s="166">
        <f t="shared" si="412"/>
        <v>0.53042808407615272</v>
      </c>
      <c r="CI57" s="166">
        <f t="shared" ref="CI57:CJ57" si="413">CI56/CI38</f>
        <v>0.49658988547162525</v>
      </c>
      <c r="CJ57" s="166">
        <f t="shared" si="413"/>
        <v>0.51994385308223179</v>
      </c>
      <c r="CK57" s="166">
        <f t="shared" ref="CK57:CL57" si="414">CK56/CK38</f>
        <v>0.55136612021857923</v>
      </c>
      <c r="CL57" s="166">
        <f t="shared" si="414"/>
        <v>0.56896042528056701</v>
      </c>
      <c r="CM57" s="167">
        <f t="shared" si="412"/>
        <v>0.56772733018268973</v>
      </c>
      <c r="CN57" s="167">
        <f t="shared" si="412"/>
        <v>0.58480562097131339</v>
      </c>
      <c r="CO57" s="167">
        <f t="shared" si="412"/>
        <v>0.59156078276577106</v>
      </c>
      <c r="CP57" s="167">
        <f t="shared" si="412"/>
        <v>0.59282716306082028</v>
      </c>
      <c r="CQ57" s="167">
        <f t="shared" si="412"/>
        <v>0.60164085629875952</v>
      </c>
      <c r="CR57" s="167">
        <f t="shared" si="412"/>
        <v>0.6098375223479201</v>
      </c>
      <c r="CS57" s="167">
        <f t="shared" si="412"/>
        <v>0.61588612354719496</v>
      </c>
      <c r="CT57" s="167">
        <f t="shared" si="412"/>
        <v>0.62174468715922482</v>
      </c>
      <c r="CU57" s="167">
        <f t="shared" ref="CU57:DB57" si="415">CU56/CU38</f>
        <v>0.61227729733827496</v>
      </c>
      <c r="CV57" s="167">
        <f t="shared" si="415"/>
        <v>0.61493640759815371</v>
      </c>
      <c r="CW57" s="167">
        <f t="shared" si="415"/>
        <v>0.61621112891071206</v>
      </c>
      <c r="CX57" s="167">
        <f t="shared" si="415"/>
        <v>0.61629238025159161</v>
      </c>
      <c r="CY57" s="167">
        <f t="shared" si="415"/>
        <v>0.61492930352468311</v>
      </c>
      <c r="CZ57" s="167">
        <f t="shared" si="415"/>
        <v>0.61559230507128515</v>
      </c>
      <c r="DA57" s="167">
        <f t="shared" si="415"/>
        <v>0.6157562794395679</v>
      </c>
      <c r="DB57" s="167">
        <f t="shared" si="415"/>
        <v>0.615642567071782</v>
      </c>
      <c r="DE57" s="169"/>
      <c r="DF57" s="168">
        <v>0.529397155815854</v>
      </c>
    </row>
    <row r="58" spans="1:110" s="38" customFormat="1" x14ac:dyDescent="0.2">
      <c r="A58" s="39" t="s">
        <v>449</v>
      </c>
      <c r="B58" s="39"/>
      <c r="C58" s="39">
        <f t="shared" ref="C58:E58" si="416">+IF(B56&lt;0,1-C56/B56,C56/B56-1)</f>
        <v>-0.44989670304051155</v>
      </c>
      <c r="D58" s="39">
        <f t="shared" si="416"/>
        <v>0.54930666280137319</v>
      </c>
      <c r="E58" s="39">
        <f t="shared" si="416"/>
        <v>2.4470689916333273</v>
      </c>
      <c r="F58" s="39">
        <f t="shared" ref="F58:Y58" si="417">+IF(E56&lt;0,1-F56/E56,F56/E56-1)</f>
        <v>0.13733883391751212</v>
      </c>
      <c r="G58" s="39">
        <f t="shared" si="417"/>
        <v>1.6129886363636361</v>
      </c>
      <c r="H58" s="39">
        <f t="shared" si="417"/>
        <v>1.7863035621871517</v>
      </c>
      <c r="I58" s="39">
        <f t="shared" si="417"/>
        <v>-0.16053292460796265</v>
      </c>
      <c r="J58" s="39">
        <f t="shared" si="417"/>
        <v>-0.4916396914318224</v>
      </c>
      <c r="K58" s="39">
        <f t="shared" si="417"/>
        <v>0.7080492729028296</v>
      </c>
      <c r="L58" s="39">
        <f t="shared" si="417"/>
        <v>0.20077386254625162</v>
      </c>
      <c r="M58" s="39">
        <f t="shared" si="417"/>
        <v>8.2341989867521281E-2</v>
      </c>
      <c r="N58" s="39">
        <f t="shared" si="417"/>
        <v>7.2312858145535674E-2</v>
      </c>
      <c r="O58" s="39">
        <f t="shared" si="417"/>
        <v>3.3873356728883808E-2</v>
      </c>
      <c r="P58" s="39">
        <f t="shared" si="417"/>
        <v>5.9270421857027245E-2</v>
      </c>
      <c r="Q58" s="39">
        <f t="shared" si="417"/>
        <v>-6.6731765352907924E-2</v>
      </c>
      <c r="R58" s="39">
        <f t="shared" si="417"/>
        <v>0.46407095610342752</v>
      </c>
      <c r="S58" s="39">
        <f t="shared" si="417"/>
        <v>0.2598829448608686</v>
      </c>
      <c r="T58" s="39">
        <f t="shared" si="417"/>
        <v>-0.13039934800326003</v>
      </c>
      <c r="U58" s="39">
        <f t="shared" si="417"/>
        <v>-0.17085285848172449</v>
      </c>
      <c r="V58" s="39">
        <f t="shared" si="417"/>
        <v>0.31931728269469883</v>
      </c>
      <c r="W58" s="39">
        <f t="shared" si="417"/>
        <v>0.39007882111034964</v>
      </c>
      <c r="X58" s="39">
        <f t="shared" si="417"/>
        <v>7.8952234206471461E-2</v>
      </c>
      <c r="Y58" s="39">
        <f t="shared" si="417"/>
        <v>-0.21992459728093228</v>
      </c>
      <c r="Z58" s="39">
        <f t="shared" ref="Z58:AE58" si="418">+IF(Y56&lt;0,1-Z56/Y56,Z56/Y56-1)</f>
        <v>0.27328646748681895</v>
      </c>
      <c r="AA58" s="39">
        <f t="shared" si="418"/>
        <v>0.26892109500805161</v>
      </c>
      <c r="AB58" s="40">
        <f t="shared" si="418"/>
        <v>0.2829840911946353</v>
      </c>
      <c r="AC58" s="40">
        <f t="shared" si="418"/>
        <v>3.4042952659564474E-2</v>
      </c>
      <c r="AD58" s="40">
        <f t="shared" si="418"/>
        <v>-4.8699002877049535E-3</v>
      </c>
      <c r="AE58" s="40">
        <f t="shared" si="418"/>
        <v>-1.4333901252349901E-2</v>
      </c>
      <c r="AI58" s="39"/>
      <c r="AJ58" s="39"/>
      <c r="AK58" s="39"/>
      <c r="AL58" s="39"/>
      <c r="AM58" s="39">
        <f>+IF(AI56&lt;0,1-AM56/AI56,AM56/AI56-1)</f>
        <v>5.6170986427634961E-2</v>
      </c>
      <c r="AN58" s="39">
        <f t="shared" ref="AN58" si="419">+IF(AJ56&lt;0,1-AN56/AJ56,AN56/AJ56-1)</f>
        <v>0.28172148384067253</v>
      </c>
      <c r="AO58" s="39">
        <f t="shared" ref="AO58" si="420">+IF(AK56&lt;0,1-AO56/AK56,AO56/AK56-1)</f>
        <v>0.21710723891005923</v>
      </c>
      <c r="AP58" s="39">
        <f t="shared" ref="AP58" si="421">+IF(AL56&lt;0,1-AP56/AL56,AP56/AL56-1)</f>
        <v>-0.17048918462927165</v>
      </c>
      <c r="AQ58" s="39">
        <f t="shared" ref="AQ58" si="422">+IF(AM56&lt;0,1-AQ56/AM56,AQ56/AM56-1)</f>
        <v>-9.7653409128818702E-2</v>
      </c>
      <c r="AR58" s="39">
        <f t="shared" ref="AR58" si="423">+IF(AN56&lt;0,1-AR56/AN56,AR56/AN56-1)</f>
        <v>6.1670383349262003E-2</v>
      </c>
      <c r="AS58" s="39">
        <f t="shared" ref="AS58" si="424">+IF(AO56&lt;0,1-AS56/AO56,AS56/AO56-1)</f>
        <v>0.14555174777244684</v>
      </c>
      <c r="AT58" s="39">
        <f t="shared" ref="AT58" si="425">+IF(AP56&lt;0,1-AT56/AP56,AT56/AP56-1)</f>
        <v>0.14258041726962989</v>
      </c>
      <c r="AU58" s="39">
        <f t="shared" ref="AU58" si="426">+IF(AQ56&lt;0,1-AU56/AQ56,AU56/AQ56-1)</f>
        <v>0.23285837874609006</v>
      </c>
      <c r="AV58" s="39">
        <f t="shared" ref="AV58" si="427">+IF(AR56&lt;0,1-AV56/AR56,AV56/AR56-1)</f>
        <v>9.7106849041034726E-2</v>
      </c>
      <c r="AW58" s="39">
        <f t="shared" ref="AW58" si="428">+IF(AS56&lt;0,1-AW56/AS56,AW56/AS56-1)</f>
        <v>-0.29251866743251009</v>
      </c>
      <c r="AX58" s="39">
        <f t="shared" ref="AX58" si="429">+IF(AT56&lt;0,1-AX56/AT56,AX56/AT56-1)</f>
        <v>-0.34489000139617454</v>
      </c>
      <c r="AY58" s="39">
        <f t="shared" ref="AY58" si="430">+IF(AU56&lt;0,1-AY56/AU56,AY56/AU56-1)</f>
        <v>-0.32166997534981079</v>
      </c>
      <c r="AZ58" s="39">
        <f t="shared" ref="AZ58" si="431">+IF(AV56&lt;0,1-AZ56/AV56,AZ56/AV56-1)</f>
        <v>-5.3206425614937269E-2</v>
      </c>
      <c r="BA58" s="39">
        <f t="shared" ref="BA58" si="432">+IF(AW56&lt;0,1-BA56/AW56,BA56/AW56-1)</f>
        <v>0.88624354732861144</v>
      </c>
      <c r="BB58" s="39">
        <f t="shared" ref="BB58" si="433">+IF(AX56&lt;0,1-BB56/AX56,BB56/AX56-1)</f>
        <v>1.8489659844269721</v>
      </c>
      <c r="BC58" s="39">
        <f t="shared" ref="BC58" si="434">+IF(AY56&lt;0,1-BC56/AY56,BC56/AY56-1)</f>
        <v>1.1078691423519009</v>
      </c>
      <c r="BD58" s="39">
        <f t="shared" ref="BD58" si="435">+IF(AZ56&lt;0,1-BD56/AZ56,BD56/AZ56-1)</f>
        <v>0.45594607607125659</v>
      </c>
      <c r="BE58" s="39">
        <f t="shared" ref="BE58" si="436">+IF(BA56&lt;0,1-BE56/BA56,BE56/BA56-1)</f>
        <v>0.163558106169297</v>
      </c>
      <c r="BF58" s="39">
        <f t="shared" ref="BF58" si="437">+IF(BB56&lt;0,1-BF56/BB56,BF56/BB56-1)</f>
        <v>-3.2861341170184355E-2</v>
      </c>
      <c r="BG58" s="39">
        <f t="shared" ref="BG58" si="438">+IF(BC56&lt;0,1-BG56/BC56,BG56/BC56-1)</f>
        <v>0.13800335570469802</v>
      </c>
      <c r="BH58" s="39">
        <f t="shared" ref="BH58" si="439">+IF(BD56&lt;0,1-BH56/BD56,BH56/BD56-1)</f>
        <v>-0.22949735449735453</v>
      </c>
      <c r="BI58" s="39">
        <f t="shared" ref="BI58" si="440">+IF(BE56&lt;0,1-BI56/BE56,BI56/BE56-1)</f>
        <v>-0.12515413070283599</v>
      </c>
      <c r="BJ58" s="39">
        <f t="shared" ref="BJ58" si="441">+IF(BF56&lt;0,1-BJ56/BF56,BJ56/BF56-1)</f>
        <v>-0.22955801104972373</v>
      </c>
      <c r="BK58" s="39">
        <f t="shared" ref="BK58" si="442">+IF(BG56&lt;0,1-BK56/BG56,BK56/BG56-1)</f>
        <v>-8.6988573534832248E-2</v>
      </c>
      <c r="BL58" s="39">
        <f t="shared" ref="BL58" si="443">+IF(BH56&lt;0,1-BL56/BH56,BL56/BH56-1)</f>
        <v>-9.1416309012875563E-2</v>
      </c>
      <c r="BM58" s="39">
        <f t="shared" ref="BM58" si="444">+IF(BI56&lt;0,1-BM56/BI56,BM56/BI56-1)</f>
        <v>-0.19344608879492597</v>
      </c>
      <c r="BN58" s="39">
        <f t="shared" ref="BN58" si="445">+IF(BJ56&lt;0,1-BN56/BJ56,BN56/BJ56-1)</f>
        <v>-0.29580494801003943</v>
      </c>
      <c r="BO58" s="39">
        <f t="shared" ref="BO58" si="446">+IF(BK56&lt;0,1-BO56/BK56,BO56/BK56-1)</f>
        <v>-0.36374646750100925</v>
      </c>
      <c r="BP58" s="39">
        <f t="shared" ref="BP58" si="447">+IF(BL56&lt;0,1-BP56/BL56,BP56/BL56-1)</f>
        <v>0.39442607463391588</v>
      </c>
      <c r="BQ58" s="39">
        <f t="shared" ref="BQ58" si="448">+IF(BM56&lt;0,1-BQ56/BM56,BQ56/BM56-1)</f>
        <v>0.4281345565749235</v>
      </c>
      <c r="BR58" s="39">
        <f t="shared" ref="BR58" si="449">+IF(BN56&lt;0,1-BR56/BN56,BR56/BN56-1)</f>
        <v>0.97301425661914465</v>
      </c>
      <c r="BS58" s="39">
        <f t="shared" ref="BS58" si="450">+IF(BO56&lt;0,1-BS56/BO56,BS56/BO56-1)</f>
        <v>1.2576142131979697</v>
      </c>
      <c r="BT58" s="39">
        <f t="shared" ref="BT58" si="451">+IF(BP56&lt;0,1-BT56/BP56,BT56/BP56-1)</f>
        <v>0.12974254742547431</v>
      </c>
      <c r="BU58" s="39">
        <f t="shared" ref="BU58" si="452">+IF(BQ56&lt;0,1-BU56/BQ56,BU56/BQ56-1)</f>
        <v>0.33680024472315684</v>
      </c>
      <c r="BV58" s="39">
        <f t="shared" ref="BV58" si="453">+IF(BR56&lt;0,1-BV56/BR56,BV56/BR56-1)</f>
        <v>0.28051612903225798</v>
      </c>
      <c r="BW58" s="39">
        <f t="shared" ref="BW58" si="454">+IF(BS56&lt;0,1-BW56/BS56,BW56/BS56-1)</f>
        <v>0.44378864530635198</v>
      </c>
      <c r="BX58" s="39">
        <f t="shared" ref="BX58" si="455">+IF(BT56&lt;0,1-BX56/BT56,BX56/BT56-1)</f>
        <v>0.32143928035982006</v>
      </c>
      <c r="BY58" s="39">
        <f t="shared" ref="BY58" si="456">+IF(BU56&lt;0,1-BY56/BU56,BY56/BU56-1)</f>
        <v>-0.15171624713958809</v>
      </c>
      <c r="BZ58" s="39">
        <f t="shared" ref="BZ58" si="457">+IF(BV56&lt;0,1-BZ56/BV56,BZ56/BV56-1)</f>
        <v>-0.14248286981056024</v>
      </c>
      <c r="CA58" s="39">
        <f t="shared" ref="CA58" si="458">+IF(BW56&lt;0,1-CA56/BW56,CA56/BW56-1)</f>
        <v>-0.34845240412692235</v>
      </c>
      <c r="CB58" s="39">
        <f t="shared" ref="CB58" si="459">+IF(BX56&lt;0,1-CB56/BX56,CB56/BX56-1)</f>
        <v>-0.2877240753346948</v>
      </c>
      <c r="CC58" s="39">
        <f t="shared" ref="CC58" si="460">+IF(BY56&lt;0,1-CC56/BY56,CC56/BY56-1)</f>
        <v>-5.0175343943889894E-2</v>
      </c>
      <c r="CD58" s="39">
        <f t="shared" ref="CD58" si="461">+IF(BZ56&lt;0,1-CD56/BZ56,CD56/BZ56-1)</f>
        <v>-0.14242068155111631</v>
      </c>
      <c r="CE58" s="39">
        <f t="shared" ref="CE58" si="462">+IF(CA56&lt;0,1-CE56/CA56,CE56/CA56-1)</f>
        <v>0.17896623842246795</v>
      </c>
      <c r="CF58" s="39">
        <f t="shared" ref="CF58" si="463">+IF(CB56&lt;0,1-CF56/CB56,CF56/CB56-1)</f>
        <v>0.31347562918126792</v>
      </c>
      <c r="CG58" s="39">
        <f t="shared" ref="CG58" si="464">+IF(CC56&lt;0,1-CG56/CC56,CG56/CC56-1)</f>
        <v>0.27776199943197954</v>
      </c>
      <c r="CH58" s="39">
        <f t="shared" ref="CH58:CL58" si="465">+IF(CD56&lt;0,1-CH56/CD56,CH56/CD56-1)</f>
        <v>0.32090983831186626</v>
      </c>
      <c r="CI58" s="39">
        <f t="shared" si="465"/>
        <v>-2.2047643182970145E-2</v>
      </c>
      <c r="CJ58" s="39">
        <f t="shared" si="465"/>
        <v>7.8098471986417728E-2</v>
      </c>
      <c r="CK58" s="39">
        <f t="shared" si="465"/>
        <v>0.34563236274727727</v>
      </c>
      <c r="CL58" s="39">
        <f t="shared" si="465"/>
        <v>0.59875518672199179</v>
      </c>
      <c r="CM58" s="40">
        <f t="shared" ref="CM58" si="466">+CM56/CI56-1</f>
        <v>0.67355573170786465</v>
      </c>
      <c r="CN58" s="40">
        <f t="shared" ref="CN58" si="467">+CN56/CJ56-1</f>
        <v>0.55115734768800051</v>
      </c>
      <c r="CO58" s="40">
        <f t="shared" ref="CO58" si="468">+CO56/CK56-1</f>
        <v>0.2214926395717447</v>
      </c>
      <c r="CP58" s="40">
        <f t="shared" ref="CP58" si="469">+CP56/CL56-1</f>
        <v>-1.8985392029941317E-2</v>
      </c>
      <c r="CQ58" s="40">
        <f t="shared" ref="CQ58" si="470">+CQ56/CM56-1</f>
        <v>3.0258468744908118E-2</v>
      </c>
      <c r="CR58" s="40">
        <f t="shared" ref="CR58" si="471">+CR56/CN56-1</f>
        <v>2.343657153644263E-2</v>
      </c>
      <c r="CS58" s="40">
        <f t="shared" ref="CS58" si="472">+CS56/CO56-1</f>
        <v>3.1521322486395498E-2</v>
      </c>
      <c r="CT58" s="40">
        <f t="shared" ref="CT58" si="473">+CT56/CP56-1</f>
        <v>4.9416352863503876E-2</v>
      </c>
      <c r="CU58" s="40">
        <f t="shared" ref="CU58" si="474">+CU56/CQ56-1</f>
        <v>1.7524755790397917E-2</v>
      </c>
      <c r="CV58" s="40">
        <f t="shared" ref="CV58" si="475">+CV56/CR56-1</f>
        <v>2.4859942480135455E-3</v>
      </c>
      <c r="CW58" s="40">
        <f t="shared" ref="CW58" si="476">+CW56/CS56-1</f>
        <v>-1.0627101778114212E-2</v>
      </c>
      <c r="CX58" s="40">
        <f t="shared" ref="CX58" si="477">+CX56/CT56-1</f>
        <v>-2.4659640267046035E-2</v>
      </c>
      <c r="CY58" s="40">
        <f t="shared" ref="CY58" si="478">+CY56/CU56-1</f>
        <v>-1.0023274275404059E-2</v>
      </c>
      <c r="CZ58" s="40">
        <f t="shared" ref="CZ58" si="479">+CZ56/CV56-1</f>
        <v>-1.3780294601383747E-2</v>
      </c>
      <c r="DA58" s="40">
        <f t="shared" ref="DA58" si="480">+DA56/CW56-1</f>
        <v>-1.6149382305550519E-2</v>
      </c>
      <c r="DB58" s="40">
        <f t="shared" ref="DB58" si="481">+DB56/CX56-1</f>
        <v>-1.6840996907823369E-2</v>
      </c>
      <c r="DE58" s="122"/>
      <c r="DF58" s="38">
        <v>0.42125852773220562</v>
      </c>
    </row>
    <row r="59" spans="1:110" s="38" customFormat="1" x14ac:dyDescent="0.2">
      <c r="A59" s="39" t="s">
        <v>450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40"/>
      <c r="AC59" s="40"/>
      <c r="AD59" s="40"/>
      <c r="AE59" s="40"/>
      <c r="AI59" s="39"/>
      <c r="AJ59" s="39">
        <f>+IF(AI56&lt;0,1-AJ56/AI56,AJ56/AI56-1)</f>
        <v>3.5495327893112272E-2</v>
      </c>
      <c r="AK59" s="39">
        <f t="shared" ref="AK59:AM59" si="482">+IF(AJ56&lt;0,1-AK56/AJ56,AK56/AJ56-1)</f>
        <v>1.9735543714229253E-2</v>
      </c>
      <c r="AL59" s="39">
        <f t="shared" si="482"/>
        <v>0.41212469050940004</v>
      </c>
      <c r="AM59" s="39">
        <f t="shared" si="482"/>
        <v>-0.29168655510238817</v>
      </c>
      <c r="AN59" s="39">
        <f t="shared" ref="AN59" si="483">+IF(AM56&lt;0,1-AN56/AM56,AN56/AM56-1)</f>
        <v>0.25663043695830567</v>
      </c>
      <c r="AO59" s="39">
        <f t="shared" ref="AO59" si="484">+IF(AN56&lt;0,1-AO56/AN56,AO56/AN56-1)</f>
        <v>-3.1671445258574682E-2</v>
      </c>
      <c r="AP59" s="39">
        <f t="shared" ref="AP59" si="485">+IF(AO56&lt;0,1-AP56/AO56,AP56/AO56-1)</f>
        <v>-3.7576422206990978E-2</v>
      </c>
      <c r="AQ59" s="39">
        <f t="shared" ref="AQ59" si="486">+IF(AP56&lt;0,1-AQ56/AP56,AQ56/AP56-1)</f>
        <v>-0.22949259921833154</v>
      </c>
      <c r="AR59" s="39">
        <f t="shared" ref="AR59" si="487">+IF(AQ56&lt;0,1-AR56/AQ56,AR56/AQ56-1)</f>
        <v>0.47850873625601631</v>
      </c>
      <c r="AS59" s="39">
        <f t="shared" ref="AS59" si="488">+IF(AR56&lt;0,1-AS56/AR56,AS56/AR56-1)</f>
        <v>4.4835087894776526E-2</v>
      </c>
      <c r="AT59" s="39">
        <f t="shared" ref="AT59" si="489">+IF(AS56&lt;0,1-AT56/AS56,AT56/AS56-1)</f>
        <v>-4.0072755121577597E-2</v>
      </c>
      <c r="AU59" s="39">
        <f t="shared" ref="AU59" si="490">+IF(AT56&lt;0,1-AU56/AT56,AU56/AT56-1)</f>
        <v>-0.16861300037896165</v>
      </c>
      <c r="AV59" s="39">
        <f t="shared" ref="AV59" si="491">+IF(AU56&lt;0,1-AV56/AU56,AV56/AU56-1)</f>
        <v>0.31570834807746539</v>
      </c>
      <c r="AW59" s="39">
        <f t="shared" ref="AW59" si="492">+IF(AV56&lt;0,1-AW56/AV56,AW56/AV56-1)</f>
        <v>-0.32622668344182504</v>
      </c>
      <c r="AX59" s="39">
        <f t="shared" ref="AX59" si="493">+IF(AW56&lt;0,1-AX56/AW56,AX56/AW56-1)</f>
        <v>-0.1111314078494251</v>
      </c>
      <c r="AY59" s="39">
        <f t="shared" ref="AY59" si="494">+IF(AX56&lt;0,1-AY56/AX56,AY56/AX56-1)</f>
        <v>-0.13914492963213854</v>
      </c>
      <c r="AZ59" s="39">
        <f t="shared" ref="AZ59" si="495">+IF(AY56&lt;0,1-AZ56/AY56,AZ56/AY56-1)</f>
        <v>0.83642793987621578</v>
      </c>
      <c r="BA59" s="39">
        <f t="shared" ref="BA59" si="496">+IF(AZ56&lt;0,1-BA56/AZ56,BA56/AZ56-1)</f>
        <v>0.34232065479056328</v>
      </c>
      <c r="BB59" s="39">
        <f t="shared" ref="BB59" si="497">+IF(BA56&lt;0,1-BB56/BA56,BB56/BA56-1)</f>
        <v>0.34253945480631276</v>
      </c>
      <c r="BC59" s="39">
        <f t="shared" ref="BC59" si="498">+IF(BB56&lt;0,1-BC56/BB56,BC56/BB56-1)</f>
        <v>-0.36307774512423185</v>
      </c>
      <c r="BD59" s="39">
        <f t="shared" ref="BD59" si="499">+IF(BC56&lt;0,1-BD56/BC56,BD56/BC56-1)</f>
        <v>0.26845637583892623</v>
      </c>
      <c r="BE59" s="39">
        <f t="shared" ref="BE59" si="500">+IF(BD56&lt;0,1-BE56/BD56,BE56/BD56-1)</f>
        <v>7.2751322751322789E-2</v>
      </c>
      <c r="BF59" s="39">
        <f t="shared" ref="BF59" si="501">+IF(BE56&lt;0,1-BF56/BE56,BF56/BE56-1)</f>
        <v>0.11590628853267582</v>
      </c>
      <c r="BG59" s="39">
        <f t="shared" ref="BG59" si="502">+IF(BF56&lt;0,1-BG56/BF56,BG56/BF56-1)</f>
        <v>-0.25055248618784531</v>
      </c>
      <c r="BH59" s="39">
        <f t="shared" ref="BH59" si="503">+IF(BG56&lt;0,1-BH56/BG56,BH56/BG56-1)</f>
        <v>-0.1411721341688168</v>
      </c>
      <c r="BI59" s="39">
        <f t="shared" ref="BI59" si="504">+IF(BH56&lt;0,1-BI56/BH56,BI56/BH56-1)</f>
        <v>0.21802575107296129</v>
      </c>
      <c r="BJ59" s="39">
        <f t="shared" ref="BJ59" si="505">+IF(BI56&lt;0,1-BJ56/BI56,BJ56/BI56-1)</f>
        <v>-1.7265680056377741E-2</v>
      </c>
      <c r="BK59" s="39">
        <f t="shared" ref="BK59" si="506">+IF(BJ56&lt;0,1-BK56/BJ56,BK56/BJ56-1)</f>
        <v>-0.11186805306561487</v>
      </c>
      <c r="BL59" s="39">
        <f t="shared" ref="BL59" si="507">+IF(BK56&lt;0,1-BL56/BK56,BL56/BK56-1)</f>
        <v>-0.14533710133225675</v>
      </c>
      <c r="BM59" s="39">
        <f t="shared" ref="BM59" si="508">+IF(BL56&lt;0,1-BM56/BL56,BM56/BL56-1)</f>
        <v>8.1247047709022135E-2</v>
      </c>
      <c r="BN59" s="39">
        <f t="shared" ref="BN59" si="509">+IF(BM56&lt;0,1-BN56/BM56,BN56/BM56-1)</f>
        <v>-0.1419833988641328</v>
      </c>
      <c r="BO59" s="39">
        <f t="shared" ref="BO59" si="510">+IF(BN56&lt;0,1-BO56/BN56,BO56/BN56-1)</f>
        <v>-0.19755600814663954</v>
      </c>
      <c r="BP59" s="39">
        <f t="shared" ref="BP59" si="511">+IF(BO56&lt;0,1-BP56/BO56,BP56/BO56-1)</f>
        <v>0.87309644670050757</v>
      </c>
      <c r="BQ59" s="39">
        <f t="shared" ref="BQ59" si="512">+IF(BP56&lt;0,1-BQ56/BP56,BQ56/BP56-1)</f>
        <v>0.10738482384823844</v>
      </c>
      <c r="BR59" s="39">
        <f t="shared" ref="BR59" si="513">+IF(BQ56&lt;0,1-BR56/BQ56,BR56/BQ56-1)</f>
        <v>0.18537779137350863</v>
      </c>
      <c r="BS59" s="39">
        <f t="shared" ref="BS59" si="514">+IF(BR56&lt;0,1-BS56/BR56,BS56/BR56-1)</f>
        <v>-8.180645161290323E-2</v>
      </c>
      <c r="BT59" s="39">
        <f t="shared" ref="BT59" si="515">+IF(BS56&lt;0,1-BT56/BS56,BT56/BS56-1)</f>
        <v>-6.2675660483417661E-2</v>
      </c>
      <c r="BU59" s="39">
        <f t="shared" ref="BU59" si="516">+IF(BT56&lt;0,1-BU56/BT56,BU56/BT56-1)</f>
        <v>0.31034482758620685</v>
      </c>
      <c r="BV59" s="39">
        <f t="shared" ref="BV59" si="517">+IF(BU56&lt;0,1-BV56/BU56,BV56/BU56-1)</f>
        <v>0.13546910755148733</v>
      </c>
      <c r="BW59" s="39">
        <f t="shared" ref="BW59" si="518">+IF(BV56&lt;0,1-BW56/BV56,BW56/BV56-1)</f>
        <v>3.5268037081821912E-2</v>
      </c>
      <c r="BX59" s="39">
        <f t="shared" ref="BX59" si="519">+IF(BW56&lt;0,1-BX56/BW56,BX56/BW56-1)</f>
        <v>-0.14210628771656608</v>
      </c>
      <c r="BY59" s="39">
        <f t="shared" ref="BY59" si="520">+IF(BX56&lt;0,1-BY56/BX56,BY56/BX56-1)</f>
        <v>-0.15883821193555703</v>
      </c>
      <c r="BZ59" s="39">
        <f t="shared" ref="BZ59" si="521">+IF(BY56&lt;0,1-BZ56/BY56,BZ56/BY56-1)</f>
        <v>0.14782843269490153</v>
      </c>
      <c r="CA59" s="39">
        <f t="shared" ref="CA59" si="522">+IF(BZ56&lt;0,1-CA56/BZ56,CA56/BZ56-1)</f>
        <v>-0.21339600470035258</v>
      </c>
      <c r="CB59" s="39">
        <f t="shared" ref="CB59" si="523">+IF(CA56&lt;0,1-CB56/CA56,CB56/CA56-1)</f>
        <v>-6.2145204660890352E-2</v>
      </c>
      <c r="CC59" s="39">
        <f t="shared" ref="CC59" si="524">+IF(CB56&lt;0,1-CC56/CB56,CC56/CB56-1)</f>
        <v>0.1216948072634596</v>
      </c>
      <c r="CD59" s="39">
        <f t="shared" ref="CD59" si="525">+IF(CC56&lt;0,1-CD56/CC56,CD56/CC56-1)</f>
        <v>3.6353308719113908E-2</v>
      </c>
      <c r="CE59" s="39">
        <f t="shared" ref="CE59" si="526">+IF(CD56&lt;0,1-CE56/CD56,CE56/CD56-1)</f>
        <v>8.1392162236229026E-2</v>
      </c>
      <c r="CF59" s="39">
        <f t="shared" ref="CF59" si="527">+IF(CE56&lt;0,1-CF56/CE56,CF56/CE56-1)</f>
        <v>4.4855549923973559E-2</v>
      </c>
      <c r="CG59" s="39">
        <f t="shared" ref="CG59" si="528">+IF(CF56&lt;0,1-CG56/CF56,CG56/CF56-1)</f>
        <v>9.1195731263642887E-2</v>
      </c>
      <c r="CH59" s="39">
        <f t="shared" ref="CH59:CI59" si="529">+IF(CG56&lt;0,1-CH56/CG56,CH56/CG56-1)</f>
        <v>7.1349188708601963E-2</v>
      </c>
      <c r="CI59" s="39">
        <f t="shared" si="529"/>
        <v>-0.19937759336099581</v>
      </c>
      <c r="CJ59" s="39">
        <f>+IF(CI56&gt;1,CJ56/CI56-1,1-CJ56/CI56)</f>
        <v>0.15185281160922526</v>
      </c>
      <c r="CK59" s="39">
        <f>+IF(CJ56&gt;1,CK56/CJ56-1,1-CK56/CJ56)</f>
        <v>0.36197975253093362</v>
      </c>
      <c r="CL59" s="39">
        <f>+IF(CK56&gt;1,CL56/CK56-1,1-CL56/CK56)</f>
        <v>0.27287743640568229</v>
      </c>
      <c r="CM59" s="40">
        <f t="shared" ref="CM59" si="530">+CM56/CL56-1</f>
        <v>-0.16191908011151712</v>
      </c>
      <c r="CN59" s="40">
        <f t="shared" ref="CN59" si="531">+CN56/CM56-1</f>
        <v>6.7610070182364757E-2</v>
      </c>
      <c r="CO59" s="40">
        <f t="shared" ref="CO59" si="532">+CO56/CN56-1</f>
        <v>7.2520621742177882E-2</v>
      </c>
      <c r="CP59" s="40">
        <f t="shared" ref="CP59" si="533">+CP56/CO56-1</f>
        <v>2.2283163087459812E-2</v>
      </c>
      <c r="CQ59" s="40">
        <f t="shared" ref="CQ59" si="534">+CQ56/CP56-1</f>
        <v>-0.11985004280895961</v>
      </c>
      <c r="CR59" s="40">
        <f t="shared" ref="CR59" si="535">+CR56/CQ56-1</f>
        <v>6.0540847867328385E-2</v>
      </c>
      <c r="CS59" s="40">
        <f t="shared" ref="CS59" si="536">+CS56/CR56-1</f>
        <v>8.0993117602333076E-2</v>
      </c>
      <c r="CT59" s="40">
        <f t="shared" ref="CT59" si="537">+CT56/CS56-1</f>
        <v>4.00179280978048E-2</v>
      </c>
      <c r="CU59" s="40">
        <f t="shared" ref="CU59" si="538">+CU56/CT56-1</f>
        <v>-0.14659766087499815</v>
      </c>
      <c r="CV59" s="40">
        <f t="shared" ref="CV59" si="539">+CV56/CU56-1</f>
        <v>4.4866319236675167E-2</v>
      </c>
      <c r="CW59" s="40">
        <f t="shared" ref="CW59" si="540">+CW56/CV56-1</f>
        <v>6.6853103042493034E-2</v>
      </c>
      <c r="CX59" s="40">
        <f t="shared" ref="CX59" si="541">+CX56/CW56-1</f>
        <v>2.5267077704146157E-2</v>
      </c>
      <c r="CY59" s="40">
        <f t="shared" ref="CY59" si="542">+CY56/CX56-1</f>
        <v>-0.13379114789836222</v>
      </c>
      <c r="CZ59" s="40">
        <f t="shared" ref="CZ59" si="543">+CZ56/CY56-1</f>
        <v>4.0900989651345254E-2</v>
      </c>
      <c r="DA59" s="40">
        <f t="shared" ref="DA59" si="544">+DA56/CZ56-1</f>
        <v>6.4290318548597236E-2</v>
      </c>
      <c r="DB59" s="40">
        <f t="shared" ref="DB59" si="545">+DB56/DA56-1</f>
        <v>2.4546348693647024E-2</v>
      </c>
      <c r="DE59" s="122"/>
      <c r="DF59" s="38">
        <v>0.13156030784096995</v>
      </c>
    </row>
    <row r="60" spans="1:110" s="23" customFormat="1" x14ac:dyDescent="0.2">
      <c r="A60" s="23" t="s">
        <v>15</v>
      </c>
      <c r="B60" s="23">
        <f>'Annual Raw'!C27</f>
        <v>57.740900000000003</v>
      </c>
      <c r="C60" s="23">
        <f>'Annual Raw'!D27</f>
        <v>66.569000000000003</v>
      </c>
      <c r="D60" s="23">
        <f>'Annual Raw'!E27</f>
        <v>70.763000000000005</v>
      </c>
      <c r="E60" s="23">
        <f>'Annual Raw'!F27</f>
        <v>71.759</v>
      </c>
      <c r="F60" s="23">
        <f>'Annual Raw'!G27</f>
        <v>86.37</v>
      </c>
      <c r="G60" s="23">
        <f>'Annual Raw'!H27</f>
        <v>138.27000000000001</v>
      </c>
      <c r="H60" s="23">
        <f>'Annual Raw'!I27</f>
        <v>156.08000000000001</v>
      </c>
      <c r="I60" s="23">
        <f>'Annual Raw'!J27</f>
        <v>220.51</v>
      </c>
      <c r="J60" s="23">
        <f>'Annual Raw'!K27</f>
        <v>285.27</v>
      </c>
      <c r="K60" s="23">
        <f>'Annual Raw'!L27</f>
        <v>334.25</v>
      </c>
      <c r="L60" s="23">
        <f>'Annual Raw'!M27</f>
        <v>474.74</v>
      </c>
      <c r="M60" s="23">
        <f>'Annual Raw'!N27</f>
        <v>610.66999999999996</v>
      </c>
      <c r="N60" s="23">
        <f>'Annual Raw'!O27</f>
        <v>647.04</v>
      </c>
      <c r="O60" s="23">
        <f>'Annual Raw'!P27</f>
        <v>784.59</v>
      </c>
      <c r="P60" s="23">
        <f>'Annual Raw'!Q27</f>
        <v>644.19000000000005</v>
      </c>
      <c r="Q60" s="23">
        <f>'Annual Raw'!R27</f>
        <v>745</v>
      </c>
      <c r="R60" s="23">
        <f>'Annual Raw'!S27</f>
        <v>1811</v>
      </c>
      <c r="S60" s="23">
        <f>'Annual Raw'!T27</f>
        <v>1483</v>
      </c>
      <c r="T60" s="23">
        <f>'Annual Raw'!U27</f>
        <v>1883</v>
      </c>
      <c r="U60" s="23">
        <f>'Annual Raw'!V27</f>
        <v>2279</v>
      </c>
      <c r="V60" s="23">
        <f>'Annual Raw'!W27</f>
        <v>2531</v>
      </c>
      <c r="W60" s="23">
        <f>'Annual Raw'!X27</f>
        <v>2917</v>
      </c>
      <c r="X60" s="23">
        <f>'Annual Raw'!Y27</f>
        <v>3264</v>
      </c>
      <c r="Y60" s="23">
        <f>'Annual Raw'!Z27</f>
        <v>3468</v>
      </c>
      <c r="Z60" s="23">
        <f>'Annual Raw'!AA27</f>
        <v>3640</v>
      </c>
      <c r="AA60" s="23">
        <f>'Annual Raw'!AB27</f>
        <v>3790</v>
      </c>
      <c r="AB60" s="76">
        <f>+SUM(CM60:CP60)</f>
        <v>4858.6888937500007</v>
      </c>
      <c r="AC60" s="76">
        <f>+SUM(CQ60:CT60)</f>
        <v>5616.7104775467687</v>
      </c>
      <c r="AD60" s="76">
        <f>+SUM(CU60:CX60)</f>
        <v>6246.3327626203045</v>
      </c>
      <c r="AE60" s="76">
        <f>+SUM(CY60:DB60)</f>
        <v>5305.3012445468521</v>
      </c>
      <c r="AI60" s="23">
        <f>'QTR Raw'!C28</f>
        <v>173.38</v>
      </c>
      <c r="AJ60" s="23">
        <f>'QTR Raw'!D28</f>
        <v>174.57</v>
      </c>
      <c r="AK60" s="23">
        <f>'QTR Raw'!E28</f>
        <v>177.21</v>
      </c>
      <c r="AL60" s="23">
        <f>'QTR Raw'!F28</f>
        <v>121.88</v>
      </c>
      <c r="AM60" s="23">
        <f>'QTR Raw'!G28</f>
        <v>184.33</v>
      </c>
      <c r="AN60" s="23">
        <f>'QTR Raw'!H28</f>
        <v>186.47</v>
      </c>
      <c r="AO60" s="23">
        <f>'QTR Raw'!I28</f>
        <v>209.68</v>
      </c>
      <c r="AP60" s="23">
        <f>'QTR Raw'!J28</f>
        <v>204.11</v>
      </c>
      <c r="AQ60" s="23">
        <f>'QTR Raw'!K28</f>
        <v>202.29</v>
      </c>
      <c r="AR60" s="23">
        <f>'QTR Raw'!L28</f>
        <v>206.09</v>
      </c>
      <c r="AS60" s="23">
        <f>'QTR Raw'!M28</f>
        <v>209.01</v>
      </c>
      <c r="AT60" s="23">
        <f>'QTR Raw'!N28</f>
        <v>26.8</v>
      </c>
      <c r="AU60" s="23">
        <f>'QTR Raw'!O28</f>
        <v>172.92</v>
      </c>
      <c r="AV60" s="23">
        <f>'QTR Raw'!P28</f>
        <v>183.13</v>
      </c>
      <c r="AW60" s="23">
        <f>'QTR Raw'!Q28</f>
        <v>179.74</v>
      </c>
      <c r="AX60" s="23">
        <f>'QTR Raw'!R28</f>
        <v>201.11</v>
      </c>
      <c r="AY60" s="23">
        <f>'QTR Raw'!S28</f>
        <v>389</v>
      </c>
      <c r="AZ60" s="23">
        <f>'QTR Raw'!T28</f>
        <v>432</v>
      </c>
      <c r="BA60" s="23">
        <f>'QTR Raw'!U28</f>
        <v>458</v>
      </c>
      <c r="BB60" s="23">
        <f>'QTR Raw'!V28</f>
        <v>532</v>
      </c>
      <c r="BC60" s="23">
        <f>'QTR Raw'!W28</f>
        <v>326</v>
      </c>
      <c r="BD60" s="23">
        <f>'QTR Raw'!X28</f>
        <v>325</v>
      </c>
      <c r="BE60" s="23">
        <f>'QTR Raw'!Y28</f>
        <v>373</v>
      </c>
      <c r="BF60" s="23">
        <f>'QTR Raw'!Z28</f>
        <v>459</v>
      </c>
      <c r="BG60" s="23">
        <f>'QTR Raw'!AA28</f>
        <v>387</v>
      </c>
      <c r="BH60" s="23">
        <f>'QTR Raw'!AB28</f>
        <v>454</v>
      </c>
      <c r="BI60" s="23">
        <f>'QTR Raw'!AC28</f>
        <v>489</v>
      </c>
      <c r="BJ60" s="23">
        <f>'QTR Raw'!AD28</f>
        <v>553</v>
      </c>
      <c r="BK60" s="23">
        <f>'QTR Raw'!AE28</f>
        <v>534</v>
      </c>
      <c r="BL60" s="23">
        <f>'QTR Raw'!AF28</f>
        <v>595</v>
      </c>
      <c r="BM60" s="23">
        <f>'QTR Raw'!AG28</f>
        <v>597</v>
      </c>
      <c r="BN60" s="23">
        <f>'QTR Raw'!AH28</f>
        <v>553</v>
      </c>
      <c r="BO60" s="23">
        <f>'QTR Raw'!AI28</f>
        <v>544</v>
      </c>
      <c r="BP60" s="23">
        <f>'QTR Raw'!AJ28</f>
        <v>652</v>
      </c>
      <c r="BQ60" s="23">
        <f>'QTR Raw'!AK28</f>
        <v>639</v>
      </c>
      <c r="BR60" s="23">
        <f>'QTR Raw'!AL28</f>
        <v>696</v>
      </c>
      <c r="BS60" s="23">
        <f>'QTR Raw'!AM28</f>
        <v>658</v>
      </c>
      <c r="BT60" s="23">
        <f>'QTR Raw'!AN28</f>
        <v>702</v>
      </c>
      <c r="BU60" s="23">
        <f>'QTR Raw'!AO28</f>
        <v>741</v>
      </c>
      <c r="BV60" s="23">
        <f>'QTR Raw'!AP28</f>
        <v>816</v>
      </c>
      <c r="BW60" s="23">
        <f>'QTR Raw'!AQ28</f>
        <v>731</v>
      </c>
      <c r="BX60" s="23">
        <f>'QTR Raw'!AR28</f>
        <v>798</v>
      </c>
      <c r="BY60" s="23">
        <f>'QTR Raw'!AS28</f>
        <v>807</v>
      </c>
      <c r="BZ60" s="23">
        <f>'QTR Raw'!AT28</f>
        <v>928</v>
      </c>
      <c r="CA60" s="23">
        <f>'QTR Raw'!AU28</f>
        <v>801</v>
      </c>
      <c r="CB60" s="23">
        <f>'QTR Raw'!AV28</f>
        <v>825</v>
      </c>
      <c r="CC60" s="23">
        <f>'QTR Raw'!AW28</f>
        <v>905</v>
      </c>
      <c r="CD60" s="23">
        <f>'QTR Raw'!AX28</f>
        <v>937</v>
      </c>
      <c r="CE60" s="23">
        <f>'QTR Raw'!AY28</f>
        <v>844</v>
      </c>
      <c r="CF60" s="23">
        <f>'QTR Raw'!AZ28</f>
        <v>877</v>
      </c>
      <c r="CG60" s="23">
        <f>'QTR Raw'!BA28</f>
        <v>905</v>
      </c>
      <c r="CH60" s="23">
        <f>'QTR Raw'!BB28</f>
        <v>1014</v>
      </c>
      <c r="CI60" s="23">
        <f>'QTR Raw'!BC28</f>
        <v>913</v>
      </c>
      <c r="CJ60" s="23">
        <f>'QTR Raw'!BD28</f>
        <v>882</v>
      </c>
      <c r="CK60" s="23">
        <f>'QTR Raw'!BE28</f>
        <v>947</v>
      </c>
      <c r="CL60" s="23">
        <f>'QTR Raw'!BF28</f>
        <v>1048</v>
      </c>
      <c r="CM60" s="24">
        <f t="shared" ref="CM60:DB60" si="546">CM61*CL167</f>
        <v>996.85</v>
      </c>
      <c r="CN60" s="24">
        <f t="shared" si="546"/>
        <v>1147.0075000000002</v>
      </c>
      <c r="CO60" s="24">
        <f t="shared" si="546"/>
        <v>1289.6571250000002</v>
      </c>
      <c r="CP60" s="24">
        <f t="shared" si="546"/>
        <v>1425.1742687500002</v>
      </c>
      <c r="CQ60" s="24">
        <f t="shared" si="546"/>
        <v>1243.1324442500002</v>
      </c>
      <c r="CR60" s="24">
        <f t="shared" si="546"/>
        <v>1353.4071464800002</v>
      </c>
      <c r="CS60" s="24">
        <f t="shared" si="546"/>
        <v>1459.2708606208002</v>
      </c>
      <c r="CT60" s="24">
        <f t="shared" si="546"/>
        <v>1560.9000261959682</v>
      </c>
      <c r="CU60" s="24">
        <f t="shared" si="546"/>
        <v>1658.4640251481294</v>
      </c>
      <c r="CV60" s="24">
        <f t="shared" si="546"/>
        <v>1592.1254641422042</v>
      </c>
      <c r="CW60" s="24">
        <f t="shared" si="546"/>
        <v>1528.4404455765159</v>
      </c>
      <c r="CX60" s="24">
        <f t="shared" si="546"/>
        <v>1467.3028277534552</v>
      </c>
      <c r="CY60" s="24">
        <f t="shared" si="546"/>
        <v>1408.6107146433171</v>
      </c>
      <c r="CZ60" s="24">
        <f t="shared" si="546"/>
        <v>1352.2662860575842</v>
      </c>
      <c r="DA60" s="24">
        <f t="shared" si="546"/>
        <v>1298.1756346152808</v>
      </c>
      <c r="DB60" s="24">
        <f t="shared" si="546"/>
        <v>1246.2486092306694</v>
      </c>
      <c r="DE60" s="123"/>
      <c r="DF60" s="23">
        <v>900.14232718532833</v>
      </c>
    </row>
    <row r="61" spans="1:110" s="46" customFormat="1" x14ac:dyDescent="0.2">
      <c r="A61" s="46" t="s">
        <v>483</v>
      </c>
      <c r="B61" s="46">
        <f t="shared" ref="B61:AE61" si="547">+B60/B167</f>
        <v>9.3669780075739298E-2</v>
      </c>
      <c r="C61" s="46">
        <f t="shared" si="547"/>
        <v>9.7217212246894835E-2</v>
      </c>
      <c r="D61" s="46">
        <f t="shared" si="547"/>
        <v>0.10799389545974822</v>
      </c>
      <c r="E61" s="46">
        <f t="shared" si="547"/>
        <v>0.11211678056615389</v>
      </c>
      <c r="F61" s="46">
        <f t="shared" si="547"/>
        <v>6.2231605037899526E-2</v>
      </c>
      <c r="G61" s="46">
        <f t="shared" si="547"/>
        <v>7.4326721496532827E-2</v>
      </c>
      <c r="H61" s="46">
        <f t="shared" si="547"/>
        <v>6.9815709429236011E-2</v>
      </c>
      <c r="I61" s="46">
        <f t="shared" si="547"/>
        <v>5.9643077389131119E-2</v>
      </c>
      <c r="J61" s="46">
        <f t="shared" si="547"/>
        <v>6.9494655194254698E-2</v>
      </c>
      <c r="K61" s="46">
        <f t="shared" si="547"/>
        <v>5.4225360109927012E-2</v>
      </c>
      <c r="L61" s="46">
        <f t="shared" si="547"/>
        <v>6.5443377018310753E-2</v>
      </c>
      <c r="M61" s="46">
        <f t="shared" si="547"/>
        <v>7.1735335646706963E-2</v>
      </c>
      <c r="N61" s="46">
        <f t="shared" si="547"/>
        <v>7.6268249616324876E-2</v>
      </c>
      <c r="O61" s="46">
        <f t="shared" si="547"/>
        <v>8.5773319850228208E-2</v>
      </c>
      <c r="P61" s="46">
        <f t="shared" si="547"/>
        <v>6.8195893150345591E-2</v>
      </c>
      <c r="Q61" s="46">
        <f t="shared" si="547"/>
        <v>7.1738083774675013E-2</v>
      </c>
      <c r="R61" s="46">
        <f t="shared" si="547"/>
        <v>0.18122685880116082</v>
      </c>
      <c r="S61" s="46">
        <f t="shared" si="547"/>
        <v>0.13121571403291452</v>
      </c>
      <c r="T61" s="46">
        <f t="shared" si="547"/>
        <v>0.12741913655433754</v>
      </c>
      <c r="U61" s="46">
        <f t="shared" si="547"/>
        <v>0.13838120104438642</v>
      </c>
      <c r="V61" s="46">
        <f t="shared" si="547"/>
        <v>0.15058305568776773</v>
      </c>
      <c r="W61" s="46">
        <f t="shared" si="547"/>
        <v>0.16768222579903427</v>
      </c>
      <c r="X61" s="46">
        <f t="shared" si="547"/>
        <v>0.18583466180824412</v>
      </c>
      <c r="Y61" s="46">
        <f t="shared" si="547"/>
        <v>0.19221815763219155</v>
      </c>
      <c r="Z61" s="46">
        <f t="shared" si="547"/>
        <v>0.19630049075122688</v>
      </c>
      <c r="AA61" s="46">
        <f t="shared" ref="AA61" si="548">+AA60/AA167</f>
        <v>0.19055759465030922</v>
      </c>
      <c r="AB61" s="110">
        <f t="shared" si="547"/>
        <v>0.15633696686860485</v>
      </c>
      <c r="AC61" s="110">
        <f t="shared" si="547"/>
        <v>0.13546776758199744</v>
      </c>
      <c r="AD61" s="110">
        <f t="shared" si="547"/>
        <v>0.1773756992669753</v>
      </c>
      <c r="AE61" s="110">
        <f t="shared" si="547"/>
        <v>0.17737569926697538</v>
      </c>
      <c r="AI61" s="46" t="e">
        <f t="shared" ref="AI61:BN61" si="549">+AI60/AH167</f>
        <v>#DIV/0!</v>
      </c>
      <c r="AJ61" s="46" t="e">
        <f t="shared" si="549"/>
        <v>#DIV/0!</v>
      </c>
      <c r="AK61" s="46">
        <f t="shared" si="549"/>
        <v>1.9369986304050089E-2</v>
      </c>
      <c r="AL61" s="46">
        <f t="shared" si="549"/>
        <v>1.3322125899992238E-2</v>
      </c>
      <c r="AM61" s="46">
        <f t="shared" si="549"/>
        <v>1.9270112977871727E-2</v>
      </c>
      <c r="AN61" s="46">
        <f t="shared" si="549"/>
        <v>1.9493831535744265E-2</v>
      </c>
      <c r="AO61" s="46">
        <f t="shared" si="549"/>
        <v>2.1035946105922129E-2</v>
      </c>
      <c r="AP61" s="46">
        <f t="shared" si="549"/>
        <v>2.0477141165966072E-2</v>
      </c>
      <c r="AQ61" s="46">
        <f t="shared" si="549"/>
        <v>1.8926497377011447E-2</v>
      </c>
      <c r="AR61" s="46">
        <f t="shared" si="549"/>
        <v>1.9282029978883234E-2</v>
      </c>
      <c r="AS61" s="46">
        <f t="shared" si="549"/>
        <v>1.9063593652947918E-2</v>
      </c>
      <c r="AT61" s="46">
        <f t="shared" si="549"/>
        <v>2.4444012721831698E-3</v>
      </c>
      <c r="AU61" s="46">
        <f t="shared" si="549"/>
        <v>1.5101022803487593E-2</v>
      </c>
      <c r="AV61" s="46">
        <f t="shared" si="549"/>
        <v>1.5992657332886205E-2</v>
      </c>
      <c r="AW61" s="46">
        <f t="shared" si="549"/>
        <v>1.508821324629951E-2</v>
      </c>
      <c r="AX61" s="46">
        <f t="shared" si="549"/>
        <v>1.6882110637383412E-2</v>
      </c>
      <c r="AY61" s="46">
        <f t="shared" si="549"/>
        <v>3.745693415475395E-2</v>
      </c>
      <c r="AZ61" s="46">
        <f t="shared" si="549"/>
        <v>4.15974178788013E-2</v>
      </c>
      <c r="BA61" s="46">
        <f t="shared" si="549"/>
        <v>4.455434949676932E-2</v>
      </c>
      <c r="BB61" s="46">
        <f t="shared" si="549"/>
        <v>5.1753087188387073E-2</v>
      </c>
      <c r="BC61" s="46">
        <f t="shared" si="549"/>
        <v>3.2622835985189634E-2</v>
      </c>
      <c r="BD61" s="46">
        <f t="shared" si="549"/>
        <v>3.2522765936155308E-2</v>
      </c>
      <c r="BE61" s="46">
        <f t="shared" si="549"/>
        <v>3.7532702757093986E-2</v>
      </c>
      <c r="BF61" s="46">
        <f t="shared" si="549"/>
        <v>4.618635540350171E-2</v>
      </c>
      <c r="BG61" s="46">
        <f t="shared" si="549"/>
        <v>3.4241727127941955E-2</v>
      </c>
      <c r="BH61" s="46">
        <f t="shared" si="549"/>
        <v>4.0169881436913822E-2</v>
      </c>
      <c r="BI61" s="46">
        <f t="shared" si="549"/>
        <v>4.1809165526675789E-2</v>
      </c>
      <c r="BJ61" s="46">
        <f t="shared" si="549"/>
        <v>4.7281121751025994E-2</v>
      </c>
      <c r="BK61" s="46">
        <f t="shared" si="549"/>
        <v>3.6134794965489242E-2</v>
      </c>
      <c r="BL61" s="46">
        <f t="shared" si="549"/>
        <v>4.0262552442820405E-2</v>
      </c>
      <c r="BM61" s="46">
        <f t="shared" si="549"/>
        <v>3.9917090131051082E-2</v>
      </c>
      <c r="BN61" s="46">
        <f t="shared" si="549"/>
        <v>3.6975127039315325E-2</v>
      </c>
      <c r="BO61" s="46">
        <f t="shared" ref="BO61:CL61" si="550">+BO60/BN167</f>
        <v>3.3031756633675392E-2</v>
      </c>
      <c r="BP61" s="46">
        <f t="shared" si="550"/>
        <v>3.9589531847713889E-2</v>
      </c>
      <c r="BQ61" s="46">
        <f t="shared" si="550"/>
        <v>3.9238563094872579E-2</v>
      </c>
      <c r="BR61" s="46">
        <f t="shared" si="550"/>
        <v>4.2738716610377647E-2</v>
      </c>
      <c r="BS61" s="46">
        <f t="shared" si="550"/>
        <v>3.9148024750118991E-2</v>
      </c>
      <c r="BT61" s="46">
        <f t="shared" si="550"/>
        <v>4.1765825797239413E-2</v>
      </c>
      <c r="BU61" s="46">
        <f t="shared" si="550"/>
        <v>4.4196588333532148E-2</v>
      </c>
      <c r="BV61" s="46">
        <f t="shared" si="550"/>
        <v>4.8669927233687224E-2</v>
      </c>
      <c r="BW61" s="46">
        <f t="shared" si="550"/>
        <v>4.2021154288342147E-2</v>
      </c>
      <c r="BX61" s="46">
        <f t="shared" si="550"/>
        <v>4.5872614394113588E-2</v>
      </c>
      <c r="BY61" s="46">
        <f t="shared" si="550"/>
        <v>4.6582775340567997E-2</v>
      </c>
      <c r="BZ61" s="46">
        <f t="shared" si="550"/>
        <v>5.3567305472177328E-2</v>
      </c>
      <c r="CA61" s="46">
        <f t="shared" si="550"/>
        <v>4.5454545454545456E-2</v>
      </c>
      <c r="CB61" s="46">
        <f t="shared" si="550"/>
        <v>4.6816479400749067E-2</v>
      </c>
      <c r="CC61" s="46">
        <f t="shared" si="550"/>
        <v>4.8784432106085927E-2</v>
      </c>
      <c r="CD61" s="46">
        <f t="shared" si="550"/>
        <v>5.050940650099725E-2</v>
      </c>
      <c r="CE61" s="46">
        <f t="shared" si="550"/>
        <v>4.6498815492259378E-2</v>
      </c>
      <c r="CF61" s="46">
        <f t="shared" si="550"/>
        <v>4.831689714065341E-2</v>
      </c>
      <c r="CG61" s="46">
        <f t="shared" si="550"/>
        <v>5.0891300680425126E-2</v>
      </c>
      <c r="CH61" s="46">
        <f t="shared" si="550"/>
        <v>5.7020750154642072E-2</v>
      </c>
      <c r="CI61" s="46">
        <f t="shared" si="550"/>
        <v>4.9236908806557733E-2</v>
      </c>
      <c r="CJ61" s="46">
        <f t="shared" si="550"/>
        <v>5.0028360748723764E-2</v>
      </c>
      <c r="CK61" s="46">
        <f t="shared" si="550"/>
        <v>4.9480119128481111E-2</v>
      </c>
      <c r="CL61" s="46">
        <f t="shared" si="550"/>
        <v>5.760773966578716E-2</v>
      </c>
      <c r="CM61" s="47">
        <v>0.05</v>
      </c>
      <c r="CN61" s="47">
        <f t="shared" ref="CN61" si="551">CM61</f>
        <v>0.05</v>
      </c>
      <c r="CO61" s="47">
        <f t="shared" ref="CO61" si="552">CN61</f>
        <v>0.05</v>
      </c>
      <c r="CP61" s="47">
        <f t="shared" ref="CP61" si="553">CO61</f>
        <v>0.05</v>
      </c>
      <c r="CQ61" s="47">
        <v>0.04</v>
      </c>
      <c r="CR61" s="47">
        <f>+CQ61</f>
        <v>0.04</v>
      </c>
      <c r="CS61" s="47">
        <f t="shared" ref="CS61:CT61" si="554">+CR61</f>
        <v>0.04</v>
      </c>
      <c r="CT61" s="47">
        <f t="shared" si="554"/>
        <v>0.04</v>
      </c>
      <c r="CU61" s="47">
        <f t="shared" ref="CU61" si="555">CT61</f>
        <v>0.04</v>
      </c>
      <c r="CV61" s="47">
        <f t="shared" ref="CV61" si="556">CU61</f>
        <v>0.04</v>
      </c>
      <c r="CW61" s="47">
        <f t="shared" ref="CW61" si="557">CV61</f>
        <v>0.04</v>
      </c>
      <c r="CX61" s="47">
        <f t="shared" ref="CX61" si="558">CW61</f>
        <v>0.04</v>
      </c>
      <c r="CY61" s="47">
        <f t="shared" ref="CY61" si="559">CX61</f>
        <v>0.04</v>
      </c>
      <c r="CZ61" s="47">
        <f t="shared" ref="CZ61" si="560">CY61</f>
        <v>0.04</v>
      </c>
      <c r="DA61" s="47">
        <f t="shared" ref="DA61" si="561">CZ61</f>
        <v>0.04</v>
      </c>
      <c r="DB61" s="47">
        <f t="shared" ref="DB61" si="562">DA61</f>
        <v>0.04</v>
      </c>
      <c r="DE61" s="130"/>
      <c r="DF61" s="46">
        <v>4.9480119128481111E-2</v>
      </c>
    </row>
    <row r="62" spans="1:110" s="26" customFormat="1" x14ac:dyDescent="0.2">
      <c r="A62" s="34" t="s">
        <v>16</v>
      </c>
      <c r="B62" s="26">
        <f>B56-B60</f>
        <v>205.62599999999998</v>
      </c>
      <c r="C62" s="26">
        <f t="shared" ref="C62:T62" si="563">C56-C60</f>
        <v>78.309999999999903</v>
      </c>
      <c r="D62" s="26">
        <f>D56-D60</f>
        <v>153.69899999999998</v>
      </c>
      <c r="E62" s="26">
        <f t="shared" si="563"/>
        <v>701.97699999999986</v>
      </c>
      <c r="F62" s="26">
        <f t="shared" si="563"/>
        <v>793.63</v>
      </c>
      <c r="G62" s="26">
        <f t="shared" si="563"/>
        <v>2161.16</v>
      </c>
      <c r="H62" s="26">
        <f t="shared" si="563"/>
        <v>6250.8300000000017</v>
      </c>
      <c r="I62" s="26">
        <f t="shared" si="563"/>
        <v>5157.8799999999992</v>
      </c>
      <c r="J62" s="26">
        <f t="shared" si="563"/>
        <v>2448.8900000000003</v>
      </c>
      <c r="K62" s="26">
        <f t="shared" si="563"/>
        <v>4335.8300000000008</v>
      </c>
      <c r="L62" s="26">
        <f t="shared" si="563"/>
        <v>5132.97</v>
      </c>
      <c r="M62" s="26">
        <f t="shared" si="563"/>
        <v>5458.7899999999981</v>
      </c>
      <c r="N62" s="26">
        <f t="shared" si="563"/>
        <v>5861.3200000000006</v>
      </c>
      <c r="O62" s="26">
        <f t="shared" si="563"/>
        <v>5944.2299999999987</v>
      </c>
      <c r="P62" s="26">
        <f t="shared" si="563"/>
        <v>6483.4500000000007</v>
      </c>
      <c r="Q62" s="26">
        <f t="shared" si="563"/>
        <v>5907</v>
      </c>
      <c r="R62" s="26">
        <f t="shared" si="563"/>
        <v>7928</v>
      </c>
      <c r="S62" s="26">
        <f t="shared" si="563"/>
        <v>10787</v>
      </c>
      <c r="T62" s="26">
        <f t="shared" si="563"/>
        <v>8787</v>
      </c>
      <c r="U62" s="26">
        <f t="shared" ref="U62:Z62" si="564">U56-U60</f>
        <v>6568</v>
      </c>
      <c r="V62" s="26">
        <f t="shared" si="564"/>
        <v>9141</v>
      </c>
      <c r="W62" s="26">
        <f t="shared" si="564"/>
        <v>13308</v>
      </c>
      <c r="X62" s="26">
        <f t="shared" si="564"/>
        <v>14242</v>
      </c>
      <c r="Y62" s="26">
        <f t="shared" si="564"/>
        <v>10188</v>
      </c>
      <c r="Z62" s="26">
        <f t="shared" si="564"/>
        <v>13748</v>
      </c>
      <c r="AA62" s="26">
        <f t="shared" ref="AA62" si="565">AA56-AA60</f>
        <v>18274</v>
      </c>
      <c r="AB62" s="27">
        <f t="shared" ref="AA62:AD62" si="566">AB56-AB60</f>
        <v>23449.072094368432</v>
      </c>
      <c r="AC62" s="27">
        <f t="shared" si="566"/>
        <v>23654.730277788447</v>
      </c>
      <c r="AD62" s="27">
        <f t="shared" si="566"/>
        <v>22882.55899495897</v>
      </c>
      <c r="AE62" s="27">
        <f t="shared" ref="AE62" si="567">AE56-AE60</f>
        <v>23406.059854988889</v>
      </c>
      <c r="AI62" s="26">
        <f t="shared" ref="AI62" si="568">AI56-AI60</f>
        <v>1245.6800000000003</v>
      </c>
      <c r="AJ62" s="26">
        <f t="shared" ref="AJ62" si="569">AJ56-AJ60</f>
        <v>1294.8600000000001</v>
      </c>
      <c r="AK62" s="26">
        <f t="shared" ref="AK62:AM62" si="570">AK56-AK60</f>
        <v>1321.22</v>
      </c>
      <c r="AL62" s="26">
        <f t="shared" si="570"/>
        <v>1994.0900000000001</v>
      </c>
      <c r="AM62" s="26">
        <f t="shared" si="570"/>
        <v>1314.44</v>
      </c>
      <c r="AN62" s="26">
        <f t="shared" ref="AN62:AO62" si="571">AN56-AN60</f>
        <v>1696.9299999999996</v>
      </c>
      <c r="AO62" s="26">
        <f t="shared" si="571"/>
        <v>1614.07</v>
      </c>
      <c r="AP62" s="26">
        <f t="shared" ref="AP62:CD62" si="572">AP56-AP60</f>
        <v>1551.1100000000001</v>
      </c>
      <c r="AQ62" s="26">
        <f t="shared" si="572"/>
        <v>1150.1200000000003</v>
      </c>
      <c r="AR62" s="26">
        <f t="shared" si="572"/>
        <v>1793.4599999999996</v>
      </c>
      <c r="AS62" s="26">
        <f t="shared" si="572"/>
        <v>1880.1899999999998</v>
      </c>
      <c r="AT62" s="26">
        <f t="shared" si="572"/>
        <v>1978.68</v>
      </c>
      <c r="AU62" s="26">
        <f t="shared" si="572"/>
        <v>1494.4099999999999</v>
      </c>
      <c r="AV62" s="26">
        <f t="shared" si="572"/>
        <v>2010.5900000000001</v>
      </c>
      <c r="AW62" s="26">
        <f t="shared" si="572"/>
        <v>1298.3299999999997</v>
      </c>
      <c r="AX62" s="26">
        <f t="shared" si="572"/>
        <v>1112.6999999999998</v>
      </c>
      <c r="AY62" s="26">
        <f t="shared" si="572"/>
        <v>742</v>
      </c>
      <c r="AZ62" s="26">
        <f t="shared" si="572"/>
        <v>1645</v>
      </c>
      <c r="BA62" s="26">
        <f t="shared" si="572"/>
        <v>2330</v>
      </c>
      <c r="BB62" s="26">
        <f t="shared" si="572"/>
        <v>3211</v>
      </c>
      <c r="BC62" s="26">
        <f t="shared" si="572"/>
        <v>2058</v>
      </c>
      <c r="BD62" s="26">
        <f t="shared" si="572"/>
        <v>2699</v>
      </c>
      <c r="BE62" s="26">
        <f t="shared" si="572"/>
        <v>2871</v>
      </c>
      <c r="BF62" s="26">
        <f t="shared" si="572"/>
        <v>3161</v>
      </c>
      <c r="BG62" s="26">
        <f t="shared" si="572"/>
        <v>2326</v>
      </c>
      <c r="BH62" s="26">
        <f t="shared" si="572"/>
        <v>1876</v>
      </c>
      <c r="BI62" s="26">
        <f t="shared" si="572"/>
        <v>2349</v>
      </c>
      <c r="BJ62" s="26">
        <f t="shared" si="572"/>
        <v>2236</v>
      </c>
      <c r="BK62" s="26">
        <f t="shared" si="572"/>
        <v>1943</v>
      </c>
      <c r="BL62" s="26">
        <f t="shared" si="572"/>
        <v>1522</v>
      </c>
      <c r="BM62" s="26">
        <f t="shared" si="572"/>
        <v>1692</v>
      </c>
      <c r="BN62" s="26">
        <f t="shared" si="572"/>
        <v>1411</v>
      </c>
      <c r="BO62" s="26">
        <f t="shared" si="572"/>
        <v>1032</v>
      </c>
      <c r="BP62" s="26">
        <f t="shared" si="572"/>
        <v>2300</v>
      </c>
      <c r="BQ62" s="26">
        <f t="shared" si="572"/>
        <v>2630</v>
      </c>
      <c r="BR62" s="26">
        <f t="shared" si="572"/>
        <v>3179</v>
      </c>
      <c r="BS62" s="26">
        <f t="shared" si="572"/>
        <v>2900</v>
      </c>
      <c r="BT62" s="26">
        <f t="shared" si="572"/>
        <v>2633</v>
      </c>
      <c r="BU62" s="26">
        <f t="shared" si="572"/>
        <v>3629</v>
      </c>
      <c r="BV62" s="26">
        <f t="shared" si="572"/>
        <v>4146</v>
      </c>
      <c r="BW62" s="26">
        <f t="shared" si="572"/>
        <v>4406</v>
      </c>
      <c r="BX62" s="26">
        <f t="shared" si="572"/>
        <v>3609</v>
      </c>
      <c r="BY62" s="26">
        <f t="shared" si="572"/>
        <v>2900</v>
      </c>
      <c r="BZ62" s="26">
        <f t="shared" si="572"/>
        <v>3327</v>
      </c>
      <c r="CA62" s="26">
        <f t="shared" si="572"/>
        <v>2546</v>
      </c>
      <c r="CB62" s="26">
        <f t="shared" si="572"/>
        <v>2314</v>
      </c>
      <c r="CC62" s="26">
        <f t="shared" si="572"/>
        <v>2616</v>
      </c>
      <c r="CD62" s="26">
        <f t="shared" si="572"/>
        <v>2712</v>
      </c>
      <c r="CE62" s="26">
        <f t="shared" ref="CE62:CF62" si="573">CE56-CE60</f>
        <v>3102</v>
      </c>
      <c r="CF62" s="26">
        <f t="shared" si="573"/>
        <v>3246</v>
      </c>
      <c r="CG62" s="26">
        <f t="shared" ref="CG62:CH62" si="574">CG56-CG60</f>
        <v>3594</v>
      </c>
      <c r="CH62" s="26">
        <f t="shared" si="574"/>
        <v>3806</v>
      </c>
      <c r="CI62" s="26">
        <f t="shared" ref="CI62:CJ62" si="575">CI56-CI60</f>
        <v>2946</v>
      </c>
      <c r="CJ62" s="26">
        <f t="shared" si="575"/>
        <v>3563</v>
      </c>
      <c r="CK62" s="26">
        <f t="shared" ref="CK62:CL62" si="576">CK56-CK60</f>
        <v>5107</v>
      </c>
      <c r="CL62" s="26">
        <f t="shared" si="576"/>
        <v>6658</v>
      </c>
      <c r="CM62" s="27">
        <f t="shared" ref="CM62:DB62" si="577">CM56-CM60</f>
        <v>5461.401568660649</v>
      </c>
      <c r="CN62" s="27">
        <f t="shared" si="577"/>
        <v>5747.8869104731621</v>
      </c>
      <c r="CO62" s="27">
        <f t="shared" si="577"/>
        <v>6105.259314967343</v>
      </c>
      <c r="CP62" s="27">
        <f t="shared" si="577"/>
        <v>6134.5243002672723</v>
      </c>
      <c r="CQ62" s="27">
        <f t="shared" si="577"/>
        <v>5410.535927647722</v>
      </c>
      <c r="CR62" s="27">
        <f t="shared" si="577"/>
        <v>5703.079950080436</v>
      </c>
      <c r="CS62" s="27">
        <f t="shared" si="577"/>
        <v>6168.7431252106999</v>
      </c>
      <c r="CT62" s="27">
        <f t="shared" si="577"/>
        <v>6372.3712748495873</v>
      </c>
      <c r="CU62" s="27">
        <f t="shared" si="577"/>
        <v>5111.8082600773942</v>
      </c>
      <c r="CV62" s="27">
        <f t="shared" si="577"/>
        <v>5481.904018751462</v>
      </c>
      <c r="CW62" s="27">
        <f t="shared" si="577"/>
        <v>6018.5098592626746</v>
      </c>
      <c r="CX62" s="27">
        <f t="shared" si="577"/>
        <v>6270.3368568674368</v>
      </c>
      <c r="CY62" s="27">
        <f t="shared" si="577"/>
        <v>5293.8012745482247</v>
      </c>
      <c r="CZ62" s="27">
        <f t="shared" si="577"/>
        <v>5624.2809865429335</v>
      </c>
      <c r="DA62" s="27">
        <f t="shared" si="577"/>
        <v>6126.896084510071</v>
      </c>
      <c r="DB62" s="27">
        <f t="shared" si="577"/>
        <v>6361.0815093876699</v>
      </c>
      <c r="DE62" s="121"/>
      <c r="DF62" s="26">
        <v>5950.3237764839032</v>
      </c>
    </row>
    <row r="63" spans="1:110" s="23" customFormat="1" x14ac:dyDescent="0.2">
      <c r="A63" s="23" t="s">
        <v>17</v>
      </c>
      <c r="B63" s="23">
        <f>'Annual Raw'!C23</f>
        <v>79.065600000000003</v>
      </c>
      <c r="C63" s="23">
        <f>'Annual Raw'!D23</f>
        <v>43.222999999999999</v>
      </c>
      <c r="D63" s="23">
        <f>'Annual Raw'!E23</f>
        <v>75.962999999999994</v>
      </c>
      <c r="E63" s="23">
        <f>'Annual Raw'!F23</f>
        <v>94.388000000000005</v>
      </c>
      <c r="F63" s="23">
        <f>'Annual Raw'!G23</f>
        <v>135.09</v>
      </c>
      <c r="G63" s="23">
        <f>'Annual Raw'!H23</f>
        <v>115.81</v>
      </c>
      <c r="H63" s="23">
        <f>'Annual Raw'!I23</f>
        <v>231.27</v>
      </c>
      <c r="I63" s="23">
        <f>'Annual Raw'!J23</f>
        <v>851.63</v>
      </c>
      <c r="J63" s="23">
        <f>'Annual Raw'!K23</f>
        <v>931.23</v>
      </c>
      <c r="K63" s="23">
        <f>'Annual Raw'!L23</f>
        <v>722.2</v>
      </c>
      <c r="L63" s="23">
        <f>'Annual Raw'!M23</f>
        <v>866.02</v>
      </c>
      <c r="M63" s="23">
        <f>'Annual Raw'!N23</f>
        <v>1542.83</v>
      </c>
      <c r="N63" s="23">
        <f>'Annual Raw'!O23</f>
        <v>2003.19</v>
      </c>
      <c r="O63" s="23">
        <f>'Annual Raw'!P23</f>
        <v>2070.42</v>
      </c>
      <c r="P63" s="23">
        <f>'Annual Raw'!Q23</f>
        <v>3140.05</v>
      </c>
      <c r="Q63" s="23">
        <f>'Annual Raw'!R23</f>
        <v>2763</v>
      </c>
      <c r="R63" s="23">
        <f>'Annual Raw'!S23</f>
        <v>2474</v>
      </c>
      <c r="S63" s="23">
        <f>'Annual Raw'!T23</f>
        <v>1716</v>
      </c>
      <c r="T63" s="23">
        <f>'Annual Raw'!U23</f>
        <v>1782</v>
      </c>
      <c r="U63" s="23">
        <f>'Annual Raw'!V23</f>
        <v>1934</v>
      </c>
      <c r="V63" s="23">
        <f>'Annual Raw'!W23</f>
        <v>1819</v>
      </c>
      <c r="W63" s="23">
        <f>'Annual Raw'!X23</f>
        <v>1216</v>
      </c>
      <c r="X63" s="23">
        <f>'Annual Raw'!Y23</f>
        <v>1379</v>
      </c>
      <c r="Y63" s="23">
        <f>'Annual Raw'!Z23</f>
        <v>1074</v>
      </c>
      <c r="Z63" s="23">
        <f>'Annual Raw'!AA23</f>
        <v>983</v>
      </c>
      <c r="AA63" s="23">
        <f>'Annual Raw'!AB23</f>
        <v>1090</v>
      </c>
      <c r="AB63" s="76">
        <f t="shared" ref="AB63:AB64" si="578">+SUM(CM63:CP63)</f>
        <v>0</v>
      </c>
      <c r="AC63" s="76">
        <f t="shared" ref="AC63:AC64" si="579">+SUM(CQ63:CT63)</f>
        <v>0</v>
      </c>
      <c r="AD63" s="76">
        <f t="shared" ref="AD63:AD64" si="580">+SUM(CU63:CX63)</f>
        <v>0</v>
      </c>
      <c r="AE63" s="76">
        <f t="shared" ref="AE63:AE64" si="581">+SUM(CY63:DB63)</f>
        <v>0</v>
      </c>
      <c r="AI63" s="23">
        <f>'QTR Raw'!C23</f>
        <v>583.79999999999995</v>
      </c>
      <c r="AJ63" s="23">
        <f>'QTR Raw'!D23</f>
        <v>521.34</v>
      </c>
      <c r="AK63" s="23">
        <f>'QTR Raw'!E23</f>
        <v>501.45</v>
      </c>
      <c r="AL63" s="23">
        <f>'QTR Raw'!F23</f>
        <v>411.82</v>
      </c>
      <c r="AM63" s="23">
        <f>'QTR Raw'!G23</f>
        <v>620.28</v>
      </c>
      <c r="AN63" s="23">
        <f>'QTR Raw'!H23</f>
        <v>266.88</v>
      </c>
      <c r="AO63" s="23">
        <f>'QTR Raw'!I23</f>
        <v>423.95</v>
      </c>
      <c r="AP63" s="23">
        <f>'QTR Raw'!J23</f>
        <v>588.66</v>
      </c>
      <c r="AQ63" s="23">
        <f>'QTR Raw'!K23</f>
        <v>717.37</v>
      </c>
      <c r="AR63" s="23">
        <f>'QTR Raw'!L23</f>
        <v>696.65</v>
      </c>
      <c r="AS63" s="23">
        <f>'QTR Raw'!M23</f>
        <v>812.15</v>
      </c>
      <c r="AT63" s="23">
        <f>'QTR Raw'!N23</f>
        <v>594.88</v>
      </c>
      <c r="AU63" s="23">
        <f>'QTR Raw'!O23</f>
        <v>583.05999999999995</v>
      </c>
      <c r="AV63" s="23">
        <f>'QTR Raw'!P23</f>
        <v>835.38</v>
      </c>
      <c r="AW63" s="23">
        <f>'QTR Raw'!Q23</f>
        <v>591.96</v>
      </c>
      <c r="AX63" s="23">
        <f>'QTR Raw'!R23</f>
        <v>744.01</v>
      </c>
      <c r="AY63" s="23">
        <f>'QTR Raw'!S23</f>
        <v>634</v>
      </c>
      <c r="AZ63" s="23">
        <f>'QTR Raw'!T23</f>
        <v>770</v>
      </c>
      <c r="BA63" s="23">
        <f>'QTR Raw'!U23</f>
        <v>584</v>
      </c>
      <c r="BB63" s="23">
        <f>'QTR Raw'!V23</f>
        <v>486</v>
      </c>
      <c r="BC63" s="23">
        <f>'QTR Raw'!W23</f>
        <v>514</v>
      </c>
      <c r="BD63" s="23">
        <f>'QTR Raw'!X23</f>
        <v>470</v>
      </c>
      <c r="BE63" s="23">
        <f>'QTR Raw'!Y23</f>
        <v>281</v>
      </c>
      <c r="BF63" s="23">
        <f>'QTR Raw'!Z23</f>
        <v>449</v>
      </c>
      <c r="BG63" s="23">
        <f>'QTR Raw'!AA23</f>
        <v>295</v>
      </c>
      <c r="BH63" s="23">
        <f>'QTR Raw'!AB23</f>
        <v>398</v>
      </c>
      <c r="BI63" s="23">
        <f>'QTR Raw'!AC23</f>
        <v>550</v>
      </c>
      <c r="BJ63" s="23">
        <f>'QTR Raw'!AD23</f>
        <v>539</v>
      </c>
      <c r="BK63" s="23">
        <f>'QTR Raw'!AE23</f>
        <v>429</v>
      </c>
      <c r="BL63" s="23">
        <f>'QTR Raw'!AF23</f>
        <v>590</v>
      </c>
      <c r="BM63" s="23">
        <f>'QTR Raw'!AG23</f>
        <v>445</v>
      </c>
      <c r="BN63" s="23">
        <f>'QTR Raw'!AH23</f>
        <v>470</v>
      </c>
      <c r="BO63" s="23">
        <f>'QTR Raw'!AI23</f>
        <v>684</v>
      </c>
      <c r="BP63" s="23">
        <f>'QTR Raw'!AJ23</f>
        <v>390</v>
      </c>
      <c r="BQ63" s="23">
        <f>'QTR Raw'!AK23</f>
        <v>450</v>
      </c>
      <c r="BR63" s="23">
        <f>'QTR Raw'!AL23</f>
        <v>295</v>
      </c>
      <c r="BS63" s="23">
        <f>'QTR Raw'!AM23</f>
        <v>349</v>
      </c>
      <c r="BT63" s="23">
        <f>'QTR Raw'!AN23</f>
        <v>311</v>
      </c>
      <c r="BU63" s="23">
        <f>'QTR Raw'!AO23</f>
        <v>279</v>
      </c>
      <c r="BV63" s="23">
        <f>'QTR Raw'!AP23</f>
        <v>277</v>
      </c>
      <c r="BW63" s="23">
        <f>'QTR Raw'!AQ23</f>
        <v>310</v>
      </c>
      <c r="BX63" s="23">
        <f>'QTR Raw'!AR23</f>
        <v>367</v>
      </c>
      <c r="BY63" s="23">
        <f>'QTR Raw'!AS23</f>
        <v>348</v>
      </c>
      <c r="BZ63" s="23">
        <f>'QTR Raw'!AT23</f>
        <v>354</v>
      </c>
      <c r="CA63" s="23">
        <f>'QTR Raw'!AU23</f>
        <v>282</v>
      </c>
      <c r="CB63" s="23">
        <f>'QTR Raw'!AV23</f>
        <v>223</v>
      </c>
      <c r="CC63" s="23">
        <f>'QTR Raw'!AW23</f>
        <v>296</v>
      </c>
      <c r="CD63" s="23">
        <f>'QTR Raw'!AX23</f>
        <v>273</v>
      </c>
      <c r="CE63" s="23">
        <f>'QTR Raw'!AY23</f>
        <v>268</v>
      </c>
      <c r="CF63" s="23">
        <f>'QTR Raw'!AZ23</f>
        <v>270</v>
      </c>
      <c r="CG63" s="23">
        <f>'QTR Raw'!BA23</f>
        <v>218</v>
      </c>
      <c r="CH63" s="23">
        <f>'QTR Raw'!BB23</f>
        <v>227</v>
      </c>
      <c r="CI63" s="23">
        <f>'QTR Raw'!BC23</f>
        <v>279</v>
      </c>
      <c r="CJ63" s="23">
        <f>'QTR Raw'!BD23</f>
        <v>238</v>
      </c>
      <c r="CK63" s="23">
        <f>'QTR Raw'!BE23</f>
        <v>293</v>
      </c>
      <c r="CL63" s="23">
        <f>'QTR Raw'!BF23</f>
        <v>280</v>
      </c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E63" s="123"/>
      <c r="DF63" s="23">
        <v>1090</v>
      </c>
    </row>
    <row r="64" spans="1:110" s="23" customFormat="1" x14ac:dyDescent="0.2">
      <c r="A64" s="23" t="s">
        <v>18</v>
      </c>
      <c r="B64" s="23">
        <f>'Annual Raw'!C25</f>
        <v>2.4716999999999998</v>
      </c>
      <c r="C64" s="23">
        <f>'Annual Raw'!D25</f>
        <v>17.422999999999998</v>
      </c>
      <c r="D64" s="23">
        <f>'Annual Raw'!E25</f>
        <v>0.29799999999999999</v>
      </c>
      <c r="E64" s="23">
        <f>'Annual Raw'!F25</f>
        <v>0.745</v>
      </c>
      <c r="F64" s="23">
        <f>'Annual Raw'!G25</f>
        <v>1.8</v>
      </c>
      <c r="G64" s="23">
        <f>'Annual Raw'!H25</f>
        <v>47.4</v>
      </c>
      <c r="H64" s="23">
        <f>'Annual Raw'!I25</f>
        <v>28.44</v>
      </c>
      <c r="I64" s="23">
        <f>'Annual Raw'!J25</f>
        <v>24.17</v>
      </c>
      <c r="J64" s="23">
        <f>'Annual Raw'!K25</f>
        <v>21.88</v>
      </c>
      <c r="K64" s="23">
        <f>'Annual Raw'!L25</f>
        <v>43.92</v>
      </c>
      <c r="L64" s="23">
        <f>'Annual Raw'!M25</f>
        <v>18.28</v>
      </c>
      <c r="M64" s="23">
        <f>'Annual Raw'!N25</f>
        <v>13.95</v>
      </c>
      <c r="N64" s="23">
        <f>'Annual Raw'!O25</f>
        <v>26.86</v>
      </c>
      <c r="O64" s="23">
        <f>'Annual Raw'!P25</f>
        <v>44.94</v>
      </c>
      <c r="P64" s="23">
        <f>'Annual Raw'!Q25</f>
        <v>23.51</v>
      </c>
      <c r="Q64" s="23">
        <f>'Annual Raw'!R25</f>
        <v>17</v>
      </c>
      <c r="R64" s="23">
        <f>'Annual Raw'!S25</f>
        <v>202</v>
      </c>
      <c r="S64" s="23">
        <f>'Annual Raw'!T25</f>
        <v>246</v>
      </c>
      <c r="T64" s="23">
        <f>'Annual Raw'!U25</f>
        <v>113</v>
      </c>
      <c r="U64" s="23">
        <f>'Annual Raw'!V25</f>
        <v>112</v>
      </c>
      <c r="V64" s="23">
        <f>'Annual Raw'!W25</f>
        <v>386</v>
      </c>
      <c r="W64" s="23">
        <f>'Annual Raw'!X25</f>
        <v>290</v>
      </c>
      <c r="X64" s="23">
        <f>'Annual Raw'!Y25</f>
        <v>333</v>
      </c>
      <c r="Y64" s="23">
        <f>'Annual Raw'!Z25</f>
        <v>955</v>
      </c>
      <c r="Z64" s="23">
        <f>'Annual Raw'!AA25</f>
        <v>1095</v>
      </c>
      <c r="AA64" s="23">
        <f>'Annual Raw'!AB25</f>
        <v>881</v>
      </c>
      <c r="AB64" s="76">
        <f t="shared" si="578"/>
        <v>-276.68180288488691</v>
      </c>
      <c r="AC64" s="76">
        <f t="shared" si="579"/>
        <v>-537.428407422021</v>
      </c>
      <c r="AD64" s="76">
        <f t="shared" si="580"/>
        <v>-1095.6989428498337</v>
      </c>
      <c r="AE64" s="76">
        <f t="shared" si="581"/>
        <v>-2062.7338465305247</v>
      </c>
      <c r="AI64" s="23">
        <f>'QTR Raw'!C25</f>
        <v>12.88</v>
      </c>
      <c r="AJ64" s="23">
        <f>'QTR Raw'!D25</f>
        <v>5.82</v>
      </c>
      <c r="AK64" s="23">
        <f>'QTR Raw'!E25</f>
        <v>7.08</v>
      </c>
      <c r="AL64" s="23">
        <f>'QTR Raw'!F25</f>
        <v>10.83</v>
      </c>
      <c r="AM64" s="23">
        <f>'QTR Raw'!G25</f>
        <v>6.66</v>
      </c>
      <c r="AN64" s="23">
        <f>'QTR Raw'!H25</f>
        <v>8.0299999999999994</v>
      </c>
      <c r="AO64" s="23">
        <f>'QTR Raw'!I25</f>
        <v>10</v>
      </c>
      <c r="AP64" s="23">
        <f>'QTR Raw'!J25</f>
        <v>20.25</v>
      </c>
      <c r="AQ64" s="23">
        <f>'QTR Raw'!K25</f>
        <v>7.6</v>
      </c>
      <c r="AR64" s="23">
        <f>'QTR Raw'!L25</f>
        <v>1.31</v>
      </c>
      <c r="AS64" s="23">
        <f>'QTR Raw'!M25</f>
        <v>0.79</v>
      </c>
      <c r="AT64" s="23">
        <f>'QTR Raw'!N25</f>
        <v>13.81</v>
      </c>
      <c r="AU64" s="23">
        <f>'QTR Raw'!O25</f>
        <v>1.61</v>
      </c>
      <c r="AV64" s="23">
        <f>'QTR Raw'!P25</f>
        <v>1.21</v>
      </c>
      <c r="AW64" s="23">
        <f>'QTR Raw'!Q25</f>
        <v>5.1100000000000003</v>
      </c>
      <c r="AX64" s="23">
        <f>'QTR Raw'!R25</f>
        <v>9</v>
      </c>
      <c r="AY64" s="23">
        <f>'QTR Raw'!S25</f>
        <v>71</v>
      </c>
      <c r="AZ64" s="23">
        <f>'QTR Raw'!T25</f>
        <v>71</v>
      </c>
      <c r="BA64" s="23">
        <f>'QTR Raw'!U25</f>
        <v>46</v>
      </c>
      <c r="BB64" s="23">
        <f>'QTR Raw'!V25</f>
        <v>14</v>
      </c>
      <c r="BC64" s="23">
        <f>'QTR Raw'!W25</f>
        <v>137</v>
      </c>
      <c r="BD64" s="23">
        <f>'QTR Raw'!X25</f>
        <v>84</v>
      </c>
      <c r="BE64" s="23">
        <f>'QTR Raw'!Y25</f>
        <v>17</v>
      </c>
      <c r="BF64" s="23">
        <f>'QTR Raw'!Z25</f>
        <v>8</v>
      </c>
      <c r="BG64" s="23">
        <f>'QTR Raw'!AA25</f>
        <v>11</v>
      </c>
      <c r="BH64" s="23">
        <f>'QTR Raw'!AB25</f>
        <v>0</v>
      </c>
      <c r="BI64" s="23">
        <f>'QTR Raw'!AC25</f>
        <v>51</v>
      </c>
      <c r="BJ64" s="23">
        <f>'QTR Raw'!AD25</f>
        <v>51</v>
      </c>
      <c r="BK64" s="23">
        <f>'QTR Raw'!AE25</f>
        <v>29</v>
      </c>
      <c r="BL64" s="23">
        <f>'QTR Raw'!AF25</f>
        <v>25</v>
      </c>
      <c r="BM64" s="23">
        <f>'QTR Raw'!AG25</f>
        <v>42</v>
      </c>
      <c r="BN64" s="23">
        <f>'QTR Raw'!AH25</f>
        <v>16</v>
      </c>
      <c r="BO64" s="23">
        <f>'QTR Raw'!AI25</f>
        <v>52</v>
      </c>
      <c r="BP64" s="23">
        <f>'QTR Raw'!AJ25</f>
        <v>68</v>
      </c>
      <c r="BQ64" s="23">
        <f>'QTR Raw'!AK25</f>
        <v>135</v>
      </c>
      <c r="BR64" s="23">
        <f>'QTR Raw'!AL25</f>
        <v>131</v>
      </c>
      <c r="BS64" s="23">
        <f>'QTR Raw'!AM25</f>
        <v>92</v>
      </c>
      <c r="BT64" s="23">
        <f>'QTR Raw'!AN25</f>
        <v>82</v>
      </c>
      <c r="BU64" s="23">
        <f>'QTR Raw'!AO25</f>
        <v>50</v>
      </c>
      <c r="BV64" s="23">
        <f>'QTR Raw'!AP25</f>
        <v>66</v>
      </c>
      <c r="BW64" s="23">
        <f>'QTR Raw'!AQ25</f>
        <v>44</v>
      </c>
      <c r="BX64" s="23">
        <f>'QTR Raw'!AR25</f>
        <v>51</v>
      </c>
      <c r="BY64" s="23">
        <f>'QTR Raw'!AS25</f>
        <v>62</v>
      </c>
      <c r="BZ64" s="23">
        <f>'QTR Raw'!AT25</f>
        <v>176</v>
      </c>
      <c r="CA64" s="23">
        <f>'QTR Raw'!AU25</f>
        <v>218</v>
      </c>
      <c r="CB64" s="23">
        <f>'QTR Raw'!AV25</f>
        <v>232</v>
      </c>
      <c r="CC64" s="23">
        <f>'QTR Raw'!AW25</f>
        <v>243</v>
      </c>
      <c r="CD64" s="23">
        <f>'QTR Raw'!AX25</f>
        <v>262</v>
      </c>
      <c r="CE64" s="23">
        <f>'QTR Raw'!AY25</f>
        <v>256</v>
      </c>
      <c r="CF64" s="23">
        <f>'QTR Raw'!AZ25</f>
        <v>303</v>
      </c>
      <c r="CG64" s="23">
        <f>'QTR Raw'!BA25</f>
        <v>285</v>
      </c>
      <c r="CH64" s="23">
        <f>'QTR Raw'!BB25</f>
        <v>251</v>
      </c>
      <c r="CI64" s="23">
        <f>'QTR Raw'!BC25</f>
        <v>240</v>
      </c>
      <c r="CJ64" s="23">
        <f>'QTR Raw'!BD25</f>
        <v>259</v>
      </c>
      <c r="CK64" s="23">
        <f>'QTR Raw'!BE25</f>
        <v>195</v>
      </c>
      <c r="CL64" s="23">
        <f>'QTR Raw'!BF25</f>
        <v>187</v>
      </c>
      <c r="CM64" s="24">
        <f>CM65*CL201</f>
        <v>-54.21</v>
      </c>
      <c r="CN64" s="24">
        <f t="shared" ref="CN64:DB64" si="582">CN65*CM201</f>
        <v>-57.414757375581033</v>
      </c>
      <c r="CO64" s="24">
        <f t="shared" si="582"/>
        <v>-73.78067659721323</v>
      </c>
      <c r="CP64" s="24">
        <f t="shared" si="582"/>
        <v>-91.276368912092693</v>
      </c>
      <c r="CQ64" s="24">
        <f t="shared" si="582"/>
        <v>-112.85760717151548</v>
      </c>
      <c r="CR64" s="24">
        <f t="shared" si="582"/>
        <v>-120.87992413187821</v>
      </c>
      <c r="CS64" s="24">
        <f t="shared" si="582"/>
        <v>-139.6279353580787</v>
      </c>
      <c r="CT64" s="24">
        <f t="shared" si="582"/>
        <v>-164.06294076054863</v>
      </c>
      <c r="CU64" s="24">
        <f t="shared" si="582"/>
        <v>-189.74386566477676</v>
      </c>
      <c r="CV64" s="24">
        <f t="shared" si="582"/>
        <v>-240.22628292222447</v>
      </c>
      <c r="CW64" s="24">
        <f t="shared" si="582"/>
        <v>-300.37959993891849</v>
      </c>
      <c r="CX64" s="24">
        <f t="shared" si="582"/>
        <v>-365.34919432391399</v>
      </c>
      <c r="CY64" s="24">
        <f t="shared" si="582"/>
        <v>-430.61416267206283</v>
      </c>
      <c r="CZ64" s="24">
        <f t="shared" si="582"/>
        <v>-481.9111976872282</v>
      </c>
      <c r="DA64" s="24">
        <f t="shared" si="582"/>
        <v>-542.49231316462306</v>
      </c>
      <c r="DB64" s="24">
        <f t="shared" si="582"/>
        <v>-607.7161730066108</v>
      </c>
      <c r="DE64" s="123"/>
      <c r="DF64" s="23">
        <v>123.2172012154293</v>
      </c>
    </row>
    <row r="65" spans="1:110" s="46" customFormat="1" x14ac:dyDescent="0.2">
      <c r="A65" s="46" t="s">
        <v>482</v>
      </c>
      <c r="B65" s="46">
        <f t="shared" ref="B65:AE65" si="583">+B64/B161</f>
        <v>0.43651102006216441</v>
      </c>
      <c r="C65" s="46">
        <f t="shared" si="583"/>
        <v>4.6300823810789264</v>
      </c>
      <c r="D65" s="46">
        <f t="shared" si="583"/>
        <v>0.39313984168865435</v>
      </c>
      <c r="E65" s="46">
        <f t="shared" si="583"/>
        <v>1.2257402154670315E-3</v>
      </c>
      <c r="F65" s="46">
        <f t="shared" si="583"/>
        <v>3.1505986137366103E-3</v>
      </c>
      <c r="G65" s="46">
        <f t="shared" si="583"/>
        <v>8.494319200028673E-2</v>
      </c>
      <c r="H65" s="46">
        <f t="shared" si="583"/>
        <v>72.92307692307692</v>
      </c>
      <c r="I65" s="46">
        <f t="shared" si="583"/>
        <v>61.974358974358978</v>
      </c>
      <c r="J65" s="46">
        <f t="shared" si="583"/>
        <v>2.5178365937859604</v>
      </c>
      <c r="K65" s="46">
        <f t="shared" si="583"/>
        <v>0.72631056722341658</v>
      </c>
      <c r="L65" s="46">
        <f t="shared" si="583"/>
        <v>46.871794871794876</v>
      </c>
      <c r="M65" s="46">
        <f t="shared" si="583"/>
        <v>35.769230769230766</v>
      </c>
      <c r="N65" s="46" t="e">
        <f t="shared" si="583"/>
        <v>#DIV/0!</v>
      </c>
      <c r="O65" s="46" t="e">
        <f t="shared" si="583"/>
        <v>#DIV/0!</v>
      </c>
      <c r="P65" s="46" t="e">
        <f t="shared" si="583"/>
        <v>#DIV/0!</v>
      </c>
      <c r="Q65" s="46" t="e">
        <f t="shared" si="583"/>
        <v>#DIV/0!</v>
      </c>
      <c r="R65" s="46">
        <f t="shared" si="583"/>
        <v>2.5543753161355591E-2</v>
      </c>
      <c r="S65" s="46" t="e">
        <f t="shared" si="583"/>
        <v>#DIV/0!</v>
      </c>
      <c r="T65" s="46">
        <f t="shared" si="583"/>
        <v>4.4523246650906227E-2</v>
      </c>
      <c r="U65" s="46">
        <f t="shared" si="583"/>
        <v>0.18330605564648117</v>
      </c>
      <c r="V65" s="46">
        <f t="shared" si="583"/>
        <v>5.3782917653615717E-2</v>
      </c>
      <c r="W65" s="46">
        <f t="shared" si="583"/>
        <v>9.3457943925233641E-2</v>
      </c>
      <c r="X65" s="46">
        <f t="shared" si="583"/>
        <v>2.7411919657556801E-2</v>
      </c>
      <c r="Y65" s="46">
        <f t="shared" si="583"/>
        <v>0.10784867306606437</v>
      </c>
      <c r="Z65" s="46">
        <f t="shared" si="583"/>
        <v>9.7593582887700536E-2</v>
      </c>
      <c r="AA65" s="46">
        <f t="shared" ref="AA65" si="584">+AA64/AA161</f>
        <v>0.10542060548043557</v>
      </c>
      <c r="AB65" s="110">
        <f t="shared" si="583"/>
        <v>-3.3529059971508353E-2</v>
      </c>
      <c r="AC65" s="110">
        <f t="shared" si="583"/>
        <v>-6.5127048887787323E-2</v>
      </c>
      <c r="AD65" s="110">
        <f t="shared" si="583"/>
        <v>-0.13277980402930606</v>
      </c>
      <c r="AE65" s="110">
        <f t="shared" si="583"/>
        <v>-0.24996774679235637</v>
      </c>
      <c r="AI65" s="46" t="e">
        <f t="shared" ref="AI65:BN65" si="585">(AI64-AI63)/AH201</f>
        <v>#DIV/0!</v>
      </c>
      <c r="AJ65" s="46" t="e">
        <f t="shared" si="585"/>
        <v>#DIV/0!</v>
      </c>
      <c r="AK65" s="46">
        <f t="shared" si="585"/>
        <v>2.5835592255750259E-2</v>
      </c>
      <c r="AL65" s="46">
        <f t="shared" si="585"/>
        <v>1.956286069212344E-2</v>
      </c>
      <c r="AM65" s="46">
        <f t="shared" si="585"/>
        <v>2.8567996692626569E-2</v>
      </c>
      <c r="AN65" s="46">
        <f t="shared" si="585"/>
        <v>1.1060837195546706E-2</v>
      </c>
      <c r="AO65" s="46">
        <f t="shared" si="585"/>
        <v>1.7517051566442076E-2</v>
      </c>
      <c r="AP65" s="46">
        <f t="shared" si="585"/>
        <v>2.2390542648872601E-2</v>
      </c>
      <c r="AQ65" s="46">
        <f t="shared" si="585"/>
        <v>2.7795966320736245E-2</v>
      </c>
      <c r="AR65" s="46">
        <f t="shared" si="585"/>
        <v>2.5430851794491959E-2</v>
      </c>
      <c r="AS65" s="46">
        <f t="shared" si="585"/>
        <v>2.952699884782984E-2</v>
      </c>
      <c r="AT65" s="46">
        <f t="shared" si="585"/>
        <v>1.9472142592272736E-2</v>
      </c>
      <c r="AU65" s="46">
        <f t="shared" si="585"/>
        <v>1.8887383831788753E-2</v>
      </c>
      <c r="AV65" s="46">
        <f t="shared" si="585"/>
        <v>2.5374654385964382E-2</v>
      </c>
      <c r="AW65" s="46">
        <f t="shared" si="585"/>
        <v>1.6976511751356373E-2</v>
      </c>
      <c r="AX65" s="46">
        <f t="shared" si="585"/>
        <v>2.0070789778820996E-2</v>
      </c>
      <c r="AY65" s="46">
        <f t="shared" si="585"/>
        <v>1.5960755252732748E-2</v>
      </c>
      <c r="AZ65" s="46">
        <f t="shared" si="585"/>
        <v>1.9227008006395912E-2</v>
      </c>
      <c r="BA65" s="46">
        <f t="shared" si="585"/>
        <v>2.1378355567352948E-2</v>
      </c>
      <c r="BB65" s="46">
        <f t="shared" si="585"/>
        <v>1.7383922194404447E-2</v>
      </c>
      <c r="BC65" s="46">
        <f t="shared" si="585"/>
        <v>1.55431869717584E-2</v>
      </c>
      <c r="BD65" s="46">
        <f t="shared" si="585"/>
        <v>1.4577592692630495E-2</v>
      </c>
      <c r="BE65" s="46">
        <f t="shared" si="585"/>
        <v>1.3614563457273993E-2</v>
      </c>
      <c r="BF65" s="46">
        <f t="shared" si="585"/>
        <v>2.0411341979593357E-2</v>
      </c>
      <c r="BG65" s="46">
        <f t="shared" si="585"/>
        <v>1.2800865410619309E-2</v>
      </c>
      <c r="BH65" s="46">
        <f t="shared" si="585"/>
        <v>1.6447030240595437E-2</v>
      </c>
      <c r="BI65" s="46">
        <f t="shared" si="585"/>
        <v>2.1402530559725498E-2</v>
      </c>
      <c r="BJ65" s="46">
        <f t="shared" si="585"/>
        <v>1.919849003704889E-2</v>
      </c>
      <c r="BK65" s="46">
        <f t="shared" si="585"/>
        <v>2.3566841454074117E-2</v>
      </c>
      <c r="BL65" s="46">
        <f t="shared" si="585"/>
        <v>3.006926384218939E-2</v>
      </c>
      <c r="BM65" s="46">
        <f t="shared" si="585"/>
        <v>2.0509949615756529E-2</v>
      </c>
      <c r="BN65" s="46">
        <f t="shared" si="585"/>
        <v>2.1368282095788466E-2</v>
      </c>
      <c r="BO65" s="46">
        <f t="shared" ref="BO65:CL65" si="586">(BO64-BO63)/BN201</f>
        <v>2.9210574967646515E-2</v>
      </c>
      <c r="BP65" s="46">
        <f t="shared" si="586"/>
        <v>1.3962685661659471E-2</v>
      </c>
      <c r="BQ65" s="46">
        <f t="shared" si="586"/>
        <v>1.6971982758620691E-2</v>
      </c>
      <c r="BR65" s="46">
        <f t="shared" si="586"/>
        <v>7.9131710377394419E-3</v>
      </c>
      <c r="BS65" s="46">
        <f t="shared" si="586"/>
        <v>1.6956980733702824E-2</v>
      </c>
      <c r="BT65" s="46">
        <f t="shared" si="586"/>
        <v>1.3348001569578246E-2</v>
      </c>
      <c r="BU65" s="46">
        <f t="shared" si="586"/>
        <v>1.1972604172112719E-2</v>
      </c>
      <c r="BV65" s="46">
        <f t="shared" si="586"/>
        <v>9.7877061981466191E-3</v>
      </c>
      <c r="BW65" s="46">
        <f t="shared" si="586"/>
        <v>1.4784348599377502E-2</v>
      </c>
      <c r="BX65" s="46">
        <f t="shared" si="586"/>
        <v>1.501781234382737E-2</v>
      </c>
      <c r="BY65" s="46">
        <f t="shared" si="586"/>
        <v>1.8192226957572673E-2</v>
      </c>
      <c r="BZ65" s="46">
        <f t="shared" si="586"/>
        <v>9.9147447469475833E-3</v>
      </c>
      <c r="CA65" s="46">
        <f t="shared" si="586"/>
        <v>-0.11053540587219343</v>
      </c>
      <c r="CB65" s="46">
        <f t="shared" si="586"/>
        <v>-6.3956482766759064E-3</v>
      </c>
      <c r="CC65" s="46">
        <f t="shared" si="586"/>
        <v>-0.85483870967741937</v>
      </c>
      <c r="CD65" s="46">
        <f t="shared" si="586"/>
        <v>5.6356459567120263E-3</v>
      </c>
      <c r="CE65" s="46">
        <f t="shared" si="586"/>
        <v>7.5329566854990581E-3</v>
      </c>
      <c r="CF65" s="46">
        <f t="shared" si="586"/>
        <v>-8.3757958774597421E-3</v>
      </c>
      <c r="CG65" s="46">
        <f t="shared" si="586"/>
        <v>1.1496225120109815E-2</v>
      </c>
      <c r="CH65" s="46">
        <f t="shared" si="586"/>
        <v>7.663552226407259E-3</v>
      </c>
      <c r="CI65" s="46">
        <f t="shared" si="586"/>
        <v>-2.0591341077085535E-2</v>
      </c>
      <c r="CJ65" s="46">
        <f t="shared" si="586"/>
        <v>-3.5135904974138703E-2</v>
      </c>
      <c r="CK65" s="46">
        <f t="shared" si="586"/>
        <v>-3.6149022500922168E-2</v>
      </c>
      <c r="CL65" s="46">
        <f t="shared" si="586"/>
        <v>2.728400790980463E-2</v>
      </c>
      <c r="CM65" s="47">
        <v>0.01</v>
      </c>
      <c r="CN65" s="47">
        <f t="shared" ref="CN65:DB65" si="587">+CM65</f>
        <v>0.01</v>
      </c>
      <c r="CO65" s="47">
        <f t="shared" si="587"/>
        <v>0.01</v>
      </c>
      <c r="CP65" s="47">
        <f t="shared" si="587"/>
        <v>0.01</v>
      </c>
      <c r="CQ65" s="47">
        <f>+CP65</f>
        <v>0.01</v>
      </c>
      <c r="CR65" s="47">
        <f t="shared" si="587"/>
        <v>0.01</v>
      </c>
      <c r="CS65" s="47">
        <f t="shared" si="587"/>
        <v>0.01</v>
      </c>
      <c r="CT65" s="47">
        <f t="shared" si="587"/>
        <v>0.01</v>
      </c>
      <c r="CU65" s="47">
        <f t="shared" si="587"/>
        <v>0.01</v>
      </c>
      <c r="CV65" s="47">
        <f t="shared" si="587"/>
        <v>0.01</v>
      </c>
      <c r="CW65" s="47">
        <f t="shared" si="587"/>
        <v>0.01</v>
      </c>
      <c r="CX65" s="47">
        <f t="shared" si="587"/>
        <v>0.01</v>
      </c>
      <c r="CY65" s="47">
        <f t="shared" si="587"/>
        <v>0.01</v>
      </c>
      <c r="CZ65" s="47">
        <f t="shared" si="587"/>
        <v>0.01</v>
      </c>
      <c r="DA65" s="47">
        <f t="shared" si="587"/>
        <v>0.01</v>
      </c>
      <c r="DB65" s="47">
        <f t="shared" si="587"/>
        <v>0.01</v>
      </c>
      <c r="DE65" s="130"/>
      <c r="DF65" s="46">
        <v>-3.6149022500922168E-2</v>
      </c>
    </row>
    <row r="66" spans="1:110" s="26" customFormat="1" x14ac:dyDescent="0.2">
      <c r="A66" s="26" t="s">
        <v>20</v>
      </c>
      <c r="B66" s="26">
        <f>B62+B63-B64</f>
        <v>282.2199</v>
      </c>
      <c r="C66" s="26">
        <f t="shared" ref="C66:T66" si="588">C62+C63-C64</f>
        <v>104.1099999999999</v>
      </c>
      <c r="D66" s="26">
        <f>D62+D63-D64</f>
        <v>229.36399999999998</v>
      </c>
      <c r="E66" s="26">
        <f t="shared" si="588"/>
        <v>795.61999999999989</v>
      </c>
      <c r="F66" s="26">
        <f t="shared" si="588"/>
        <v>926.92000000000007</v>
      </c>
      <c r="G66" s="26">
        <f t="shared" si="588"/>
        <v>2229.5699999999997</v>
      </c>
      <c r="H66" s="26">
        <f t="shared" si="588"/>
        <v>6453.6600000000026</v>
      </c>
      <c r="I66" s="26">
        <f t="shared" si="588"/>
        <v>5985.3399999999992</v>
      </c>
      <c r="J66" s="26">
        <f t="shared" si="588"/>
        <v>3358.2400000000002</v>
      </c>
      <c r="K66" s="26">
        <f t="shared" si="588"/>
        <v>5014.1100000000006</v>
      </c>
      <c r="L66" s="26">
        <f t="shared" si="588"/>
        <v>5980.71</v>
      </c>
      <c r="M66" s="26">
        <f t="shared" si="588"/>
        <v>6987.6699999999983</v>
      </c>
      <c r="N66" s="26">
        <f t="shared" si="588"/>
        <v>7837.6500000000005</v>
      </c>
      <c r="O66" s="26">
        <f t="shared" si="588"/>
        <v>7969.7099999999991</v>
      </c>
      <c r="P66" s="26">
        <f t="shared" si="588"/>
        <v>9599.99</v>
      </c>
      <c r="Q66" s="26">
        <f t="shared" si="588"/>
        <v>8653</v>
      </c>
      <c r="R66" s="26">
        <f t="shared" si="588"/>
        <v>10200</v>
      </c>
      <c r="S66" s="26">
        <f t="shared" si="588"/>
        <v>12257</v>
      </c>
      <c r="T66" s="26">
        <f t="shared" si="588"/>
        <v>10456</v>
      </c>
      <c r="U66" s="26">
        <f t="shared" ref="U66:Z66" si="589">U62+U63-U64</f>
        <v>8390</v>
      </c>
      <c r="V66" s="26">
        <f t="shared" si="589"/>
        <v>10574</v>
      </c>
      <c r="W66" s="26">
        <f t="shared" si="589"/>
        <v>14234</v>
      </c>
      <c r="X66" s="26">
        <f t="shared" si="589"/>
        <v>15288</v>
      </c>
      <c r="Y66" s="26">
        <f t="shared" si="589"/>
        <v>10307</v>
      </c>
      <c r="Z66" s="26">
        <f t="shared" si="589"/>
        <v>13636</v>
      </c>
      <c r="AA66" s="26">
        <f t="shared" ref="AA66" si="590">AA62+AA63-AA64</f>
        <v>18483</v>
      </c>
      <c r="AB66" s="27">
        <f t="shared" ref="AB66:AD66" si="591">AB62+AB63-AB64</f>
        <v>23725.753897253318</v>
      </c>
      <c r="AC66" s="27">
        <f t="shared" si="591"/>
        <v>24192.158685210467</v>
      </c>
      <c r="AD66" s="27">
        <f t="shared" si="591"/>
        <v>23978.257937808805</v>
      </c>
      <c r="AE66" s="27">
        <f t="shared" ref="AE66" si="592">AE62+AE63-AE64</f>
        <v>25468.793701519415</v>
      </c>
      <c r="AI66" s="26">
        <f>AI62+AI63-AI64</f>
        <v>1816.6000000000001</v>
      </c>
      <c r="AJ66" s="26">
        <f t="shared" ref="AJ66" si="593">AJ62+AJ63-AJ64</f>
        <v>1810.3800000000003</v>
      </c>
      <c r="AK66" s="26">
        <f t="shared" ref="AK66:AM66" si="594">AK62+AK63-AK64</f>
        <v>1815.5900000000001</v>
      </c>
      <c r="AL66" s="26">
        <f t="shared" si="594"/>
        <v>2395.0800000000004</v>
      </c>
      <c r="AM66" s="26">
        <f t="shared" si="594"/>
        <v>1928.06</v>
      </c>
      <c r="AN66" s="26">
        <f t="shared" ref="AN66:AO66" si="595">AN62+AN63-AN64</f>
        <v>1955.7799999999995</v>
      </c>
      <c r="AO66" s="26">
        <f t="shared" si="595"/>
        <v>2028.02</v>
      </c>
      <c r="AP66" s="26">
        <f t="shared" ref="AP66:CD66" si="596">AP62+AP63-AP64</f>
        <v>2119.52</v>
      </c>
      <c r="AQ66" s="26">
        <f t="shared" si="596"/>
        <v>1859.8900000000003</v>
      </c>
      <c r="AR66" s="26">
        <f t="shared" si="596"/>
        <v>2488.7999999999997</v>
      </c>
      <c r="AS66" s="26">
        <f t="shared" si="596"/>
        <v>2691.5499999999997</v>
      </c>
      <c r="AT66" s="26">
        <f t="shared" si="596"/>
        <v>2559.75</v>
      </c>
      <c r="AU66" s="26">
        <f t="shared" si="596"/>
        <v>2075.8599999999997</v>
      </c>
      <c r="AV66" s="26">
        <f t="shared" si="596"/>
        <v>2844.76</v>
      </c>
      <c r="AW66" s="26">
        <f t="shared" si="596"/>
        <v>1885.1799999999998</v>
      </c>
      <c r="AX66" s="26">
        <f t="shared" si="596"/>
        <v>1847.7099999999998</v>
      </c>
      <c r="AY66" s="26">
        <f t="shared" si="596"/>
        <v>1305</v>
      </c>
      <c r="AZ66" s="26">
        <f t="shared" si="596"/>
        <v>2344</v>
      </c>
      <c r="BA66" s="26">
        <f t="shared" si="596"/>
        <v>2868</v>
      </c>
      <c r="BB66" s="26">
        <f t="shared" si="596"/>
        <v>3683</v>
      </c>
      <c r="BC66" s="26">
        <f t="shared" si="596"/>
        <v>2435</v>
      </c>
      <c r="BD66" s="26">
        <f t="shared" si="596"/>
        <v>3085</v>
      </c>
      <c r="BE66" s="26">
        <f t="shared" si="596"/>
        <v>3135</v>
      </c>
      <c r="BF66" s="26">
        <f t="shared" si="596"/>
        <v>3602</v>
      </c>
      <c r="BG66" s="26">
        <f t="shared" si="596"/>
        <v>2610</v>
      </c>
      <c r="BH66" s="26">
        <f t="shared" si="596"/>
        <v>2274</v>
      </c>
      <c r="BI66" s="26">
        <f t="shared" si="596"/>
        <v>2848</v>
      </c>
      <c r="BJ66" s="26">
        <f t="shared" si="596"/>
        <v>2724</v>
      </c>
      <c r="BK66" s="26">
        <f t="shared" si="596"/>
        <v>2343</v>
      </c>
      <c r="BL66" s="26">
        <f t="shared" si="596"/>
        <v>2087</v>
      </c>
      <c r="BM66" s="26">
        <f t="shared" si="596"/>
        <v>2095</v>
      </c>
      <c r="BN66" s="26">
        <f t="shared" si="596"/>
        <v>1865</v>
      </c>
      <c r="BO66" s="26">
        <f t="shared" si="596"/>
        <v>1664</v>
      </c>
      <c r="BP66" s="26">
        <f t="shared" si="596"/>
        <v>2622</v>
      </c>
      <c r="BQ66" s="26">
        <f t="shared" si="596"/>
        <v>2945</v>
      </c>
      <c r="BR66" s="26">
        <f t="shared" si="596"/>
        <v>3343</v>
      </c>
      <c r="BS66" s="26">
        <f t="shared" si="596"/>
        <v>3157</v>
      </c>
      <c r="BT66" s="26">
        <f t="shared" si="596"/>
        <v>2862</v>
      </c>
      <c r="BU66" s="26">
        <f t="shared" si="596"/>
        <v>3858</v>
      </c>
      <c r="BV66" s="26">
        <f t="shared" si="596"/>
        <v>4357</v>
      </c>
      <c r="BW66" s="26">
        <f t="shared" si="596"/>
        <v>4672</v>
      </c>
      <c r="BX66" s="26">
        <f t="shared" si="596"/>
        <v>3925</v>
      </c>
      <c r="BY66" s="26">
        <f t="shared" si="596"/>
        <v>3186</v>
      </c>
      <c r="BZ66" s="26">
        <f t="shared" si="596"/>
        <v>3505</v>
      </c>
      <c r="CA66" s="26">
        <f t="shared" si="596"/>
        <v>2610</v>
      </c>
      <c r="CB66" s="26">
        <f t="shared" si="596"/>
        <v>2305</v>
      </c>
      <c r="CC66" s="26">
        <f t="shared" si="596"/>
        <v>2669</v>
      </c>
      <c r="CD66" s="26">
        <f t="shared" si="596"/>
        <v>2723</v>
      </c>
      <c r="CE66" s="26">
        <f t="shared" ref="CE66:CF66" si="597">CE62+CE63-CE64</f>
        <v>3114</v>
      </c>
      <c r="CF66" s="26">
        <f t="shared" si="597"/>
        <v>3213</v>
      </c>
      <c r="CG66" s="26">
        <f t="shared" ref="CG66:CH66" si="598">CG62+CG63-CG64</f>
        <v>3527</v>
      </c>
      <c r="CH66" s="26">
        <f t="shared" si="598"/>
        <v>3782</v>
      </c>
      <c r="CI66" s="26">
        <f t="shared" ref="CI66:CJ66" si="599">CI62+CI63-CI64</f>
        <v>2985</v>
      </c>
      <c r="CJ66" s="26">
        <f t="shared" si="599"/>
        <v>3542</v>
      </c>
      <c r="CK66" s="26">
        <f t="shared" ref="CK66:CL66" si="600">CK62+CK63-CK64</f>
        <v>5205</v>
      </c>
      <c r="CL66" s="26">
        <f t="shared" si="600"/>
        <v>6751</v>
      </c>
      <c r="CM66" s="27">
        <f t="shared" ref="CM66:DB66" si="601">CM62+CM63-CM64</f>
        <v>5515.611568660649</v>
      </c>
      <c r="CN66" s="27">
        <f t="shared" si="601"/>
        <v>5805.3016678487429</v>
      </c>
      <c r="CO66" s="27">
        <f t="shared" si="601"/>
        <v>6179.0399915645567</v>
      </c>
      <c r="CP66" s="27">
        <f t="shared" si="601"/>
        <v>6225.8006691793653</v>
      </c>
      <c r="CQ66" s="27">
        <f t="shared" si="601"/>
        <v>5523.3935348192372</v>
      </c>
      <c r="CR66" s="27">
        <f t="shared" si="601"/>
        <v>5823.9598742123144</v>
      </c>
      <c r="CS66" s="27">
        <f t="shared" si="601"/>
        <v>6308.3710605687784</v>
      </c>
      <c r="CT66" s="27">
        <f t="shared" si="601"/>
        <v>6536.4342156101357</v>
      </c>
      <c r="CU66" s="27">
        <f t="shared" si="601"/>
        <v>5301.5521257421706</v>
      </c>
      <c r="CV66" s="27">
        <f t="shared" si="601"/>
        <v>5722.1303016736865</v>
      </c>
      <c r="CW66" s="27">
        <f t="shared" si="601"/>
        <v>6318.8894592015931</v>
      </c>
      <c r="CX66" s="27">
        <f t="shared" si="601"/>
        <v>6635.686051191351</v>
      </c>
      <c r="CY66" s="27">
        <f t="shared" si="601"/>
        <v>5724.4154372202875</v>
      </c>
      <c r="CZ66" s="27">
        <f t="shared" si="601"/>
        <v>6106.1921842301617</v>
      </c>
      <c r="DA66" s="27">
        <f t="shared" si="601"/>
        <v>6669.3883976746938</v>
      </c>
      <c r="DB66" s="27">
        <f t="shared" si="601"/>
        <v>6968.7976823942809</v>
      </c>
      <c r="DE66" s="121"/>
      <c r="DF66" s="26">
        <v>5827.1065752684735</v>
      </c>
    </row>
    <row r="67" spans="1:110" s="23" customFormat="1" x14ac:dyDescent="0.2">
      <c r="A67" s="23" t="s">
        <v>21</v>
      </c>
      <c r="B67" s="23">
        <f>'Annual Raw'!C30</f>
        <v>113</v>
      </c>
      <c r="C67" s="23">
        <f>'Annual Raw'!D30</f>
        <v>36.146999999999998</v>
      </c>
      <c r="D67" s="23">
        <f>'Annual Raw'!E30</f>
        <v>87.212000000000003</v>
      </c>
      <c r="E67" s="23">
        <f>'Annual Raw'!F30</f>
        <v>180.14500000000001</v>
      </c>
      <c r="F67" s="23">
        <f>'Annual Raw'!G30</f>
        <v>271.58999999999997</v>
      </c>
      <c r="G67" s="23">
        <f>'Annual Raw'!H30</f>
        <v>757.09</v>
      </c>
      <c r="H67" s="23">
        <f>'Annual Raw'!I30</f>
        <v>2011.85</v>
      </c>
      <c r="I67" s="23">
        <f>'Annual Raw'!J30</f>
        <v>1589.27</v>
      </c>
      <c r="J67" s="23">
        <f>'Annual Raw'!K30</f>
        <v>630.63</v>
      </c>
      <c r="K67" s="23">
        <f>'Annual Raw'!L30</f>
        <v>972.7</v>
      </c>
      <c r="L67" s="23">
        <f>'Annual Raw'!M30</f>
        <v>1059.06</v>
      </c>
      <c r="M67" s="23">
        <f>'Annual Raw'!N30</f>
        <v>1418.5</v>
      </c>
      <c r="N67" s="23">
        <f>'Annual Raw'!O30</f>
        <v>920.64</v>
      </c>
      <c r="O67" s="23">
        <f>'Annual Raw'!P30</f>
        <v>1065.0899999999999</v>
      </c>
      <c r="P67" s="23">
        <f>'Annual Raw'!Q30</f>
        <v>1392.12</v>
      </c>
      <c r="Q67" s="23">
        <f>'Annual Raw'!R30</f>
        <v>448</v>
      </c>
      <c r="R67" s="23">
        <f>'Annual Raw'!S30</f>
        <v>1884</v>
      </c>
      <c r="S67" s="23">
        <f>'Annual Raw'!T30</f>
        <v>3221</v>
      </c>
      <c r="T67" s="23">
        <f>'Annual Raw'!U30</f>
        <v>2500</v>
      </c>
      <c r="U67" s="23">
        <f>'Annual Raw'!V30</f>
        <v>1585</v>
      </c>
      <c r="V67" s="23">
        <f>'Annual Raw'!W30</f>
        <v>2594</v>
      </c>
      <c r="W67" s="23">
        <f>'Annual Raw'!X30</f>
        <v>4471</v>
      </c>
      <c r="X67" s="23">
        <f>'Annual Raw'!Y30</f>
        <v>4777</v>
      </c>
      <c r="Y67" s="23">
        <f>'Annual Raw'!Z30</f>
        <v>2548</v>
      </c>
      <c r="Z67" s="23">
        <f>'Annual Raw'!AA30</f>
        <v>3200</v>
      </c>
      <c r="AA67" s="23">
        <f>'Annual Raw'!AB30</f>
        <v>4676</v>
      </c>
      <c r="AB67" s="24">
        <f>+SUM(CM67:CP67)</f>
        <v>6002.976331393952</v>
      </c>
      <c r="AC67" s="24">
        <f>+SUM(CQ67:CT67)</f>
        <v>6122.8383570485239</v>
      </c>
      <c r="AD67" s="24">
        <f>+SUM(CU67:CX67)</f>
        <v>6069.0629334461737</v>
      </c>
      <c r="AE67" s="24">
        <f>+SUM(CY67:DB67)</f>
        <v>6446.3905991578486</v>
      </c>
      <c r="AI67" s="23">
        <f>'QTR Raw'!C29</f>
        <v>235.26</v>
      </c>
      <c r="AJ67" s="23">
        <f>'QTR Raw'!D29</f>
        <v>270.58999999999997</v>
      </c>
      <c r="AK67" s="23">
        <f>'QTR Raw'!E29</f>
        <v>203.05</v>
      </c>
      <c r="AL67" s="23">
        <f>'QTR Raw'!F29</f>
        <v>211.74</v>
      </c>
      <c r="AM67" s="23">
        <f>'QTR Raw'!G29</f>
        <v>267.08999999999997</v>
      </c>
      <c r="AN67" s="23">
        <f>'QTR Raw'!H29</f>
        <v>254.38</v>
      </c>
      <c r="AO67" s="23">
        <f>'QTR Raw'!I29</f>
        <v>305.3</v>
      </c>
      <c r="AP67" s="23">
        <f>'QTR Raw'!J29</f>
        <v>238.32</v>
      </c>
      <c r="AQ67" s="23">
        <f>'QTR Raw'!K29</f>
        <v>242.22</v>
      </c>
      <c r="AR67" s="23">
        <f>'QTR Raw'!L29</f>
        <v>302.47000000000003</v>
      </c>
      <c r="AS67" s="23">
        <f>'QTR Raw'!M29</f>
        <v>312.18</v>
      </c>
      <c r="AT67" s="23">
        <f>'QTR Raw'!N29</f>
        <v>535.25</v>
      </c>
      <c r="AU67" s="23">
        <f>'QTR Raw'!O29</f>
        <v>128.74</v>
      </c>
      <c r="AV67" s="23">
        <f>'QTR Raw'!P29</f>
        <v>574.37</v>
      </c>
      <c r="AW67" s="23">
        <f>'QTR Raw'!Q29</f>
        <v>44.85</v>
      </c>
      <c r="AX67" s="23">
        <f>'QTR Raw'!R29</f>
        <v>-299.92</v>
      </c>
      <c r="AY67" s="23">
        <f>'QTR Raw'!S29</f>
        <v>268</v>
      </c>
      <c r="AZ67" s="23">
        <f>'QTR Raw'!T29</f>
        <v>442</v>
      </c>
      <c r="BA67" s="23">
        <f>'QTR Raw'!U29</f>
        <v>548</v>
      </c>
      <c r="BB67" s="23">
        <f>'QTR Raw'!V29</f>
        <v>626</v>
      </c>
      <c r="BC67" s="23">
        <f>'QTR Raw'!W29</f>
        <v>546</v>
      </c>
      <c r="BD67" s="23">
        <f>'QTR Raw'!X29</f>
        <v>792</v>
      </c>
      <c r="BE67" s="23">
        <f>'QTR Raw'!Y29</f>
        <v>837</v>
      </c>
      <c r="BF67" s="23">
        <f>'QTR Raw'!Z29</f>
        <v>1046</v>
      </c>
      <c r="BG67" s="23">
        <f>'QTR Raw'!AA29</f>
        <v>692</v>
      </c>
      <c r="BH67" s="23">
        <f>'QTR Raw'!AB29</f>
        <v>459</v>
      </c>
      <c r="BI67" s="23">
        <f>'QTR Raw'!AC29</f>
        <v>637</v>
      </c>
      <c r="BJ67" s="23">
        <f>'QTR Raw'!AD29</f>
        <v>712</v>
      </c>
      <c r="BK67" s="23">
        <f>'QTR Raw'!AE29</f>
        <v>578</v>
      </c>
      <c r="BL67" s="23">
        <f>'QTR Raw'!AF29</f>
        <v>6</v>
      </c>
      <c r="BM67" s="23">
        <f>'QTR Raw'!AG29</f>
        <v>475</v>
      </c>
      <c r="BN67" s="23">
        <f>'QTR Raw'!AH29</f>
        <v>526</v>
      </c>
      <c r="BO67" s="23">
        <f>'QTR Raw'!AI29</f>
        <v>305</v>
      </c>
      <c r="BP67" s="23">
        <f>'QTR Raw'!AJ29</f>
        <v>682</v>
      </c>
      <c r="BQ67" s="23">
        <f>'QTR Raw'!AK29</f>
        <v>745</v>
      </c>
      <c r="BR67" s="23">
        <f>'QTR Raw'!AL29</f>
        <v>862</v>
      </c>
      <c r="BS67" s="23">
        <f>'QTR Raw'!AM29</f>
        <v>1040</v>
      </c>
      <c r="BT67" s="23">
        <f>'QTR Raw'!AN29</f>
        <v>845</v>
      </c>
      <c r="BU67" s="23">
        <f>'QTR Raw'!AO29</f>
        <v>1157</v>
      </c>
      <c r="BV67" s="23">
        <f>'QTR Raw'!AP29</f>
        <v>1429</v>
      </c>
      <c r="BW67" s="23">
        <f>'QTR Raw'!AQ29</f>
        <v>1580</v>
      </c>
      <c r="BX67" s="23">
        <f>'QTR Raw'!AR29</f>
        <v>1245</v>
      </c>
      <c r="BY67" s="23">
        <f>'QTR Raw'!AS29</f>
        <v>1030</v>
      </c>
      <c r="BZ67" s="23">
        <f>'QTR Raw'!AT29</f>
        <v>922</v>
      </c>
      <c r="CA67" s="23">
        <f>'QTR Raw'!AU29</f>
        <v>646</v>
      </c>
      <c r="CB67" s="23">
        <f>'QTR Raw'!AV29</f>
        <v>576</v>
      </c>
      <c r="CC67" s="23">
        <f>'QTR Raw'!AW29</f>
        <v>641</v>
      </c>
      <c r="CD67" s="23">
        <f>'QTR Raw'!AX29</f>
        <v>685</v>
      </c>
      <c r="CE67" s="23">
        <f>'QTR Raw'!AY29</f>
        <v>769</v>
      </c>
      <c r="CF67" s="23">
        <f>'QTR Raw'!AZ29</f>
        <v>803</v>
      </c>
      <c r="CG67" s="23">
        <f>'QTR Raw'!BA29</f>
        <v>849</v>
      </c>
      <c r="CH67" s="23">
        <f>'QTR Raw'!BB29</f>
        <v>779</v>
      </c>
      <c r="CI67" s="23">
        <f>'QTR Raw'!BC29</f>
        <v>751</v>
      </c>
      <c r="CJ67" s="23">
        <f>'QTR Raw'!BD29</f>
        <v>893</v>
      </c>
      <c r="CK67" s="23">
        <f>'QTR Raw'!BE29</f>
        <v>1314</v>
      </c>
      <c r="CL67" s="23">
        <f>'QTR Raw'!BF29</f>
        <v>1718</v>
      </c>
      <c r="CM67" s="24">
        <f t="shared" ref="CM67:DB67" si="602">+CM66*CM68</f>
        <v>1393.5732095459948</v>
      </c>
      <c r="CN67" s="24">
        <f t="shared" si="602"/>
        <v>1468.3169745619409</v>
      </c>
      <c r="CO67" s="24">
        <f t="shared" si="602"/>
        <v>1564.0958662746928</v>
      </c>
      <c r="CP67" s="24">
        <f t="shared" si="602"/>
        <v>1576.9902810113238</v>
      </c>
      <c r="CQ67" s="24">
        <f t="shared" si="602"/>
        <v>1397.4394757578034</v>
      </c>
      <c r="CR67" s="24">
        <f t="shared" si="602"/>
        <v>1473.9847657483801</v>
      </c>
      <c r="CS67" s="24">
        <f t="shared" si="602"/>
        <v>1596.841172756767</v>
      </c>
      <c r="CT67" s="24">
        <f t="shared" si="602"/>
        <v>1654.5729427855729</v>
      </c>
      <c r="CU67" s="24">
        <f t="shared" si="602"/>
        <v>1341.7630679844508</v>
      </c>
      <c r="CV67" s="24">
        <f t="shared" si="602"/>
        <v>1448.3281703169257</v>
      </c>
      <c r="CW67" s="24">
        <f t="shared" si="602"/>
        <v>1599.4057235367704</v>
      </c>
      <c r="CX67" s="24">
        <f t="shared" si="602"/>
        <v>1679.5659716080265</v>
      </c>
      <c r="CY67" s="24">
        <f t="shared" si="602"/>
        <v>1448.8850587313782</v>
      </c>
      <c r="CZ67" s="24">
        <f t="shared" si="602"/>
        <v>1545.5418035866205</v>
      </c>
      <c r="DA67" s="24">
        <f t="shared" si="602"/>
        <v>1688.093742751495</v>
      </c>
      <c r="DB67" s="24">
        <f t="shared" si="602"/>
        <v>1763.8699940883539</v>
      </c>
      <c r="DE67" s="123"/>
      <c r="DF67" s="23">
        <v>1401.6143095899424</v>
      </c>
    </row>
    <row r="68" spans="1:110" s="90" customFormat="1" x14ac:dyDescent="0.2">
      <c r="A68" s="90" t="s">
        <v>106</v>
      </c>
      <c r="B68" s="90">
        <f t="shared" ref="B68:E68" si="603">B67/B66</f>
        <v>0.40039699539259987</v>
      </c>
      <c r="C68" s="90">
        <f t="shared" si="603"/>
        <v>0.34720007684180226</v>
      </c>
      <c r="D68" s="90">
        <f t="shared" si="603"/>
        <v>0.38023403847159976</v>
      </c>
      <c r="E68" s="90">
        <f t="shared" si="603"/>
        <v>0.22642090445187404</v>
      </c>
      <c r="F68" s="90">
        <f t="shared" ref="F68:T68" si="604">F67/F66</f>
        <v>0.29300263237388335</v>
      </c>
      <c r="G68" s="90">
        <f t="shared" si="604"/>
        <v>0.33956771933601554</v>
      </c>
      <c r="H68" s="90">
        <f t="shared" si="604"/>
        <v>0.31173783558476881</v>
      </c>
      <c r="I68" s="90">
        <f t="shared" si="604"/>
        <v>0.2655271045588054</v>
      </c>
      <c r="J68" s="90">
        <f t="shared" si="604"/>
        <v>0.18778586402401257</v>
      </c>
      <c r="K68" s="90">
        <f t="shared" si="604"/>
        <v>0.19399255301539056</v>
      </c>
      <c r="L68" s="90">
        <f t="shared" si="604"/>
        <v>0.1770793099815908</v>
      </c>
      <c r="M68" s="90">
        <f t="shared" si="604"/>
        <v>0.20300042789656644</v>
      </c>
      <c r="N68" s="90">
        <f t="shared" si="604"/>
        <v>0.11746378059750051</v>
      </c>
      <c r="O68" s="90">
        <f t="shared" si="604"/>
        <v>0.13364225298034685</v>
      </c>
      <c r="P68" s="90">
        <f t="shared" si="604"/>
        <v>0.14501265105484484</v>
      </c>
      <c r="Q68" s="90">
        <f t="shared" si="604"/>
        <v>5.1773951230787013E-2</v>
      </c>
      <c r="R68" s="90">
        <f t="shared" si="604"/>
        <v>0.18470588235294116</v>
      </c>
      <c r="S68" s="90">
        <f t="shared" si="604"/>
        <v>0.26278861058986702</v>
      </c>
      <c r="T68" s="90">
        <f t="shared" si="604"/>
        <v>0.23909716908951797</v>
      </c>
      <c r="U68" s="90">
        <f t="shared" ref="U68:Z68" si="605">U67/U66</f>
        <v>0.18891537544696066</v>
      </c>
      <c r="V68" s="90">
        <f t="shared" si="605"/>
        <v>0.24531870626063931</v>
      </c>
      <c r="W68" s="90">
        <f t="shared" si="605"/>
        <v>0.31410706758465645</v>
      </c>
      <c r="X68" s="90">
        <f t="shared" si="605"/>
        <v>0.31246729461015177</v>
      </c>
      <c r="Y68" s="90">
        <f t="shared" si="605"/>
        <v>0.24721063355001455</v>
      </c>
      <c r="Z68" s="90">
        <f t="shared" si="605"/>
        <v>0.23467292461132297</v>
      </c>
      <c r="AA68" s="90">
        <f t="shared" ref="AA68" si="606">AA67/AA66</f>
        <v>0.25298923334956447</v>
      </c>
      <c r="AB68" s="91">
        <f t="shared" ref="AA68:AD68" si="607">AB67/AB66</f>
        <v>0.25301519847969528</v>
      </c>
      <c r="AC68" s="91">
        <f t="shared" si="607"/>
        <v>0.25309185661020134</v>
      </c>
      <c r="AD68" s="91">
        <f t="shared" si="607"/>
        <v>0.25310691665704804</v>
      </c>
      <c r="AE68" s="91">
        <f t="shared" ref="AE68" si="608">AE67/AE66</f>
        <v>0.25310938062894084</v>
      </c>
      <c r="AI68" s="90">
        <f t="shared" ref="AI68" si="609">AI67/AI66</f>
        <v>0.12950566993284154</v>
      </c>
      <c r="AJ68" s="90">
        <f t="shared" ref="AJ68" si="610">AJ67/AJ66</f>
        <v>0.14946585799666365</v>
      </c>
      <c r="AK68" s="90">
        <f t="shared" ref="AK68:AM68" si="611">AK67/AK66</f>
        <v>0.11183692353449842</v>
      </c>
      <c r="AL68" s="90">
        <f t="shared" si="611"/>
        <v>8.8406232777193242E-2</v>
      </c>
      <c r="AM68" s="90">
        <f t="shared" si="611"/>
        <v>0.13852784664377663</v>
      </c>
      <c r="AN68" s="90">
        <f t="shared" ref="AN68:AO68" si="612">AN67/AN66</f>
        <v>0.13006575381689151</v>
      </c>
      <c r="AO68" s="90">
        <f t="shared" si="612"/>
        <v>0.15054092168716285</v>
      </c>
      <c r="AP68" s="90">
        <f t="shared" ref="AP68:CD68" si="613">AP67/AP66</f>
        <v>0.11244055257794218</v>
      </c>
      <c r="AQ68" s="90">
        <f t="shared" si="613"/>
        <v>0.13023350843329443</v>
      </c>
      <c r="AR68" s="90">
        <f t="shared" si="613"/>
        <v>0.1215324654451945</v>
      </c>
      <c r="AS68" s="90">
        <f t="shared" si="613"/>
        <v>0.11598521298136763</v>
      </c>
      <c r="AT68" s="90">
        <f t="shared" si="613"/>
        <v>0.20910245141127062</v>
      </c>
      <c r="AU68" s="90">
        <f t="shared" si="613"/>
        <v>6.2017669785052958E-2</v>
      </c>
      <c r="AV68" s="90">
        <f t="shared" si="613"/>
        <v>0.20190455433850305</v>
      </c>
      <c r="AW68" s="90">
        <f t="shared" si="613"/>
        <v>2.3790831644723582E-2</v>
      </c>
      <c r="AX68" s="90">
        <f t="shared" si="613"/>
        <v>-0.16231984456435267</v>
      </c>
      <c r="AY68" s="90">
        <f t="shared" si="613"/>
        <v>0.20536398467432951</v>
      </c>
      <c r="AZ68" s="90">
        <f t="shared" si="613"/>
        <v>0.18856655290102389</v>
      </c>
      <c r="BA68" s="90">
        <f t="shared" si="613"/>
        <v>0.19107391910739191</v>
      </c>
      <c r="BB68" s="90">
        <f t="shared" si="613"/>
        <v>0.16997013304371436</v>
      </c>
      <c r="BC68" s="90">
        <f t="shared" si="613"/>
        <v>0.22422997946611908</v>
      </c>
      <c r="BD68" s="90">
        <f t="shared" si="613"/>
        <v>0.25672609400324148</v>
      </c>
      <c r="BE68" s="90">
        <f t="shared" si="613"/>
        <v>0.26698564593301438</v>
      </c>
      <c r="BF68" s="90">
        <f t="shared" si="613"/>
        <v>0.29039422543031651</v>
      </c>
      <c r="BG68" s="90">
        <f t="shared" si="613"/>
        <v>0.26513409961685824</v>
      </c>
      <c r="BH68" s="90">
        <f t="shared" si="613"/>
        <v>0.20184696569920843</v>
      </c>
      <c r="BI68" s="90">
        <f t="shared" si="613"/>
        <v>0.22366573033707865</v>
      </c>
      <c r="BJ68" s="90">
        <f t="shared" si="613"/>
        <v>0.26138032305433184</v>
      </c>
      <c r="BK68" s="90">
        <f t="shared" si="613"/>
        <v>0.24669227486128895</v>
      </c>
      <c r="BL68" s="90">
        <f t="shared" si="613"/>
        <v>2.8749401054144704E-3</v>
      </c>
      <c r="BM68" s="90">
        <f t="shared" si="613"/>
        <v>0.22673031026252982</v>
      </c>
      <c r="BN68" s="90">
        <f t="shared" si="613"/>
        <v>0.28203753351206434</v>
      </c>
      <c r="BO68" s="90">
        <f t="shared" si="613"/>
        <v>0.18329326923076922</v>
      </c>
      <c r="BP68" s="90">
        <f t="shared" si="613"/>
        <v>0.2601067887109077</v>
      </c>
      <c r="BQ68" s="90">
        <f t="shared" si="613"/>
        <v>0.25297113752122241</v>
      </c>
      <c r="BR68" s="90">
        <f t="shared" si="613"/>
        <v>0.25785222853724199</v>
      </c>
      <c r="BS68" s="90">
        <f t="shared" si="613"/>
        <v>0.32942667089008554</v>
      </c>
      <c r="BT68" s="90">
        <f t="shared" si="613"/>
        <v>0.29524807826694621</v>
      </c>
      <c r="BU68" s="90">
        <f t="shared" si="613"/>
        <v>0.29989631933644373</v>
      </c>
      <c r="BV68" s="90">
        <f t="shared" si="613"/>
        <v>0.3279779664907046</v>
      </c>
      <c r="BW68" s="90">
        <f t="shared" si="613"/>
        <v>0.33818493150684931</v>
      </c>
      <c r="BX68" s="90">
        <f t="shared" si="613"/>
        <v>0.31719745222929935</v>
      </c>
      <c r="BY68" s="90">
        <f t="shared" si="613"/>
        <v>0.32328939108600124</v>
      </c>
      <c r="BZ68" s="90">
        <f t="shared" si="613"/>
        <v>0.26305278174037089</v>
      </c>
      <c r="CA68" s="90">
        <f t="shared" si="613"/>
        <v>0.2475095785440613</v>
      </c>
      <c r="CB68" s="90">
        <f t="shared" si="613"/>
        <v>0.24989154013015186</v>
      </c>
      <c r="CC68" s="90">
        <f t="shared" si="613"/>
        <v>0.24016485575121768</v>
      </c>
      <c r="CD68" s="90">
        <f t="shared" si="613"/>
        <v>0.25156077855306647</v>
      </c>
      <c r="CE68" s="90">
        <f t="shared" ref="CE68:CF68" si="614">CE67/CE66</f>
        <v>0.24694926140012846</v>
      </c>
      <c r="CF68" s="90">
        <f t="shared" si="614"/>
        <v>0.24992219109866168</v>
      </c>
      <c r="CG68" s="90">
        <f t="shared" ref="CG68:CH68" si="615">CG67/CG66</f>
        <v>0.24071448823362632</v>
      </c>
      <c r="CH68" s="90">
        <f t="shared" si="615"/>
        <v>0.20597567424643046</v>
      </c>
      <c r="CI68" s="90">
        <f t="shared" ref="CI68:CJ68" si="616">CI67/CI66</f>
        <v>0.25159128978224454</v>
      </c>
      <c r="CJ68" s="90">
        <f t="shared" si="616"/>
        <v>0.25211744776962169</v>
      </c>
      <c r="CK68" s="90">
        <f t="shared" ref="CK68:CL68" si="617">CK67/CK66</f>
        <v>0.25244956772334293</v>
      </c>
      <c r="CL68" s="90">
        <f t="shared" si="617"/>
        <v>0.25448081765664349</v>
      </c>
      <c r="CM68" s="91">
        <f t="shared" ref="CM68" si="618">AVERAGE(CI68:CL68)</f>
        <v>0.25265978073296319</v>
      </c>
      <c r="CN68" s="91">
        <f t="shared" ref="CN68" si="619">AVERAGE(CJ68:CM68)</f>
        <v>0.25292690347064284</v>
      </c>
      <c r="CO68" s="91">
        <f t="shared" ref="CO68" si="620">AVERAGE(CK68:CN68)</f>
        <v>0.25312926739589814</v>
      </c>
      <c r="CP68" s="91">
        <f t="shared" ref="CP68" si="621">AVERAGE(CL68:CO68)</f>
        <v>0.25329919231403691</v>
      </c>
      <c r="CQ68" s="91">
        <f t="shared" ref="CQ68" si="622">AVERAGE(CM68:CP68)</f>
        <v>0.2530037859783853</v>
      </c>
      <c r="CR68" s="91">
        <f t="shared" ref="CR68" si="623">AVERAGE(CN68:CQ68)</f>
        <v>0.2530897872897408</v>
      </c>
      <c r="CS68" s="91">
        <f t="shared" ref="CS68" si="624">AVERAGE(CO68:CR68)</f>
        <v>0.25313050824451533</v>
      </c>
      <c r="CT68" s="91">
        <f t="shared" ref="CT68" si="625">AVERAGE(CP68:CS68)</f>
        <v>0.25313081845666963</v>
      </c>
      <c r="CU68" s="91">
        <f t="shared" ref="CU68" si="626">AVERAGE(CQ68:CT68)</f>
        <v>0.25308872499232776</v>
      </c>
      <c r="CV68" s="91">
        <f t="shared" ref="CV68" si="627">AVERAGE(CR68:CU68)</f>
        <v>0.25310995974581335</v>
      </c>
      <c r="CW68" s="91">
        <f t="shared" ref="CW68" si="628">AVERAGE(CS68:CV68)</f>
        <v>0.25311500285983152</v>
      </c>
      <c r="CX68" s="91">
        <f t="shared" ref="CX68" si="629">AVERAGE(CT68:CW68)</f>
        <v>0.25311112651366052</v>
      </c>
      <c r="CY68" s="91">
        <f t="shared" ref="CY68" si="630">AVERAGE(CU68:CX68)</f>
        <v>0.2531062035279083</v>
      </c>
      <c r="CZ68" s="91">
        <f t="shared" ref="CZ68" si="631">AVERAGE(CV68:CY68)</f>
        <v>0.25311057316180341</v>
      </c>
      <c r="DA68" s="91">
        <f t="shared" ref="DA68" si="632">AVERAGE(CW68:CZ68)</f>
        <v>0.25311072651580091</v>
      </c>
      <c r="DB68" s="91">
        <f t="shared" ref="DB68" si="633">AVERAGE(CX68:DA68)</f>
        <v>0.2531096574297933</v>
      </c>
      <c r="DE68" s="127"/>
      <c r="DF68" s="90">
        <v>0.24053349488040993</v>
      </c>
    </row>
    <row r="69" spans="1:110" s="26" customFormat="1" x14ac:dyDescent="0.2">
      <c r="A69" s="26" t="s">
        <v>22</v>
      </c>
      <c r="B69" s="26">
        <f t="shared" ref="B69:E69" si="634">B66-B67</f>
        <v>169.2199</v>
      </c>
      <c r="C69" s="26">
        <f t="shared" si="634"/>
        <v>67.962999999999909</v>
      </c>
      <c r="D69" s="26">
        <f t="shared" si="634"/>
        <v>142.15199999999999</v>
      </c>
      <c r="E69" s="26">
        <f t="shared" si="634"/>
        <v>615.47499999999991</v>
      </c>
      <c r="F69" s="26">
        <f t="shared" ref="F69:T69" si="635">F66-F67</f>
        <v>655.33000000000015</v>
      </c>
      <c r="G69" s="26">
        <f t="shared" si="635"/>
        <v>1472.4799999999996</v>
      </c>
      <c r="H69" s="26">
        <f t="shared" si="635"/>
        <v>4441.8100000000031</v>
      </c>
      <c r="I69" s="26">
        <f t="shared" si="635"/>
        <v>4396.07</v>
      </c>
      <c r="J69" s="26">
        <f t="shared" si="635"/>
        <v>2727.61</v>
      </c>
      <c r="K69" s="26">
        <f t="shared" si="635"/>
        <v>4041.4100000000008</v>
      </c>
      <c r="L69" s="26">
        <f t="shared" si="635"/>
        <v>4921.6499999999996</v>
      </c>
      <c r="M69" s="26">
        <f t="shared" si="635"/>
        <v>5569.1699999999983</v>
      </c>
      <c r="N69" s="26">
        <f t="shared" si="635"/>
        <v>6917.01</v>
      </c>
      <c r="O69" s="26">
        <f t="shared" si="635"/>
        <v>6904.619999999999</v>
      </c>
      <c r="P69" s="26">
        <f t="shared" si="635"/>
        <v>8207.869999999999</v>
      </c>
      <c r="Q69" s="26">
        <f t="shared" si="635"/>
        <v>8205</v>
      </c>
      <c r="R69" s="26">
        <f t="shared" si="635"/>
        <v>8316</v>
      </c>
      <c r="S69" s="26">
        <f t="shared" si="635"/>
        <v>9036</v>
      </c>
      <c r="T69" s="26">
        <f t="shared" si="635"/>
        <v>7956</v>
      </c>
      <c r="U69" s="26">
        <f t="shared" ref="U69:Z69" si="636">U66-U67</f>
        <v>6805</v>
      </c>
      <c r="V69" s="26">
        <f t="shared" si="636"/>
        <v>7980</v>
      </c>
      <c r="W69" s="26">
        <f t="shared" si="636"/>
        <v>9763</v>
      </c>
      <c r="X69" s="26">
        <f t="shared" si="636"/>
        <v>10511</v>
      </c>
      <c r="Y69" s="26">
        <f t="shared" si="636"/>
        <v>7759</v>
      </c>
      <c r="Z69" s="26">
        <f t="shared" si="636"/>
        <v>10436</v>
      </c>
      <c r="AA69" s="26">
        <f t="shared" ref="AA69" si="637">AA66-AA67</f>
        <v>13807</v>
      </c>
      <c r="AB69" s="27">
        <f t="shared" ref="AA69:AD69" si="638">AB66-AB67</f>
        <v>17722.777565859367</v>
      </c>
      <c r="AC69" s="27">
        <f t="shared" si="638"/>
        <v>18069.320328161943</v>
      </c>
      <c r="AD69" s="27">
        <f t="shared" si="638"/>
        <v>17909.195004362631</v>
      </c>
      <c r="AE69" s="27">
        <f t="shared" ref="AE69" si="639">AE66-AE67</f>
        <v>19022.403102361568</v>
      </c>
      <c r="AI69" s="26">
        <f>AI66-AI67</f>
        <v>1581.3400000000001</v>
      </c>
      <c r="AJ69" s="26">
        <f t="shared" ref="AJ69" si="640">AJ66-AJ67</f>
        <v>1539.7900000000004</v>
      </c>
      <c r="AK69" s="26">
        <f t="shared" ref="AK69:AM69" si="641">AK66-AK67</f>
        <v>1612.5400000000002</v>
      </c>
      <c r="AL69" s="26">
        <f t="shared" si="641"/>
        <v>2183.34</v>
      </c>
      <c r="AM69" s="26">
        <f t="shared" si="641"/>
        <v>1660.97</v>
      </c>
      <c r="AN69" s="26">
        <f t="shared" ref="AN69:AO69" si="642">AN66-AN67</f>
        <v>1701.3999999999996</v>
      </c>
      <c r="AO69" s="26">
        <f t="shared" si="642"/>
        <v>1722.72</v>
      </c>
      <c r="AP69" s="26">
        <f t="shared" ref="AP69:CD69" si="643">AP66-AP67</f>
        <v>1881.2</v>
      </c>
      <c r="AQ69" s="26">
        <f t="shared" si="643"/>
        <v>1617.6700000000003</v>
      </c>
      <c r="AR69" s="26">
        <f t="shared" si="643"/>
        <v>2186.33</v>
      </c>
      <c r="AS69" s="26">
        <f t="shared" si="643"/>
        <v>2379.37</v>
      </c>
      <c r="AT69" s="26">
        <f t="shared" si="643"/>
        <v>2024.5</v>
      </c>
      <c r="AU69" s="26">
        <f t="shared" si="643"/>
        <v>1947.1199999999997</v>
      </c>
      <c r="AV69" s="26">
        <f t="shared" si="643"/>
        <v>2270.3900000000003</v>
      </c>
      <c r="AW69" s="26">
        <f t="shared" si="643"/>
        <v>1840.33</v>
      </c>
      <c r="AX69" s="26">
        <f t="shared" si="643"/>
        <v>2147.6299999999997</v>
      </c>
      <c r="AY69" s="26">
        <f t="shared" si="643"/>
        <v>1037</v>
      </c>
      <c r="AZ69" s="26">
        <f t="shared" si="643"/>
        <v>1902</v>
      </c>
      <c r="BA69" s="26">
        <f t="shared" si="643"/>
        <v>2320</v>
      </c>
      <c r="BB69" s="26">
        <f t="shared" si="643"/>
        <v>3057</v>
      </c>
      <c r="BC69" s="26">
        <f t="shared" si="643"/>
        <v>1889</v>
      </c>
      <c r="BD69" s="26">
        <f t="shared" si="643"/>
        <v>2293</v>
      </c>
      <c r="BE69" s="26">
        <f t="shared" si="643"/>
        <v>2298</v>
      </c>
      <c r="BF69" s="26">
        <f t="shared" si="643"/>
        <v>2556</v>
      </c>
      <c r="BG69" s="26">
        <f t="shared" si="643"/>
        <v>1918</v>
      </c>
      <c r="BH69" s="26">
        <f t="shared" si="643"/>
        <v>1815</v>
      </c>
      <c r="BI69" s="26">
        <f t="shared" si="643"/>
        <v>2211</v>
      </c>
      <c r="BJ69" s="26">
        <f t="shared" si="643"/>
        <v>2012</v>
      </c>
      <c r="BK69" s="26">
        <f t="shared" si="643"/>
        <v>1765</v>
      </c>
      <c r="BL69" s="26">
        <f t="shared" si="643"/>
        <v>2081</v>
      </c>
      <c r="BM69" s="26">
        <f t="shared" si="643"/>
        <v>1620</v>
      </c>
      <c r="BN69" s="26">
        <f t="shared" si="643"/>
        <v>1339</v>
      </c>
      <c r="BO69" s="26">
        <f t="shared" si="643"/>
        <v>1359</v>
      </c>
      <c r="BP69" s="26">
        <f t="shared" si="643"/>
        <v>1940</v>
      </c>
      <c r="BQ69" s="26">
        <f t="shared" si="643"/>
        <v>2200</v>
      </c>
      <c r="BR69" s="26">
        <f t="shared" si="643"/>
        <v>2481</v>
      </c>
      <c r="BS69" s="26">
        <f t="shared" si="643"/>
        <v>2117</v>
      </c>
      <c r="BT69" s="26">
        <f t="shared" si="643"/>
        <v>2017</v>
      </c>
      <c r="BU69" s="26">
        <f t="shared" si="643"/>
        <v>2701</v>
      </c>
      <c r="BV69" s="26">
        <f t="shared" si="643"/>
        <v>2928</v>
      </c>
      <c r="BW69" s="26">
        <f t="shared" si="643"/>
        <v>3092</v>
      </c>
      <c r="BX69" s="26">
        <f t="shared" si="643"/>
        <v>2680</v>
      </c>
      <c r="BY69" s="26">
        <f t="shared" si="643"/>
        <v>2156</v>
      </c>
      <c r="BZ69" s="26">
        <f t="shared" si="643"/>
        <v>2583</v>
      </c>
      <c r="CA69" s="26">
        <f t="shared" si="643"/>
        <v>1964</v>
      </c>
      <c r="CB69" s="26">
        <f t="shared" si="643"/>
        <v>1729</v>
      </c>
      <c r="CC69" s="26">
        <f t="shared" si="643"/>
        <v>2028</v>
      </c>
      <c r="CD69" s="26">
        <f t="shared" si="643"/>
        <v>2038</v>
      </c>
      <c r="CE69" s="26">
        <f t="shared" ref="CE69:CF69" si="644">CE66-CE67</f>
        <v>2345</v>
      </c>
      <c r="CF69" s="26">
        <f t="shared" si="644"/>
        <v>2410</v>
      </c>
      <c r="CG69" s="26">
        <f t="shared" ref="CG69:CH69" si="645">CG66-CG67</f>
        <v>2678</v>
      </c>
      <c r="CH69" s="26">
        <f t="shared" si="645"/>
        <v>3003</v>
      </c>
      <c r="CI69" s="26">
        <f t="shared" ref="CI69:CJ69" si="646">CI66-CI67</f>
        <v>2234</v>
      </c>
      <c r="CJ69" s="26">
        <f t="shared" si="646"/>
        <v>2649</v>
      </c>
      <c r="CK69" s="26">
        <f t="shared" ref="CK69:CL69" si="647">CK66-CK67</f>
        <v>3891</v>
      </c>
      <c r="CL69" s="26">
        <f t="shared" si="647"/>
        <v>5033</v>
      </c>
      <c r="CM69" s="27">
        <f t="shared" ref="CM69:DB69" si="648">CM66-CM67</f>
        <v>4122.0383591146547</v>
      </c>
      <c r="CN69" s="27">
        <f t="shared" si="648"/>
        <v>4336.9846932868022</v>
      </c>
      <c r="CO69" s="27">
        <f t="shared" si="648"/>
        <v>4614.9441252898641</v>
      </c>
      <c r="CP69" s="27">
        <f t="shared" si="648"/>
        <v>4648.8103881680418</v>
      </c>
      <c r="CQ69" s="27">
        <f t="shared" si="648"/>
        <v>4125.9540590614342</v>
      </c>
      <c r="CR69" s="27">
        <f t="shared" si="648"/>
        <v>4349.9751084639338</v>
      </c>
      <c r="CS69" s="27">
        <f t="shared" si="648"/>
        <v>4711.5298878120111</v>
      </c>
      <c r="CT69" s="27">
        <f t="shared" si="648"/>
        <v>4881.8612728245625</v>
      </c>
      <c r="CU69" s="27">
        <f t="shared" si="648"/>
        <v>3959.78905775772</v>
      </c>
      <c r="CV69" s="27">
        <f t="shared" si="648"/>
        <v>4273.8021313567606</v>
      </c>
      <c r="CW69" s="27">
        <f t="shared" si="648"/>
        <v>4719.4837356648222</v>
      </c>
      <c r="CX69" s="27">
        <f t="shared" si="648"/>
        <v>4956.1200795833247</v>
      </c>
      <c r="CY69" s="27">
        <f t="shared" si="648"/>
        <v>4275.5303784889093</v>
      </c>
      <c r="CZ69" s="27">
        <f t="shared" si="648"/>
        <v>4560.6503806435412</v>
      </c>
      <c r="DA69" s="27">
        <f t="shared" si="648"/>
        <v>4981.2946549231983</v>
      </c>
      <c r="DB69" s="27">
        <f t="shared" si="648"/>
        <v>5204.9276883059265</v>
      </c>
      <c r="DE69" s="121"/>
      <c r="DF69" s="26">
        <v>4425.4922656785311</v>
      </c>
    </row>
    <row r="70" spans="1:110" s="45" customFormat="1" x14ac:dyDescent="0.2">
      <c r="A70" s="45" t="s">
        <v>107</v>
      </c>
      <c r="B70" s="45">
        <f t="shared" ref="B70:E70" si="649">+B69/B38</f>
        <v>0.1205542649818791</v>
      </c>
      <c r="C70" s="45">
        <f t="shared" si="649"/>
        <v>5.505354847228279E-2</v>
      </c>
      <c r="D70" s="45">
        <f t="shared" si="649"/>
        <v>9.7898601478065575E-2</v>
      </c>
      <c r="E70" s="45">
        <f t="shared" si="649"/>
        <v>0.33422590570482441</v>
      </c>
      <c r="F70" s="45">
        <f t="shared" ref="F70:AE70" si="650">+F69/F38</f>
        <v>0.2975918550844418</v>
      </c>
      <c r="G70" s="45">
        <f t="shared" si="650"/>
        <v>0.37980175239942521</v>
      </c>
      <c r="H70" s="45">
        <f t="shared" si="650"/>
        <v>0.51888970143290736</v>
      </c>
      <c r="I70" s="45">
        <f t="shared" si="650"/>
        <v>0.55803482457599041</v>
      </c>
      <c r="J70" s="45">
        <f t="shared" si="650"/>
        <v>0.4801902022263026</v>
      </c>
      <c r="K70" s="45">
        <f t="shared" si="650"/>
        <v>0.50410691321035261</v>
      </c>
      <c r="L70" s="45">
        <f t="shared" si="650"/>
        <v>0.49024471146519083</v>
      </c>
      <c r="M70" s="45">
        <f t="shared" si="650"/>
        <v>0.48829624096144675</v>
      </c>
      <c r="N70" s="45">
        <f t="shared" si="650"/>
        <v>0.54465331846700427</v>
      </c>
      <c r="O70" s="45">
        <f t="shared" si="650"/>
        <v>0.5063508173927328</v>
      </c>
      <c r="P70" s="45">
        <f t="shared" si="650"/>
        <v>0.55502120244326791</v>
      </c>
      <c r="Q70" s="45">
        <f t="shared" si="650"/>
        <v>0.57859107256187858</v>
      </c>
      <c r="R70" s="45">
        <f t="shared" si="650"/>
        <v>0.48144502981531873</v>
      </c>
      <c r="S70" s="45">
        <f t="shared" si="650"/>
        <v>0.40920206503034146</v>
      </c>
      <c r="T70" s="45">
        <f t="shared" si="650"/>
        <v>0.37674022161189508</v>
      </c>
      <c r="U70" s="45">
        <f t="shared" si="650"/>
        <v>0.36662895318140187</v>
      </c>
      <c r="V70" s="45">
        <f t="shared" si="650"/>
        <v>0.3526448362720403</v>
      </c>
      <c r="W70" s="45">
        <f t="shared" si="650"/>
        <v>0.33162364130434785</v>
      </c>
      <c r="X70" s="45">
        <f t="shared" si="650"/>
        <v>0.30825854888849785</v>
      </c>
      <c r="Y70" s="45">
        <f t="shared" si="650"/>
        <v>0.26818056131618967</v>
      </c>
      <c r="Z70" s="45">
        <f t="shared" ref="Z70:AA70" si="651">+Z69/Z38</f>
        <v>0.30619370360590326</v>
      </c>
      <c r="AA70" s="45">
        <f t="shared" si="651"/>
        <v>0.33804230731564</v>
      </c>
      <c r="AB70" s="48">
        <f t="shared" si="650"/>
        <v>0.36603457962770608</v>
      </c>
      <c r="AC70" s="48">
        <f t="shared" si="650"/>
        <v>0.37821375015181036</v>
      </c>
      <c r="AD70" s="48">
        <f t="shared" si="650"/>
        <v>0.37812075624280889</v>
      </c>
      <c r="AE70" s="48">
        <f t="shared" si="650"/>
        <v>0.40778832043897556</v>
      </c>
      <c r="AI70" s="45">
        <f t="shared" ref="AI70:BN70" si="652">+AI69/AI38</f>
        <v>0.57551197178741575</v>
      </c>
      <c r="AJ70" s="45">
        <f t="shared" si="652"/>
        <v>0.53736223852365772</v>
      </c>
      <c r="AK70" s="45">
        <f t="shared" si="652"/>
        <v>0.50740398109514739</v>
      </c>
      <c r="AL70" s="45">
        <f t="shared" si="652"/>
        <v>0.55859184117278349</v>
      </c>
      <c r="AM70" s="45">
        <f t="shared" si="652"/>
        <v>0.5565954908583991</v>
      </c>
      <c r="AN70" s="45">
        <f t="shared" si="652"/>
        <v>0.47803817224995993</v>
      </c>
      <c r="AO70" s="45">
        <f t="shared" si="652"/>
        <v>0.49932899912175693</v>
      </c>
      <c r="AP70" s="45">
        <f t="shared" si="652"/>
        <v>0.51643295595550531</v>
      </c>
      <c r="AQ70" s="45">
        <f t="shared" si="652"/>
        <v>0.53793408464380377</v>
      </c>
      <c r="AR70" s="45">
        <f t="shared" si="652"/>
        <v>0.57498987476264873</v>
      </c>
      <c r="AS70" s="45">
        <f t="shared" si="652"/>
        <v>0.61751454657759641</v>
      </c>
      <c r="AT70" s="45">
        <f t="shared" si="652"/>
        <v>0.49070698648465222</v>
      </c>
      <c r="AU70" s="45">
        <f t="shared" si="652"/>
        <v>0.5363715748849226</v>
      </c>
      <c r="AV70" s="45">
        <f t="shared" si="652"/>
        <v>0.56291126372945233</v>
      </c>
      <c r="AW70" s="45">
        <f t="shared" si="652"/>
        <v>0.53644864716753438</v>
      </c>
      <c r="AX70" s="45">
        <f t="shared" si="652"/>
        <v>0.62185436024542562</v>
      </c>
      <c r="AY70" s="45">
        <f t="shared" si="652"/>
        <v>0.36982881597717548</v>
      </c>
      <c r="AZ70" s="45">
        <f t="shared" si="652"/>
        <v>0.54342857142857148</v>
      </c>
      <c r="BA70" s="45">
        <f t="shared" si="652"/>
        <v>0.46520954481652294</v>
      </c>
      <c r="BB70" s="45">
        <f t="shared" si="652"/>
        <v>0.48872901678657077</v>
      </c>
      <c r="BC70" s="45">
        <f t="shared" si="652"/>
        <v>0.41280594405594406</v>
      </c>
      <c r="BD70" s="45">
        <f t="shared" si="652"/>
        <v>0.43190808061781882</v>
      </c>
      <c r="BE70" s="45">
        <f t="shared" si="652"/>
        <v>0.38804457953394123</v>
      </c>
      <c r="BF70" s="45">
        <f t="shared" si="652"/>
        <v>0.40720089214592958</v>
      </c>
      <c r="BG70" s="45">
        <f t="shared" si="652"/>
        <v>0.36120527306967987</v>
      </c>
      <c r="BH70" s="45">
        <f t="shared" si="652"/>
        <v>0.37994557253506384</v>
      </c>
      <c r="BI70" s="45">
        <f t="shared" si="652"/>
        <v>0.39909747292418774</v>
      </c>
      <c r="BJ70" s="45">
        <f t="shared" si="652"/>
        <v>0.36641777454015662</v>
      </c>
      <c r="BK70" s="45">
        <f t="shared" si="652"/>
        <v>0.35392019250050133</v>
      </c>
      <c r="BL70" s="45">
        <f t="shared" si="652"/>
        <v>0.46131678120150743</v>
      </c>
      <c r="BM70" s="45">
        <f t="shared" si="652"/>
        <v>0.34674657534246578</v>
      </c>
      <c r="BN70" s="45">
        <f t="shared" si="652"/>
        <v>0.30494192666818493</v>
      </c>
      <c r="BO70" s="45">
        <f t="shared" ref="BO70:CT70" si="653">+BO69/BO38</f>
        <v>0.34068688894459764</v>
      </c>
      <c r="BP70" s="45">
        <f t="shared" si="653"/>
        <v>0.34275618374558303</v>
      </c>
      <c r="BQ70" s="45">
        <f t="shared" si="653"/>
        <v>0.36466103099618763</v>
      </c>
      <c r="BR70" s="45">
        <f t="shared" si="653"/>
        <v>0.35713257521232189</v>
      </c>
      <c r="BS70" s="45">
        <f t="shared" si="653"/>
        <v>0.32414637880875824</v>
      </c>
      <c r="BT70" s="45">
        <f t="shared" si="653"/>
        <v>0.32946749428291405</v>
      </c>
      <c r="BU70" s="45">
        <f t="shared" si="653"/>
        <v>0.33804755944931164</v>
      </c>
      <c r="BV70" s="45">
        <f t="shared" si="653"/>
        <v>0.33284074116175971</v>
      </c>
      <c r="BW70" s="45">
        <f t="shared" si="653"/>
        <v>0.32939171194204753</v>
      </c>
      <c r="BX70" s="45">
        <f t="shared" si="653"/>
        <v>0.32149712092130517</v>
      </c>
      <c r="BY70" s="45">
        <f t="shared" si="653"/>
        <v>0.27409102466310703</v>
      </c>
      <c r="BZ70" s="45">
        <f t="shared" si="653"/>
        <v>0.3035609354800799</v>
      </c>
      <c r="CA70" s="45">
        <f t="shared" si="653"/>
        <v>0.26970612469101896</v>
      </c>
      <c r="CB70" s="45">
        <f t="shared" si="653"/>
        <v>0.25460167869238698</v>
      </c>
      <c r="CC70" s="45">
        <f t="shared" si="653"/>
        <v>0.27742818057455543</v>
      </c>
      <c r="CD70" s="45">
        <f t="shared" si="653"/>
        <v>0.26996953238839583</v>
      </c>
      <c r="CE70" s="45">
        <f t="shared" si="653"/>
        <v>0.28843788437884377</v>
      </c>
      <c r="CF70" s="45">
        <f t="shared" si="653"/>
        <v>0.29205041202132814</v>
      </c>
      <c r="CG70" s="45">
        <f t="shared" si="653"/>
        <v>0.31088925005804502</v>
      </c>
      <c r="CH70" s="45">
        <f t="shared" si="653"/>
        <v>0.33047210300429186</v>
      </c>
      <c r="CI70" s="45">
        <f t="shared" ref="CI70:CJ70" si="654">+CI69/CI38</f>
        <v>0.28747908892034485</v>
      </c>
      <c r="CJ70" s="45">
        <f t="shared" si="654"/>
        <v>0.3098608024330331</v>
      </c>
      <c r="CK70" s="45">
        <f t="shared" ref="CK70:CL70" si="655">+CK69/CK38</f>
        <v>0.35437158469945357</v>
      </c>
      <c r="CL70" s="45">
        <f t="shared" si="655"/>
        <v>0.37160366213821616</v>
      </c>
      <c r="CM70" s="48">
        <f t="shared" si="653"/>
        <v>0.36235718098793746</v>
      </c>
      <c r="CN70" s="48">
        <f t="shared" si="653"/>
        <v>0.36785088729540327</v>
      </c>
      <c r="CO70" s="48">
        <f t="shared" si="653"/>
        <v>0.36917522751464993</v>
      </c>
      <c r="CP70" s="48">
        <f t="shared" si="653"/>
        <v>0.36455700566161475</v>
      </c>
      <c r="CQ70" s="48">
        <f t="shared" si="653"/>
        <v>0.37307878818058132</v>
      </c>
      <c r="CR70" s="48">
        <f t="shared" si="653"/>
        <v>0.37593465503732326</v>
      </c>
      <c r="CS70" s="48">
        <f t="shared" si="653"/>
        <v>0.38040909258571309</v>
      </c>
      <c r="CT70" s="48">
        <f t="shared" si="653"/>
        <v>0.38260021555383</v>
      </c>
      <c r="CU70" s="48">
        <f t="shared" ref="CU70:DB70" si="656">+CU69/CU38</f>
        <v>0.35810804058862294</v>
      </c>
      <c r="CV70" s="48">
        <f t="shared" si="656"/>
        <v>0.37151619678673081</v>
      </c>
      <c r="CW70" s="48">
        <f t="shared" si="656"/>
        <v>0.38534749576461297</v>
      </c>
      <c r="CX70" s="48">
        <f t="shared" si="656"/>
        <v>0.39474816160411158</v>
      </c>
      <c r="CY70" s="48">
        <f t="shared" si="656"/>
        <v>0.39226907001280037</v>
      </c>
      <c r="CZ70" s="48">
        <f t="shared" si="656"/>
        <v>0.40241987486714065</v>
      </c>
      <c r="DA70" s="48">
        <f t="shared" si="656"/>
        <v>0.41309546621713011</v>
      </c>
      <c r="DB70" s="48">
        <f t="shared" si="656"/>
        <v>0.42122203105255041</v>
      </c>
      <c r="DE70" s="129"/>
      <c r="DF70" s="45">
        <v>0.34199760761978015</v>
      </c>
    </row>
    <row r="71" spans="1:110" s="39" customFormat="1" x14ac:dyDescent="0.2">
      <c r="A71" s="39" t="s">
        <v>451</v>
      </c>
      <c r="C71" s="39">
        <f t="shared" ref="C71:E71" si="657">+IF(B69&lt;0,1-C69/B69,C69/B69-1)</f>
        <v>-0.5983746592451602</v>
      </c>
      <c r="D71" s="39">
        <f t="shared" si="657"/>
        <v>1.0916086694230711</v>
      </c>
      <c r="E71" s="39">
        <f t="shared" si="657"/>
        <v>3.3296963813382856</v>
      </c>
      <c r="F71" s="39">
        <f t="shared" ref="F71:AE71" si="658">+IF(E69&lt;0,1-F69/E69,F69/E69-1)</f>
        <v>6.4754864129331402E-2</v>
      </c>
      <c r="G71" s="39">
        <f t="shared" si="658"/>
        <v>1.2469290281232346</v>
      </c>
      <c r="H71" s="39">
        <f t="shared" si="658"/>
        <v>2.0165503096816284</v>
      </c>
      <c r="I71" s="39">
        <f t="shared" si="658"/>
        <v>-1.0297603904715236E-2</v>
      </c>
      <c r="J71" s="39">
        <f t="shared" si="658"/>
        <v>-0.37953444781361523</v>
      </c>
      <c r="K71" s="39">
        <f t="shared" si="658"/>
        <v>0.48166710050190487</v>
      </c>
      <c r="L71" s="39">
        <f t="shared" si="658"/>
        <v>0.21780517195731153</v>
      </c>
      <c r="M71" s="39">
        <f t="shared" si="658"/>
        <v>0.13156563347657779</v>
      </c>
      <c r="N71" s="39">
        <f t="shared" si="658"/>
        <v>0.24201811041860855</v>
      </c>
      <c r="O71" s="39">
        <f t="shared" si="658"/>
        <v>-1.7912363868205494E-3</v>
      </c>
      <c r="P71" s="39">
        <f t="shared" si="658"/>
        <v>0.18875043087092402</v>
      </c>
      <c r="Q71" s="39">
        <f t="shared" si="658"/>
        <v>-3.496644074527655E-4</v>
      </c>
      <c r="R71" s="39">
        <f t="shared" si="658"/>
        <v>1.3528336380255856E-2</v>
      </c>
      <c r="S71" s="39">
        <f t="shared" si="658"/>
        <v>8.6580086580086535E-2</v>
      </c>
      <c r="T71" s="39">
        <f t="shared" si="658"/>
        <v>-0.11952191235059761</v>
      </c>
      <c r="U71" s="39">
        <f t="shared" si="658"/>
        <v>-0.14467068878833589</v>
      </c>
      <c r="V71" s="39">
        <f t="shared" si="658"/>
        <v>0.17266715650257169</v>
      </c>
      <c r="W71" s="39">
        <f t="shared" si="658"/>
        <v>0.22343358395989976</v>
      </c>
      <c r="X71" s="39">
        <f t="shared" si="658"/>
        <v>7.6615794325514797E-2</v>
      </c>
      <c r="Y71" s="39">
        <f t="shared" si="658"/>
        <v>-0.26182094948149559</v>
      </c>
      <c r="Z71" s="39">
        <f t="shared" ref="Z71:AA71" si="659">+IF(Y69&lt;0,1-Z69/Y69,Z69/Y69-1)</f>
        <v>0.34501868797525459</v>
      </c>
      <c r="AA71" s="39">
        <f t="shared" si="659"/>
        <v>0.3230164814105021</v>
      </c>
      <c r="AB71" s="40">
        <f t="shared" si="658"/>
        <v>0.28360813832544118</v>
      </c>
      <c r="AC71" s="40">
        <f t="shared" si="658"/>
        <v>1.9553524328497218E-2</v>
      </c>
      <c r="AD71" s="40">
        <f t="shared" si="658"/>
        <v>-8.8617236781035613E-3</v>
      </c>
      <c r="AE71" s="40">
        <f t="shared" si="658"/>
        <v>6.2158466515539246E-2</v>
      </c>
      <c r="AM71" s="39">
        <f>+IF(AI69&lt;0,1-AM69/AI69,AM69/AI69-1)</f>
        <v>5.0356027166833073E-2</v>
      </c>
      <c r="AN71" s="39">
        <f t="shared" ref="AN71" si="660">+IF(AJ69&lt;0,1-AN69/AJ69,AN69/AJ69-1)</f>
        <v>0.10495587060573142</v>
      </c>
      <c r="AO71" s="39">
        <f t="shared" ref="AO71" si="661">+IF(AK69&lt;0,1-AO69/AK69,AO69/AK69-1)</f>
        <v>6.8326987237525838E-2</v>
      </c>
      <c r="AP71" s="39">
        <f t="shared" ref="AP71" si="662">+IF(AL69&lt;0,1-AP69/AL69,AP69/AL69-1)</f>
        <v>-0.13838431027691522</v>
      </c>
      <c r="AQ71" s="39">
        <f t="shared" ref="AQ71" si="663">+IF(AM69&lt;0,1-AQ69/AM69,AQ69/AM69-1)</f>
        <v>-2.6069104198149118E-2</v>
      </c>
      <c r="AR71" s="39">
        <f t="shared" ref="AR71" si="664">+IF(AN69&lt;0,1-AR69/AN69,AR69/AN69-1)</f>
        <v>0.28501822028917378</v>
      </c>
      <c r="AS71" s="39">
        <f t="shared" ref="AS71" si="665">+IF(AO69&lt;0,1-AS69/AO69,AS69/AO69-1)</f>
        <v>0.38117047459830955</v>
      </c>
      <c r="AT71" s="39">
        <f t="shared" ref="AT71" si="666">+IF(AP69&lt;0,1-AT69/AP69,AT69/AP69-1)</f>
        <v>7.6174782054007961E-2</v>
      </c>
      <c r="AU71" s="39">
        <f t="shared" ref="AU71" si="667">+IF(AQ69&lt;0,1-AU69/AQ69,AU69/AQ69-1)</f>
        <v>0.20365711177186907</v>
      </c>
      <c r="AV71" s="39">
        <f t="shared" ref="AV71" si="668">+IF(AR69&lt;0,1-AV69/AR69,AV69/AR69-1)</f>
        <v>3.8447992754982341E-2</v>
      </c>
      <c r="AW71" s="39">
        <f t="shared" ref="AW71" si="669">+IF(AS69&lt;0,1-AW69/AS69,AW69/AS69-1)</f>
        <v>-0.22654736337770076</v>
      </c>
      <c r="AX71" s="39">
        <f t="shared" ref="AX71" si="670">+IF(AT69&lt;0,1-AX69/AT69,AX69/AT69-1)</f>
        <v>6.0819955544578752E-2</v>
      </c>
      <c r="AY71" s="39">
        <f t="shared" ref="AY71" si="671">+IF(AU69&lt;0,1-AY69/AU69,AY69/AU69-1)</f>
        <v>-0.46741854636591473</v>
      </c>
      <c r="AZ71" s="39">
        <f t="shared" ref="AZ71" si="672">+IF(AV69&lt;0,1-AZ69/AV69,AZ69/AV69-1)</f>
        <v>-0.16225846660705878</v>
      </c>
      <c r="BA71" s="39">
        <f t="shared" ref="BA71" si="673">+IF(AW69&lt;0,1-BA69/AW69,BA69/AW69-1)</f>
        <v>0.26064347155129797</v>
      </c>
      <c r="BB71" s="39">
        <f t="shared" ref="BB71" si="674">+IF(AX69&lt;0,1-BB69/AX69,BB69/AX69-1)</f>
        <v>0.42342954792026588</v>
      </c>
      <c r="BC71" s="39">
        <f t="shared" ref="BC71" si="675">+IF(AY69&lt;0,1-BC69/AY69,BC69/AY69-1)</f>
        <v>0.82160077145612354</v>
      </c>
      <c r="BD71" s="39">
        <f t="shared" ref="BD71" si="676">+IF(AZ69&lt;0,1-BD69/AZ69,BD69/AZ69-1)</f>
        <v>0.20557308096740279</v>
      </c>
      <c r="BE71" s="39">
        <f t="shared" ref="BE71" si="677">+IF(BA69&lt;0,1-BE69/BA69,BE69/BA69-1)</f>
        <v>-9.4827586206897019E-3</v>
      </c>
      <c r="BF71" s="39">
        <f t="shared" ref="BF71" si="678">+IF(BB69&lt;0,1-BF69/BB69,BF69/BB69-1)</f>
        <v>-0.16388616290480862</v>
      </c>
      <c r="BG71" s="39">
        <f t="shared" ref="BG71" si="679">+IF(BC69&lt;0,1-BG69/BC69,BG69/BC69-1)</f>
        <v>1.5352038115405087E-2</v>
      </c>
      <c r="BH71" s="39">
        <f t="shared" ref="BH71" si="680">+IF(BD69&lt;0,1-BH69/BD69,BH69/BD69-1)</f>
        <v>-0.20846053205407766</v>
      </c>
      <c r="BI71" s="39">
        <f t="shared" ref="BI71" si="681">+IF(BE69&lt;0,1-BI69/BE69,BI69/BE69-1)</f>
        <v>-3.7859007832898195E-2</v>
      </c>
      <c r="BJ71" s="39">
        <f t="shared" ref="BJ71" si="682">+IF(BF69&lt;0,1-BJ69/BF69,BJ69/BF69-1)</f>
        <v>-0.21283255086071984</v>
      </c>
      <c r="BK71" s="39">
        <f t="shared" ref="BK71" si="683">+IF(BG69&lt;0,1-BK69/BG69,BK69/BG69-1)</f>
        <v>-7.9770594369134473E-2</v>
      </c>
      <c r="BL71" s="39">
        <f t="shared" ref="BL71" si="684">+IF(BH69&lt;0,1-BL69/BH69,BL69/BH69-1)</f>
        <v>0.14655647382920112</v>
      </c>
      <c r="BM71" s="39">
        <f t="shared" ref="BM71" si="685">+IF(BI69&lt;0,1-BM69/BI69,BM69/BI69-1)</f>
        <v>-0.26729986431478969</v>
      </c>
      <c r="BN71" s="39">
        <f t="shared" ref="BN71" si="686">+IF(BJ69&lt;0,1-BN69/BJ69,BN69/BJ69-1)</f>
        <v>-0.33449304174950301</v>
      </c>
      <c r="BO71" s="39">
        <f t="shared" ref="BO71" si="687">+IF(BK69&lt;0,1-BO69/BK69,BO69/BK69-1)</f>
        <v>-0.23002832861189804</v>
      </c>
      <c r="BP71" s="39">
        <f t="shared" ref="BP71" si="688">+IF(BL69&lt;0,1-BP69/BL69,BP69/BL69-1)</f>
        <v>-6.7755886592984149E-2</v>
      </c>
      <c r="BQ71" s="39">
        <f t="shared" ref="BQ71" si="689">+IF(BM69&lt;0,1-BQ69/BM69,BQ69/BM69-1)</f>
        <v>0.35802469135802473</v>
      </c>
      <c r="BR71" s="39">
        <f t="shared" ref="BR71" si="690">+IF(BN69&lt;0,1-BR69/BN69,BR69/BN69-1)</f>
        <v>0.85287528005974611</v>
      </c>
      <c r="BS71" s="39">
        <f t="shared" ref="BS71" si="691">+IF(BO69&lt;0,1-BS69/BO69,BS69/BO69-1)</f>
        <v>0.55776306107431939</v>
      </c>
      <c r="BT71" s="39">
        <f t="shared" ref="BT71" si="692">+IF(BP69&lt;0,1-BT69/BP69,BT69/BP69-1)</f>
        <v>3.9690721649484617E-2</v>
      </c>
      <c r="BU71" s="39">
        <f t="shared" ref="BU71" si="693">+IF(BQ69&lt;0,1-BU69/BQ69,BU69/BQ69-1)</f>
        <v>0.22772727272727278</v>
      </c>
      <c r="BV71" s="39">
        <f t="shared" ref="BV71" si="694">+IF(BR69&lt;0,1-BV69/BR69,BV69/BR69-1)</f>
        <v>0.18016928657799269</v>
      </c>
      <c r="BW71" s="39">
        <f t="shared" ref="BW71" si="695">+IF(BS69&lt;0,1-BW69/BS69,BW69/BS69-1)</f>
        <v>0.46055739253660843</v>
      </c>
      <c r="BX71" s="39">
        <f t="shared" ref="BX71" si="696">+IF(BT69&lt;0,1-BX69/BT69,BX69/BT69-1)</f>
        <v>0.32870599900842845</v>
      </c>
      <c r="BY71" s="39">
        <f t="shared" ref="BY71" si="697">+IF(BU69&lt;0,1-BY69/BU69,BY69/BU69-1)</f>
        <v>-0.20177711958533873</v>
      </c>
      <c r="BZ71" s="39">
        <f t="shared" ref="BZ71" si="698">+IF(BV69&lt;0,1-BZ69/BV69,BZ69/BV69-1)</f>
        <v>-0.11782786885245899</v>
      </c>
      <c r="CA71" s="39">
        <f t="shared" ref="CA71" si="699">+IF(BW69&lt;0,1-CA69/BW69,CA69/BW69-1)</f>
        <v>-0.36481241914618368</v>
      </c>
      <c r="CB71" s="39">
        <f t="shared" ref="CB71" si="700">+IF(BX69&lt;0,1-CB69/BX69,CB69/BX69-1)</f>
        <v>-0.35485074626865676</v>
      </c>
      <c r="CC71" s="39">
        <f t="shared" ref="CC71" si="701">+IF(BY69&lt;0,1-CC69/BY69,CC69/BY69-1)</f>
        <v>-5.9369202226345119E-2</v>
      </c>
      <c r="CD71" s="39">
        <f t="shared" ref="CD71" si="702">+IF(BZ69&lt;0,1-CD69/BZ69,CD69/BZ69-1)</f>
        <v>-0.21099496709252807</v>
      </c>
      <c r="CE71" s="39">
        <f t="shared" ref="CE71" si="703">+IF(CA69&lt;0,1-CE69/CA69,CE69/CA69-1)</f>
        <v>0.19399185336048874</v>
      </c>
      <c r="CF71" s="39">
        <f t="shared" ref="CF71" si="704">+IF(CB69&lt;0,1-CF69/CB69,CF69/CB69-1)</f>
        <v>0.3938692886061308</v>
      </c>
      <c r="CG71" s="39">
        <f t="shared" ref="CG71" si="705">+IF(CC69&lt;0,1-CG69/CC69,CG69/CC69-1)</f>
        <v>0.32051282051282048</v>
      </c>
      <c r="CH71" s="39">
        <f t="shared" ref="CH71:CL71" si="706">+IF(CD69&lt;0,1-CH69/CD69,CH69/CD69-1)</f>
        <v>0.47350343473994116</v>
      </c>
      <c r="CI71" s="39">
        <f t="shared" si="706"/>
        <v>-4.7334754797441314E-2</v>
      </c>
      <c r="CJ71" s="39">
        <f t="shared" si="706"/>
        <v>9.9170124481327893E-2</v>
      </c>
      <c r="CK71" s="39">
        <f t="shared" si="706"/>
        <v>0.45294996265870058</v>
      </c>
      <c r="CL71" s="39">
        <f t="shared" si="706"/>
        <v>0.67599067599067597</v>
      </c>
      <c r="CM71" s="40">
        <f t="shared" ref="CM71" si="707">+CM69/CI69-1</f>
        <v>0.84513803004237009</v>
      </c>
      <c r="CN71" s="40">
        <f t="shared" ref="CN71" si="708">+CN69/CJ69-1</f>
        <v>0.63721581475530464</v>
      </c>
      <c r="CO71" s="40">
        <f t="shared" ref="CO71" si="709">+CO69/CK69-1</f>
        <v>0.18605605892826116</v>
      </c>
      <c r="CP71" s="40">
        <f t="shared" ref="CP71" si="710">+CP69/CL69-1</f>
        <v>-7.6334117192918383E-2</v>
      </c>
      <c r="CQ71" s="40">
        <f t="shared" ref="CQ71" si="711">+CQ69/CM69-1</f>
        <v>9.4994262683689712E-4</v>
      </c>
      <c r="CR71" s="40">
        <f t="shared" ref="CR71" si="712">+CR69/CN69-1</f>
        <v>2.9952642436665844E-3</v>
      </c>
      <c r="CS71" s="40">
        <f t="shared" ref="CS71" si="713">+CS69/CO69-1</f>
        <v>2.0928912658521259E-2</v>
      </c>
      <c r="CT71" s="40">
        <f t="shared" ref="CT71" si="714">+CT69/CP69-1</f>
        <v>5.0131294932930004E-2</v>
      </c>
      <c r="CU71" s="40">
        <f t="shared" ref="CU71" si="715">+CU69/CQ69-1</f>
        <v>-4.0273109909884308E-2</v>
      </c>
      <c r="CV71" s="40">
        <f t="shared" ref="CV71" si="716">+CV69/CR69-1</f>
        <v>-1.751112942208799E-2</v>
      </c>
      <c r="CW71" s="40">
        <f t="shared" ref="CW71" si="717">+CW69/CS69-1</f>
        <v>1.688166697909832E-3</v>
      </c>
      <c r="CX71" s="40">
        <f t="shared" ref="CX71" si="718">+CX69/CT69-1</f>
        <v>1.5211166931787368E-2</v>
      </c>
      <c r="CY71" s="40">
        <f t="shared" ref="CY71" si="719">+CY69/CU69-1</f>
        <v>7.9736904195089053E-2</v>
      </c>
      <c r="CZ71" s="40">
        <f t="shared" ref="CZ71" si="720">+CZ69/CV69-1</f>
        <v>6.7117812306326297E-2</v>
      </c>
      <c r="DA71" s="40">
        <f t="shared" ref="DA71" si="721">+DA69/CW69-1</f>
        <v>5.5474482787150725E-2</v>
      </c>
      <c r="DB71" s="40">
        <f t="shared" ref="DB71" si="722">+DB69/CX69-1</f>
        <v>5.0202094527039831E-2</v>
      </c>
      <c r="DE71" s="122"/>
      <c r="DF71" s="39">
        <v>0.47369039816134895</v>
      </c>
    </row>
    <row r="72" spans="1:110" s="39" customFormat="1" x14ac:dyDescent="0.2">
      <c r="A72" s="39" t="s">
        <v>452</v>
      </c>
      <c r="AB72" s="40"/>
      <c r="AC72" s="40"/>
      <c r="AD72" s="40"/>
      <c r="AE72" s="40"/>
      <c r="AJ72" s="39">
        <f>+IF(AI69&lt;0,1-AJ69/AI69,AJ69/AI69-1)</f>
        <v>-2.6275184337334001E-2</v>
      </c>
      <c r="AK72" s="39">
        <f t="shared" ref="AK72:AM72" si="723">+IF(AJ69&lt;0,1-AK69/AJ69,AK69/AJ69-1)</f>
        <v>4.7246702472414803E-2</v>
      </c>
      <c r="AL72" s="39">
        <f t="shared" si="723"/>
        <v>0.35397571533109251</v>
      </c>
      <c r="AM72" s="39">
        <f t="shared" si="723"/>
        <v>-0.23925270457189451</v>
      </c>
      <c r="AN72" s="39">
        <f t="shared" ref="AN72" si="724">+IF(AM69&lt;0,1-AN69/AM69,AN69/AM69-1)</f>
        <v>2.4341198215500404E-2</v>
      </c>
      <c r="AO72" s="39">
        <f t="shared" ref="AO72" si="725">+IF(AN69&lt;0,1-AO69/AN69,AO69/AN69-1)</f>
        <v>1.2530856941342705E-2</v>
      </c>
      <c r="AP72" s="39">
        <f t="shared" ref="AP72" si="726">+IF(AO69&lt;0,1-AP69/AO69,AP69/AO69-1)</f>
        <v>9.1994055911581718E-2</v>
      </c>
      <c r="AQ72" s="39">
        <f t="shared" ref="AQ72" si="727">+IF(AP69&lt;0,1-AQ69/AP69,AQ69/AP69-1)</f>
        <v>-0.14008611524558778</v>
      </c>
      <c r="AR72" s="39">
        <f t="shared" ref="AR72" si="728">+IF(AQ69&lt;0,1-AR69/AQ69,AR69/AQ69-1)</f>
        <v>0.35153028738865122</v>
      </c>
      <c r="AS72" s="39">
        <f t="shared" ref="AS72" si="729">+IF(AR69&lt;0,1-AS69/AR69,AS69/AR69-1)</f>
        <v>8.8294081863213636E-2</v>
      </c>
      <c r="AT72" s="39">
        <f t="shared" ref="AT72" si="730">+IF(AS69&lt;0,1-AT69/AS69,AT69/AS69-1)</f>
        <v>-0.14914452144895496</v>
      </c>
      <c r="AU72" s="39">
        <f t="shared" ref="AU72" si="731">+IF(AT69&lt;0,1-AU69/AT69,AU69/AT69-1)</f>
        <v>-3.8221783156335065E-2</v>
      </c>
      <c r="AV72" s="39">
        <f t="shared" ref="AV72" si="732">+IF(AU69&lt;0,1-AV69/AU69,AV69/AU69-1)</f>
        <v>0.16602469287974064</v>
      </c>
      <c r="AW72" s="39">
        <f t="shared" ref="AW72" si="733">+IF(AV69&lt;0,1-AW69/AV69,AW69/AV69-1)</f>
        <v>-0.18942120076286473</v>
      </c>
      <c r="AX72" s="39">
        <f t="shared" ref="AX72" si="734">+IF(AW69&lt;0,1-AX69/AW69,AX69/AW69-1)</f>
        <v>0.16698092189987657</v>
      </c>
      <c r="AY72" s="39">
        <f t="shared" ref="AY72" si="735">+IF(AX69&lt;0,1-AY69/AX69,AY69/AX69-1)</f>
        <v>-0.51714215204667457</v>
      </c>
      <c r="AZ72" s="39">
        <f t="shared" ref="AZ72" si="736">+IF(AY69&lt;0,1-AZ69/AY69,AZ69/AY69-1)</f>
        <v>0.83413693346190931</v>
      </c>
      <c r="BA72" s="39">
        <f t="shared" ref="BA72" si="737">+IF(AZ69&lt;0,1-BA69/AZ69,BA69/AZ69-1)</f>
        <v>0.21976866456361721</v>
      </c>
      <c r="BB72" s="39">
        <f t="shared" ref="BB72" si="738">+IF(BA69&lt;0,1-BB69/BA69,BB69/BA69-1)</f>
        <v>0.31767241379310351</v>
      </c>
      <c r="BC72" s="39">
        <f t="shared" ref="BC72" si="739">+IF(BB69&lt;0,1-BC69/BB69,BC69/BB69-1)</f>
        <v>-0.38207392868825651</v>
      </c>
      <c r="BD72" s="39">
        <f t="shared" ref="BD72" si="740">+IF(BC69&lt;0,1-BD69/BC69,BD69/BC69-1)</f>
        <v>0.21386977236633142</v>
      </c>
      <c r="BE72" s="39">
        <f t="shared" ref="BE72" si="741">+IF(BD69&lt;0,1-BE69/BD69,BE69/BD69-1)</f>
        <v>2.1805494984736828E-3</v>
      </c>
      <c r="BF72" s="39">
        <f t="shared" ref="BF72" si="742">+IF(BE69&lt;0,1-BF69/BE69,BF69/BE69-1)</f>
        <v>0.1122715404699739</v>
      </c>
      <c r="BG72" s="39">
        <f t="shared" ref="BG72" si="743">+IF(BF69&lt;0,1-BG69/BF69,BG69/BF69-1)</f>
        <v>-0.24960876369327079</v>
      </c>
      <c r="BH72" s="39">
        <f t="shared" ref="BH72" si="744">+IF(BG69&lt;0,1-BH69/BG69,BH69/BG69-1)</f>
        <v>-5.370177267987486E-2</v>
      </c>
      <c r="BI72" s="39">
        <f t="shared" ref="BI72" si="745">+IF(BH69&lt;0,1-BI69/BH69,BI69/BH69-1)</f>
        <v>0.21818181818181825</v>
      </c>
      <c r="BJ72" s="39">
        <f t="shared" ref="BJ72" si="746">+IF(BI69&lt;0,1-BJ69/BI69,BJ69/BI69-1)</f>
        <v>-9.000452284034377E-2</v>
      </c>
      <c r="BK72" s="39">
        <f t="shared" ref="BK72" si="747">+IF(BJ69&lt;0,1-BK69/BJ69,BK69/BJ69-1)</f>
        <v>-0.12276341948310143</v>
      </c>
      <c r="BL72" s="39">
        <f t="shared" ref="BL72" si="748">+IF(BK69&lt;0,1-BL69/BK69,BL69/BK69-1)</f>
        <v>0.17903682719546743</v>
      </c>
      <c r="BM72" s="39">
        <f t="shared" ref="BM72" si="749">+IF(BL69&lt;0,1-BM69/BL69,BM69/BL69-1)</f>
        <v>-0.22152811148486307</v>
      </c>
      <c r="BN72" s="39">
        <f t="shared" ref="BN72" si="750">+IF(BM69&lt;0,1-BN69/BM69,BN69/BM69-1)</f>
        <v>-0.17345679012345683</v>
      </c>
      <c r="BO72" s="39">
        <f t="shared" ref="BO72" si="751">+IF(BN69&lt;0,1-BO69/BN69,BO69/BN69-1)</f>
        <v>1.4936519790888614E-2</v>
      </c>
      <c r="BP72" s="39">
        <f t="shared" ref="BP72" si="752">+IF(BO69&lt;0,1-BP69/BO69,BP69/BO69-1)</f>
        <v>0.42752023546725537</v>
      </c>
      <c r="BQ72" s="39">
        <f t="shared" ref="BQ72" si="753">+IF(BP69&lt;0,1-BQ69/BP69,BQ69/BP69-1)</f>
        <v>0.134020618556701</v>
      </c>
      <c r="BR72" s="39">
        <f t="shared" ref="BR72" si="754">+IF(BQ69&lt;0,1-BR69/BQ69,BR69/BQ69-1)</f>
        <v>0.12772727272727269</v>
      </c>
      <c r="BS72" s="39">
        <f t="shared" ref="BS72" si="755">+IF(BR69&lt;0,1-BS69/BR69,BS69/BR69-1)</f>
        <v>-0.14671503426037891</v>
      </c>
      <c r="BT72" s="39">
        <f t="shared" ref="BT72" si="756">+IF(BS69&lt;0,1-BT69/BS69,BT69/BS69-1)</f>
        <v>-4.7236655644780301E-2</v>
      </c>
      <c r="BU72" s="39">
        <f t="shared" ref="BU72" si="757">+IF(BT69&lt;0,1-BU69/BT69,BU69/BT69-1)</f>
        <v>0.33911750123946449</v>
      </c>
      <c r="BV72" s="39">
        <f t="shared" ref="BV72" si="758">+IF(BU69&lt;0,1-BV69/BU69,BV69/BU69-1)</f>
        <v>8.4042947056645723E-2</v>
      </c>
      <c r="BW72" s="39">
        <f t="shared" ref="BW72" si="759">+IF(BV69&lt;0,1-BW69/BV69,BW69/BV69-1)</f>
        <v>5.601092896174853E-2</v>
      </c>
      <c r="BX72" s="39">
        <f t="shared" ref="BX72" si="760">+IF(BW69&lt;0,1-BX69/BW69,BX69/BW69-1)</f>
        <v>-0.13324708926261319</v>
      </c>
      <c r="BY72" s="39">
        <f t="shared" ref="BY72" si="761">+IF(BX69&lt;0,1-BY69/BX69,BY69/BX69-1)</f>
        <v>-0.19552238805970146</v>
      </c>
      <c r="BZ72" s="39">
        <f t="shared" ref="BZ72" si="762">+IF(BY69&lt;0,1-BZ69/BY69,BZ69/BY69-1)</f>
        <v>0.19805194805194803</v>
      </c>
      <c r="CA72" s="39">
        <f t="shared" ref="CA72" si="763">+IF(BZ69&lt;0,1-CA69/BZ69,CA69/BZ69-1)</f>
        <v>-0.23964382500967862</v>
      </c>
      <c r="CB72" s="39">
        <f t="shared" ref="CB72" si="764">+IF(CA69&lt;0,1-CB69/CA69,CB69/CA69-1)</f>
        <v>-0.11965376782077397</v>
      </c>
      <c r="CC72" s="39">
        <f t="shared" ref="CC72" si="765">+IF(CB69&lt;0,1-CC69/CB69,CC69/CB69-1)</f>
        <v>0.1729323308270676</v>
      </c>
      <c r="CD72" s="39">
        <f t="shared" ref="CD72" si="766">+IF(CC69&lt;0,1-CD69/CC69,CD69/CC69-1)</f>
        <v>4.930966469427922E-3</v>
      </c>
      <c r="CE72" s="39">
        <f t="shared" ref="CE72" si="767">+IF(CD69&lt;0,1-CE69/CD69,CE69/CD69-1)</f>
        <v>0.1506378802747792</v>
      </c>
      <c r="CF72" s="39">
        <f t="shared" ref="CF72" si="768">+IF(CE69&lt;0,1-CF69/CE69,CF69/CE69-1)</f>
        <v>2.771855010660973E-2</v>
      </c>
      <c r="CG72" s="39">
        <f t="shared" ref="CG72" si="769">+IF(CF69&lt;0,1-CG69/CF69,CG69/CF69-1)</f>
        <v>0.11120331950207474</v>
      </c>
      <c r="CH72" s="39">
        <f t="shared" ref="CH72:CL72" si="770">+IF(CG69&lt;0,1-CH69/CG69,CH69/CG69-1)</f>
        <v>0.12135922330097082</v>
      </c>
      <c r="CI72" s="39">
        <f t="shared" si="770"/>
        <v>-0.25607725607725607</v>
      </c>
      <c r="CJ72" s="39">
        <f t="shared" si="770"/>
        <v>0.18576544315129806</v>
      </c>
      <c r="CK72" s="39">
        <f t="shared" si="770"/>
        <v>0.46885617214043029</v>
      </c>
      <c r="CL72" s="39">
        <f t="shared" si="770"/>
        <v>0.29349781547160103</v>
      </c>
      <c r="CM72" s="40">
        <f t="shared" ref="CM72" si="771">+CM69/CL69-1</f>
        <v>-0.18099774307278871</v>
      </c>
      <c r="CN72" s="40">
        <f t="shared" ref="CN72" si="772">+CN69/CM69-1</f>
        <v>5.2145641414728328E-2</v>
      </c>
      <c r="CO72" s="40">
        <f t="shared" ref="CO72" si="773">+CO69/CN69-1</f>
        <v>6.4090480289984431E-2</v>
      </c>
      <c r="CP72" s="40">
        <f t="shared" ref="CP72" si="774">+CP69/CO69-1</f>
        <v>7.3383906627582096E-3</v>
      </c>
      <c r="CQ72" s="40">
        <f t="shared" ref="CQ72" si="775">+CQ69/CP69-1</f>
        <v>-0.1124709948242586</v>
      </c>
      <c r="CR72" s="40">
        <f t="shared" ref="CR72" si="776">+CR69/CQ69-1</f>
        <v>5.4295575325300494E-2</v>
      </c>
      <c r="CS72" s="40">
        <f t="shared" ref="CS72" si="777">+CS69/CR69-1</f>
        <v>8.3116516838127374E-2</v>
      </c>
      <c r="CT72" s="40">
        <f t="shared" ref="CT72" si="778">+CT69/CS69-1</f>
        <v>3.6152033218163737E-2</v>
      </c>
      <c r="CU72" s="40">
        <f t="shared" ref="CU72" si="779">+CU69/CT69-1</f>
        <v>-0.18887718506047324</v>
      </c>
      <c r="CV72" s="40">
        <f t="shared" ref="CV72" si="780">+CV69/CU69-1</f>
        <v>7.93004549027303E-2</v>
      </c>
      <c r="CW72" s="40">
        <f t="shared" ref="CW72" si="781">+CW69/CV69-1</f>
        <v>0.10428222706851797</v>
      </c>
      <c r="CX72" s="40">
        <f t="shared" ref="CX72" si="782">+CX69/CW69-1</f>
        <v>5.0140302874710052E-2</v>
      </c>
      <c r="CY72" s="40">
        <f t="shared" ref="CY72" si="783">+CY69/CX69-1</f>
        <v>-0.13732308543089911</v>
      </c>
      <c r="CZ72" s="40">
        <f t="shared" ref="CZ72" si="784">+CZ69/CY69-1</f>
        <v>6.6686463880395008E-2</v>
      </c>
      <c r="DA72" s="40">
        <f t="shared" ref="DA72" si="785">+DA69/CZ69-1</f>
        <v>9.2233396373677001E-2</v>
      </c>
      <c r="DB72" s="40">
        <f t="shared" ref="DB72" si="786">+DB69/DA69-1</f>
        <v>4.4894560325136279E-2</v>
      </c>
      <c r="DE72" s="122"/>
      <c r="DF72" s="39">
        <v>0.13736629804125711</v>
      </c>
    </row>
    <row r="73" spans="1:110" s="75" customFormat="1" x14ac:dyDescent="0.2">
      <c r="A73" s="23" t="s">
        <v>23</v>
      </c>
      <c r="B73" s="75">
        <f>'Annual Raw'!C32</f>
        <v>0</v>
      </c>
      <c r="C73" s="75">
        <f>'Annual Raw'!D32</f>
        <v>0</v>
      </c>
      <c r="D73" s="75">
        <f>'Annual Raw'!E32</f>
        <v>0</v>
      </c>
      <c r="E73" s="75">
        <f>'Annual Raw'!F32</f>
        <v>0</v>
      </c>
      <c r="F73" s="75">
        <f>'Annual Raw'!G32</f>
        <v>0</v>
      </c>
      <c r="G73" s="75">
        <f>'Annual Raw'!H32</f>
        <v>0</v>
      </c>
      <c r="H73" s="75">
        <f>'Annual Raw'!I32</f>
        <v>0</v>
      </c>
      <c r="I73" s="75">
        <f>'Annual Raw'!J32</f>
        <v>0</v>
      </c>
      <c r="J73" s="75">
        <f>'Annual Raw'!K32</f>
        <v>0</v>
      </c>
      <c r="K73" s="75">
        <f>'Annual Raw'!L32</f>
        <v>0</v>
      </c>
      <c r="L73" s="75">
        <f>'Annual Raw'!M32</f>
        <v>0</v>
      </c>
      <c r="M73" s="75">
        <f>'Annual Raw'!N32</f>
        <v>0</v>
      </c>
      <c r="N73" s="75">
        <f>'Annual Raw'!O32</f>
        <v>0</v>
      </c>
      <c r="O73" s="75">
        <f>'Annual Raw'!P32</f>
        <v>0</v>
      </c>
      <c r="P73" s="75">
        <f>'Annual Raw'!Q32</f>
        <v>0</v>
      </c>
      <c r="Q73" s="75">
        <f>'Annual Raw'!R32</f>
        <v>0</v>
      </c>
      <c r="R73" s="75">
        <f>'Annual Raw'!S32</f>
        <v>0</v>
      </c>
      <c r="S73" s="75">
        <f>'Annual Raw'!T32</f>
        <v>0</v>
      </c>
      <c r="T73" s="75">
        <f>'Annual Raw'!U32</f>
        <v>0</v>
      </c>
      <c r="U73" s="75">
        <f>'Annual Raw'!V32</f>
        <v>0</v>
      </c>
      <c r="V73" s="75">
        <f>'Annual Raw'!W32</f>
        <v>0</v>
      </c>
      <c r="W73" s="75">
        <f>'Annual Raw'!X32</f>
        <v>0</v>
      </c>
      <c r="X73" s="75">
        <f>'Annual Raw'!Y32</f>
        <v>0</v>
      </c>
      <c r="Y73" s="75">
        <f>'Annual Raw'!Z32</f>
        <v>0</v>
      </c>
      <c r="Z73" s="75">
        <f>'Annual Raw'!AA32</f>
        <v>0</v>
      </c>
      <c r="AA73" s="75">
        <f>'Annual Raw'!AB32</f>
        <v>0</v>
      </c>
      <c r="AB73" s="76">
        <f t="shared" ref="AB73:AB74" si="787">+SUM(CM73:CP73)</f>
        <v>0</v>
      </c>
      <c r="AC73" s="76">
        <f t="shared" ref="AC73:AC74" si="788">+SUM(CQ73:CT73)</f>
        <v>0</v>
      </c>
      <c r="AD73" s="76">
        <f t="shared" ref="AD73:AD74" si="789">+SUM(CU73:CX73)</f>
        <v>0</v>
      </c>
      <c r="AE73" s="76">
        <f t="shared" ref="AE73:AE74" si="790">+SUM(CY73:DB73)</f>
        <v>0</v>
      </c>
      <c r="AI73" s="75">
        <f>'QTR Raw'!C34</f>
        <v>0</v>
      </c>
      <c r="AJ73" s="75">
        <f>'QTR Raw'!D34</f>
        <v>0</v>
      </c>
      <c r="AK73" s="75">
        <f>'QTR Raw'!E34</f>
        <v>0</v>
      </c>
      <c r="AL73" s="75">
        <f>'QTR Raw'!F34</f>
        <v>0</v>
      </c>
      <c r="AM73" s="75">
        <f>'QTR Raw'!G34</f>
        <v>0</v>
      </c>
      <c r="AN73" s="75">
        <f>'QTR Raw'!H34</f>
        <v>0</v>
      </c>
      <c r="AO73" s="75">
        <f>'QTR Raw'!I34</f>
        <v>0</v>
      </c>
      <c r="AP73" s="75">
        <f>'QTR Raw'!J34</f>
        <v>0</v>
      </c>
      <c r="AQ73" s="75">
        <f>'QTR Raw'!K34</f>
        <v>0</v>
      </c>
      <c r="AR73" s="75">
        <f>'QTR Raw'!L34</f>
        <v>0</v>
      </c>
      <c r="AS73" s="75">
        <f>'QTR Raw'!M34</f>
        <v>0</v>
      </c>
      <c r="AT73" s="75">
        <f>'QTR Raw'!N34</f>
        <v>0</v>
      </c>
      <c r="AU73" s="75">
        <f>'QTR Raw'!O34</f>
        <v>0</v>
      </c>
      <c r="AV73" s="75">
        <f>'QTR Raw'!P34</f>
        <v>0</v>
      </c>
      <c r="AW73" s="75">
        <f>'QTR Raw'!Q34</f>
        <v>0</v>
      </c>
      <c r="AX73" s="75">
        <f>'QTR Raw'!R34</f>
        <v>0</v>
      </c>
      <c r="AY73" s="75">
        <f>'QTR Raw'!S34</f>
        <v>0</v>
      </c>
      <c r="AZ73" s="75">
        <f>'QTR Raw'!T34</f>
        <v>0</v>
      </c>
      <c r="BA73" s="75">
        <f>'QTR Raw'!U34</f>
        <v>0</v>
      </c>
      <c r="BB73" s="75">
        <f>'QTR Raw'!V34</f>
        <v>0</v>
      </c>
      <c r="BC73" s="75">
        <f>'QTR Raw'!W34</f>
        <v>0</v>
      </c>
      <c r="BD73" s="75">
        <f>'QTR Raw'!X34</f>
        <v>0</v>
      </c>
      <c r="BE73" s="75">
        <f>'QTR Raw'!Y34</f>
        <v>0</v>
      </c>
      <c r="BF73" s="75">
        <f>'QTR Raw'!Z34</f>
        <v>0</v>
      </c>
      <c r="BG73" s="75">
        <f>'QTR Raw'!AA34</f>
        <v>0</v>
      </c>
      <c r="BH73" s="75">
        <f>'QTR Raw'!AB34</f>
        <v>0</v>
      </c>
      <c r="BI73" s="75">
        <f>'QTR Raw'!AC34</f>
        <v>0</v>
      </c>
      <c r="BJ73" s="75">
        <f>'QTR Raw'!AD34</f>
        <v>0</v>
      </c>
      <c r="BK73" s="75">
        <f>'QTR Raw'!AE34</f>
        <v>0</v>
      </c>
      <c r="BL73" s="75">
        <f>'QTR Raw'!AF34</f>
        <v>0</v>
      </c>
      <c r="BM73" s="75">
        <f>'QTR Raw'!AG34</f>
        <v>0</v>
      </c>
      <c r="BN73" s="75">
        <f>'QTR Raw'!AH34</f>
        <v>0</v>
      </c>
      <c r="BO73" s="75">
        <f>'QTR Raw'!AI34</f>
        <v>0</v>
      </c>
      <c r="BP73" s="75">
        <f>'QTR Raw'!AJ34</f>
        <v>0</v>
      </c>
      <c r="BQ73" s="75">
        <f>'QTR Raw'!AK34</f>
        <v>0</v>
      </c>
      <c r="BR73" s="75">
        <f>'QTR Raw'!AL34</f>
        <v>0</v>
      </c>
      <c r="BS73" s="75">
        <f>'QTR Raw'!AM34</f>
        <v>0</v>
      </c>
      <c r="BT73" s="75">
        <f>'QTR Raw'!AN34</f>
        <v>0</v>
      </c>
      <c r="BU73" s="75">
        <f>'QTR Raw'!AO34</f>
        <v>0</v>
      </c>
      <c r="BV73" s="75">
        <f>'QTR Raw'!AP34</f>
        <v>0</v>
      </c>
      <c r="BW73" s="75">
        <f>'QTR Raw'!AQ34</f>
        <v>0</v>
      </c>
      <c r="BX73" s="75">
        <f>'QTR Raw'!AR34</f>
        <v>0</v>
      </c>
      <c r="BY73" s="75">
        <f>'QTR Raw'!AS34</f>
        <v>0</v>
      </c>
      <c r="BZ73" s="75">
        <f>'QTR Raw'!AT34</f>
        <v>0</v>
      </c>
      <c r="CA73" s="75">
        <f>'QTR Raw'!AU34</f>
        <v>0</v>
      </c>
      <c r="CB73" s="75">
        <f>'QTR Raw'!AV34</f>
        <v>0</v>
      </c>
      <c r="CC73" s="75">
        <f>'QTR Raw'!AW34</f>
        <v>0</v>
      </c>
      <c r="CD73" s="75">
        <f>'QTR Raw'!AX34</f>
        <v>0</v>
      </c>
      <c r="CE73" s="75">
        <f>'QTR Raw'!AY34</f>
        <v>0</v>
      </c>
      <c r="CF73" s="75">
        <f>'QTR Raw'!AZ34</f>
        <v>0</v>
      </c>
      <c r="CG73" s="75">
        <f>'QTR Raw'!BA34</f>
        <v>0</v>
      </c>
      <c r="CH73" s="75">
        <f>'QTR Raw'!BB34</f>
        <v>0</v>
      </c>
      <c r="CI73" s="75">
        <f>'QTR Raw'!BC34</f>
        <v>0</v>
      </c>
      <c r="CJ73" s="75">
        <f>'QTR Raw'!BD34</f>
        <v>0</v>
      </c>
      <c r="CK73" s="75">
        <f>'QTR Raw'!BE34</f>
        <v>0</v>
      </c>
      <c r="CL73" s="75">
        <f>'QTR Raw'!BF34</f>
        <v>0</v>
      </c>
      <c r="CM73" s="76">
        <f t="shared" ref="CM73:CM74" si="791">+CL73</f>
        <v>0</v>
      </c>
      <c r="CN73" s="76">
        <f t="shared" ref="CN73:CN74" si="792">+CM73</f>
        <v>0</v>
      </c>
      <c r="CO73" s="76">
        <f t="shared" ref="CO73:CO74" si="793">+CN73</f>
        <v>0</v>
      </c>
      <c r="CP73" s="76">
        <f t="shared" ref="CP73:CP74" si="794">+CO73</f>
        <v>0</v>
      </c>
      <c r="CQ73" s="76">
        <f t="shared" ref="CQ73:CQ74" si="795">+CP73</f>
        <v>0</v>
      </c>
      <c r="CR73" s="76">
        <f t="shared" ref="CR73:CR74" si="796">+CQ73</f>
        <v>0</v>
      </c>
      <c r="CS73" s="76">
        <f t="shared" ref="CS73:CS74" si="797">+CR73</f>
        <v>0</v>
      </c>
      <c r="CT73" s="76">
        <f t="shared" ref="CT73:CT74" si="798">+CS73</f>
        <v>0</v>
      </c>
      <c r="CU73" s="76">
        <f t="shared" ref="CU73:CU74" si="799">+CT73</f>
        <v>0</v>
      </c>
      <c r="CV73" s="76">
        <f t="shared" ref="CV73:CV74" si="800">+CU73</f>
        <v>0</v>
      </c>
      <c r="CW73" s="76">
        <f t="shared" ref="CW73:CW74" si="801">+CV73</f>
        <v>0</v>
      </c>
      <c r="CX73" s="76">
        <f t="shared" ref="CX73:CX74" si="802">+CW73</f>
        <v>0</v>
      </c>
      <c r="CY73" s="76">
        <f t="shared" ref="CY73:CY74" si="803">+CX73</f>
        <v>0</v>
      </c>
      <c r="CZ73" s="76">
        <f t="shared" ref="CZ73:CZ74" si="804">+CY73</f>
        <v>0</v>
      </c>
      <c r="DA73" s="76">
        <f t="shared" ref="DA73:DA74" si="805">+CZ73</f>
        <v>0</v>
      </c>
      <c r="DB73" s="76">
        <f t="shared" ref="DB73:DB74" si="806">+DA73</f>
        <v>0</v>
      </c>
      <c r="DE73" s="131"/>
      <c r="DF73" s="75">
        <v>0</v>
      </c>
    </row>
    <row r="74" spans="1:110" s="75" customFormat="1" x14ac:dyDescent="0.2">
      <c r="A74" s="23" t="s">
        <v>24</v>
      </c>
      <c r="B74" s="75">
        <f>'Annual Raw'!C33+'Annual Raw'!C28</f>
        <v>0</v>
      </c>
      <c r="C74" s="75">
        <f>'Annual Raw'!D33+'Annual Raw'!D28</f>
        <v>0</v>
      </c>
      <c r="D74" s="75">
        <f>'Annual Raw'!E33+'Annual Raw'!E28</f>
        <v>0</v>
      </c>
      <c r="E74" s="75">
        <f>'Annual Raw'!F33+'Annual Raw'!F28</f>
        <v>0</v>
      </c>
      <c r="F74" s="75">
        <f>'Annual Raw'!G33+'Annual Raw'!G28</f>
        <v>0</v>
      </c>
      <c r="G74" s="75">
        <f>'Annual Raw'!H33+'Annual Raw'!H28</f>
        <v>0</v>
      </c>
      <c r="H74" s="75">
        <f>'Annual Raw'!I33+'Annual Raw'!I28</f>
        <v>0</v>
      </c>
      <c r="I74" s="75">
        <f>'Annual Raw'!J33+'Annual Raw'!J28</f>
        <v>0</v>
      </c>
      <c r="J74" s="75">
        <f>'Annual Raw'!K33+'Annual Raw'!K28</f>
        <v>0</v>
      </c>
      <c r="K74" s="75">
        <f>'Annual Raw'!L33+'Annual Raw'!L28</f>
        <v>0</v>
      </c>
      <c r="L74" s="75">
        <f>'Annual Raw'!M33+'Annual Raw'!M28</f>
        <v>0</v>
      </c>
      <c r="M74" s="75">
        <f>'Annual Raw'!N33+'Annual Raw'!N28</f>
        <v>0</v>
      </c>
      <c r="N74" s="75">
        <f>'Annual Raw'!O33+'Annual Raw'!O28</f>
        <v>0</v>
      </c>
      <c r="O74" s="75">
        <f>'Annual Raw'!P33+'Annual Raw'!P28</f>
        <v>0</v>
      </c>
      <c r="P74" s="75">
        <f>'Annual Raw'!Q33+'Annual Raw'!Q28</f>
        <v>0</v>
      </c>
      <c r="Q74" s="75">
        <f>'Annual Raw'!R33+'Annual Raw'!R28</f>
        <v>0</v>
      </c>
      <c r="R74" s="75">
        <f>'Annual Raw'!S33+'Annual Raw'!S28</f>
        <v>0</v>
      </c>
      <c r="S74" s="75">
        <f>'Annual Raw'!T33+'Annual Raw'!T28</f>
        <v>0</v>
      </c>
      <c r="T74" s="75">
        <f>'Annual Raw'!U33+'Annual Raw'!U28</f>
        <v>0</v>
      </c>
      <c r="U74" s="75">
        <f>'Annual Raw'!V33+'Annual Raw'!V28</f>
        <v>0</v>
      </c>
      <c r="V74" s="75">
        <f>'Annual Raw'!W33+'Annual Raw'!W28</f>
        <v>0</v>
      </c>
      <c r="W74" s="75">
        <f>'Annual Raw'!X33+'Annual Raw'!X28</f>
        <v>0</v>
      </c>
      <c r="X74" s="75">
        <f>'Annual Raw'!Y33+'Annual Raw'!Y28</f>
        <v>0</v>
      </c>
      <c r="Y74" s="75">
        <f>'Annual Raw'!Z33+'Annual Raw'!Z28</f>
        <v>0</v>
      </c>
      <c r="Z74" s="75">
        <f>'Annual Raw'!AA33+'Annual Raw'!AA28</f>
        <v>0</v>
      </c>
      <c r="AA74" s="75">
        <f>'Annual Raw'!AB33+'Annual Raw'!AB28</f>
        <v>0</v>
      </c>
      <c r="AB74" s="76">
        <f t="shared" si="787"/>
        <v>0</v>
      </c>
      <c r="AC74" s="76">
        <f t="shared" si="788"/>
        <v>0</v>
      </c>
      <c r="AD74" s="76">
        <f t="shared" si="789"/>
        <v>0</v>
      </c>
      <c r="AE74" s="76">
        <f t="shared" si="790"/>
        <v>0</v>
      </c>
      <c r="AI74" s="75">
        <f>'QTR Raw'!C35</f>
        <v>0</v>
      </c>
      <c r="AJ74" s="75">
        <f>'QTR Raw'!D35</f>
        <v>0</v>
      </c>
      <c r="AK74" s="75">
        <f>'QTR Raw'!E35</f>
        <v>0</v>
      </c>
      <c r="AL74" s="75">
        <f>'QTR Raw'!F35</f>
        <v>0</v>
      </c>
      <c r="AM74" s="75">
        <f>'QTR Raw'!G35</f>
        <v>0</v>
      </c>
      <c r="AN74" s="75">
        <f>'QTR Raw'!H35</f>
        <v>0</v>
      </c>
      <c r="AO74" s="75">
        <f>'QTR Raw'!I35</f>
        <v>0</v>
      </c>
      <c r="AP74" s="75">
        <f>'QTR Raw'!J35</f>
        <v>0</v>
      </c>
      <c r="AQ74" s="75">
        <f>'QTR Raw'!K35</f>
        <v>0</v>
      </c>
      <c r="AR74" s="75">
        <f>'QTR Raw'!L35</f>
        <v>0</v>
      </c>
      <c r="AS74" s="75">
        <f>'QTR Raw'!M35</f>
        <v>0</v>
      </c>
      <c r="AT74" s="75">
        <f>'QTR Raw'!N35</f>
        <v>0</v>
      </c>
      <c r="AU74" s="75">
        <f>'QTR Raw'!O35</f>
        <v>0</v>
      </c>
      <c r="AV74" s="75">
        <f>'QTR Raw'!P35</f>
        <v>0</v>
      </c>
      <c r="AW74" s="75">
        <f>'QTR Raw'!Q35</f>
        <v>0</v>
      </c>
      <c r="AX74" s="75">
        <f>'QTR Raw'!R35</f>
        <v>0</v>
      </c>
      <c r="AY74" s="75">
        <f>'QTR Raw'!S35</f>
        <v>0</v>
      </c>
      <c r="AZ74" s="75">
        <f>'QTR Raw'!T35</f>
        <v>0</v>
      </c>
      <c r="BA74" s="75">
        <f>'QTR Raw'!U35</f>
        <v>0</v>
      </c>
      <c r="BB74" s="75">
        <f>'QTR Raw'!V35</f>
        <v>0</v>
      </c>
      <c r="BC74" s="75">
        <f>'QTR Raw'!W35</f>
        <v>0</v>
      </c>
      <c r="BD74" s="75">
        <f>'QTR Raw'!X35</f>
        <v>0</v>
      </c>
      <c r="BE74" s="75">
        <f>'QTR Raw'!Y35</f>
        <v>0</v>
      </c>
      <c r="BF74" s="75">
        <f>'QTR Raw'!Z35</f>
        <v>0</v>
      </c>
      <c r="BG74" s="75">
        <f>'QTR Raw'!AA35</f>
        <v>0</v>
      </c>
      <c r="BH74" s="75">
        <f>'QTR Raw'!AB35</f>
        <v>0</v>
      </c>
      <c r="BI74" s="75">
        <f>'QTR Raw'!AC35</f>
        <v>0</v>
      </c>
      <c r="BJ74" s="75">
        <f>'QTR Raw'!AD35</f>
        <v>0</v>
      </c>
      <c r="BK74" s="75">
        <f>'QTR Raw'!AE35</f>
        <v>0</v>
      </c>
      <c r="BL74" s="75">
        <f>'QTR Raw'!AF35</f>
        <v>0</v>
      </c>
      <c r="BM74" s="75">
        <f>'QTR Raw'!AG35</f>
        <v>0</v>
      </c>
      <c r="BN74" s="75">
        <f>'QTR Raw'!AH35</f>
        <v>0</v>
      </c>
      <c r="BO74" s="75">
        <f>'QTR Raw'!AI35</f>
        <v>0</v>
      </c>
      <c r="BP74" s="75">
        <f>'QTR Raw'!AJ35</f>
        <v>0</v>
      </c>
      <c r="BQ74" s="75">
        <f>'QTR Raw'!AK35</f>
        <v>0</v>
      </c>
      <c r="BR74" s="75">
        <f>'QTR Raw'!AL35</f>
        <v>0</v>
      </c>
      <c r="BS74" s="75">
        <f>'QTR Raw'!AM35</f>
        <v>0</v>
      </c>
      <c r="BT74" s="75">
        <f>'QTR Raw'!AN35</f>
        <v>0</v>
      </c>
      <c r="BU74" s="75">
        <f>'QTR Raw'!AO35</f>
        <v>0</v>
      </c>
      <c r="BV74" s="75">
        <f>'QTR Raw'!AP35</f>
        <v>0</v>
      </c>
      <c r="BW74" s="75">
        <f>'QTR Raw'!AQ35</f>
        <v>0</v>
      </c>
      <c r="BX74" s="75">
        <f>'QTR Raw'!AR35</f>
        <v>0</v>
      </c>
      <c r="BY74" s="75">
        <f>'QTR Raw'!AS35</f>
        <v>0</v>
      </c>
      <c r="BZ74" s="75">
        <f>'QTR Raw'!AT35</f>
        <v>0</v>
      </c>
      <c r="CA74" s="75">
        <f>'QTR Raw'!AU35</f>
        <v>0</v>
      </c>
      <c r="CB74" s="75">
        <f>'QTR Raw'!AV35</f>
        <v>0</v>
      </c>
      <c r="CC74" s="75">
        <f>'QTR Raw'!AW35</f>
        <v>0</v>
      </c>
      <c r="CD74" s="75">
        <f>'QTR Raw'!AX35</f>
        <v>0</v>
      </c>
      <c r="CE74" s="75">
        <f>'QTR Raw'!AY35</f>
        <v>0</v>
      </c>
      <c r="CF74" s="75">
        <f>'QTR Raw'!AZ35</f>
        <v>0</v>
      </c>
      <c r="CG74" s="75">
        <f>'QTR Raw'!BA35</f>
        <v>0</v>
      </c>
      <c r="CH74" s="75">
        <f>'QTR Raw'!BB35</f>
        <v>0</v>
      </c>
      <c r="CI74" s="75">
        <f>'QTR Raw'!BC35</f>
        <v>0</v>
      </c>
      <c r="CJ74" s="75">
        <f>'QTR Raw'!BD35</f>
        <v>0</v>
      </c>
      <c r="CK74" s="75">
        <f>'QTR Raw'!BE35</f>
        <v>0</v>
      </c>
      <c r="CL74" s="75">
        <f>'QTR Raw'!BF35</f>
        <v>0</v>
      </c>
      <c r="CM74" s="76">
        <f t="shared" si="791"/>
        <v>0</v>
      </c>
      <c r="CN74" s="76">
        <f t="shared" si="792"/>
        <v>0</v>
      </c>
      <c r="CO74" s="76">
        <f t="shared" si="793"/>
        <v>0</v>
      </c>
      <c r="CP74" s="76">
        <f t="shared" si="794"/>
        <v>0</v>
      </c>
      <c r="CQ74" s="76">
        <f t="shared" si="795"/>
        <v>0</v>
      </c>
      <c r="CR74" s="76">
        <f t="shared" si="796"/>
        <v>0</v>
      </c>
      <c r="CS74" s="76">
        <f t="shared" si="797"/>
        <v>0</v>
      </c>
      <c r="CT74" s="76">
        <f t="shared" si="798"/>
        <v>0</v>
      </c>
      <c r="CU74" s="76">
        <f t="shared" si="799"/>
        <v>0</v>
      </c>
      <c r="CV74" s="76">
        <f t="shared" si="800"/>
        <v>0</v>
      </c>
      <c r="CW74" s="76">
        <f t="shared" si="801"/>
        <v>0</v>
      </c>
      <c r="CX74" s="76">
        <f t="shared" si="802"/>
        <v>0</v>
      </c>
      <c r="CY74" s="76">
        <f t="shared" si="803"/>
        <v>0</v>
      </c>
      <c r="CZ74" s="76">
        <f t="shared" si="804"/>
        <v>0</v>
      </c>
      <c r="DA74" s="76">
        <f t="shared" si="805"/>
        <v>0</v>
      </c>
      <c r="DB74" s="76">
        <f t="shared" si="806"/>
        <v>0</v>
      </c>
      <c r="DE74" s="131"/>
      <c r="DF74" s="75">
        <v>0</v>
      </c>
    </row>
    <row r="75" spans="1:110" s="23" customFormat="1" x14ac:dyDescent="0.2">
      <c r="A75" s="23" t="s">
        <v>19</v>
      </c>
      <c r="B75" s="75">
        <f>'Annual Raw'!C29+'Annual Raw'!C31+'Annual Raw'!C34+'Annual Raw'!C36</f>
        <v>0</v>
      </c>
      <c r="C75" s="75">
        <f>'Annual Raw'!D29+'Annual Raw'!D31+'Annual Raw'!D34+'Annual Raw'!D36</f>
        <v>0</v>
      </c>
      <c r="D75" s="75">
        <f>'Annual Raw'!E29+'Annual Raw'!E31+'Annual Raw'!E34+'Annual Raw'!E36</f>
        <v>0</v>
      </c>
      <c r="E75" s="75">
        <f>'Annual Raw'!F29+'Annual Raw'!F31+'Annual Raw'!F34+'Annual Raw'!F36</f>
        <v>-210.887</v>
      </c>
      <c r="F75" s="75">
        <f>'Annual Raw'!G29+'Annual Raw'!G31+'Annual Raw'!G34+'Annual Raw'!G36</f>
        <v>0</v>
      </c>
      <c r="G75" s="75">
        <f>'Annual Raw'!H29+'Annual Raw'!H31+'Annual Raw'!H34+'Annual Raw'!H36</f>
        <v>0</v>
      </c>
      <c r="H75" s="75">
        <f>'Annual Raw'!I29+'Annual Raw'!I31+'Annual Raw'!I34+'Annual Raw'!I36</f>
        <v>0</v>
      </c>
      <c r="I75" s="75">
        <f>'Annual Raw'!J29+'Annual Raw'!J31+'Annual Raw'!J34+'Annual Raw'!J36</f>
        <v>0</v>
      </c>
      <c r="J75" s="75">
        <f>'Annual Raw'!K29+'Annual Raw'!K31+'Annual Raw'!K34+'Annual Raw'!K36</f>
        <v>0</v>
      </c>
      <c r="K75" s="75">
        <f>'Annual Raw'!L29+'Annual Raw'!L31+'Annual Raw'!L34+'Annual Raw'!L36</f>
        <v>0</v>
      </c>
      <c r="L75" s="75">
        <f>'Annual Raw'!M29+'Annual Raw'!M31+'Annual Raw'!M34+'Annual Raw'!M36</f>
        <v>-21.16</v>
      </c>
      <c r="M75" s="75">
        <f>'Annual Raw'!N29+'Annual Raw'!N31+'Annual Raw'!N34+'Annual Raw'!N36</f>
        <v>-43.13</v>
      </c>
      <c r="N75" s="75">
        <f>'Annual Raw'!O29+'Annual Raw'!O31+'Annual Raw'!O34+'Annual Raw'!O36</f>
        <v>-17.53</v>
      </c>
      <c r="O75" s="75">
        <f>'Annual Raw'!P29+'Annual Raw'!P31+'Annual Raw'!P34+'Annual Raw'!P36</f>
        <v>0</v>
      </c>
      <c r="P75" s="75">
        <f>'Annual Raw'!Q29+'Annual Raw'!Q31+'Annual Raw'!Q34+'Annual Raw'!Q36</f>
        <v>-29.87</v>
      </c>
      <c r="Q75" s="75">
        <f>'Annual Raw'!R29+'Annual Raw'!R31+'Annual Raw'!R34+'Annual Raw'!R36</f>
        <v>-30</v>
      </c>
      <c r="R75" s="75">
        <f>'Annual Raw'!S29+'Annual Raw'!S31+'Annual Raw'!S34+'Annual Raw'!S36</f>
        <v>0</v>
      </c>
      <c r="S75" s="75">
        <f>'Annual Raw'!T29+'Annual Raw'!T31+'Annual Raw'!T34+'Annual Raw'!T36</f>
        <v>240</v>
      </c>
      <c r="T75" s="75">
        <f>'Annual Raw'!U29+'Annual Raw'!U31+'Annual Raw'!U34+'Annual Raw'!U36</f>
        <v>0</v>
      </c>
      <c r="U75" s="75">
        <f>'Annual Raw'!V29+'Annual Raw'!V31+'Annual Raw'!V34+'Annual Raw'!V36</f>
        <v>0</v>
      </c>
      <c r="V75" s="75">
        <f>'Annual Raw'!W29+'Annual Raw'!W31+'Annual Raw'!W34+'Annual Raw'!W36</f>
        <v>0</v>
      </c>
      <c r="W75" s="75">
        <f>'Annual Raw'!X29+'Annual Raw'!X31+'Annual Raw'!X34+'Annual Raw'!X36</f>
        <v>-134</v>
      </c>
      <c r="X75" s="75">
        <f>'Annual Raw'!Y29+'Annual Raw'!Y31+'Annual Raw'!Y34+'Annual Raw'!Y36</f>
        <v>0</v>
      </c>
      <c r="Y75" s="75">
        <f>'Annual Raw'!Z29+'Annual Raw'!Z31+'Annual Raw'!Z34+'Annual Raw'!Z36</f>
        <v>0</v>
      </c>
      <c r="Z75" s="75">
        <f>'Annual Raw'!AA29+'Annual Raw'!AA31+'Annual Raw'!AA34+'Annual Raw'!AA36</f>
        <v>-83</v>
      </c>
      <c r="AA75" s="75">
        <f>'Annual Raw'!AB29+'Annual Raw'!AB31+'Annual Raw'!AB34+'Annual Raw'!AB36</f>
        <v>25</v>
      </c>
      <c r="AB75" s="76">
        <f>+SUM(CM75:CP75)</f>
        <v>0</v>
      </c>
      <c r="AC75" s="76">
        <f>+SUM(CQ75:CT75)</f>
        <v>0</v>
      </c>
      <c r="AD75" s="76">
        <f>+SUM(CU75:CX75)</f>
        <v>0</v>
      </c>
      <c r="AE75" s="76">
        <f>+SUM(CY75:DB75)</f>
        <v>0</v>
      </c>
      <c r="AI75" s="75">
        <f>'QTR Raw'!C26+'QTR Raw'!C31+'QTR Raw'!C32+'QTR Raw'!C33+'QTR Raw'!C36+'QTR Raw'!C37+'QTR Raw'!C39</f>
        <v>0</v>
      </c>
      <c r="AJ75" s="75">
        <f>'QTR Raw'!D26+'QTR Raw'!D31+'QTR Raw'!D32+'QTR Raw'!D33+'QTR Raw'!D36+'QTR Raw'!D37+'QTR Raw'!D39</f>
        <v>0</v>
      </c>
      <c r="AK75" s="75">
        <f>'QTR Raw'!E26+'QTR Raw'!E31+'QTR Raw'!E32+'QTR Raw'!E33+'QTR Raw'!E36+'QTR Raw'!E37+'QTR Raw'!E39</f>
        <v>0</v>
      </c>
      <c r="AL75" s="75">
        <f>'QTR Raw'!F26+'QTR Raw'!F31+'QTR Raw'!F32+'QTR Raw'!F33+'QTR Raw'!F36+'QTR Raw'!F37+'QTR Raw'!F39</f>
        <v>-17.53</v>
      </c>
      <c r="AM75" s="75">
        <f>'QTR Raw'!G26+'QTR Raw'!G31+'QTR Raw'!G32+'QTR Raw'!G33+'QTR Raw'!G36+'QTR Raw'!G37+'QTR Raw'!G39</f>
        <v>-0.52</v>
      </c>
      <c r="AN75" s="75">
        <f>'QTR Raw'!H26+'QTR Raw'!H31+'QTR Raw'!H32+'QTR Raw'!H33+'QTR Raw'!H36+'QTR Raw'!H37+'QTR Raw'!H39</f>
        <v>-61.15</v>
      </c>
      <c r="AO75" s="75">
        <f>'QTR Raw'!I26+'QTR Raw'!I31+'QTR Raw'!I32+'QTR Raw'!I33+'QTR Raw'!I36+'QTR Raw'!I37+'QTR Raw'!I39</f>
        <v>0</v>
      </c>
      <c r="AP75" s="75">
        <f>'QTR Raw'!J26+'QTR Raw'!J31+'QTR Raw'!J32+'QTR Raw'!J33+'QTR Raw'!J36+'QTR Raw'!J37+'QTR Raw'!J39</f>
        <v>0</v>
      </c>
      <c r="AQ75" s="75">
        <f>'QTR Raw'!K26+'QTR Raw'!K31+'QTR Raw'!K32+'QTR Raw'!K33+'QTR Raw'!K36+'QTR Raw'!K37+'QTR Raw'!K39</f>
        <v>0</v>
      </c>
      <c r="AR75" s="75">
        <f>'QTR Raw'!L26+'QTR Raw'!L31+'QTR Raw'!L32+'QTR Raw'!L33+'QTR Raw'!L36+'QTR Raw'!L37+'QTR Raw'!L39</f>
        <v>-2.81</v>
      </c>
      <c r="AS75" s="75">
        <f>'QTR Raw'!M26+'QTR Raw'!M31+'QTR Raw'!M32+'QTR Raw'!M33+'QTR Raw'!M36+'QTR Raw'!M37+'QTR Raw'!M39</f>
        <v>0</v>
      </c>
      <c r="AT75" s="75">
        <f>'QTR Raw'!N26+'QTR Raw'!N31+'QTR Raw'!N32+'QTR Raw'!N33+'QTR Raw'!N36+'QTR Raw'!N37+'QTR Raw'!N39</f>
        <v>-27.06</v>
      </c>
      <c r="AU75" s="75">
        <f>'QTR Raw'!O26+'QTR Raw'!O31+'QTR Raw'!O32+'QTR Raw'!O33+'QTR Raw'!O36+'QTR Raw'!O37+'QTR Raw'!O39</f>
        <v>-6.98</v>
      </c>
      <c r="AV75" s="75">
        <f>'QTR Raw'!P26+'QTR Raw'!P31+'QTR Raw'!P32+'QTR Raw'!P33+'QTR Raw'!P36+'QTR Raw'!P37+'QTR Raw'!P39</f>
        <v>-21.97</v>
      </c>
      <c r="AW75" s="75">
        <f>'QTR Raw'!Q26+'QTR Raw'!Q31+'QTR Raw'!Q32+'QTR Raw'!Q33+'QTR Raw'!Q36+'QTR Raw'!Q37+'QTR Raw'!Q39</f>
        <v>-0.75</v>
      </c>
      <c r="AX75" s="75">
        <f>'QTR Raw'!R26+'QTR Raw'!R31+'QTR Raw'!R32+'QTR Raw'!R33+'QTR Raw'!R36+'QTR Raw'!R37+'QTR Raw'!R39</f>
        <v>-0.41</v>
      </c>
      <c r="AY75" s="75">
        <f>'QTR Raw'!S26+'QTR Raw'!S31+'QTR Raw'!S32+'QTR Raw'!S33+'QTR Raw'!S36+'QTR Raw'!S37+'QTR Raw'!S39</f>
        <v>0</v>
      </c>
      <c r="AZ75" s="75">
        <f>'QTR Raw'!T26+'QTR Raw'!T31+'QTR Raw'!T32+'QTR Raw'!T33+'QTR Raw'!T36+'QTR Raw'!T37+'QTR Raw'!T39</f>
        <v>0</v>
      </c>
      <c r="BA75" s="75">
        <f>'QTR Raw'!U26+'QTR Raw'!U31+'QTR Raw'!U32+'QTR Raw'!U33+'QTR Raw'!U36+'QTR Raw'!U37+'QTR Raw'!U39</f>
        <v>0</v>
      </c>
      <c r="BB75" s="75">
        <f>'QTR Raw'!V26+'QTR Raw'!V31+'QTR Raw'!V32+'QTR Raw'!V33+'QTR Raw'!V36+'QTR Raw'!V37+'QTR Raw'!V39</f>
        <v>0</v>
      </c>
      <c r="BC75" s="75">
        <f>'QTR Raw'!W26+'QTR Raw'!W31+'QTR Raw'!W32+'QTR Raw'!W33+'QTR Raw'!W36+'QTR Raw'!W37+'QTR Raw'!W39</f>
        <v>0</v>
      </c>
      <c r="BD75" s="75">
        <f>'QTR Raw'!X26+'QTR Raw'!X31+'QTR Raw'!X32+'QTR Raw'!X33+'QTR Raw'!X36+'QTR Raw'!X37+'QTR Raw'!X39</f>
        <v>291</v>
      </c>
      <c r="BE75" s="75">
        <f>'QTR Raw'!Y26+'QTR Raw'!Y31+'QTR Raw'!Y32+'QTR Raw'!Y33+'QTR Raw'!Y36+'QTR Raw'!Y37+'QTR Raw'!Y39</f>
        <v>0</v>
      </c>
      <c r="BF75" s="75">
        <f>'QTR Raw'!Z26+'QTR Raw'!Z31+'QTR Raw'!Z32+'QTR Raw'!Z33+'QTR Raw'!Z36+'QTR Raw'!Z37+'QTR Raw'!Z39</f>
        <v>-51</v>
      </c>
      <c r="BG75" s="75">
        <f>'QTR Raw'!AA26+'QTR Raw'!AA31+'QTR Raw'!AA32+'QTR Raw'!AA33+'QTR Raw'!AA36+'QTR Raw'!AA37+'QTR Raw'!AA39</f>
        <v>0</v>
      </c>
      <c r="BH75" s="75">
        <f>'QTR Raw'!AB26+'QTR Raw'!AB31+'QTR Raw'!AB32+'QTR Raw'!AB33+'QTR Raw'!AB36+'QTR Raw'!AB37+'QTR Raw'!AB39</f>
        <v>0</v>
      </c>
      <c r="BI75" s="75">
        <f>'QTR Raw'!AC26+'QTR Raw'!AC31+'QTR Raw'!AC32+'QTR Raw'!AC33+'QTR Raw'!AC36+'QTR Raw'!AC37+'QTR Raw'!AC39</f>
        <v>0</v>
      </c>
      <c r="BJ75" s="75">
        <f>'QTR Raw'!AD26+'QTR Raw'!AD31+'QTR Raw'!AD32+'QTR Raw'!AD33+'QTR Raw'!AD36+'QTR Raw'!AD37+'QTR Raw'!AD39</f>
        <v>0</v>
      </c>
      <c r="BK75" s="75">
        <f>'QTR Raw'!AE26+'QTR Raw'!AE31+'QTR Raw'!AE32+'QTR Raw'!AE33+'QTR Raw'!AE36+'QTR Raw'!AE37+'QTR Raw'!AE39</f>
        <v>0</v>
      </c>
      <c r="BL75" s="75">
        <f>'QTR Raw'!AF26+'QTR Raw'!AF31+'QTR Raw'!AF32+'QTR Raw'!AF33+'QTR Raw'!AF36+'QTR Raw'!AF37+'QTR Raw'!AF39</f>
        <v>0</v>
      </c>
      <c r="BM75" s="75">
        <f>'QTR Raw'!AG26+'QTR Raw'!AG31+'QTR Raw'!AG32+'QTR Raw'!AG33+'QTR Raw'!AG36+'QTR Raw'!AG37+'QTR Raw'!AG39</f>
        <v>0</v>
      </c>
      <c r="BN75" s="75">
        <f>'QTR Raw'!AH26+'QTR Raw'!AH31+'QTR Raw'!AH32+'QTR Raw'!AH33+'QTR Raw'!AH36+'QTR Raw'!AH37+'QTR Raw'!AH39</f>
        <v>0</v>
      </c>
      <c r="BO75" s="75">
        <f>'QTR Raw'!AI26+'QTR Raw'!AI31+'QTR Raw'!AI32+'QTR Raw'!AI33+'QTR Raw'!AI36+'QTR Raw'!AI37+'QTR Raw'!AI39</f>
        <v>0</v>
      </c>
      <c r="BP75" s="75">
        <f>'QTR Raw'!AJ26+'QTR Raw'!AJ31+'QTR Raw'!AJ32+'QTR Raw'!AJ33+'QTR Raw'!AJ36+'QTR Raw'!AJ37+'QTR Raw'!AJ39</f>
        <v>0</v>
      </c>
      <c r="BQ75" s="75">
        <f>'QTR Raw'!AK26+'QTR Raw'!AK31+'QTR Raw'!AK32+'QTR Raw'!AK33+'QTR Raw'!AK36+'QTR Raw'!AK37+'QTR Raw'!AK39</f>
        <v>0</v>
      </c>
      <c r="BR75" s="75">
        <f>'QTR Raw'!AL26+'QTR Raw'!AL31+'QTR Raw'!AL32+'QTR Raw'!AL33+'QTR Raw'!AL36+'QTR Raw'!AL37+'QTR Raw'!AL39</f>
        <v>0</v>
      </c>
      <c r="BS75" s="75">
        <f>'QTR Raw'!AM26+'QTR Raw'!AM31+'QTR Raw'!AM32+'QTR Raw'!AM33+'QTR Raw'!AM36+'QTR Raw'!AM37+'QTR Raw'!AM39</f>
        <v>-134</v>
      </c>
      <c r="BT75" s="75">
        <f>'QTR Raw'!AN26+'QTR Raw'!AN31+'QTR Raw'!AN32+'QTR Raw'!AN33+'QTR Raw'!AN36+'QTR Raw'!AN37+'QTR Raw'!AN39</f>
        <v>0</v>
      </c>
      <c r="BU75" s="75">
        <f>'QTR Raw'!AO26+'QTR Raw'!AO31+'QTR Raw'!AO32+'QTR Raw'!AO33+'QTR Raw'!AO36+'QTR Raw'!AO37+'QTR Raw'!AO39</f>
        <v>0</v>
      </c>
      <c r="BV75" s="75">
        <f>'QTR Raw'!AP26+'QTR Raw'!AP31+'QTR Raw'!AP32+'QTR Raw'!AP33+'QTR Raw'!AP36+'QTR Raw'!AP37+'QTR Raw'!AP39</f>
        <v>0</v>
      </c>
      <c r="BW75" s="75">
        <f>'QTR Raw'!AQ26+'QTR Raw'!AQ31+'QTR Raw'!AQ32+'QTR Raw'!AQ33+'QTR Raw'!AQ36+'QTR Raw'!AQ37+'QTR Raw'!AQ39</f>
        <v>0</v>
      </c>
      <c r="BX75" s="75">
        <f>'QTR Raw'!AR26+'QTR Raw'!AR31+'QTR Raw'!AR32+'QTR Raw'!AR33+'QTR Raw'!AR36+'QTR Raw'!AR37+'QTR Raw'!AR39</f>
        <v>0</v>
      </c>
      <c r="BY75" s="75">
        <f>'QTR Raw'!AS26+'QTR Raw'!AS31+'QTR Raw'!AS32+'QTR Raw'!AS33+'QTR Raw'!AS36+'QTR Raw'!AS37+'QTR Raw'!AS39</f>
        <v>0</v>
      </c>
      <c r="BZ75" s="75">
        <f>'QTR Raw'!AT26+'QTR Raw'!AT31+'QTR Raw'!AT32+'QTR Raw'!AT33+'QTR Raw'!AT36+'QTR Raw'!AT37+'QTR Raw'!AT39</f>
        <v>0</v>
      </c>
      <c r="CA75" s="75">
        <f>'QTR Raw'!AU26+'QTR Raw'!AU31+'QTR Raw'!AU32+'QTR Raw'!AU33+'QTR Raw'!AU36+'QTR Raw'!AU37+'QTR Raw'!AU39</f>
        <v>0</v>
      </c>
      <c r="CB75" s="75">
        <f>'QTR Raw'!AV26+'QTR Raw'!AV31+'QTR Raw'!AV32+'QTR Raw'!AV33+'QTR Raw'!AV36+'QTR Raw'!AV37+'QTR Raw'!AV39</f>
        <v>0</v>
      </c>
      <c r="CC75" s="75">
        <f>'QTR Raw'!AW26+'QTR Raw'!AW31+'QTR Raw'!AW32+'QTR Raw'!AW33+'QTR Raw'!AW36+'QTR Raw'!AW37+'QTR Raw'!AW39</f>
        <v>0</v>
      </c>
      <c r="CD75" s="75">
        <f>'QTR Raw'!AX26+'QTR Raw'!AX31+'QTR Raw'!AX32+'QTR Raw'!AX33+'QTR Raw'!AX36+'QTR Raw'!AX37+'QTR Raw'!AX39</f>
        <v>0</v>
      </c>
      <c r="CE75" s="75">
        <f>'QTR Raw'!AY26+'QTR Raw'!AY31+'QTR Raw'!AY32+'QTR Raw'!AY33+'QTR Raw'!AY36+'QTR Raw'!AY37+'QTR Raw'!AY39</f>
        <v>0</v>
      </c>
      <c r="CF75" s="75">
        <f>'QTR Raw'!AZ26+'QTR Raw'!AZ31+'QTR Raw'!AZ32+'QTR Raw'!AZ33+'QTR Raw'!AZ36+'QTR Raw'!AZ37+'QTR Raw'!AZ39</f>
        <v>-83</v>
      </c>
      <c r="CG75" s="75">
        <f>'QTR Raw'!BA26+'QTR Raw'!BA31+'QTR Raw'!BA32+'QTR Raw'!BA33+'QTR Raw'!BA36+'QTR Raw'!BA37+'QTR Raw'!BA39</f>
        <v>0</v>
      </c>
      <c r="CH75" s="75">
        <f>'QTR Raw'!BB26+'QTR Raw'!BB31+'QTR Raw'!BB32+'QTR Raw'!BB33+'QTR Raw'!BB36+'QTR Raw'!BB37+'QTR Raw'!BB39</f>
        <v>0</v>
      </c>
      <c r="CI75" s="75">
        <f>'QTR Raw'!BC26+'QTR Raw'!BC31+'QTR Raw'!BC32+'QTR Raw'!BC33+'QTR Raw'!BC36+'QTR Raw'!BC37+'QTR Raw'!BC39</f>
        <v>0</v>
      </c>
      <c r="CJ75" s="75">
        <f>'QTR Raw'!BD26+'QTR Raw'!BD31+'QTR Raw'!BD32+'QTR Raw'!BD33+'QTR Raw'!BD36+'QTR Raw'!BD37+'QTR Raw'!BD39</f>
        <v>0</v>
      </c>
      <c r="CK75" s="75">
        <f>'QTR Raw'!BE26+'QTR Raw'!BE31+'QTR Raw'!BE32+'QTR Raw'!BE33+'QTR Raw'!BE36+'QTR Raw'!BE37+'QTR Raw'!BE39</f>
        <v>25</v>
      </c>
      <c r="CL75" s="75">
        <f>'QTR Raw'!BF26+'QTR Raw'!BF31+'QTR Raw'!BF32+'QTR Raw'!BF33+'QTR Raw'!BF36+'QTR Raw'!BF37+'QTR Raw'!BF39</f>
        <v>0</v>
      </c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E75" s="123"/>
      <c r="DF75" s="23">
        <v>25</v>
      </c>
    </row>
    <row r="76" spans="1:110" s="26" customFormat="1" x14ac:dyDescent="0.2">
      <c r="A76" s="35" t="s">
        <v>25</v>
      </c>
      <c r="B76" s="26">
        <f>B69+B73+B74+B75</f>
        <v>169.2199</v>
      </c>
      <c r="C76" s="26">
        <f>C69+C73+C74+C75</f>
        <v>67.962999999999909</v>
      </c>
      <c r="D76" s="26">
        <f>D69+D73+D74+D75</f>
        <v>142.15199999999999</v>
      </c>
      <c r="E76" s="26">
        <f t="shared" ref="E76:U76" si="807">E69+E73+E74+E75</f>
        <v>404.58799999999991</v>
      </c>
      <c r="F76" s="26">
        <f t="shared" si="807"/>
        <v>655.33000000000015</v>
      </c>
      <c r="G76" s="26">
        <f t="shared" si="807"/>
        <v>1472.4799999999996</v>
      </c>
      <c r="H76" s="26">
        <f t="shared" si="807"/>
        <v>4441.8100000000031</v>
      </c>
      <c r="I76" s="26">
        <f t="shared" si="807"/>
        <v>4396.07</v>
      </c>
      <c r="J76" s="26">
        <f t="shared" si="807"/>
        <v>2727.61</v>
      </c>
      <c r="K76" s="26">
        <f t="shared" si="807"/>
        <v>4041.4100000000008</v>
      </c>
      <c r="L76" s="26">
        <f t="shared" si="807"/>
        <v>4900.49</v>
      </c>
      <c r="M76" s="26">
        <f t="shared" si="807"/>
        <v>5526.0399999999981</v>
      </c>
      <c r="N76" s="26">
        <f t="shared" si="807"/>
        <v>6899.4800000000005</v>
      </c>
      <c r="O76" s="26">
        <f t="shared" si="807"/>
        <v>6904.619999999999</v>
      </c>
      <c r="P76" s="26">
        <f t="shared" si="807"/>
        <v>8177.9999999999991</v>
      </c>
      <c r="Q76" s="26">
        <f t="shared" si="807"/>
        <v>8175</v>
      </c>
      <c r="R76" s="26">
        <f t="shared" si="807"/>
        <v>8316</v>
      </c>
      <c r="S76" s="26">
        <f t="shared" si="807"/>
        <v>9276</v>
      </c>
      <c r="T76" s="26">
        <f t="shared" si="807"/>
        <v>7956</v>
      </c>
      <c r="U76" s="26">
        <f t="shared" si="807"/>
        <v>6805</v>
      </c>
      <c r="V76" s="26">
        <f>V69+V73+V74+V75</f>
        <v>7980</v>
      </c>
      <c r="W76" s="26">
        <f>W69+W73+W74+W75</f>
        <v>9629</v>
      </c>
      <c r="X76" s="26">
        <f>X69+X73+X74+X75</f>
        <v>10511</v>
      </c>
      <c r="Y76" s="26">
        <f>Y69+Y73+Y74+Y75</f>
        <v>7759</v>
      </c>
      <c r="Z76" s="26">
        <f>Z69+Z73+Z74+Z75</f>
        <v>10353</v>
      </c>
      <c r="AA76" s="26">
        <f>AA69+AA73+AA74+AA75</f>
        <v>13832</v>
      </c>
      <c r="AB76" s="27">
        <f t="shared" ref="AA76:AD76" si="808">AB69+AB73+AB74+AB75</f>
        <v>17722.777565859367</v>
      </c>
      <c r="AC76" s="27">
        <f t="shared" si="808"/>
        <v>18069.320328161943</v>
      </c>
      <c r="AD76" s="27">
        <f t="shared" si="808"/>
        <v>17909.195004362631</v>
      </c>
      <c r="AE76" s="27">
        <f t="shared" ref="AE76" si="809">AE69+AE73+AE74+AE75</f>
        <v>19022.403102361568</v>
      </c>
      <c r="AI76" s="26">
        <f t="shared" ref="AI76" si="810">AI69+AI73+AI74+AI75</f>
        <v>1581.3400000000001</v>
      </c>
      <c r="AJ76" s="26">
        <f t="shared" ref="AJ76" si="811">AJ69+AJ73+AJ74+AJ75</f>
        <v>1539.7900000000004</v>
      </c>
      <c r="AK76" s="26">
        <f t="shared" ref="AK76:AM76" si="812">AK69+AK73+AK74+AK75</f>
        <v>1612.5400000000002</v>
      </c>
      <c r="AL76" s="26">
        <f t="shared" si="812"/>
        <v>2165.81</v>
      </c>
      <c r="AM76" s="26">
        <f t="shared" si="812"/>
        <v>1660.45</v>
      </c>
      <c r="AN76" s="26">
        <f t="shared" ref="AN76:AO76" si="813">AN69+AN73+AN74+AN75</f>
        <v>1640.2499999999995</v>
      </c>
      <c r="AO76" s="26">
        <f t="shared" si="813"/>
        <v>1722.72</v>
      </c>
      <c r="AP76" s="26">
        <f t="shared" ref="AP76:CD76" si="814">AP69+AP73+AP74+AP75</f>
        <v>1881.2</v>
      </c>
      <c r="AQ76" s="26">
        <f t="shared" si="814"/>
        <v>1617.6700000000003</v>
      </c>
      <c r="AR76" s="26">
        <f t="shared" si="814"/>
        <v>2183.52</v>
      </c>
      <c r="AS76" s="26">
        <f t="shared" si="814"/>
        <v>2379.37</v>
      </c>
      <c r="AT76" s="26">
        <f t="shared" si="814"/>
        <v>1997.44</v>
      </c>
      <c r="AU76" s="26">
        <f t="shared" si="814"/>
        <v>1940.1399999999996</v>
      </c>
      <c r="AV76" s="26">
        <f t="shared" si="814"/>
        <v>2248.4200000000005</v>
      </c>
      <c r="AW76" s="26">
        <f t="shared" si="814"/>
        <v>1839.58</v>
      </c>
      <c r="AX76" s="26">
        <f t="shared" si="814"/>
        <v>2147.2199999999998</v>
      </c>
      <c r="AY76" s="26">
        <f t="shared" si="814"/>
        <v>1037</v>
      </c>
      <c r="AZ76" s="26">
        <f t="shared" si="814"/>
        <v>1902</v>
      </c>
      <c r="BA76" s="26">
        <f t="shared" si="814"/>
        <v>2320</v>
      </c>
      <c r="BB76" s="26">
        <f t="shared" si="814"/>
        <v>3057</v>
      </c>
      <c r="BC76" s="26">
        <f t="shared" si="814"/>
        <v>1889</v>
      </c>
      <c r="BD76" s="26">
        <f t="shared" si="814"/>
        <v>2584</v>
      </c>
      <c r="BE76" s="26">
        <f t="shared" si="814"/>
        <v>2298</v>
      </c>
      <c r="BF76" s="26">
        <f t="shared" si="814"/>
        <v>2505</v>
      </c>
      <c r="BG76" s="26">
        <f t="shared" si="814"/>
        <v>1918</v>
      </c>
      <c r="BH76" s="26">
        <f t="shared" si="814"/>
        <v>1815</v>
      </c>
      <c r="BI76" s="26">
        <f t="shared" si="814"/>
        <v>2211</v>
      </c>
      <c r="BJ76" s="26">
        <f t="shared" si="814"/>
        <v>2012</v>
      </c>
      <c r="BK76" s="26">
        <f t="shared" si="814"/>
        <v>1765</v>
      </c>
      <c r="BL76" s="26">
        <f t="shared" si="814"/>
        <v>2081</v>
      </c>
      <c r="BM76" s="26">
        <f t="shared" si="814"/>
        <v>1620</v>
      </c>
      <c r="BN76" s="26">
        <f t="shared" si="814"/>
        <v>1339</v>
      </c>
      <c r="BO76" s="26">
        <f t="shared" si="814"/>
        <v>1359</v>
      </c>
      <c r="BP76" s="26">
        <f t="shared" si="814"/>
        <v>1940</v>
      </c>
      <c r="BQ76" s="26">
        <f t="shared" si="814"/>
        <v>2200</v>
      </c>
      <c r="BR76" s="26">
        <f t="shared" si="814"/>
        <v>2481</v>
      </c>
      <c r="BS76" s="26">
        <f t="shared" si="814"/>
        <v>1983</v>
      </c>
      <c r="BT76" s="26">
        <f t="shared" si="814"/>
        <v>2017</v>
      </c>
      <c r="BU76" s="26">
        <f t="shared" si="814"/>
        <v>2701</v>
      </c>
      <c r="BV76" s="26">
        <f t="shared" si="814"/>
        <v>2928</v>
      </c>
      <c r="BW76" s="26">
        <f t="shared" si="814"/>
        <v>3092</v>
      </c>
      <c r="BX76" s="26">
        <f t="shared" si="814"/>
        <v>2680</v>
      </c>
      <c r="BY76" s="26">
        <f t="shared" si="814"/>
        <v>2156</v>
      </c>
      <c r="BZ76" s="26">
        <f t="shared" si="814"/>
        <v>2583</v>
      </c>
      <c r="CA76" s="26">
        <f t="shared" si="814"/>
        <v>1964</v>
      </c>
      <c r="CB76" s="26">
        <f t="shared" si="814"/>
        <v>1729</v>
      </c>
      <c r="CC76" s="26">
        <f t="shared" si="814"/>
        <v>2028</v>
      </c>
      <c r="CD76" s="26">
        <f t="shared" si="814"/>
        <v>2038</v>
      </c>
      <c r="CE76" s="26">
        <f t="shared" ref="CE76:CF76" si="815">CE69+CE73+CE74+CE75</f>
        <v>2345</v>
      </c>
      <c r="CF76" s="26">
        <f t="shared" si="815"/>
        <v>2327</v>
      </c>
      <c r="CG76" s="26">
        <f t="shared" ref="CG76:CH76" si="816">CG69+CG73+CG74+CG75</f>
        <v>2678</v>
      </c>
      <c r="CH76" s="26">
        <f t="shared" si="816"/>
        <v>3003</v>
      </c>
      <c r="CI76" s="26">
        <f t="shared" ref="CI76:CJ76" si="817">CI69+CI73+CI74+CI75</f>
        <v>2234</v>
      </c>
      <c r="CJ76" s="26">
        <f t="shared" si="817"/>
        <v>2649</v>
      </c>
      <c r="CK76" s="26">
        <f t="shared" ref="CK76:CL76" si="818">CK69+CK73+CK74+CK75</f>
        <v>3916</v>
      </c>
      <c r="CL76" s="26">
        <f t="shared" si="818"/>
        <v>5033</v>
      </c>
      <c r="CM76" s="27">
        <f t="shared" ref="CM76:DB76" si="819">CM69+CM73+CM74+CM75</f>
        <v>4122.0383591146547</v>
      </c>
      <c r="CN76" s="27">
        <f t="shared" si="819"/>
        <v>4336.9846932868022</v>
      </c>
      <c r="CO76" s="27">
        <f t="shared" si="819"/>
        <v>4614.9441252898641</v>
      </c>
      <c r="CP76" s="27">
        <f t="shared" si="819"/>
        <v>4648.8103881680418</v>
      </c>
      <c r="CQ76" s="27">
        <f t="shared" si="819"/>
        <v>4125.9540590614342</v>
      </c>
      <c r="CR76" s="27">
        <f t="shared" si="819"/>
        <v>4349.9751084639338</v>
      </c>
      <c r="CS76" s="27">
        <f t="shared" si="819"/>
        <v>4711.5298878120111</v>
      </c>
      <c r="CT76" s="27">
        <f t="shared" si="819"/>
        <v>4881.8612728245625</v>
      </c>
      <c r="CU76" s="27">
        <f t="shared" si="819"/>
        <v>3959.78905775772</v>
      </c>
      <c r="CV76" s="27">
        <f t="shared" si="819"/>
        <v>4273.8021313567606</v>
      </c>
      <c r="CW76" s="27">
        <f t="shared" si="819"/>
        <v>4719.4837356648222</v>
      </c>
      <c r="CX76" s="27">
        <f t="shared" si="819"/>
        <v>4956.1200795833247</v>
      </c>
      <c r="CY76" s="27">
        <f t="shared" si="819"/>
        <v>4275.5303784889093</v>
      </c>
      <c r="CZ76" s="27">
        <f t="shared" si="819"/>
        <v>4560.6503806435412</v>
      </c>
      <c r="DA76" s="27">
        <f t="shared" si="819"/>
        <v>4981.2946549231983</v>
      </c>
      <c r="DB76" s="27">
        <f t="shared" si="819"/>
        <v>5204.9276883059265</v>
      </c>
      <c r="DE76" s="121"/>
      <c r="DF76" s="26">
        <v>4425.4922656785311</v>
      </c>
    </row>
    <row r="77" spans="1:110" s="25" customFormat="1" x14ac:dyDescent="0.2">
      <c r="A77" s="151" t="s">
        <v>486</v>
      </c>
      <c r="AB77" s="17"/>
      <c r="AC77" s="17"/>
      <c r="AD77" s="17"/>
      <c r="AE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E77" s="119"/>
    </row>
    <row r="78" spans="1:110" s="1" customFormat="1" x14ac:dyDescent="0.2">
      <c r="AB78" s="20"/>
      <c r="AC78" s="20"/>
      <c r="AD78" s="20"/>
      <c r="AE78" s="20"/>
      <c r="BV78" s="183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E78" s="119"/>
    </row>
    <row r="79" spans="1:110" s="22" customFormat="1" x14ac:dyDescent="0.2">
      <c r="A79" s="22" t="s">
        <v>434</v>
      </c>
      <c r="B79" s="22">
        <f>'Annual Raw'!C35</f>
        <v>169.2199</v>
      </c>
      <c r="C79" s="22">
        <f>'Annual Raw'!D35</f>
        <v>67.962999999999994</v>
      </c>
      <c r="D79" s="22">
        <f>'Annual Raw'!E35</f>
        <v>142.15199999999999</v>
      </c>
      <c r="E79" s="22">
        <f>'Annual Raw'!F35</f>
        <v>404.58800000000002</v>
      </c>
      <c r="F79" s="22">
        <f>'Annual Raw'!G35</f>
        <v>655.33000000000004</v>
      </c>
      <c r="G79" s="22">
        <f>'Annual Raw'!H35</f>
        <v>1472.48</v>
      </c>
      <c r="H79" s="22">
        <f>'Annual Raw'!I35</f>
        <v>4441.8100000000004</v>
      </c>
      <c r="I79" s="22">
        <f>'Annual Raw'!J35</f>
        <v>4396.07</v>
      </c>
      <c r="J79" s="22">
        <f>'Annual Raw'!K35</f>
        <v>2727.61</v>
      </c>
      <c r="K79" s="22">
        <f>'Annual Raw'!L35</f>
        <v>4041.41</v>
      </c>
      <c r="L79" s="22">
        <f>'Annual Raw'!M35</f>
        <v>4900.49</v>
      </c>
      <c r="M79" s="22">
        <f>'Annual Raw'!N35</f>
        <v>5526.04</v>
      </c>
      <c r="N79" s="22">
        <f>'Annual Raw'!O35</f>
        <v>6899.48</v>
      </c>
      <c r="O79" s="22">
        <f>'Annual Raw'!P35</f>
        <v>6904.62</v>
      </c>
      <c r="P79" s="22">
        <f>'Annual Raw'!Q35</f>
        <v>8178</v>
      </c>
      <c r="Q79" s="22">
        <f>'Annual Raw'!R35</f>
        <v>8175</v>
      </c>
      <c r="R79" s="22">
        <f>'Annual Raw'!S35</f>
        <v>8316</v>
      </c>
      <c r="S79" s="22">
        <f>'Annual Raw'!T35</f>
        <v>9276</v>
      </c>
      <c r="T79" s="22">
        <f>'Annual Raw'!U35</f>
        <v>7956</v>
      </c>
      <c r="U79" s="22">
        <f>'Annual Raw'!V35</f>
        <v>6805</v>
      </c>
      <c r="V79" s="22">
        <f>'Annual Raw'!W35</f>
        <v>7980</v>
      </c>
      <c r="W79" s="22">
        <f>'Annual Raw'!X35</f>
        <v>9629</v>
      </c>
      <c r="X79" s="22">
        <f>'Annual Raw'!Y35</f>
        <v>10511</v>
      </c>
      <c r="Y79" s="22">
        <f>'Annual Raw'!Z35</f>
        <v>7759</v>
      </c>
      <c r="Z79" s="22">
        <f>'Annual Raw'!AA35</f>
        <v>10353</v>
      </c>
      <c r="AA79" s="22">
        <f>'Annual Raw'!AB35</f>
        <v>13832</v>
      </c>
      <c r="AB79" s="21">
        <f t="shared" ref="AA79:AD79" si="820">+AB76</f>
        <v>17722.777565859367</v>
      </c>
      <c r="AC79" s="21">
        <f t="shared" si="820"/>
        <v>18069.320328161943</v>
      </c>
      <c r="AD79" s="21">
        <f t="shared" si="820"/>
        <v>17909.195004362631</v>
      </c>
      <c r="AE79" s="21">
        <f t="shared" ref="AE79" si="821">+AE76</f>
        <v>19022.403102361568</v>
      </c>
      <c r="AI79" s="22">
        <f>'QTR Raw'!C42</f>
        <v>1581.34</v>
      </c>
      <c r="AJ79" s="22">
        <f>'QTR Raw'!D42</f>
        <v>1539.79</v>
      </c>
      <c r="AK79" s="22">
        <f>'QTR Raw'!E42</f>
        <v>1612.54</v>
      </c>
      <c r="AL79" s="22">
        <f>'QTR Raw'!F42</f>
        <v>2165.81</v>
      </c>
      <c r="AM79" s="22">
        <f>'QTR Raw'!G42</f>
        <v>1660.45</v>
      </c>
      <c r="AN79" s="22">
        <f>'QTR Raw'!H42</f>
        <v>1640.25</v>
      </c>
      <c r="AO79" s="22">
        <f>'QTR Raw'!I42</f>
        <v>1722.72</v>
      </c>
      <c r="AP79" s="22">
        <f>'QTR Raw'!J42</f>
        <v>1881.2</v>
      </c>
      <c r="AQ79" s="22">
        <f>'QTR Raw'!K42</f>
        <v>1617.67</v>
      </c>
      <c r="AR79" s="22">
        <f>'QTR Raw'!L42</f>
        <v>2183.52</v>
      </c>
      <c r="AS79" s="22">
        <f>'QTR Raw'!M42</f>
        <v>2379.37</v>
      </c>
      <c r="AT79" s="22">
        <f>'QTR Raw'!N42</f>
        <v>1997.44</v>
      </c>
      <c r="AU79" s="22">
        <f>'QTR Raw'!O42</f>
        <v>1940.14</v>
      </c>
      <c r="AV79" s="22">
        <f>'QTR Raw'!P42</f>
        <v>2248.42</v>
      </c>
      <c r="AW79" s="22">
        <f>'QTR Raw'!Q42</f>
        <v>1839.58</v>
      </c>
      <c r="AX79" s="22">
        <f>'QTR Raw'!R42</f>
        <v>2147.2199999999998</v>
      </c>
      <c r="AY79" s="22">
        <f>'QTR Raw'!S42</f>
        <v>1037</v>
      </c>
      <c r="AZ79" s="22">
        <f>'QTR Raw'!T42</f>
        <v>1902</v>
      </c>
      <c r="BA79" s="22">
        <f>'QTR Raw'!U42</f>
        <v>2320</v>
      </c>
      <c r="BB79" s="22">
        <f>'QTR Raw'!V42</f>
        <v>3057</v>
      </c>
      <c r="BC79" s="22">
        <f>'QTR Raw'!W42</f>
        <v>1889</v>
      </c>
      <c r="BD79" s="22">
        <f>'QTR Raw'!X42</f>
        <v>2584</v>
      </c>
      <c r="BE79" s="22">
        <f>'QTR Raw'!Y42</f>
        <v>2298</v>
      </c>
      <c r="BF79" s="22">
        <f>'QTR Raw'!Z42</f>
        <v>2505</v>
      </c>
      <c r="BG79" s="22">
        <f>'QTR Raw'!AA42</f>
        <v>1918</v>
      </c>
      <c r="BH79" s="22">
        <f>'QTR Raw'!AB42</f>
        <v>1815</v>
      </c>
      <c r="BI79" s="22">
        <f>'QTR Raw'!AC42</f>
        <v>2211</v>
      </c>
      <c r="BJ79" s="22">
        <f>'QTR Raw'!AD42</f>
        <v>2012</v>
      </c>
      <c r="BK79" s="22">
        <f>'QTR Raw'!AE42</f>
        <v>1765</v>
      </c>
      <c r="BL79" s="22">
        <f>'QTR Raw'!AF42</f>
        <v>2081</v>
      </c>
      <c r="BM79" s="22">
        <f>'QTR Raw'!AG42</f>
        <v>1620</v>
      </c>
      <c r="BN79" s="22">
        <f>'QTR Raw'!AH42</f>
        <v>1339</v>
      </c>
      <c r="BO79" s="22">
        <f>'QTR Raw'!AI42</f>
        <v>1359</v>
      </c>
      <c r="BP79" s="22">
        <f>'QTR Raw'!AJ42</f>
        <v>1940</v>
      </c>
      <c r="BQ79" s="22">
        <f>'QTR Raw'!AK42</f>
        <v>2200</v>
      </c>
      <c r="BR79" s="22">
        <f>'QTR Raw'!AL42</f>
        <v>2481</v>
      </c>
      <c r="BS79" s="22">
        <f>'QTR Raw'!AM42</f>
        <v>1983</v>
      </c>
      <c r="BT79" s="22">
        <f>'QTR Raw'!AN42</f>
        <v>2017</v>
      </c>
      <c r="BU79" s="22">
        <f>'QTR Raw'!AO42</f>
        <v>2701</v>
      </c>
      <c r="BV79" s="22">
        <f>'QTR Raw'!AP42</f>
        <v>2928</v>
      </c>
      <c r="BW79" s="22">
        <f>'QTR Raw'!AQ42</f>
        <v>3092</v>
      </c>
      <c r="BX79" s="22">
        <f>'QTR Raw'!AR42</f>
        <v>2680</v>
      </c>
      <c r="BY79" s="22">
        <f>'QTR Raw'!AS42</f>
        <v>2156</v>
      </c>
      <c r="BZ79" s="22">
        <f>'QTR Raw'!AT42</f>
        <v>2583</v>
      </c>
      <c r="CA79" s="22">
        <f>'QTR Raw'!AU42</f>
        <v>1964</v>
      </c>
      <c r="CB79" s="22">
        <f>'QTR Raw'!AV42</f>
        <v>1729</v>
      </c>
      <c r="CC79" s="22">
        <f>'QTR Raw'!AW42</f>
        <v>2028</v>
      </c>
      <c r="CD79" s="22">
        <f>'QTR Raw'!AX42</f>
        <v>2038</v>
      </c>
      <c r="CE79" s="22">
        <f>'QTR Raw'!AY42</f>
        <v>2345</v>
      </c>
      <c r="CF79" s="22">
        <f>'QTR Raw'!AZ42</f>
        <v>2327</v>
      </c>
      <c r="CG79" s="22">
        <f>'QTR Raw'!BA42</f>
        <v>2678</v>
      </c>
      <c r="CH79" s="22">
        <f>'QTR Raw'!BB42</f>
        <v>3003</v>
      </c>
      <c r="CI79" s="22">
        <f>'QTR Raw'!BC42</f>
        <v>2234</v>
      </c>
      <c r="CJ79" s="22">
        <f>'QTR Raw'!BD42</f>
        <v>2649</v>
      </c>
      <c r="CK79" s="22">
        <f>'QTR Raw'!BE42</f>
        <v>3916</v>
      </c>
      <c r="CL79" s="22">
        <f>'QTR Raw'!BF42</f>
        <v>5033</v>
      </c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E79" s="119"/>
      <c r="DF79" s="22">
        <v>13832</v>
      </c>
    </row>
    <row r="80" spans="1:110" s="25" customFormat="1" x14ac:dyDescent="0.2">
      <c r="A80" s="36" t="s">
        <v>435</v>
      </c>
      <c r="B80" s="25">
        <f t="shared" ref="B80:V80" si="822">B79-B76</f>
        <v>0</v>
      </c>
      <c r="C80" s="25">
        <f>C79-C76</f>
        <v>0</v>
      </c>
      <c r="D80" s="25">
        <f t="shared" si="822"/>
        <v>0</v>
      </c>
      <c r="E80" s="25">
        <f t="shared" si="822"/>
        <v>0</v>
      </c>
      <c r="F80" s="25">
        <f t="shared" si="822"/>
        <v>0</v>
      </c>
      <c r="G80" s="25">
        <f t="shared" si="822"/>
        <v>0</v>
      </c>
      <c r="H80" s="25">
        <f t="shared" si="822"/>
        <v>0</v>
      </c>
      <c r="I80" s="25">
        <f t="shared" si="822"/>
        <v>0</v>
      </c>
      <c r="J80" s="25">
        <f t="shared" si="822"/>
        <v>0</v>
      </c>
      <c r="K80" s="25">
        <f t="shared" si="822"/>
        <v>0</v>
      </c>
      <c r="L80" s="25">
        <f t="shared" si="822"/>
        <v>0</v>
      </c>
      <c r="M80" s="25">
        <f t="shared" si="822"/>
        <v>0</v>
      </c>
      <c r="N80" s="25">
        <f t="shared" si="822"/>
        <v>0</v>
      </c>
      <c r="O80" s="25">
        <f t="shared" si="822"/>
        <v>0</v>
      </c>
      <c r="P80" s="25">
        <f t="shared" si="822"/>
        <v>0</v>
      </c>
      <c r="Q80" s="25">
        <f t="shared" si="822"/>
        <v>0</v>
      </c>
      <c r="R80" s="25">
        <f t="shared" si="822"/>
        <v>0</v>
      </c>
      <c r="S80" s="25">
        <f t="shared" si="822"/>
        <v>0</v>
      </c>
      <c r="T80" s="25">
        <f t="shared" si="822"/>
        <v>0</v>
      </c>
      <c r="U80" s="25">
        <f t="shared" si="822"/>
        <v>0</v>
      </c>
      <c r="V80" s="25">
        <f t="shared" si="822"/>
        <v>0</v>
      </c>
      <c r="W80" s="25">
        <f t="shared" ref="W80" si="823">W79-W76</f>
        <v>0</v>
      </c>
      <c r="X80" s="25">
        <f t="shared" ref="X80:Y80" si="824">X79-X76</f>
        <v>0</v>
      </c>
      <c r="Y80" s="25">
        <f t="shared" si="824"/>
        <v>0</v>
      </c>
      <c r="Z80" s="25">
        <f t="shared" ref="Z80:AA80" si="825">Z79-Z76</f>
        <v>0</v>
      </c>
      <c r="AA80" s="25">
        <f t="shared" si="825"/>
        <v>0</v>
      </c>
      <c r="AB80" s="17">
        <f t="shared" ref="AA80:AD80" si="826">AB79-AB76</f>
        <v>0</v>
      </c>
      <c r="AC80" s="17">
        <f t="shared" si="826"/>
        <v>0</v>
      </c>
      <c r="AD80" s="17">
        <f t="shared" si="826"/>
        <v>0</v>
      </c>
      <c r="AE80" s="17">
        <f t="shared" ref="AE80" si="827">AE79-AE76</f>
        <v>0</v>
      </c>
      <c r="AI80" s="25">
        <f t="shared" ref="AI80" si="828">AI79-AI76</f>
        <v>0</v>
      </c>
      <c r="AJ80" s="25">
        <f t="shared" ref="AJ80" si="829">AJ79-AJ76</f>
        <v>0</v>
      </c>
      <c r="AK80" s="25">
        <f t="shared" ref="AK80:AM80" si="830">AK79-AK76</f>
        <v>0</v>
      </c>
      <c r="AL80" s="25">
        <f t="shared" si="830"/>
        <v>0</v>
      </c>
      <c r="AM80" s="25">
        <f t="shared" si="830"/>
        <v>0</v>
      </c>
      <c r="AN80" s="25">
        <f t="shared" ref="AN80:AO80" si="831">AN79-AN76</f>
        <v>0</v>
      </c>
      <c r="AO80" s="25">
        <f t="shared" si="831"/>
        <v>0</v>
      </c>
      <c r="AP80" s="25">
        <f t="shared" ref="AP80:CD80" si="832">AP79-AP76</f>
        <v>0</v>
      </c>
      <c r="AQ80" s="25">
        <f t="shared" si="832"/>
        <v>0</v>
      </c>
      <c r="AR80" s="25">
        <f t="shared" si="832"/>
        <v>0</v>
      </c>
      <c r="AS80" s="25">
        <f t="shared" si="832"/>
        <v>0</v>
      </c>
      <c r="AT80" s="25">
        <f t="shared" si="832"/>
        <v>0</v>
      </c>
      <c r="AU80" s="25">
        <f t="shared" si="832"/>
        <v>0</v>
      </c>
      <c r="AV80" s="25">
        <f t="shared" si="832"/>
        <v>0</v>
      </c>
      <c r="AW80" s="25">
        <f t="shared" si="832"/>
        <v>0</v>
      </c>
      <c r="AX80" s="25">
        <f t="shared" si="832"/>
        <v>0</v>
      </c>
      <c r="AY80" s="25">
        <f t="shared" si="832"/>
        <v>0</v>
      </c>
      <c r="AZ80" s="25">
        <f t="shared" si="832"/>
        <v>0</v>
      </c>
      <c r="BA80" s="25">
        <f t="shared" si="832"/>
        <v>0</v>
      </c>
      <c r="BB80" s="25">
        <f t="shared" si="832"/>
        <v>0</v>
      </c>
      <c r="BC80" s="25">
        <f t="shared" si="832"/>
        <v>0</v>
      </c>
      <c r="BD80" s="25">
        <f t="shared" si="832"/>
        <v>0</v>
      </c>
      <c r="BE80" s="25">
        <f t="shared" si="832"/>
        <v>0</v>
      </c>
      <c r="BF80" s="25">
        <f t="shared" si="832"/>
        <v>0</v>
      </c>
      <c r="BG80" s="25">
        <f t="shared" si="832"/>
        <v>0</v>
      </c>
      <c r="BH80" s="25">
        <f t="shared" si="832"/>
        <v>0</v>
      </c>
      <c r="BI80" s="25">
        <f t="shared" si="832"/>
        <v>0</v>
      </c>
      <c r="BJ80" s="25">
        <f t="shared" si="832"/>
        <v>0</v>
      </c>
      <c r="BK80" s="25">
        <f t="shared" si="832"/>
        <v>0</v>
      </c>
      <c r="BL80" s="25">
        <f t="shared" si="832"/>
        <v>0</v>
      </c>
      <c r="BM80" s="25">
        <f t="shared" si="832"/>
        <v>0</v>
      </c>
      <c r="BN80" s="25">
        <f t="shared" si="832"/>
        <v>0</v>
      </c>
      <c r="BO80" s="25">
        <f t="shared" si="832"/>
        <v>0</v>
      </c>
      <c r="BP80" s="25">
        <f t="shared" si="832"/>
        <v>0</v>
      </c>
      <c r="BQ80" s="25">
        <f t="shared" si="832"/>
        <v>0</v>
      </c>
      <c r="BR80" s="25">
        <f t="shared" si="832"/>
        <v>0</v>
      </c>
      <c r="BS80" s="25">
        <f t="shared" si="832"/>
        <v>0</v>
      </c>
      <c r="BT80" s="25">
        <f t="shared" si="832"/>
        <v>0</v>
      </c>
      <c r="BU80" s="25">
        <f t="shared" si="832"/>
        <v>0</v>
      </c>
      <c r="BV80" s="25">
        <f t="shared" si="832"/>
        <v>0</v>
      </c>
      <c r="BW80" s="25">
        <f t="shared" si="832"/>
        <v>0</v>
      </c>
      <c r="BX80" s="25">
        <f t="shared" si="832"/>
        <v>0</v>
      </c>
      <c r="BY80" s="25">
        <f t="shared" si="832"/>
        <v>0</v>
      </c>
      <c r="BZ80" s="25">
        <f t="shared" si="832"/>
        <v>0</v>
      </c>
      <c r="CA80" s="25">
        <f t="shared" si="832"/>
        <v>0</v>
      </c>
      <c r="CB80" s="25">
        <f t="shared" si="832"/>
        <v>0</v>
      </c>
      <c r="CC80" s="25">
        <f t="shared" si="832"/>
        <v>0</v>
      </c>
      <c r="CD80" s="25">
        <f t="shared" si="832"/>
        <v>0</v>
      </c>
      <c r="CE80" s="25">
        <f t="shared" ref="CE80:CF80" si="833">CE79-CE76</f>
        <v>0</v>
      </c>
      <c r="CF80" s="25">
        <f t="shared" si="833"/>
        <v>0</v>
      </c>
      <c r="CG80" s="25">
        <f t="shared" ref="CG80:CH80" si="834">CG79-CG76</f>
        <v>0</v>
      </c>
      <c r="CH80" s="25">
        <f t="shared" si="834"/>
        <v>0</v>
      </c>
      <c r="CI80" s="25">
        <f t="shared" ref="CI80:CJ80" si="835">CI79-CI76</f>
        <v>0</v>
      </c>
      <c r="CJ80" s="25">
        <f t="shared" si="835"/>
        <v>0</v>
      </c>
      <c r="CK80" s="25">
        <f t="shared" ref="CK80:CL80" si="836">CK79-CK76</f>
        <v>0</v>
      </c>
      <c r="CL80" s="25">
        <f t="shared" si="836"/>
        <v>0</v>
      </c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E80" s="119"/>
      <c r="DF80" s="25">
        <v>0</v>
      </c>
    </row>
    <row r="81" spans="1:110" s="1" customFormat="1" x14ac:dyDescent="0.2">
      <c r="A81" s="150" t="s">
        <v>487</v>
      </c>
      <c r="AB81" s="20"/>
      <c r="AC81" s="20"/>
      <c r="AD81" s="20"/>
      <c r="AE81" s="20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E81" s="119"/>
    </row>
    <row r="82" spans="1:110" s="38" customFormat="1" x14ac:dyDescent="0.2">
      <c r="A82" s="38" t="s">
        <v>350</v>
      </c>
      <c r="B82" s="39">
        <f t="shared" ref="B82:AE82" si="837">(B76-B75)/B153</f>
        <v>0.14584674809048986</v>
      </c>
      <c r="C82" s="39">
        <f t="shared" si="837"/>
        <v>6.367899557283728E-2</v>
      </c>
      <c r="D82" s="39">
        <f t="shared" si="837"/>
        <v>0.12152475300003332</v>
      </c>
      <c r="E82" s="39">
        <f t="shared" si="837"/>
        <v>0.40844489983900439</v>
      </c>
      <c r="F82" s="39">
        <f t="shared" si="837"/>
        <v>0.31540368186740469</v>
      </c>
      <c r="G82" s="39">
        <f t="shared" si="837"/>
        <v>0.42932199732927467</v>
      </c>
      <c r="H82" s="39">
        <f t="shared" si="837"/>
        <v>0.58237512226205157</v>
      </c>
      <c r="I82" s="39">
        <f t="shared" si="837"/>
        <v>0.37103304386577185</v>
      </c>
      <c r="J82" s="39">
        <f t="shared" si="837"/>
        <v>0.18997700169527176</v>
      </c>
      <c r="K82" s="39">
        <f t="shared" si="837"/>
        <v>0.2229870166414975</v>
      </c>
      <c r="L82" s="39">
        <f t="shared" si="837"/>
        <v>0.21841780946239742</v>
      </c>
      <c r="M82" s="39">
        <f t="shared" si="837"/>
        <v>0.20717667252204688</v>
      </c>
      <c r="N82" s="39">
        <f t="shared" si="837"/>
        <v>0.21430988104378088</v>
      </c>
      <c r="O82" s="39">
        <f t="shared" si="837"/>
        <v>0.18452862168374728</v>
      </c>
      <c r="P82" s="39">
        <f t="shared" si="837"/>
        <v>0.18932615383408832</v>
      </c>
      <c r="Q82" s="39">
        <f t="shared" si="837"/>
        <v>0.21947305068877893</v>
      </c>
      <c r="R82" s="39">
        <f t="shared" si="837"/>
        <v>0.26995617594546339</v>
      </c>
      <c r="S82" s="39">
        <f t="shared" si="837"/>
        <v>0.25147500834910386</v>
      </c>
      <c r="T82" s="39">
        <f t="shared" si="837"/>
        <v>0.2367504835589942</v>
      </c>
      <c r="U82" s="39">
        <f t="shared" si="837"/>
        <v>0.16881667080129001</v>
      </c>
      <c r="V82" s="39">
        <f t="shared" si="837"/>
        <v>0.24695942809395599</v>
      </c>
      <c r="W82" s="39">
        <f t="shared" si="837"/>
        <v>0.28479332574895716</v>
      </c>
      <c r="X82" s="39">
        <f t="shared" si="837"/>
        <v>0.81278997834828337</v>
      </c>
      <c r="Y82" s="39">
        <f t="shared" si="837"/>
        <v>0.51062849621586048</v>
      </c>
      <c r="Z82" s="39">
        <f t="shared" si="837"/>
        <v>0.78313072189704336</v>
      </c>
      <c r="AA82" s="39">
        <f t="shared" ref="AA82" si="838">(AA76-AA75)/AA153</f>
        <v>0.61014627248221309</v>
      </c>
      <c r="AB82" s="40">
        <f t="shared" si="837"/>
        <v>0.43920686113352714</v>
      </c>
      <c r="AC82" s="40">
        <f t="shared" si="837"/>
        <v>0.30929443265411688</v>
      </c>
      <c r="AD82" s="40">
        <f t="shared" si="837"/>
        <v>0.2346276206250717</v>
      </c>
      <c r="AE82" s="40">
        <f t="shared" si="837"/>
        <v>0.19949517842906972</v>
      </c>
      <c r="AF82" s="39"/>
      <c r="AG82" s="39"/>
      <c r="AH82" s="39"/>
      <c r="AI82" s="39"/>
      <c r="AJ82" s="39"/>
      <c r="AK82" s="39"/>
      <c r="AL82" s="39">
        <f t="shared" ref="AL82:BQ82" si="839">(SUM(AI76:AL76)-SUM(AI75:AL75))/AL153</f>
        <v>0.2143098810437809</v>
      </c>
      <c r="AM82" s="39">
        <f t="shared" si="839"/>
        <v>0.20617046285985557</v>
      </c>
      <c r="AN82" s="39">
        <f t="shared" si="839"/>
        <v>0.20589747078259305</v>
      </c>
      <c r="AO82" s="39">
        <f t="shared" si="839"/>
        <v>0.19919613711710524</v>
      </c>
      <c r="AP82" s="39">
        <f t="shared" si="839"/>
        <v>0.186176776122259</v>
      </c>
      <c r="AQ82" s="39">
        <f t="shared" si="839"/>
        <v>0.17735212863850341</v>
      </c>
      <c r="AR82" s="39">
        <f t="shared" si="839"/>
        <v>0.18391802252225639</v>
      </c>
      <c r="AS82" s="39">
        <f t="shared" si="839"/>
        <v>0.1890528684705593</v>
      </c>
      <c r="AT82" s="39">
        <f t="shared" si="839"/>
        <v>0.18932615383408835</v>
      </c>
      <c r="AU82" s="39">
        <f t="shared" si="839"/>
        <v>0.18849006285931158</v>
      </c>
      <c r="AV82" s="39">
        <f t="shared" si="839"/>
        <v>0.1889437804710741</v>
      </c>
      <c r="AW82" s="39">
        <f t="shared" si="839"/>
        <v>0.17026593400481832</v>
      </c>
      <c r="AX82" s="39">
        <f t="shared" si="839"/>
        <v>0.21948450710027159</v>
      </c>
      <c r="AY82" s="39">
        <f t="shared" si="839"/>
        <v>0.18987335183132459</v>
      </c>
      <c r="AZ82" s="39">
        <f t="shared" si="839"/>
        <v>0.17146853112232457</v>
      </c>
      <c r="BA82" s="39">
        <f t="shared" si="839"/>
        <v>0.17338489647770194</v>
      </c>
      <c r="BB82" s="39">
        <f t="shared" si="839"/>
        <v>0.26995617594546339</v>
      </c>
      <c r="BC82" s="39">
        <f t="shared" si="839"/>
        <v>0.28041842539915579</v>
      </c>
      <c r="BD82" s="39">
        <f t="shared" si="839"/>
        <v>0.2717246084311663</v>
      </c>
      <c r="BE82" s="39">
        <f t="shared" si="839"/>
        <v>0.25447607866157912</v>
      </c>
      <c r="BF82" s="39">
        <f t="shared" si="839"/>
        <v>0.25147500834910386</v>
      </c>
      <c r="BG82" s="39">
        <f t="shared" si="839"/>
        <v>0.23949801849405547</v>
      </c>
      <c r="BH82" s="39">
        <f t="shared" si="839"/>
        <v>0.21697493430361836</v>
      </c>
      <c r="BI82" s="39">
        <f t="shared" si="839"/>
        <v>0.20341254457127814</v>
      </c>
      <c r="BJ82" s="39">
        <f t="shared" si="839"/>
        <v>0.2367504835589942</v>
      </c>
      <c r="BK82" s="39">
        <f t="shared" si="839"/>
        <v>0.22061068702290076</v>
      </c>
      <c r="BL82" s="39">
        <f t="shared" si="839"/>
        <v>0.21573712635687931</v>
      </c>
      <c r="BM82" s="39">
        <f t="shared" si="839"/>
        <v>0.19163548767362001</v>
      </c>
      <c r="BN82" s="39">
        <f t="shared" si="839"/>
        <v>0.16881667080129001</v>
      </c>
      <c r="BO82" s="39">
        <f t="shared" si="839"/>
        <v>0.15356740022558737</v>
      </c>
      <c r="BP82" s="39">
        <f t="shared" si="839"/>
        <v>0.17079228187003631</v>
      </c>
      <c r="BQ82" s="39">
        <f t="shared" si="839"/>
        <v>0.1760510800442831</v>
      </c>
      <c r="BR82" s="39">
        <f t="shared" ref="BR82:CW82" si="840">(SUM(BO76:BR76)-SUM(BO75:BR75))/BR153</f>
        <v>0.24695942809395599</v>
      </c>
      <c r="BS82" s="39">
        <f t="shared" si="840"/>
        <v>0.25478189876370422</v>
      </c>
      <c r="BT82" s="39">
        <f t="shared" si="840"/>
        <v>0.24263693916873108</v>
      </c>
      <c r="BU82" s="39">
        <f t="shared" si="840"/>
        <v>0.23868207322384771</v>
      </c>
      <c r="BV82" s="39">
        <f t="shared" si="840"/>
        <v>0.28479332574895716</v>
      </c>
      <c r="BW82" s="39">
        <f t="shared" si="840"/>
        <v>0.28731972279453083</v>
      </c>
      <c r="BX82" s="39">
        <f t="shared" si="840"/>
        <v>0.36452871211152321</v>
      </c>
      <c r="BY82" s="39">
        <f t="shared" si="840"/>
        <v>0.32471883225652071</v>
      </c>
      <c r="BZ82" s="39">
        <f t="shared" si="840"/>
        <v>0.81278997834828337</v>
      </c>
      <c r="CA82" s="39">
        <f t="shared" si="840"/>
        <v>0.62990064446831362</v>
      </c>
      <c r="CB82" s="39">
        <f t="shared" si="840"/>
        <v>0.61750274624679602</v>
      </c>
      <c r="CC82" s="39">
        <f t="shared" si="840"/>
        <v>0.52949053114837719</v>
      </c>
      <c r="CD82" s="39">
        <f t="shared" si="840"/>
        <v>0.51062849621586048</v>
      </c>
      <c r="CE82" s="39">
        <f t="shared" si="840"/>
        <v>0.46408209806157352</v>
      </c>
      <c r="CF82" s="39">
        <f t="shared" si="840"/>
        <v>1.1576115485564304</v>
      </c>
      <c r="CG82" s="39">
        <f t="shared" si="840"/>
        <v>0.91969314429986404</v>
      </c>
      <c r="CH82" s="39">
        <f t="shared" si="840"/>
        <v>0.78313072189704336</v>
      </c>
      <c r="CI82" s="39">
        <f t="shared" si="840"/>
        <v>0.66356041131105403</v>
      </c>
      <c r="CJ82" s="39">
        <f t="shared" si="840"/>
        <v>0.77126378038986643</v>
      </c>
      <c r="CK82" s="39">
        <f t="shared" si="840"/>
        <v>0.6686538352353375</v>
      </c>
      <c r="CL82" s="39">
        <f t="shared" si="840"/>
        <v>0.61014627248221309</v>
      </c>
      <c r="CM82" s="40">
        <f t="shared" si="840"/>
        <v>0.58670763162234474</v>
      </c>
      <c r="CN82" s="40">
        <f t="shared" si="840"/>
        <v>0.55915498464154256</v>
      </c>
      <c r="CO82" s="40">
        <f t="shared" si="840"/>
        <v>0.50715580829946538</v>
      </c>
      <c r="CP82" s="40">
        <f t="shared" si="840"/>
        <v>0.43920686113352697</v>
      </c>
      <c r="CQ82" s="40">
        <f t="shared" si="840"/>
        <v>0.39855209827908372</v>
      </c>
      <c r="CR82" s="40">
        <f t="shared" si="840"/>
        <v>0.36331183395214028</v>
      </c>
      <c r="CS82" s="40">
        <f t="shared" si="840"/>
        <v>0.33314388790601207</v>
      </c>
      <c r="CT82" s="40">
        <f t="shared" si="840"/>
        <v>0.30929443265411688</v>
      </c>
      <c r="CU82" s="40">
        <f t="shared" si="840"/>
        <v>0.28699744748255224</v>
      </c>
      <c r="CV82" s="40">
        <f t="shared" si="840"/>
        <v>0.26745278681768592</v>
      </c>
      <c r="CW82" s="40">
        <f t="shared" si="840"/>
        <v>0.24987941006170203</v>
      </c>
      <c r="CX82" s="40">
        <f t="shared" ref="CX82:DB82" si="841">(SUM(CU76:CX76)-SUM(CU75:CX75))/CX153</f>
        <v>0.23462762062507164</v>
      </c>
      <c r="CY82" s="40">
        <f t="shared" si="841"/>
        <v>0.22609949981520575</v>
      </c>
      <c r="CZ82" s="40">
        <f t="shared" si="841"/>
        <v>0.21735999835830744</v>
      </c>
      <c r="DA82" s="40">
        <f t="shared" si="841"/>
        <v>0.20825358015045156</v>
      </c>
      <c r="DB82" s="40">
        <f t="shared" si="841"/>
        <v>0.1994951784290698</v>
      </c>
      <c r="DE82" s="122"/>
      <c r="DF82" s="38">
        <v>0.59892900596628629</v>
      </c>
    </row>
    <row r="83" spans="1:110" s="38" customFormat="1" x14ac:dyDescent="0.2">
      <c r="A83" s="38" t="s">
        <v>351</v>
      </c>
      <c r="B83" s="39">
        <f t="shared" ref="B83:AE83" si="842">+B62/B162</f>
        <v>0.17636362404407091</v>
      </c>
      <c r="C83" s="39">
        <f t="shared" si="842"/>
        <v>7.3115986547629408E-2</v>
      </c>
      <c r="D83" s="39">
        <f t="shared" si="842"/>
        <v>0.13131111196545048</v>
      </c>
      <c r="E83" s="39">
        <f t="shared" si="842"/>
        <v>0.33195581343661179</v>
      </c>
      <c r="F83" s="39">
        <f t="shared" si="842"/>
        <v>0.29958815735333533</v>
      </c>
      <c r="G83" s="39">
        <f t="shared" si="842"/>
        <v>0.54194292592406845</v>
      </c>
      <c r="H83" s="39">
        <f t="shared" si="842"/>
        <v>0.81951766317707775</v>
      </c>
      <c r="I83" s="39">
        <f t="shared" si="842"/>
        <v>0.43531629950593231</v>
      </c>
      <c r="J83" s="39">
        <f t="shared" si="842"/>
        <v>0.17046108697664741</v>
      </c>
      <c r="K83" s="39">
        <f t="shared" si="842"/>
        <v>0.23843626749022798</v>
      </c>
      <c r="L83" s="39">
        <f t="shared" si="842"/>
        <v>0.2277920330457921</v>
      </c>
      <c r="M83" s="39">
        <f t="shared" si="842"/>
        <v>0.20306752003690243</v>
      </c>
      <c r="N83" s="39">
        <f t="shared" si="842"/>
        <v>0.18160141332158458</v>
      </c>
      <c r="O83" s="39">
        <f t="shared" si="842"/>
        <v>0.15886183003136756</v>
      </c>
      <c r="P83" s="39">
        <f t="shared" si="842"/>
        <v>0.14954996266700377</v>
      </c>
      <c r="Q83" s="39">
        <f t="shared" si="842"/>
        <v>0.1580045472783202</v>
      </c>
      <c r="R83" s="39">
        <f t="shared" si="842"/>
        <v>0.20478908893653294</v>
      </c>
      <c r="S83" s="39">
        <f t="shared" si="842"/>
        <v>0.30020594456195038</v>
      </c>
      <c r="T83" s="39">
        <f t="shared" si="842"/>
        <v>0.2431176161359046</v>
      </c>
      <c r="U83" s="39">
        <f t="shared" si="842"/>
        <v>0.16050438650081866</v>
      </c>
      <c r="V83" s="39">
        <f t="shared" si="842"/>
        <v>0.23147632311977717</v>
      </c>
      <c r="W83" s="39">
        <f t="shared" si="842"/>
        <v>0.35598116841429489</v>
      </c>
      <c r="X83" s="39">
        <f t="shared" si="842"/>
        <v>0.56786283891547051</v>
      </c>
      <c r="Y83" s="39">
        <f t="shared" si="842"/>
        <v>0.42361746361746361</v>
      </c>
      <c r="Z83" s="39">
        <f t="shared" si="842"/>
        <v>0.5600912572313208</v>
      </c>
      <c r="AA83" s="39">
        <f t="shared" ref="AA83" si="843">+AA62/AA162</f>
        <v>0.5897502097721552</v>
      </c>
      <c r="AB83" s="40">
        <f t="shared" si="842"/>
        <v>0.48245369534485955</v>
      </c>
      <c r="AC83" s="40">
        <f t="shared" si="842"/>
        <v>0.35478672845513015</v>
      </c>
      <c r="AD83" s="40">
        <f t="shared" si="842"/>
        <v>0.2705360449668795</v>
      </c>
      <c r="AE83" s="40">
        <f t="shared" si="842"/>
        <v>0.22591697826921345</v>
      </c>
      <c r="AF83" s="39"/>
      <c r="AG83" s="39"/>
      <c r="AH83" s="39"/>
      <c r="AI83" s="39"/>
      <c r="AJ83" s="39"/>
      <c r="AK83" s="39"/>
      <c r="AL83" s="39">
        <f t="shared" ref="AL83:BQ83" si="844">+SUM(AI62:AL62)/AL162</f>
        <v>0.18143193618488684</v>
      </c>
      <c r="AM83" s="39">
        <f t="shared" si="844"/>
        <v>0.17458088253277701</v>
      </c>
      <c r="AN83" s="39">
        <f t="shared" si="844"/>
        <v>0.18197643247173714</v>
      </c>
      <c r="AO83" s="39">
        <f t="shared" si="844"/>
        <v>0.18141066397728645</v>
      </c>
      <c r="AP83" s="39">
        <f t="shared" si="844"/>
        <v>0.16507067126949046</v>
      </c>
      <c r="AQ83" s="39">
        <f t="shared" si="844"/>
        <v>0.15402041435337469</v>
      </c>
      <c r="AR83" s="39">
        <f t="shared" si="844"/>
        <v>0.15166349788645919</v>
      </c>
      <c r="AS83" s="39">
        <f t="shared" si="844"/>
        <v>0.14944248114352024</v>
      </c>
      <c r="AT83" s="39">
        <f t="shared" si="844"/>
        <v>0.15690814975732975</v>
      </c>
      <c r="AU83" s="39">
        <f t="shared" si="844"/>
        <v>0.15778833074538104</v>
      </c>
      <c r="AV83" s="39">
        <f t="shared" si="844"/>
        <v>0.16138453898303154</v>
      </c>
      <c r="AW83" s="39">
        <f t="shared" si="844"/>
        <v>0.14287264172009814</v>
      </c>
      <c r="AX83" s="39">
        <f t="shared" si="844"/>
        <v>0.15824528376076197</v>
      </c>
      <c r="AY83" s="39">
        <f t="shared" si="844"/>
        <v>0.13439161068122354</v>
      </c>
      <c r="AZ83" s="39">
        <f t="shared" si="844"/>
        <v>0.11335927648976855</v>
      </c>
      <c r="BA83" s="39">
        <f t="shared" si="844"/>
        <v>0.13057646765535089</v>
      </c>
      <c r="BB83" s="39">
        <f t="shared" si="844"/>
        <v>0.20478908893653294</v>
      </c>
      <c r="BC83" s="39">
        <f t="shared" si="844"/>
        <v>0.22767351362001872</v>
      </c>
      <c r="BD83" s="39">
        <f t="shared" si="844"/>
        <v>0.2878787878787879</v>
      </c>
      <c r="BE83" s="39">
        <f t="shared" si="844"/>
        <v>0.28471237194641452</v>
      </c>
      <c r="BF83" s="39">
        <f t="shared" si="844"/>
        <v>0.30026160525436935</v>
      </c>
      <c r="BG83" s="39">
        <f t="shared" si="844"/>
        <v>0.29212681638044913</v>
      </c>
      <c r="BH83" s="39">
        <f t="shared" si="844"/>
        <v>0.25859106529209624</v>
      </c>
      <c r="BI83" s="39">
        <f t="shared" si="844"/>
        <v>0.23241678033838276</v>
      </c>
      <c r="BJ83" s="39">
        <f t="shared" si="844"/>
        <v>0.2431176161359046</v>
      </c>
      <c r="BK83" s="39">
        <f t="shared" si="844"/>
        <v>0.22169462910203652</v>
      </c>
      <c r="BL83" s="39">
        <f t="shared" si="844"/>
        <v>0.21522913213197156</v>
      </c>
      <c r="BM83" s="39">
        <f t="shared" si="844"/>
        <v>0.18945722925529188</v>
      </c>
      <c r="BN83" s="39">
        <f t="shared" si="844"/>
        <v>0.16050438650081866</v>
      </c>
      <c r="BO83" s="39">
        <f t="shared" si="844"/>
        <v>0.13379848628193</v>
      </c>
      <c r="BP83" s="39">
        <f t="shared" si="844"/>
        <v>0.1407018694653985</v>
      </c>
      <c r="BQ83" s="39">
        <f t="shared" si="844"/>
        <v>0.15381245436528632</v>
      </c>
      <c r="BR83" s="39">
        <f t="shared" ref="BR83:CW83" si="845">+SUM(BO62:BR62)/BR162</f>
        <v>0.23147632311977717</v>
      </c>
      <c r="BS83" s="39">
        <f t="shared" si="845"/>
        <v>0.26544981072022761</v>
      </c>
      <c r="BT83" s="39">
        <f t="shared" si="845"/>
        <v>0.27738511580131575</v>
      </c>
      <c r="BU83" s="39">
        <f t="shared" si="845"/>
        <v>0.28311539343886211</v>
      </c>
      <c r="BV83" s="39">
        <f t="shared" si="845"/>
        <v>0.35866752910737387</v>
      </c>
      <c r="BW83" s="39">
        <f t="shared" si="845"/>
        <v>0.36854413374465123</v>
      </c>
      <c r="BX83" s="39">
        <f t="shared" si="845"/>
        <v>0.47293856890406444</v>
      </c>
      <c r="BY83" s="39">
        <f t="shared" si="845"/>
        <v>0.42374025827870465</v>
      </c>
      <c r="BZ83" s="39">
        <f t="shared" si="845"/>
        <v>0.57490009284301458</v>
      </c>
      <c r="CA83" s="39">
        <f t="shared" si="845"/>
        <v>0.46310356434902944</v>
      </c>
      <c r="CB83" s="39">
        <f t="shared" si="845"/>
        <v>0.44385283638256134</v>
      </c>
      <c r="CC83" s="39">
        <f t="shared" si="845"/>
        <v>0.40000740548746622</v>
      </c>
      <c r="CD83" s="39">
        <f t="shared" si="845"/>
        <v>0.43076402689104054</v>
      </c>
      <c r="CE83" s="39">
        <f t="shared" si="845"/>
        <v>0.41329435297738115</v>
      </c>
      <c r="CF83" s="39">
        <f t="shared" si="845"/>
        <v>0.54845225233688755</v>
      </c>
      <c r="CG83" s="39">
        <f t="shared" si="845"/>
        <v>0.5279759669545625</v>
      </c>
      <c r="CH83" s="39">
        <f t="shared" si="845"/>
        <v>0.5600912572313208</v>
      </c>
      <c r="CI83" s="39">
        <f t="shared" si="845"/>
        <v>0.5075429424943988</v>
      </c>
      <c r="CJ83" s="39">
        <f t="shared" si="845"/>
        <v>0.57008771210754983</v>
      </c>
      <c r="CK83" s="39">
        <f t="shared" si="845"/>
        <v>0.5446775446775447</v>
      </c>
      <c r="CL83" s="39">
        <f t="shared" si="845"/>
        <v>0.59175544833392701</v>
      </c>
      <c r="CM83" s="40">
        <f t="shared" si="845"/>
        <v>0.59393134262720859</v>
      </c>
      <c r="CN83" s="40">
        <f t="shared" si="845"/>
        <v>0.58399275588963795</v>
      </c>
      <c r="CO83" s="40">
        <f t="shared" si="845"/>
        <v>0.5453888225462733</v>
      </c>
      <c r="CP83" s="40">
        <f t="shared" si="845"/>
        <v>0.48245369534485949</v>
      </c>
      <c r="CQ83" s="40">
        <f t="shared" si="845"/>
        <v>0.44373839449425884</v>
      </c>
      <c r="CR83" s="40">
        <f t="shared" si="845"/>
        <v>0.40913664118922072</v>
      </c>
      <c r="CS83" s="40">
        <f t="shared" si="845"/>
        <v>0.37896770777967004</v>
      </c>
      <c r="CT83" s="40">
        <f t="shared" si="845"/>
        <v>0.35478672845513015</v>
      </c>
      <c r="CU83" s="40">
        <f t="shared" si="845"/>
        <v>0.33066753488588435</v>
      </c>
      <c r="CV83" s="40">
        <f t="shared" si="845"/>
        <v>0.30884860834274452</v>
      </c>
      <c r="CW83" s="40">
        <f t="shared" si="845"/>
        <v>0.28865626212182088</v>
      </c>
      <c r="CX83" s="40">
        <f t="shared" ref="CX83:DB83" si="846">+SUM(CU62:CX62)/CX162</f>
        <v>0.27053604496687944</v>
      </c>
      <c r="CY83" s="40">
        <f t="shared" si="846"/>
        <v>0.25956692566689105</v>
      </c>
      <c r="CZ83" s="40">
        <f t="shared" si="846"/>
        <v>0.24841905533910483</v>
      </c>
      <c r="DA83" s="40">
        <f t="shared" si="846"/>
        <v>0.23694481808572682</v>
      </c>
      <c r="DB83" s="40">
        <f t="shared" si="846"/>
        <v>0.22591697826921356</v>
      </c>
      <c r="DE83" s="122"/>
      <c r="DF83" s="38">
        <v>0.53654844839787064</v>
      </c>
    </row>
    <row r="84" spans="1:110" s="1" customFormat="1" x14ac:dyDescent="0.2">
      <c r="A84" s="150" t="s">
        <v>488</v>
      </c>
      <c r="AB84" s="20"/>
      <c r="AC84" s="20"/>
      <c r="AD84" s="20"/>
      <c r="AE84" s="20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E84" s="119"/>
    </row>
    <row r="85" spans="1:110" s="8" customFormat="1" x14ac:dyDescent="0.2">
      <c r="A85" s="12" t="s">
        <v>26</v>
      </c>
      <c r="AB85" s="58"/>
      <c r="AC85" s="58"/>
      <c r="AD85" s="58"/>
      <c r="AE85" s="58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E85" s="132"/>
    </row>
    <row r="86" spans="1:110" s="9" customFormat="1" x14ac:dyDescent="0.2">
      <c r="A86" s="9" t="s">
        <v>453</v>
      </c>
      <c r="N86" s="9">
        <f>N38-SUM(AI38:AL38)</f>
        <v>0</v>
      </c>
      <c r="O86" s="9">
        <f>O38-SUM(AM38:AP38)</f>
        <v>0</v>
      </c>
      <c r="P86" s="9">
        <f>P38-SUM(AQ38:AT38)</f>
        <v>0</v>
      </c>
      <c r="Q86" s="9">
        <f>Q38-SUM(AU38:AX38)</f>
        <v>-366.63999999999942</v>
      </c>
      <c r="R86" s="9">
        <f>R38-SUM(AY38:BB38)</f>
        <v>-273</v>
      </c>
      <c r="S86" s="9">
        <f>S38-SUM(BC38:BF38)</f>
        <v>-2</v>
      </c>
      <c r="T86" s="9">
        <f>T38-SUM(BG38:BJ38)</f>
        <v>0</v>
      </c>
      <c r="U86" s="9">
        <f>U38-SUM(BK38:BN38)</f>
        <v>0</v>
      </c>
      <c r="V86" s="9">
        <f>V38-SUM(BO38:BR38)</f>
        <v>0</v>
      </c>
      <c r="W86" s="9">
        <f>W38-SUM(BS38:BV38)</f>
        <v>0</v>
      </c>
      <c r="X86" s="9">
        <f>X38-SUM(BW38:BZ38)</f>
        <v>0</v>
      </c>
      <c r="Y86" s="9">
        <f>Y38-SUM(CA38:CD38)</f>
        <v>0</v>
      </c>
      <c r="Z86" s="9">
        <f>Z38-SUM(CE38:CH38)</f>
        <v>0</v>
      </c>
      <c r="AA86" s="9">
        <f>AA38-SUM(CF38:CI38)</f>
        <v>7120</v>
      </c>
      <c r="AB86" s="15">
        <f>AB38-SUM(CM38:CP38)</f>
        <v>0</v>
      </c>
      <c r="AC86" s="15">
        <f>AC38-SUM(CQ38:CT38)</f>
        <v>0</v>
      </c>
      <c r="AD86" s="15">
        <f>AD38-SUM(CU38:CX38)</f>
        <v>0</v>
      </c>
      <c r="AE86" s="15">
        <f>AE38-SUM(CY38:DB38)</f>
        <v>0</v>
      </c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E86" s="133"/>
      <c r="DF86" s="9">
        <v>0</v>
      </c>
    </row>
    <row r="87" spans="1:110" s="9" customFormat="1" x14ac:dyDescent="0.2">
      <c r="A87" s="9" t="s">
        <v>454</v>
      </c>
      <c r="N87" s="9">
        <f>N44-SUM(AI44:AL44)</f>
        <v>-2.569999999999709</v>
      </c>
      <c r="O87" s="9">
        <f>O44-SUM(AM44:AP44)</f>
        <v>1.569999999999709</v>
      </c>
      <c r="P87" s="9">
        <f>P44-SUM(AQ44:AT44)</f>
        <v>-12.670000000000073</v>
      </c>
      <c r="Q87" s="9">
        <f>Q44-SUM(AU44:AX44)</f>
        <v>-366.84000000000015</v>
      </c>
      <c r="R87" s="9">
        <f>R44-SUM(AY44:BB44)</f>
        <v>-273</v>
      </c>
      <c r="S87" s="9">
        <f>S44-SUM(BC44:BF44)</f>
        <v>-2</v>
      </c>
      <c r="T87" s="9">
        <f>T44-SUM(BG44:BJ44)</f>
        <v>0</v>
      </c>
      <c r="U87" s="9">
        <f>U44-SUM(BK44:BN44)</f>
        <v>0</v>
      </c>
      <c r="V87" s="9">
        <f>V44-SUM(BO44:BR44)</f>
        <v>0</v>
      </c>
      <c r="W87" s="9">
        <f>W44-SUM(BS44:BV44)</f>
        <v>0</v>
      </c>
      <c r="X87" s="9">
        <f>X44-SUM(BW44:BZ44)</f>
        <v>0</v>
      </c>
      <c r="Y87" s="9">
        <f>Y44-SUM(CA44:CD44)</f>
        <v>0</v>
      </c>
      <c r="Z87" s="9">
        <f>Z44-SUM(CE44:CH44)</f>
        <v>0</v>
      </c>
      <c r="AA87" s="9">
        <f>AA44-SUM(CF44:CI44)</f>
        <v>7173</v>
      </c>
      <c r="AB87" s="15">
        <f>AB44-SUM(CM44:CP44)</f>
        <v>0</v>
      </c>
      <c r="AC87" s="15">
        <f>AC44-SUM(CQ44:CT44)</f>
        <v>0</v>
      </c>
      <c r="AD87" s="15">
        <f>AD44-SUM(CU44:CX44)</f>
        <v>0</v>
      </c>
      <c r="AE87" s="15">
        <f>AE44-SUM(CY44:DB44)</f>
        <v>0</v>
      </c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E87" s="133"/>
      <c r="DF87" s="9">
        <v>0</v>
      </c>
    </row>
    <row r="88" spans="1:110" s="9" customFormat="1" x14ac:dyDescent="0.2">
      <c r="A88" s="9" t="s">
        <v>455</v>
      </c>
      <c r="N88" s="9">
        <f>N56-SUM(AI56:AL56)</f>
        <v>5.4700000000002547</v>
      </c>
      <c r="O88" s="9">
        <f>O56-SUM(AM56:AP56)</f>
        <v>-232.32000000000153</v>
      </c>
      <c r="P88" s="9">
        <f>P56-SUM(AQ56:AT56)</f>
        <v>-318.99999999999909</v>
      </c>
      <c r="Q88" s="9">
        <f>Q56-SUM(AU56:AX56)</f>
        <v>-0.93000000000029104</v>
      </c>
      <c r="R88" s="9">
        <f>R56-SUM(AY56:BB56)</f>
        <v>0</v>
      </c>
      <c r="S88" s="9">
        <f>S56-SUM(BC56:BF56)</f>
        <v>-2</v>
      </c>
      <c r="T88" s="9">
        <f>T56-SUM(BG56:BJ56)</f>
        <v>0</v>
      </c>
      <c r="U88" s="9">
        <f>U56-SUM(BK56:BN56)</f>
        <v>0</v>
      </c>
      <c r="V88" s="9">
        <f>V56-SUM(BO56:BR56)</f>
        <v>0</v>
      </c>
      <c r="W88" s="9">
        <f>W56-SUM(BS56:BV56)</f>
        <v>0</v>
      </c>
      <c r="X88" s="9">
        <f>X56-SUM(BW56:BZ56)</f>
        <v>0</v>
      </c>
      <c r="Y88" s="9">
        <f>Y56-SUM(CA56:CD56)</f>
        <v>0</v>
      </c>
      <c r="Z88" s="9">
        <f>Z56-SUM(CE56:CH56)</f>
        <v>0</v>
      </c>
      <c r="AA88" s="9">
        <f>AA56-SUM(CF56:CI56)</f>
        <v>4763</v>
      </c>
      <c r="AB88" s="15">
        <f>AB56-SUM(CM56:CP56)</f>
        <v>0</v>
      </c>
      <c r="AC88" s="15">
        <f>AC56-SUM(CQ56:CT56)</f>
        <v>0</v>
      </c>
      <c r="AD88" s="15">
        <f>AD56-SUM(CU56:CX56)</f>
        <v>0</v>
      </c>
      <c r="AE88" s="15">
        <f>AE56-SUM(CY56:DB56)</f>
        <v>0</v>
      </c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B88" s="59"/>
      <c r="DE88" s="133"/>
      <c r="DF88" s="9">
        <v>0</v>
      </c>
    </row>
    <row r="89" spans="1:110" s="9" customFormat="1" x14ac:dyDescent="0.2">
      <c r="A89" s="9" t="s">
        <v>456</v>
      </c>
      <c r="N89" s="9">
        <f>N76-SUM(AI76:AL76)</f>
        <v>0</v>
      </c>
      <c r="O89" s="9">
        <f>O76-SUM(AM76:AP76)</f>
        <v>0</v>
      </c>
      <c r="P89" s="9">
        <f>P76-SUM(AQ76:AT76)</f>
        <v>0</v>
      </c>
      <c r="Q89" s="9">
        <f>Q76-SUM(AU76:AX76)</f>
        <v>-0.36000000000058208</v>
      </c>
      <c r="R89" s="9">
        <f>R76-SUM(AY76:BB76)</f>
        <v>0</v>
      </c>
      <c r="S89" s="9">
        <f>S76-SUM(BC76:BF76)</f>
        <v>0</v>
      </c>
      <c r="T89" s="9">
        <f>T76-SUM(BG76:BJ76)</f>
        <v>0</v>
      </c>
      <c r="U89" s="9">
        <f>U76-SUM(BK76:BN76)</f>
        <v>0</v>
      </c>
      <c r="V89" s="9">
        <f>V76-SUM(BO76:BR76)</f>
        <v>0</v>
      </c>
      <c r="W89" s="9">
        <f>W69-SUM(BS69:BV69)</f>
        <v>0</v>
      </c>
      <c r="X89" s="9">
        <f>X69-SUM(BW69:BZ69)</f>
        <v>0</v>
      </c>
      <c r="Y89" s="9">
        <f>Y69-SUM(CA69:CD69)</f>
        <v>0</v>
      </c>
      <c r="Z89" s="9">
        <f>Z69-SUM(CE69:CH69)</f>
        <v>0</v>
      </c>
      <c r="AA89" s="9">
        <f>AA69-SUM(CF69:CI69)</f>
        <v>3482</v>
      </c>
      <c r="AB89" s="15">
        <f>AB69-SUM(CM69:CP69)</f>
        <v>0</v>
      </c>
      <c r="AC89" s="15">
        <f>AC69-SUM(CQ69:CT69)</f>
        <v>0</v>
      </c>
      <c r="AD89" s="15">
        <f>AD69-SUM(CU69:CX69)</f>
        <v>0</v>
      </c>
      <c r="AE89" s="15">
        <f>AE69-SUM(CY69:DB69)</f>
        <v>0</v>
      </c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E89" s="133"/>
      <c r="DF89" s="9">
        <v>0</v>
      </c>
    </row>
    <row r="90" spans="1:110" s="8" customFormat="1" x14ac:dyDescent="0.2">
      <c r="A90" s="149" t="s">
        <v>489</v>
      </c>
      <c r="AB90" s="58"/>
      <c r="AC90" s="58"/>
      <c r="AD90" s="58"/>
      <c r="AE90" s="58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4"/>
      <c r="CY90" s="54"/>
      <c r="CZ90" s="54"/>
      <c r="DA90" s="54"/>
      <c r="DB90" s="54"/>
      <c r="DE90" s="132"/>
    </row>
    <row r="91" spans="1:110" s="3" customFormat="1" x14ac:dyDescent="0.2">
      <c r="A91" s="3" t="s">
        <v>27</v>
      </c>
      <c r="B91" s="3">
        <f>'Annual Raw'!C104</f>
        <v>422.53190000000001</v>
      </c>
      <c r="C91" s="3">
        <f>'Annual Raw'!D104</f>
        <v>422.53199999999998</v>
      </c>
      <c r="D91" s="3">
        <f>'Annual Raw'!E104</f>
        <v>422.53199999999998</v>
      </c>
      <c r="E91" s="3">
        <f t="shared" ref="E91:Y91" ca="1" si="847">+F91</f>
        <v>0</v>
      </c>
      <c r="F91" s="3">
        <f t="shared" ca="1" si="847"/>
        <v>0</v>
      </c>
      <c r="G91" s="3">
        <f t="shared" ca="1" si="847"/>
        <v>0</v>
      </c>
      <c r="H91" s="3">
        <f t="shared" ca="1" si="847"/>
        <v>0</v>
      </c>
      <c r="I91" s="3">
        <f t="shared" ca="1" si="847"/>
        <v>0</v>
      </c>
      <c r="J91" s="3">
        <f t="shared" ca="1" si="847"/>
        <v>0</v>
      </c>
      <c r="K91" s="3">
        <f t="shared" ca="1" si="847"/>
        <v>0</v>
      </c>
      <c r="L91" s="3">
        <f t="shared" ca="1" si="847"/>
        <v>0</v>
      </c>
      <c r="M91" s="3">
        <f t="shared" ca="1" si="847"/>
        <v>0</v>
      </c>
      <c r="N91" s="3">
        <f t="shared" ca="1" si="847"/>
        <v>0</v>
      </c>
      <c r="O91" s="3">
        <f t="shared" ca="1" si="847"/>
        <v>0</v>
      </c>
      <c r="P91" s="3">
        <f t="shared" ca="1" si="847"/>
        <v>0</v>
      </c>
      <c r="Q91" s="3">
        <f t="shared" ca="1" si="847"/>
        <v>0</v>
      </c>
      <c r="R91" s="3">
        <f t="shared" ca="1" si="847"/>
        <v>0</v>
      </c>
      <c r="S91" s="3">
        <f t="shared" ca="1" si="847"/>
        <v>0</v>
      </c>
      <c r="T91" s="3">
        <f t="shared" ca="1" si="847"/>
        <v>0</v>
      </c>
      <c r="U91" s="3">
        <f t="shared" ca="1" si="847"/>
        <v>0</v>
      </c>
      <c r="V91" s="3">
        <f t="shared" ca="1" si="847"/>
        <v>0</v>
      </c>
      <c r="W91" s="3">
        <f t="shared" ca="1" si="847"/>
        <v>0</v>
      </c>
      <c r="X91" s="3">
        <f t="shared" ca="1" si="847"/>
        <v>0</v>
      </c>
      <c r="Y91" s="3">
        <f t="shared" ca="1" si="847"/>
        <v>0</v>
      </c>
      <c r="Z91" s="3">
        <f ca="1">+AA91</f>
        <v>0</v>
      </c>
      <c r="AA91" s="3">
        <f ca="1">+AB91</f>
        <v>0</v>
      </c>
      <c r="AB91" s="37">
        <f t="shared" ref="AB91:AB92" ca="1" si="848">AA91</f>
        <v>0</v>
      </c>
      <c r="AC91" s="37">
        <f t="shared" ref="AC91:AC92" ca="1" si="849">AB91</f>
        <v>0</v>
      </c>
      <c r="AD91" s="37">
        <f t="shared" ref="AD91:AD92" ca="1" si="850">AC91</f>
        <v>0</v>
      </c>
      <c r="AE91" s="37">
        <f t="shared" ref="AE91:AE92" ca="1" si="851">AD91</f>
        <v>0</v>
      </c>
      <c r="AI91" s="3">
        <f t="shared" ref="AI91:CH91" si="852">+AJ91</f>
        <v>845</v>
      </c>
      <c r="AJ91" s="3">
        <f t="shared" si="852"/>
        <v>845</v>
      </c>
      <c r="AK91" s="3">
        <f t="shared" si="852"/>
        <v>845</v>
      </c>
      <c r="AL91" s="3">
        <f t="shared" si="852"/>
        <v>845</v>
      </c>
      <c r="AM91" s="3">
        <f t="shared" si="852"/>
        <v>845</v>
      </c>
      <c r="AN91" s="3">
        <f t="shared" si="852"/>
        <v>845</v>
      </c>
      <c r="AO91" s="3">
        <f t="shared" si="852"/>
        <v>845</v>
      </c>
      <c r="AP91" s="3">
        <f t="shared" si="852"/>
        <v>845</v>
      </c>
      <c r="AQ91" s="3">
        <f t="shared" si="852"/>
        <v>845</v>
      </c>
      <c r="AR91" s="3">
        <f t="shared" si="852"/>
        <v>845</v>
      </c>
      <c r="AS91" s="3">
        <f t="shared" si="852"/>
        <v>845</v>
      </c>
      <c r="AT91" s="3">
        <f t="shared" si="852"/>
        <v>845</v>
      </c>
      <c r="AU91" s="3">
        <f t="shared" si="852"/>
        <v>845</v>
      </c>
      <c r="AV91" s="3">
        <f t="shared" si="852"/>
        <v>845</v>
      </c>
      <c r="AW91" s="3">
        <f t="shared" si="852"/>
        <v>845</v>
      </c>
      <c r="AX91" s="3">
        <f t="shared" si="852"/>
        <v>845</v>
      </c>
      <c r="AY91" s="3">
        <f t="shared" si="852"/>
        <v>845</v>
      </c>
      <c r="AZ91" s="3">
        <f t="shared" si="852"/>
        <v>845</v>
      </c>
      <c r="BA91" s="3">
        <f t="shared" si="852"/>
        <v>845</v>
      </c>
      <c r="BB91" s="3">
        <f t="shared" si="852"/>
        <v>845</v>
      </c>
      <c r="BC91" s="3">
        <f t="shared" si="852"/>
        <v>845</v>
      </c>
      <c r="BD91" s="3">
        <f t="shared" si="852"/>
        <v>845</v>
      </c>
      <c r="BE91" s="3">
        <f t="shared" si="852"/>
        <v>845</v>
      </c>
      <c r="BF91" s="3">
        <f t="shared" si="852"/>
        <v>845</v>
      </c>
      <c r="BG91" s="3">
        <f t="shared" si="852"/>
        <v>845</v>
      </c>
      <c r="BH91" s="3">
        <f t="shared" si="852"/>
        <v>845</v>
      </c>
      <c r="BI91" s="3">
        <f t="shared" si="852"/>
        <v>845</v>
      </c>
      <c r="BJ91" s="3">
        <f t="shared" si="852"/>
        <v>845</v>
      </c>
      <c r="BK91" s="3">
        <f t="shared" si="852"/>
        <v>845</v>
      </c>
      <c r="BL91" s="3">
        <f t="shared" si="852"/>
        <v>845</v>
      </c>
      <c r="BM91" s="3">
        <f t="shared" si="852"/>
        <v>845</v>
      </c>
      <c r="BN91" s="3">
        <f t="shared" si="852"/>
        <v>845</v>
      </c>
      <c r="BO91" s="3">
        <f t="shared" si="852"/>
        <v>845</v>
      </c>
      <c r="BP91" s="3">
        <f t="shared" si="852"/>
        <v>845</v>
      </c>
      <c r="BQ91" s="3">
        <f t="shared" si="852"/>
        <v>845</v>
      </c>
      <c r="BR91" s="3">
        <f t="shared" si="852"/>
        <v>845</v>
      </c>
      <c r="BS91" s="3">
        <f t="shared" si="852"/>
        <v>845</v>
      </c>
      <c r="BT91" s="3">
        <f t="shared" si="852"/>
        <v>845</v>
      </c>
      <c r="BU91" s="3">
        <f t="shared" si="852"/>
        <v>845</v>
      </c>
      <c r="BV91" s="3">
        <f t="shared" si="852"/>
        <v>845</v>
      </c>
      <c r="BW91" s="3">
        <f t="shared" si="852"/>
        <v>845</v>
      </c>
      <c r="BX91" s="3">
        <f t="shared" si="852"/>
        <v>845</v>
      </c>
      <c r="BY91" s="3">
        <f t="shared" si="852"/>
        <v>845</v>
      </c>
      <c r="BZ91" s="3">
        <f t="shared" si="852"/>
        <v>845</v>
      </c>
      <c r="CA91" s="3">
        <f t="shared" si="852"/>
        <v>845</v>
      </c>
      <c r="CB91" s="3">
        <f t="shared" si="852"/>
        <v>845</v>
      </c>
      <c r="CC91" s="3">
        <f t="shared" si="852"/>
        <v>845</v>
      </c>
      <c r="CD91" s="3">
        <f t="shared" si="852"/>
        <v>845</v>
      </c>
      <c r="CE91" s="3">
        <f t="shared" si="852"/>
        <v>845</v>
      </c>
      <c r="CF91" s="3">
        <f t="shared" si="852"/>
        <v>845</v>
      </c>
      <c r="CG91" s="3">
        <f t="shared" si="852"/>
        <v>845</v>
      </c>
      <c r="CH91" s="3">
        <f t="shared" si="852"/>
        <v>845</v>
      </c>
      <c r="CI91" s="3">
        <f>+CJ91</f>
        <v>845</v>
      </c>
      <c r="CJ91" s="3">
        <f>'QTR Raw'!BD45</f>
        <v>845</v>
      </c>
      <c r="CK91" s="3">
        <f>'QTR Raw'!BE45</f>
        <v>845</v>
      </c>
      <c r="CL91" s="3">
        <f>'QTR Raw'!BF45</f>
        <v>845</v>
      </c>
      <c r="CM91" s="37">
        <f t="shared" ref="CM91:CM92" si="853">+CL91</f>
        <v>845</v>
      </c>
      <c r="CN91" s="37">
        <f t="shared" ref="CN91:CN92" si="854">+CM91</f>
        <v>845</v>
      </c>
      <c r="CO91" s="37">
        <f t="shared" ref="CO91:CO92" si="855">+CN91</f>
        <v>845</v>
      </c>
      <c r="CP91" s="37">
        <f t="shared" ref="CP91:CP92" si="856">+CO91</f>
        <v>845</v>
      </c>
      <c r="CQ91" s="37">
        <f t="shared" ref="CQ91:CQ92" si="857">+CP91</f>
        <v>845</v>
      </c>
      <c r="CR91" s="37">
        <f t="shared" ref="CR91:CR92" si="858">+CQ91</f>
        <v>845</v>
      </c>
      <c r="CS91" s="37">
        <f t="shared" ref="CS91:CS92" si="859">+CR91</f>
        <v>845</v>
      </c>
      <c r="CT91" s="37">
        <f t="shared" ref="CT91:CT92" si="860">+CS91</f>
        <v>845</v>
      </c>
      <c r="CU91" s="37">
        <f t="shared" ref="CU91:CU92" si="861">+CT91</f>
        <v>845</v>
      </c>
      <c r="CV91" s="37">
        <f t="shared" ref="CV91:CV92" si="862">+CU91</f>
        <v>845</v>
      </c>
      <c r="CW91" s="37">
        <f t="shared" ref="CW91:CW92" si="863">+CV91</f>
        <v>845</v>
      </c>
      <c r="CX91" s="37">
        <f t="shared" ref="CX91:CX92" si="864">+CW91</f>
        <v>845</v>
      </c>
      <c r="CY91" s="37">
        <f t="shared" ref="CY91:CY92" si="865">+CX91</f>
        <v>845</v>
      </c>
      <c r="CZ91" s="37">
        <f t="shared" ref="CZ91:CZ92" si="866">+CY91</f>
        <v>845</v>
      </c>
      <c r="DA91" s="37">
        <f t="shared" ref="DA91:DA92" si="867">+CZ91</f>
        <v>845</v>
      </c>
      <c r="DB91" s="37">
        <f t="shared" ref="DB91:DB92" si="868">+DA91</f>
        <v>845</v>
      </c>
      <c r="DE91" s="134"/>
      <c r="DF91" s="3">
        <v>845</v>
      </c>
    </row>
    <row r="92" spans="1:110" s="3" customFormat="1" x14ac:dyDescent="0.2">
      <c r="A92" s="3" t="s">
        <v>28</v>
      </c>
      <c r="B92" s="3">
        <f>'Annual Raw'!C105</f>
        <v>10</v>
      </c>
      <c r="C92" s="3">
        <f>'Annual Raw'!D105</f>
        <v>10</v>
      </c>
      <c r="D92" s="3">
        <f>'Annual Raw'!E105</f>
        <v>10</v>
      </c>
      <c r="E92" s="3">
        <f t="shared" ref="E92:Y92" ca="1" si="869">+F92</f>
        <v>0</v>
      </c>
      <c r="F92" s="3">
        <f t="shared" ca="1" si="869"/>
        <v>0</v>
      </c>
      <c r="G92" s="3">
        <f t="shared" ca="1" si="869"/>
        <v>0</v>
      </c>
      <c r="H92" s="3">
        <f t="shared" ca="1" si="869"/>
        <v>0</v>
      </c>
      <c r="I92" s="3">
        <f t="shared" ca="1" si="869"/>
        <v>0</v>
      </c>
      <c r="J92" s="3">
        <f t="shared" ca="1" si="869"/>
        <v>0</v>
      </c>
      <c r="K92" s="3">
        <f t="shared" ca="1" si="869"/>
        <v>0</v>
      </c>
      <c r="L92" s="3">
        <f t="shared" ca="1" si="869"/>
        <v>0</v>
      </c>
      <c r="M92" s="3">
        <f t="shared" ca="1" si="869"/>
        <v>0</v>
      </c>
      <c r="N92" s="3">
        <f t="shared" ca="1" si="869"/>
        <v>0</v>
      </c>
      <c r="O92" s="3">
        <f t="shared" ca="1" si="869"/>
        <v>0</v>
      </c>
      <c r="P92" s="3">
        <f t="shared" ca="1" si="869"/>
        <v>0</v>
      </c>
      <c r="Q92" s="3">
        <f t="shared" ca="1" si="869"/>
        <v>0</v>
      </c>
      <c r="R92" s="3">
        <f t="shared" ca="1" si="869"/>
        <v>0</v>
      </c>
      <c r="S92" s="3">
        <f t="shared" ca="1" si="869"/>
        <v>0</v>
      </c>
      <c r="T92" s="3">
        <f t="shared" ca="1" si="869"/>
        <v>0</v>
      </c>
      <c r="U92" s="3">
        <f t="shared" ca="1" si="869"/>
        <v>0</v>
      </c>
      <c r="V92" s="3">
        <f t="shared" ca="1" si="869"/>
        <v>0</v>
      </c>
      <c r="W92" s="3">
        <f t="shared" ca="1" si="869"/>
        <v>0</v>
      </c>
      <c r="X92" s="3">
        <f t="shared" ca="1" si="869"/>
        <v>0</v>
      </c>
      <c r="Y92" s="3">
        <f t="shared" ca="1" si="869"/>
        <v>0</v>
      </c>
      <c r="Z92" s="3">
        <f ca="1">+AA92</f>
        <v>0</v>
      </c>
      <c r="AA92" s="3">
        <f ca="1">+AB92</f>
        <v>0</v>
      </c>
      <c r="AB92" s="37">
        <f t="shared" ca="1" si="848"/>
        <v>0</v>
      </c>
      <c r="AC92" s="37">
        <f t="shared" ca="1" si="849"/>
        <v>0</v>
      </c>
      <c r="AD92" s="37">
        <f t="shared" ca="1" si="850"/>
        <v>0</v>
      </c>
      <c r="AE92" s="37">
        <f t="shared" ca="1" si="851"/>
        <v>0</v>
      </c>
      <c r="AI92" s="3">
        <f t="shared" ref="AI92:CH92" si="870">AJ92</f>
        <v>2</v>
      </c>
      <c r="AJ92" s="3">
        <f t="shared" si="870"/>
        <v>2</v>
      </c>
      <c r="AK92" s="3">
        <f t="shared" si="870"/>
        <v>2</v>
      </c>
      <c r="AL92" s="3">
        <f t="shared" si="870"/>
        <v>2</v>
      </c>
      <c r="AM92" s="3">
        <f t="shared" si="870"/>
        <v>2</v>
      </c>
      <c r="AN92" s="3">
        <f t="shared" si="870"/>
        <v>2</v>
      </c>
      <c r="AO92" s="3">
        <f t="shared" si="870"/>
        <v>2</v>
      </c>
      <c r="AP92" s="3">
        <f t="shared" si="870"/>
        <v>2</v>
      </c>
      <c r="AQ92" s="3">
        <f t="shared" si="870"/>
        <v>2</v>
      </c>
      <c r="AR92" s="3">
        <f t="shared" si="870"/>
        <v>2</v>
      </c>
      <c r="AS92" s="3">
        <f t="shared" si="870"/>
        <v>2</v>
      </c>
      <c r="AT92" s="3">
        <f t="shared" si="870"/>
        <v>2</v>
      </c>
      <c r="AU92" s="3">
        <f t="shared" si="870"/>
        <v>2</v>
      </c>
      <c r="AV92" s="3">
        <f t="shared" si="870"/>
        <v>2</v>
      </c>
      <c r="AW92" s="3">
        <f t="shared" si="870"/>
        <v>2</v>
      </c>
      <c r="AX92" s="3">
        <f t="shared" si="870"/>
        <v>2</v>
      </c>
      <c r="AY92" s="3">
        <f t="shared" si="870"/>
        <v>2</v>
      </c>
      <c r="AZ92" s="3">
        <f t="shared" si="870"/>
        <v>2</v>
      </c>
      <c r="BA92" s="3">
        <f t="shared" si="870"/>
        <v>2</v>
      </c>
      <c r="BB92" s="3">
        <f t="shared" si="870"/>
        <v>2</v>
      </c>
      <c r="BC92" s="3">
        <f t="shared" si="870"/>
        <v>2</v>
      </c>
      <c r="BD92" s="3">
        <f t="shared" si="870"/>
        <v>2</v>
      </c>
      <c r="BE92" s="3">
        <f t="shared" si="870"/>
        <v>2</v>
      </c>
      <c r="BF92" s="3">
        <f t="shared" si="870"/>
        <v>2</v>
      </c>
      <c r="BG92" s="3">
        <f t="shared" si="870"/>
        <v>2</v>
      </c>
      <c r="BH92" s="3">
        <f t="shared" si="870"/>
        <v>2</v>
      </c>
      <c r="BI92" s="3">
        <f t="shared" si="870"/>
        <v>2</v>
      </c>
      <c r="BJ92" s="3">
        <f t="shared" si="870"/>
        <v>2</v>
      </c>
      <c r="BK92" s="3">
        <f t="shared" si="870"/>
        <v>2</v>
      </c>
      <c r="BL92" s="3">
        <f t="shared" si="870"/>
        <v>2</v>
      </c>
      <c r="BM92" s="3">
        <f t="shared" si="870"/>
        <v>2</v>
      </c>
      <c r="BN92" s="3">
        <f t="shared" si="870"/>
        <v>2</v>
      </c>
      <c r="BO92" s="3">
        <f t="shared" si="870"/>
        <v>2</v>
      </c>
      <c r="BP92" s="3">
        <f t="shared" si="870"/>
        <v>2</v>
      </c>
      <c r="BQ92" s="3">
        <f t="shared" si="870"/>
        <v>2</v>
      </c>
      <c r="BR92" s="3">
        <f t="shared" si="870"/>
        <v>2</v>
      </c>
      <c r="BS92" s="3">
        <f t="shared" si="870"/>
        <v>2</v>
      </c>
      <c r="BT92" s="3">
        <f t="shared" si="870"/>
        <v>2</v>
      </c>
      <c r="BU92" s="3">
        <f t="shared" si="870"/>
        <v>2</v>
      </c>
      <c r="BV92" s="3">
        <f t="shared" si="870"/>
        <v>2</v>
      </c>
      <c r="BW92" s="3">
        <f t="shared" si="870"/>
        <v>2</v>
      </c>
      <c r="BX92" s="3">
        <f t="shared" si="870"/>
        <v>2</v>
      </c>
      <c r="BY92" s="3">
        <f t="shared" si="870"/>
        <v>2</v>
      </c>
      <c r="BZ92" s="3">
        <f t="shared" si="870"/>
        <v>2</v>
      </c>
      <c r="CA92" s="3">
        <f t="shared" si="870"/>
        <v>2</v>
      </c>
      <c r="CB92" s="3">
        <f t="shared" si="870"/>
        <v>2</v>
      </c>
      <c r="CC92" s="3">
        <f t="shared" si="870"/>
        <v>2</v>
      </c>
      <c r="CD92" s="3">
        <f t="shared" si="870"/>
        <v>2</v>
      </c>
      <c r="CE92" s="3">
        <f t="shared" si="870"/>
        <v>2</v>
      </c>
      <c r="CF92" s="3">
        <f t="shared" si="870"/>
        <v>2</v>
      </c>
      <c r="CG92" s="3">
        <f t="shared" si="870"/>
        <v>2</v>
      </c>
      <c r="CH92" s="3">
        <f t="shared" si="870"/>
        <v>2</v>
      </c>
      <c r="CI92" s="3">
        <f>CJ92</f>
        <v>2</v>
      </c>
      <c r="CJ92" s="3">
        <f>'QTR Raw'!BD46</f>
        <v>2</v>
      </c>
      <c r="CK92" s="3">
        <f>'QTR Raw'!BE46</f>
        <v>2</v>
      </c>
      <c r="CL92" s="3">
        <f>'QTR Raw'!BF46</f>
        <v>2</v>
      </c>
      <c r="CM92" s="37">
        <f t="shared" si="853"/>
        <v>2</v>
      </c>
      <c r="CN92" s="37">
        <f t="shared" si="854"/>
        <v>2</v>
      </c>
      <c r="CO92" s="37">
        <f t="shared" si="855"/>
        <v>2</v>
      </c>
      <c r="CP92" s="37">
        <f t="shared" si="856"/>
        <v>2</v>
      </c>
      <c r="CQ92" s="37">
        <f t="shared" si="857"/>
        <v>2</v>
      </c>
      <c r="CR92" s="37">
        <f t="shared" si="858"/>
        <v>2</v>
      </c>
      <c r="CS92" s="37">
        <f t="shared" si="859"/>
        <v>2</v>
      </c>
      <c r="CT92" s="37">
        <f t="shared" si="860"/>
        <v>2</v>
      </c>
      <c r="CU92" s="37">
        <f t="shared" si="861"/>
        <v>2</v>
      </c>
      <c r="CV92" s="37">
        <f t="shared" si="862"/>
        <v>2</v>
      </c>
      <c r="CW92" s="37">
        <f t="shared" si="863"/>
        <v>2</v>
      </c>
      <c r="CX92" s="37">
        <f t="shared" si="864"/>
        <v>2</v>
      </c>
      <c r="CY92" s="37">
        <f t="shared" si="865"/>
        <v>2</v>
      </c>
      <c r="CZ92" s="37">
        <f t="shared" si="866"/>
        <v>2</v>
      </c>
      <c r="DA92" s="37">
        <f t="shared" si="867"/>
        <v>2</v>
      </c>
      <c r="DB92" s="37">
        <f t="shared" si="868"/>
        <v>2</v>
      </c>
      <c r="DE92" s="134"/>
      <c r="DF92" s="3">
        <v>2</v>
      </c>
    </row>
    <row r="93" spans="1:110" s="3" customFormat="1" x14ac:dyDescent="0.2">
      <c r="A93" s="3" t="s">
        <v>29</v>
      </c>
      <c r="B93" s="3">
        <f>B91/B92</f>
        <v>42.253190000000004</v>
      </c>
      <c r="C93" s="3">
        <f t="shared" ref="C93:W93" si="871">C91/C92</f>
        <v>42.2532</v>
      </c>
      <c r="D93" s="3">
        <f t="shared" si="871"/>
        <v>42.2532</v>
      </c>
      <c r="E93" s="3" t="e">
        <f t="shared" ca="1" si="871"/>
        <v>#DIV/0!</v>
      </c>
      <c r="F93" s="3" t="e">
        <f t="shared" ca="1" si="871"/>
        <v>#DIV/0!</v>
      </c>
      <c r="G93" s="3" t="e">
        <f t="shared" ca="1" si="871"/>
        <v>#DIV/0!</v>
      </c>
      <c r="H93" s="3" t="e">
        <f t="shared" ca="1" si="871"/>
        <v>#DIV/0!</v>
      </c>
      <c r="I93" s="3" t="e">
        <f t="shared" ca="1" si="871"/>
        <v>#DIV/0!</v>
      </c>
      <c r="J93" s="3" t="e">
        <f t="shared" ca="1" si="871"/>
        <v>#DIV/0!</v>
      </c>
      <c r="K93" s="3" t="e">
        <f t="shared" ca="1" si="871"/>
        <v>#DIV/0!</v>
      </c>
      <c r="L93" s="3" t="e">
        <f t="shared" ca="1" si="871"/>
        <v>#DIV/0!</v>
      </c>
      <c r="M93" s="3" t="e">
        <f t="shared" ca="1" si="871"/>
        <v>#DIV/0!</v>
      </c>
      <c r="N93" s="3" t="e">
        <f t="shared" ca="1" si="871"/>
        <v>#DIV/0!</v>
      </c>
      <c r="O93" s="3" t="e">
        <f t="shared" ca="1" si="871"/>
        <v>#DIV/0!</v>
      </c>
      <c r="P93" s="3" t="e">
        <f t="shared" ca="1" si="871"/>
        <v>#DIV/0!</v>
      </c>
      <c r="Q93" s="3" t="e">
        <f t="shared" ca="1" si="871"/>
        <v>#DIV/0!</v>
      </c>
      <c r="R93" s="3" t="e">
        <f t="shared" ca="1" si="871"/>
        <v>#DIV/0!</v>
      </c>
      <c r="S93" s="3" t="e">
        <f t="shared" ca="1" si="871"/>
        <v>#DIV/0!</v>
      </c>
      <c r="T93" s="3" t="e">
        <f t="shared" ca="1" si="871"/>
        <v>#DIV/0!</v>
      </c>
      <c r="U93" s="3" t="e">
        <f t="shared" ca="1" si="871"/>
        <v>#DIV/0!</v>
      </c>
      <c r="V93" s="3" t="e">
        <f ca="1">V91/V92</f>
        <v>#DIV/0!</v>
      </c>
      <c r="W93" s="3" t="e">
        <f t="shared" ca="1" si="871"/>
        <v>#DIV/0!</v>
      </c>
      <c r="X93" s="3" t="e">
        <f t="shared" ref="X93:Y93" ca="1" si="872">X91/X92</f>
        <v>#DIV/0!</v>
      </c>
      <c r="Y93" s="3" t="e">
        <f t="shared" ca="1" si="872"/>
        <v>#DIV/0!</v>
      </c>
      <c r="Z93" s="3" t="e">
        <f t="shared" ref="Z93:AA93" ca="1" si="873">Z91/Z92</f>
        <v>#DIV/0!</v>
      </c>
      <c r="AA93" s="3" t="e">
        <f t="shared" ca="1" si="873"/>
        <v>#DIV/0!</v>
      </c>
      <c r="AB93" s="37" t="e">
        <f t="shared" ref="AA93:AD93" ca="1" si="874">AB91/AB92</f>
        <v>#DIV/0!</v>
      </c>
      <c r="AC93" s="37" t="e">
        <f t="shared" ca="1" si="874"/>
        <v>#DIV/0!</v>
      </c>
      <c r="AD93" s="37" t="e">
        <f t="shared" ca="1" si="874"/>
        <v>#DIV/0!</v>
      </c>
      <c r="AE93" s="37" t="e">
        <f t="shared" ref="AE93" ca="1" si="875">AE91/AE92</f>
        <v>#DIV/0!</v>
      </c>
      <c r="AI93" s="3">
        <f t="shared" ref="AI93" si="876">AI91/AI92</f>
        <v>422.5</v>
      </c>
      <c r="AJ93" s="3">
        <f t="shared" ref="AJ93" si="877">AJ91/AJ92</f>
        <v>422.5</v>
      </c>
      <c r="AK93" s="3">
        <f t="shared" ref="AK93:AM93" si="878">AK91/AK92</f>
        <v>422.5</v>
      </c>
      <c r="AL93" s="3">
        <f t="shared" si="878"/>
        <v>422.5</v>
      </c>
      <c r="AM93" s="3">
        <f t="shared" si="878"/>
        <v>422.5</v>
      </c>
      <c r="AN93" s="3">
        <f t="shared" ref="AN93:AO93" si="879">AN91/AN92</f>
        <v>422.5</v>
      </c>
      <c r="AO93" s="3">
        <f t="shared" si="879"/>
        <v>422.5</v>
      </c>
      <c r="AP93" s="3">
        <f t="shared" ref="AP93:CD93" si="880">AP91/AP92</f>
        <v>422.5</v>
      </c>
      <c r="AQ93" s="3">
        <f t="shared" si="880"/>
        <v>422.5</v>
      </c>
      <c r="AR93" s="3">
        <f t="shared" si="880"/>
        <v>422.5</v>
      </c>
      <c r="AS93" s="3">
        <f t="shared" si="880"/>
        <v>422.5</v>
      </c>
      <c r="AT93" s="3">
        <f t="shared" si="880"/>
        <v>422.5</v>
      </c>
      <c r="AU93" s="3">
        <f t="shared" si="880"/>
        <v>422.5</v>
      </c>
      <c r="AV93" s="3">
        <f t="shared" si="880"/>
        <v>422.5</v>
      </c>
      <c r="AW93" s="3">
        <f t="shared" si="880"/>
        <v>422.5</v>
      </c>
      <c r="AX93" s="3">
        <f t="shared" si="880"/>
        <v>422.5</v>
      </c>
      <c r="AY93" s="3">
        <f t="shared" si="880"/>
        <v>422.5</v>
      </c>
      <c r="AZ93" s="3">
        <f t="shared" si="880"/>
        <v>422.5</v>
      </c>
      <c r="BA93" s="3">
        <f t="shared" si="880"/>
        <v>422.5</v>
      </c>
      <c r="BB93" s="3">
        <f t="shared" si="880"/>
        <v>422.5</v>
      </c>
      <c r="BC93" s="3">
        <f t="shared" si="880"/>
        <v>422.5</v>
      </c>
      <c r="BD93" s="3">
        <f t="shared" si="880"/>
        <v>422.5</v>
      </c>
      <c r="BE93" s="3">
        <f t="shared" si="880"/>
        <v>422.5</v>
      </c>
      <c r="BF93" s="3">
        <f t="shared" si="880"/>
        <v>422.5</v>
      </c>
      <c r="BG93" s="3">
        <f t="shared" si="880"/>
        <v>422.5</v>
      </c>
      <c r="BH93" s="3">
        <f t="shared" si="880"/>
        <v>422.5</v>
      </c>
      <c r="BI93" s="3">
        <f t="shared" si="880"/>
        <v>422.5</v>
      </c>
      <c r="BJ93" s="3">
        <f t="shared" si="880"/>
        <v>422.5</v>
      </c>
      <c r="BK93" s="3">
        <f t="shared" si="880"/>
        <v>422.5</v>
      </c>
      <c r="BL93" s="3">
        <f t="shared" si="880"/>
        <v>422.5</v>
      </c>
      <c r="BM93" s="3">
        <f t="shared" si="880"/>
        <v>422.5</v>
      </c>
      <c r="BN93" s="3">
        <f t="shared" si="880"/>
        <v>422.5</v>
      </c>
      <c r="BO93" s="3">
        <f t="shared" si="880"/>
        <v>422.5</v>
      </c>
      <c r="BP93" s="3">
        <f t="shared" si="880"/>
        <v>422.5</v>
      </c>
      <c r="BQ93" s="3">
        <f t="shared" si="880"/>
        <v>422.5</v>
      </c>
      <c r="BR93" s="3">
        <f t="shared" si="880"/>
        <v>422.5</v>
      </c>
      <c r="BS93" s="3">
        <f t="shared" si="880"/>
        <v>422.5</v>
      </c>
      <c r="BT93" s="3">
        <f t="shared" si="880"/>
        <v>422.5</v>
      </c>
      <c r="BU93" s="3">
        <f t="shared" si="880"/>
        <v>422.5</v>
      </c>
      <c r="BV93" s="3">
        <f t="shared" si="880"/>
        <v>422.5</v>
      </c>
      <c r="BW93" s="3">
        <f t="shared" si="880"/>
        <v>422.5</v>
      </c>
      <c r="BX93" s="3">
        <f t="shared" si="880"/>
        <v>422.5</v>
      </c>
      <c r="BY93" s="3">
        <f t="shared" si="880"/>
        <v>422.5</v>
      </c>
      <c r="BZ93" s="3">
        <f t="shared" si="880"/>
        <v>422.5</v>
      </c>
      <c r="CA93" s="3">
        <f t="shared" si="880"/>
        <v>422.5</v>
      </c>
      <c r="CB93" s="3">
        <f t="shared" si="880"/>
        <v>422.5</v>
      </c>
      <c r="CC93" s="3">
        <f t="shared" si="880"/>
        <v>422.5</v>
      </c>
      <c r="CD93" s="3">
        <f t="shared" si="880"/>
        <v>422.5</v>
      </c>
      <c r="CE93" s="3">
        <f t="shared" ref="CE93:CF93" si="881">CE91/CE92</f>
        <v>422.5</v>
      </c>
      <c r="CF93" s="3">
        <f t="shared" si="881"/>
        <v>422.5</v>
      </c>
      <c r="CG93" s="3">
        <f t="shared" ref="CG93:CH93" si="882">CG91/CG92</f>
        <v>422.5</v>
      </c>
      <c r="CH93" s="3">
        <f t="shared" si="882"/>
        <v>422.5</v>
      </c>
      <c r="CI93" s="3">
        <f t="shared" ref="CI93:CJ93" si="883">CI91/CI92</f>
        <v>422.5</v>
      </c>
      <c r="CJ93" s="3">
        <f t="shared" si="883"/>
        <v>422.5</v>
      </c>
      <c r="CK93" s="3">
        <f t="shared" ref="CK93:CL93" si="884">CK91/CK92</f>
        <v>422.5</v>
      </c>
      <c r="CL93" s="3">
        <f t="shared" si="884"/>
        <v>422.5</v>
      </c>
      <c r="CM93" s="37">
        <f t="shared" ref="CM93:DB93" si="885">CM91/CM92</f>
        <v>422.5</v>
      </c>
      <c r="CN93" s="37">
        <f t="shared" si="885"/>
        <v>422.5</v>
      </c>
      <c r="CO93" s="37">
        <f t="shared" si="885"/>
        <v>422.5</v>
      </c>
      <c r="CP93" s="37">
        <f t="shared" si="885"/>
        <v>422.5</v>
      </c>
      <c r="CQ93" s="37">
        <f t="shared" si="885"/>
        <v>422.5</v>
      </c>
      <c r="CR93" s="37">
        <f t="shared" si="885"/>
        <v>422.5</v>
      </c>
      <c r="CS93" s="37">
        <f t="shared" si="885"/>
        <v>422.5</v>
      </c>
      <c r="CT93" s="37">
        <f t="shared" si="885"/>
        <v>422.5</v>
      </c>
      <c r="CU93" s="37">
        <f t="shared" si="885"/>
        <v>422.5</v>
      </c>
      <c r="CV93" s="37">
        <f t="shared" si="885"/>
        <v>422.5</v>
      </c>
      <c r="CW93" s="37">
        <f t="shared" si="885"/>
        <v>422.5</v>
      </c>
      <c r="CX93" s="37">
        <f t="shared" si="885"/>
        <v>422.5</v>
      </c>
      <c r="CY93" s="37">
        <f t="shared" si="885"/>
        <v>422.5</v>
      </c>
      <c r="CZ93" s="37">
        <f t="shared" si="885"/>
        <v>422.5</v>
      </c>
      <c r="DA93" s="37">
        <f t="shared" si="885"/>
        <v>422.5</v>
      </c>
      <c r="DB93" s="37">
        <f t="shared" si="885"/>
        <v>422.5</v>
      </c>
      <c r="DE93" s="134"/>
      <c r="DF93" s="3">
        <v>422.5</v>
      </c>
    </row>
    <row r="94" spans="1:110" s="53" customFormat="1" x14ac:dyDescent="0.2">
      <c r="A94" s="53" t="s">
        <v>30</v>
      </c>
      <c r="B94" s="53">
        <f t="shared" ref="B94:AE94" si="886">(B76-B75)/B93</f>
        <v>4.0049023517514293</v>
      </c>
      <c r="C94" s="53">
        <f t="shared" si="886"/>
        <v>1.6084698910378363</v>
      </c>
      <c r="D94" s="53">
        <f t="shared" si="886"/>
        <v>3.364289568600721</v>
      </c>
      <c r="E94" s="53" t="e">
        <f t="shared" ca="1" si="886"/>
        <v>#DIV/0!</v>
      </c>
      <c r="F94" s="53" t="e">
        <f t="shared" ca="1" si="886"/>
        <v>#DIV/0!</v>
      </c>
      <c r="G94" s="53" t="e">
        <f t="shared" ca="1" si="886"/>
        <v>#DIV/0!</v>
      </c>
      <c r="H94" s="53" t="e">
        <f t="shared" ca="1" si="886"/>
        <v>#DIV/0!</v>
      </c>
      <c r="I94" s="53" t="e">
        <f t="shared" ca="1" si="886"/>
        <v>#DIV/0!</v>
      </c>
      <c r="J94" s="53" t="e">
        <f t="shared" ca="1" si="886"/>
        <v>#DIV/0!</v>
      </c>
      <c r="K94" s="53" t="e">
        <f t="shared" ca="1" si="886"/>
        <v>#DIV/0!</v>
      </c>
      <c r="L94" s="53" t="e">
        <f t="shared" ca="1" si="886"/>
        <v>#DIV/0!</v>
      </c>
      <c r="M94" s="53" t="e">
        <f t="shared" ca="1" si="886"/>
        <v>#DIV/0!</v>
      </c>
      <c r="N94" s="53" t="e">
        <f t="shared" ca="1" si="886"/>
        <v>#DIV/0!</v>
      </c>
      <c r="O94" s="53" t="e">
        <f t="shared" ca="1" si="886"/>
        <v>#DIV/0!</v>
      </c>
      <c r="P94" s="53" t="e">
        <f t="shared" ca="1" si="886"/>
        <v>#DIV/0!</v>
      </c>
      <c r="Q94" s="53" t="e">
        <f t="shared" ca="1" si="886"/>
        <v>#DIV/0!</v>
      </c>
      <c r="R94" s="53" t="e">
        <f t="shared" ca="1" si="886"/>
        <v>#DIV/0!</v>
      </c>
      <c r="S94" s="53" t="e">
        <f t="shared" ca="1" si="886"/>
        <v>#DIV/0!</v>
      </c>
      <c r="T94" s="53" t="e">
        <f t="shared" ca="1" si="886"/>
        <v>#DIV/0!</v>
      </c>
      <c r="U94" s="53" t="e">
        <f t="shared" ca="1" si="886"/>
        <v>#DIV/0!</v>
      </c>
      <c r="V94" s="53" t="e">
        <f t="shared" ca="1" si="886"/>
        <v>#DIV/0!</v>
      </c>
      <c r="W94" s="53" t="e">
        <f t="shared" ca="1" si="886"/>
        <v>#DIV/0!</v>
      </c>
      <c r="X94" s="53" t="e">
        <f t="shared" ca="1" si="886"/>
        <v>#DIV/0!</v>
      </c>
      <c r="Y94" s="53" t="e">
        <f t="shared" ca="1" si="886"/>
        <v>#DIV/0!</v>
      </c>
      <c r="Z94" s="53" t="e">
        <f t="shared" ca="1" si="886"/>
        <v>#DIV/0!</v>
      </c>
      <c r="AA94" s="53" t="e">
        <f t="shared" ref="AA94" ca="1" si="887">(AA76-AA75)/AA93</f>
        <v>#DIV/0!</v>
      </c>
      <c r="AB94" s="54" t="e">
        <f t="shared" ca="1" si="886"/>
        <v>#DIV/0!</v>
      </c>
      <c r="AC94" s="54" t="e">
        <f t="shared" ca="1" si="886"/>
        <v>#DIV/0!</v>
      </c>
      <c r="AD94" s="54" t="e">
        <f t="shared" ca="1" si="886"/>
        <v>#DIV/0!</v>
      </c>
      <c r="AE94" s="54" t="e">
        <f t="shared" ca="1" si="886"/>
        <v>#DIV/0!</v>
      </c>
      <c r="AI94" s="53">
        <f t="shared" ref="AI94:BN94" si="888">(AI76-AI75)/AI93</f>
        <v>3.7428165680473375</v>
      </c>
      <c r="AJ94" s="53">
        <f t="shared" si="888"/>
        <v>3.6444733727810661</v>
      </c>
      <c r="AK94" s="53">
        <f t="shared" si="888"/>
        <v>3.8166627218934916</v>
      </c>
      <c r="AL94" s="53">
        <f t="shared" si="888"/>
        <v>5.1676686390532547</v>
      </c>
      <c r="AM94" s="53">
        <f t="shared" si="888"/>
        <v>3.9312899408284023</v>
      </c>
      <c r="AN94" s="53">
        <f t="shared" si="888"/>
        <v>4.0269822485207092</v>
      </c>
      <c r="AO94" s="53">
        <f t="shared" si="888"/>
        <v>4.0774437869822489</v>
      </c>
      <c r="AP94" s="53">
        <f t="shared" si="888"/>
        <v>4.4525443786982253</v>
      </c>
      <c r="AQ94" s="53">
        <f t="shared" si="888"/>
        <v>3.8288047337278113</v>
      </c>
      <c r="AR94" s="53">
        <f t="shared" si="888"/>
        <v>5.1747455621301777</v>
      </c>
      <c r="AS94" s="53">
        <f t="shared" si="888"/>
        <v>5.6316449704142011</v>
      </c>
      <c r="AT94" s="53">
        <f t="shared" si="888"/>
        <v>4.7917159763313606</v>
      </c>
      <c r="AU94" s="53">
        <f t="shared" si="888"/>
        <v>4.6085680473372772</v>
      </c>
      <c r="AV94" s="53">
        <f t="shared" si="888"/>
        <v>5.3737041420118352</v>
      </c>
      <c r="AW94" s="53">
        <f t="shared" si="888"/>
        <v>4.355810650887574</v>
      </c>
      <c r="AX94" s="53">
        <f t="shared" si="888"/>
        <v>5.083147928994082</v>
      </c>
      <c r="AY94" s="53">
        <f t="shared" si="888"/>
        <v>2.4544378698224851</v>
      </c>
      <c r="AZ94" s="53">
        <f t="shared" si="888"/>
        <v>4.5017751479289938</v>
      </c>
      <c r="BA94" s="53">
        <f t="shared" si="888"/>
        <v>5.4911242603550292</v>
      </c>
      <c r="BB94" s="53">
        <f t="shared" si="888"/>
        <v>7.2355029585798816</v>
      </c>
      <c r="BC94" s="53">
        <f t="shared" si="888"/>
        <v>4.4710059171597631</v>
      </c>
      <c r="BD94" s="53">
        <f t="shared" si="888"/>
        <v>5.4272189349112425</v>
      </c>
      <c r="BE94" s="53">
        <f t="shared" si="888"/>
        <v>5.4390532544378702</v>
      </c>
      <c r="BF94" s="53">
        <f t="shared" si="888"/>
        <v>6.0497041420118345</v>
      </c>
      <c r="BG94" s="53">
        <f t="shared" si="888"/>
        <v>4.5396449704142015</v>
      </c>
      <c r="BH94" s="53">
        <f t="shared" si="888"/>
        <v>4.2958579881656807</v>
      </c>
      <c r="BI94" s="53">
        <f t="shared" si="888"/>
        <v>5.2331360946745562</v>
      </c>
      <c r="BJ94" s="53">
        <f t="shared" si="888"/>
        <v>4.7621301775147931</v>
      </c>
      <c r="BK94" s="53">
        <f t="shared" si="888"/>
        <v>4.1775147928994079</v>
      </c>
      <c r="BL94" s="53">
        <f t="shared" si="888"/>
        <v>4.9254437869822487</v>
      </c>
      <c r="BM94" s="53">
        <f t="shared" si="888"/>
        <v>3.834319526627219</v>
      </c>
      <c r="BN94" s="53">
        <f t="shared" si="888"/>
        <v>3.1692307692307691</v>
      </c>
      <c r="BO94" s="53">
        <f t="shared" ref="BO94:CT94" si="889">(BO76-BO75)/BO93</f>
        <v>3.2165680473372782</v>
      </c>
      <c r="BP94" s="53">
        <f t="shared" si="889"/>
        <v>4.5917159763313613</v>
      </c>
      <c r="BQ94" s="53">
        <f t="shared" si="889"/>
        <v>5.2071005917159763</v>
      </c>
      <c r="BR94" s="53">
        <f t="shared" si="889"/>
        <v>5.8721893491124257</v>
      </c>
      <c r="BS94" s="53">
        <f t="shared" si="889"/>
        <v>5.0106508875739646</v>
      </c>
      <c r="BT94" s="53">
        <f t="shared" si="889"/>
        <v>4.7739644970414199</v>
      </c>
      <c r="BU94" s="53">
        <f t="shared" si="889"/>
        <v>6.3928994082840234</v>
      </c>
      <c r="BV94" s="53">
        <f t="shared" si="889"/>
        <v>6.9301775147928995</v>
      </c>
      <c r="BW94" s="53">
        <f t="shared" si="889"/>
        <v>7.3183431952662721</v>
      </c>
      <c r="BX94" s="53">
        <f t="shared" si="889"/>
        <v>6.3431952662721898</v>
      </c>
      <c r="BY94" s="53">
        <f t="shared" si="889"/>
        <v>5.1029585798816566</v>
      </c>
      <c r="BZ94" s="53">
        <f t="shared" si="889"/>
        <v>6.1136094674556212</v>
      </c>
      <c r="CA94" s="53">
        <f t="shared" si="889"/>
        <v>4.6485207100591719</v>
      </c>
      <c r="CB94" s="53">
        <f t="shared" si="889"/>
        <v>4.092307692307692</v>
      </c>
      <c r="CC94" s="53">
        <f t="shared" si="889"/>
        <v>4.8</v>
      </c>
      <c r="CD94" s="53">
        <f t="shared" si="889"/>
        <v>4.8236686390532544</v>
      </c>
      <c r="CE94" s="53">
        <f t="shared" si="889"/>
        <v>5.550295857988166</v>
      </c>
      <c r="CF94" s="53">
        <f t="shared" si="889"/>
        <v>5.7041420118343193</v>
      </c>
      <c r="CG94" s="53">
        <f t="shared" si="889"/>
        <v>6.3384615384615381</v>
      </c>
      <c r="CH94" s="53">
        <f t="shared" si="889"/>
        <v>7.1076923076923073</v>
      </c>
      <c r="CI94" s="53">
        <f t="shared" si="889"/>
        <v>5.2875739644970414</v>
      </c>
      <c r="CJ94" s="53">
        <f t="shared" si="889"/>
        <v>6.2698224852071007</v>
      </c>
      <c r="CK94" s="53">
        <f t="shared" ref="CK94:CL94" si="890">(CK76-CK75)/CK93</f>
        <v>9.2094674556213025</v>
      </c>
      <c r="CL94" s="53">
        <f t="shared" si="890"/>
        <v>11.912426035502959</v>
      </c>
      <c r="CM94" s="54">
        <f t="shared" si="889"/>
        <v>9.7563038085553959</v>
      </c>
      <c r="CN94" s="54">
        <f t="shared" si="889"/>
        <v>10.265052528489473</v>
      </c>
      <c r="CO94" s="54">
        <f t="shared" si="889"/>
        <v>10.922944675242283</v>
      </c>
      <c r="CP94" s="54">
        <f t="shared" si="889"/>
        <v>11.003101510456904</v>
      </c>
      <c r="CQ94" s="54">
        <f t="shared" si="889"/>
        <v>9.7655717374235138</v>
      </c>
      <c r="CR94" s="54">
        <f t="shared" si="889"/>
        <v>10.295799073287418</v>
      </c>
      <c r="CS94" s="54">
        <f t="shared" si="889"/>
        <v>11.151550030324287</v>
      </c>
      <c r="CT94" s="54">
        <f t="shared" si="889"/>
        <v>11.554701237454585</v>
      </c>
      <c r="CU94" s="54">
        <f t="shared" ref="CU94:DB94" si="891">(CU76-CU75)/CU93</f>
        <v>9.3722817935093961</v>
      </c>
      <c r="CV94" s="54">
        <f t="shared" si="891"/>
        <v>10.115508003211268</v>
      </c>
      <c r="CW94" s="54">
        <f t="shared" si="891"/>
        <v>11.170375705715555</v>
      </c>
      <c r="CX94" s="54">
        <f t="shared" si="891"/>
        <v>11.730461726824437</v>
      </c>
      <c r="CY94" s="54">
        <f t="shared" si="891"/>
        <v>10.119598528967833</v>
      </c>
      <c r="CZ94" s="54">
        <f t="shared" si="891"/>
        <v>10.794438770753944</v>
      </c>
      <c r="DA94" s="54">
        <f t="shared" si="891"/>
        <v>11.79004652052828</v>
      </c>
      <c r="DB94" s="54">
        <f t="shared" si="891"/>
        <v>12.3193554752803</v>
      </c>
      <c r="DE94" s="132"/>
      <c r="DF94" s="53">
        <v>10.474537906931435</v>
      </c>
    </row>
    <row r="95" spans="1:110" s="3" customFormat="1" x14ac:dyDescent="0.2">
      <c r="A95" s="3" t="s">
        <v>31</v>
      </c>
      <c r="B95" s="3">
        <f>'Annual Raw'!C110</f>
        <v>0.125</v>
      </c>
      <c r="C95" s="3">
        <f>'Annual Raw'!D110</f>
        <v>0.05</v>
      </c>
      <c r="D95" s="3">
        <f>'Annual Raw'!E110</f>
        <v>0.08</v>
      </c>
      <c r="E95" s="3">
        <f>'Annual Raw'!F110</f>
        <v>0.14000000000000001</v>
      </c>
      <c r="F95" s="3">
        <f>'Annual Raw'!G110</f>
        <v>0.17499999999999999</v>
      </c>
      <c r="G95" s="3">
        <f>'Annual Raw'!H110</f>
        <v>0.25</v>
      </c>
      <c r="H95" s="3">
        <f>'Annual Raw'!I110</f>
        <v>0.5</v>
      </c>
      <c r="I95" s="3">
        <f>'Annual Raw'!J110</f>
        <v>0.5</v>
      </c>
      <c r="J95" s="3">
        <f>'Annual Raw'!K110</f>
        <v>0.4</v>
      </c>
      <c r="K95" s="3">
        <f>'Annual Raw'!L110</f>
        <v>0.6</v>
      </c>
      <c r="L95" s="3">
        <f>'Annual Raw'!M110</f>
        <v>1</v>
      </c>
      <c r="M95" s="3">
        <f>'Annual Raw'!N110</f>
        <v>2.4</v>
      </c>
      <c r="N95" s="3">
        <f>'Annual Raw'!O110</f>
        <v>3.1</v>
      </c>
      <c r="O95" s="3">
        <f>'Annual Raw'!P110</f>
        <v>3.5</v>
      </c>
      <c r="P95" s="3">
        <f>'Annual Raw'!Q110</f>
        <v>4.4000000000000004</v>
      </c>
      <c r="Q95" s="3">
        <f>'Annual Raw'!R110</f>
        <v>27.8</v>
      </c>
      <c r="R95" s="3">
        <f>'Annual Raw'!S110</f>
        <v>29.4</v>
      </c>
      <c r="S95" s="3">
        <f>'Annual Raw'!T110</f>
        <v>8</v>
      </c>
      <c r="T95" s="3">
        <f>'Annual Raw'!U110</f>
        <v>20</v>
      </c>
      <c r="U95" s="3">
        <f>'Annual Raw'!V110</f>
        <v>16.5</v>
      </c>
      <c r="V95" s="3">
        <f>'Annual Raw'!W110</f>
        <v>21.3</v>
      </c>
      <c r="W95" s="3">
        <f>'Annual Raw'!X110</f>
        <v>18</v>
      </c>
      <c r="X95" s="3">
        <f>'Annual Raw'!Y110</f>
        <v>75.5</v>
      </c>
      <c r="Y95" s="3">
        <f>'Annual Raw'!Z110</f>
        <v>13</v>
      </c>
      <c r="Z95" s="3">
        <f>'Annual Raw'!AA110</f>
        <v>29</v>
      </c>
      <c r="AA95" s="3">
        <f>'Annual Raw'!AB110</f>
        <v>10</v>
      </c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3" customFormat="1" x14ac:dyDescent="0.2">
      <c r="A96" s="3" t="s">
        <v>32</v>
      </c>
      <c r="B96" s="3">
        <f>B95/B94</f>
        <v>3.1211747259039871E-2</v>
      </c>
      <c r="C96" s="3">
        <f t="shared" ref="C96:U96" si="892">C95/C94</f>
        <v>3.1085443550167048E-2</v>
      </c>
      <c r="D96" s="3">
        <f t="shared" si="892"/>
        <v>2.3779165963194331E-2</v>
      </c>
      <c r="E96" s="3" t="e">
        <f t="shared" ca="1" si="892"/>
        <v>#DIV/0!</v>
      </c>
      <c r="F96" s="3" t="e">
        <f t="shared" ca="1" si="892"/>
        <v>#DIV/0!</v>
      </c>
      <c r="G96" s="3" t="e">
        <f t="shared" ca="1" si="892"/>
        <v>#DIV/0!</v>
      </c>
      <c r="H96" s="3" t="e">
        <f t="shared" ca="1" si="892"/>
        <v>#DIV/0!</v>
      </c>
      <c r="I96" s="3" t="e">
        <f t="shared" ca="1" si="892"/>
        <v>#DIV/0!</v>
      </c>
      <c r="J96" s="3" t="e">
        <f t="shared" ca="1" si="892"/>
        <v>#DIV/0!</v>
      </c>
      <c r="K96" s="3" t="e">
        <f t="shared" ca="1" si="892"/>
        <v>#DIV/0!</v>
      </c>
      <c r="L96" s="3" t="e">
        <f t="shared" ca="1" si="892"/>
        <v>#DIV/0!</v>
      </c>
      <c r="M96" s="3" t="e">
        <f t="shared" ca="1" si="892"/>
        <v>#DIV/0!</v>
      </c>
      <c r="N96" s="3" t="e">
        <f t="shared" ca="1" si="892"/>
        <v>#DIV/0!</v>
      </c>
      <c r="O96" s="3" t="e">
        <f t="shared" ca="1" si="892"/>
        <v>#DIV/0!</v>
      </c>
      <c r="P96" s="3" t="e">
        <f t="shared" ca="1" si="892"/>
        <v>#DIV/0!</v>
      </c>
      <c r="Q96" s="3" t="e">
        <f t="shared" ca="1" si="892"/>
        <v>#DIV/0!</v>
      </c>
      <c r="R96" s="3" t="e">
        <f t="shared" ca="1" si="892"/>
        <v>#DIV/0!</v>
      </c>
      <c r="S96" s="3" t="e">
        <f t="shared" ca="1" si="892"/>
        <v>#DIV/0!</v>
      </c>
      <c r="T96" s="3" t="e">
        <f t="shared" ca="1" si="892"/>
        <v>#DIV/0!</v>
      </c>
      <c r="U96" s="3" t="e">
        <f t="shared" ca="1" si="892"/>
        <v>#DIV/0!</v>
      </c>
      <c r="V96" s="3" t="e">
        <f ca="1">V95/V94</f>
        <v>#DIV/0!</v>
      </c>
      <c r="W96" s="3" t="e">
        <f t="shared" ref="W96" ca="1" si="893">W95/W94</f>
        <v>#DIV/0!</v>
      </c>
      <c r="X96" s="3" t="e">
        <f t="shared" ref="X96:Y96" ca="1" si="894">X95/X94</f>
        <v>#DIV/0!</v>
      </c>
      <c r="Y96" s="3" t="e">
        <f t="shared" ca="1" si="894"/>
        <v>#DIV/0!</v>
      </c>
      <c r="Z96" s="3" t="e">
        <f t="shared" ref="Z96:AA96" ca="1" si="895">Z95/Z94</f>
        <v>#DIV/0!</v>
      </c>
      <c r="AA96" s="3" t="e">
        <f t="shared" ca="1" si="895"/>
        <v>#DIV/0!</v>
      </c>
      <c r="AB96" s="37" t="e">
        <f t="shared" ref="AA96:AD96" ca="1" si="896">AB95/AB94</f>
        <v>#DIV/0!</v>
      </c>
      <c r="AC96" s="37" t="e">
        <f t="shared" ca="1" si="896"/>
        <v>#DIV/0!</v>
      </c>
      <c r="AD96" s="37" t="e">
        <f t="shared" ca="1" si="896"/>
        <v>#DIV/0!</v>
      </c>
      <c r="AE96" s="37" t="e">
        <f t="shared" ref="AE96" ca="1" si="897">AE95/AE94</f>
        <v>#DIV/0!</v>
      </c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  <c r="DF96" s="3">
        <v>0</v>
      </c>
    </row>
    <row r="97" spans="1:110" s="3" customFormat="1" x14ac:dyDescent="0.2">
      <c r="A97" s="3" t="s">
        <v>33</v>
      </c>
      <c r="B97" s="3">
        <f>+B94</f>
        <v>4.0049023517514293</v>
      </c>
      <c r="C97" s="3">
        <f t="shared" ref="C97:U97" si="898">+C94</f>
        <v>1.6084698910378363</v>
      </c>
      <c r="D97" s="3">
        <f t="shared" si="898"/>
        <v>3.364289568600721</v>
      </c>
      <c r="E97" s="3" t="e">
        <f t="shared" ca="1" si="898"/>
        <v>#DIV/0!</v>
      </c>
      <c r="F97" s="3" t="e">
        <f t="shared" ca="1" si="898"/>
        <v>#DIV/0!</v>
      </c>
      <c r="G97" s="3" t="e">
        <f t="shared" ca="1" si="898"/>
        <v>#DIV/0!</v>
      </c>
      <c r="H97" s="3" t="e">
        <f t="shared" ca="1" si="898"/>
        <v>#DIV/0!</v>
      </c>
      <c r="I97" s="3" t="e">
        <f t="shared" ca="1" si="898"/>
        <v>#DIV/0!</v>
      </c>
      <c r="J97" s="3" t="e">
        <f t="shared" ca="1" si="898"/>
        <v>#DIV/0!</v>
      </c>
      <c r="K97" s="3" t="e">
        <f t="shared" ca="1" si="898"/>
        <v>#DIV/0!</v>
      </c>
      <c r="L97" s="3" t="e">
        <f t="shared" ca="1" si="898"/>
        <v>#DIV/0!</v>
      </c>
      <c r="M97" s="3" t="e">
        <f t="shared" ca="1" si="898"/>
        <v>#DIV/0!</v>
      </c>
      <c r="N97" s="3" t="e">
        <f t="shared" ca="1" si="898"/>
        <v>#DIV/0!</v>
      </c>
      <c r="O97" s="3" t="e">
        <f t="shared" ca="1" si="898"/>
        <v>#DIV/0!</v>
      </c>
      <c r="P97" s="3" t="e">
        <f t="shared" ca="1" si="898"/>
        <v>#DIV/0!</v>
      </c>
      <c r="Q97" s="3" t="e">
        <f t="shared" ca="1" si="898"/>
        <v>#DIV/0!</v>
      </c>
      <c r="R97" s="3" t="e">
        <f t="shared" ca="1" si="898"/>
        <v>#DIV/0!</v>
      </c>
      <c r="S97" s="3" t="e">
        <f t="shared" ca="1" si="898"/>
        <v>#DIV/0!</v>
      </c>
      <c r="T97" s="3" t="e">
        <f ca="1">+T94</f>
        <v>#DIV/0!</v>
      </c>
      <c r="U97" s="3" t="e">
        <f t="shared" ca="1" si="898"/>
        <v>#DIV/0!</v>
      </c>
      <c r="V97" s="3" t="e">
        <f ca="1">+V94</f>
        <v>#DIV/0!</v>
      </c>
      <c r="W97" s="3" t="e">
        <f t="shared" ref="W97" ca="1" si="899">+W94</f>
        <v>#DIV/0!</v>
      </c>
      <c r="X97" s="3" t="e">
        <f t="shared" ref="X97:Y97" ca="1" si="900">+X94</f>
        <v>#DIV/0!</v>
      </c>
      <c r="Y97" s="3" t="e">
        <f t="shared" ca="1" si="900"/>
        <v>#DIV/0!</v>
      </c>
      <c r="Z97" s="3" t="e">
        <f t="shared" ref="Z97:AA97" ca="1" si="901">+Z94</f>
        <v>#DIV/0!</v>
      </c>
      <c r="AA97" s="3" t="e">
        <f t="shared" ca="1" si="901"/>
        <v>#DIV/0!</v>
      </c>
      <c r="AB97" s="37" t="e">
        <f t="shared" ref="AA97:AD97" ca="1" si="902">+AB94</f>
        <v>#DIV/0!</v>
      </c>
      <c r="AC97" s="37" t="e">
        <f t="shared" ca="1" si="902"/>
        <v>#DIV/0!</v>
      </c>
      <c r="AD97" s="37" t="e">
        <f t="shared" ca="1" si="902"/>
        <v>#DIV/0!</v>
      </c>
      <c r="AE97" s="37" t="e">
        <f t="shared" ref="AE97" ca="1" si="903">+AE94</f>
        <v>#DIV/0!</v>
      </c>
      <c r="AL97" s="3">
        <f>SUM(AI94:AL94)</f>
        <v>16.37162130177515</v>
      </c>
      <c r="AM97" s="3">
        <f t="shared" ref="AM97" si="904">SUM(AJ94:AM94)</f>
        <v>16.560094674556215</v>
      </c>
      <c r="AN97" s="3">
        <f t="shared" ref="AN97" si="905">SUM(AK94:AN94)</f>
        <v>16.942603550295861</v>
      </c>
      <c r="AO97" s="3">
        <f t="shared" ref="AO97" si="906">SUM(AL94:AO94)</f>
        <v>17.203384615384614</v>
      </c>
      <c r="AP97" s="3">
        <f t="shared" ref="AP97" si="907">SUM(AM94:AP94)</f>
        <v>16.488260355029585</v>
      </c>
      <c r="AQ97" s="3">
        <f t="shared" ref="AQ97" si="908">SUM(AN94:AQ94)</f>
        <v>16.385775147928992</v>
      </c>
      <c r="AR97" s="3">
        <f t="shared" ref="AR97" si="909">SUM(AO94:AR94)</f>
        <v>17.533538461538463</v>
      </c>
      <c r="AS97" s="3">
        <f t="shared" ref="AS97" si="910">SUM(AP94:AS94)</f>
        <v>19.087739644970416</v>
      </c>
      <c r="AT97" s="3">
        <f t="shared" ref="AT97" si="911">SUM(AQ94:AT94)</f>
        <v>19.426911242603552</v>
      </c>
      <c r="AU97" s="3">
        <f t="shared" ref="AU97" si="912">SUM(AR94:AU94)</f>
        <v>20.206674556213017</v>
      </c>
      <c r="AV97" s="3">
        <f t="shared" ref="AV97" si="913">SUM(AS94:AV94)</f>
        <v>20.405633136094671</v>
      </c>
      <c r="AW97" s="3">
        <f t="shared" ref="AW97" si="914">SUM(AT94:AW94)</f>
        <v>19.129798816568048</v>
      </c>
      <c r="AX97" s="3">
        <f t="shared" ref="AX97" si="915">SUM(AU94:AX94)</f>
        <v>19.421230769230768</v>
      </c>
      <c r="AY97" s="3">
        <f t="shared" ref="AY97" si="916">SUM(AV94:AY94)</f>
        <v>17.267100591715977</v>
      </c>
      <c r="AZ97" s="3">
        <f t="shared" ref="AZ97" si="917">SUM(AW94:AZ94)</f>
        <v>16.395171597633137</v>
      </c>
      <c r="BA97" s="3">
        <f t="shared" ref="BA97" si="918">SUM(AX94:BA94)</f>
        <v>17.53048520710059</v>
      </c>
      <c r="BB97" s="3">
        <f t="shared" ref="BB97" si="919">SUM(AY94:BB94)</f>
        <v>19.682840236686388</v>
      </c>
      <c r="BC97" s="3">
        <f t="shared" ref="BC97" si="920">SUM(AZ94:BC94)</f>
        <v>21.699408284023669</v>
      </c>
      <c r="BD97" s="3">
        <f t="shared" ref="BD97" si="921">SUM(BA94:BD94)</f>
        <v>22.624852071005915</v>
      </c>
      <c r="BE97" s="3">
        <f t="shared" ref="BE97" si="922">SUM(BB94:BE94)</f>
        <v>22.572781065088755</v>
      </c>
      <c r="BF97" s="3">
        <f t="shared" ref="BF97" si="923">SUM(BC94:BF94)</f>
        <v>21.38698224852071</v>
      </c>
      <c r="BG97" s="3">
        <f t="shared" ref="BG97" si="924">SUM(BD94:BG94)</f>
        <v>21.45562130177515</v>
      </c>
      <c r="BH97" s="3">
        <f t="shared" ref="BH97" si="925">SUM(BE94:BH94)</f>
        <v>20.324260355029587</v>
      </c>
      <c r="BI97" s="3">
        <f t="shared" ref="BI97" si="926">SUM(BF94:BI94)</f>
        <v>20.11834319526627</v>
      </c>
      <c r="BJ97" s="3">
        <f t="shared" ref="BJ97" si="927">SUM(BG94:BJ94)</f>
        <v>18.830769230769231</v>
      </c>
      <c r="BK97" s="3">
        <f t="shared" ref="BK97" si="928">SUM(BH94:BK94)</f>
        <v>18.468639053254439</v>
      </c>
      <c r="BL97" s="3">
        <f t="shared" ref="BL97" si="929">SUM(BI94:BL94)</f>
        <v>19.098224852071006</v>
      </c>
      <c r="BM97" s="3">
        <f t="shared" ref="BM97" si="930">SUM(BJ94:BM94)</f>
        <v>17.699408284023669</v>
      </c>
      <c r="BN97" s="3">
        <f t="shared" ref="BN97" si="931">SUM(BK94:BN94)</f>
        <v>16.106508875739646</v>
      </c>
      <c r="BO97" s="3">
        <f t="shared" ref="BO97" si="932">SUM(BL94:BO94)</f>
        <v>15.145562130177515</v>
      </c>
      <c r="BP97" s="3">
        <f t="shared" ref="BP97" si="933">SUM(BM94:BP94)</f>
        <v>14.811834319526627</v>
      </c>
      <c r="BQ97" s="3">
        <f t="shared" ref="BQ97" si="934">SUM(BN94:BQ94)</f>
        <v>16.184615384615384</v>
      </c>
      <c r="BR97" s="3">
        <f t="shared" ref="BR97" si="935">SUM(BO94:BR94)</f>
        <v>18.88757396449704</v>
      </c>
      <c r="BS97" s="3">
        <f t="shared" ref="BS97" si="936">SUM(BP94:BS94)</f>
        <v>20.681656804733727</v>
      </c>
      <c r="BT97" s="3">
        <f t="shared" ref="BT97" si="937">SUM(BQ94:BT94)</f>
        <v>20.863905325443788</v>
      </c>
      <c r="BU97" s="3">
        <f t="shared" ref="BU97" si="938">SUM(BR94:BU94)</f>
        <v>22.049704142011834</v>
      </c>
      <c r="BV97" s="3">
        <f t="shared" ref="BV97" si="939">SUM(BS94:BV94)</f>
        <v>23.107692307692307</v>
      </c>
      <c r="BW97" s="3">
        <f t="shared" ref="BW97" si="940">SUM(BT94:BW94)</f>
        <v>25.415384615384614</v>
      </c>
      <c r="BX97" s="3">
        <f t="shared" ref="BX97" si="941">SUM(BU94:BX94)</f>
        <v>26.984615384615385</v>
      </c>
      <c r="BY97" s="3">
        <f t="shared" ref="BY97" si="942">SUM(BV94:BY94)</f>
        <v>25.694674556213016</v>
      </c>
      <c r="BZ97" s="3">
        <f t="shared" ref="BZ97" si="943">SUM(BW94:BZ94)</f>
        <v>24.878106508875742</v>
      </c>
      <c r="CA97" s="3">
        <f t="shared" ref="CA97" si="944">SUM(BX94:CA94)</f>
        <v>22.208284023668639</v>
      </c>
      <c r="CB97" s="3">
        <f t="shared" ref="CB97" si="945">SUM(BY94:CB94)</f>
        <v>19.957396449704142</v>
      </c>
      <c r="CC97" s="3">
        <f t="shared" ref="CC97" si="946">SUM(BZ94:CC94)</f>
        <v>19.654437869822484</v>
      </c>
      <c r="CD97" s="3">
        <f t="shared" ref="CD97" si="947">SUM(CA94:CD94)</f>
        <v>18.364497041420115</v>
      </c>
      <c r="CE97" s="3">
        <f t="shared" ref="CE97" si="948">SUM(CB94:CE94)</f>
        <v>19.266272189349113</v>
      </c>
      <c r="CF97" s="3">
        <f t="shared" ref="CF97" si="949">SUM(CC94:CF94)</f>
        <v>20.878106508875739</v>
      </c>
      <c r="CG97" s="3">
        <f t="shared" ref="CG97" si="950">SUM(CD94:CG94)</f>
        <v>22.416568047337279</v>
      </c>
      <c r="CH97" s="3">
        <f t="shared" ref="CH97:CL97" si="951">SUM(CE94:CH94)</f>
        <v>24.70059171597633</v>
      </c>
      <c r="CI97" s="3">
        <f t="shared" si="951"/>
        <v>24.437869822485208</v>
      </c>
      <c r="CJ97" s="3">
        <f t="shared" si="951"/>
        <v>25.003550295857988</v>
      </c>
      <c r="CK97" s="3">
        <f t="shared" si="951"/>
        <v>27.874556213017755</v>
      </c>
      <c r="CL97" s="3">
        <f t="shared" si="951"/>
        <v>32.679289940828404</v>
      </c>
      <c r="CM97" s="37">
        <f t="shared" ref="CM97" si="952">SUM(CJ94:CM94)</f>
        <v>37.148019784886756</v>
      </c>
      <c r="CN97" s="37">
        <f t="shared" ref="CN97" si="953">SUM(CK94:CN94)</f>
        <v>41.143249828169132</v>
      </c>
      <c r="CO97" s="37">
        <f t="shared" ref="CO97" si="954">SUM(CL94:CO94)</f>
        <v>42.856727047790109</v>
      </c>
      <c r="CP97" s="37">
        <f t="shared" ref="CP97" si="955">SUM(CM94:CP94)</f>
        <v>41.947402522744056</v>
      </c>
      <c r="CQ97" s="37">
        <f t="shared" ref="CQ97" si="956">SUM(CN94:CQ94)</f>
        <v>41.956670451612169</v>
      </c>
      <c r="CR97" s="37">
        <f t="shared" ref="CR97" si="957">SUM(CO94:CR94)</f>
        <v>41.987416996410118</v>
      </c>
      <c r="CS97" s="37">
        <f t="shared" ref="CS97" si="958">SUM(CP94:CS94)</f>
        <v>42.216022351492121</v>
      </c>
      <c r="CT97" s="37">
        <f t="shared" ref="CT97" si="959">SUM(CQ94:CT94)</f>
        <v>42.767622078489808</v>
      </c>
      <c r="CU97" s="37">
        <f t="shared" ref="CU97" si="960">SUM(CR94:CU94)</f>
        <v>42.374332134575688</v>
      </c>
      <c r="CV97" s="37">
        <f t="shared" ref="CV97" si="961">SUM(CS94:CV94)</f>
        <v>42.194041064499537</v>
      </c>
      <c r="CW97" s="37">
        <f t="shared" ref="CW97" si="962">SUM(CT94:CW94)</f>
        <v>42.212866739890806</v>
      </c>
      <c r="CX97" s="37">
        <f t="shared" ref="CX97" si="963">SUM(CU94:CX94)</f>
        <v>42.388627229260656</v>
      </c>
      <c r="CY97" s="37">
        <f t="shared" ref="CY97" si="964">SUM(CV94:CY94)</f>
        <v>43.135943964719097</v>
      </c>
      <c r="CZ97" s="37">
        <f t="shared" ref="CZ97" si="965">SUM(CW94:CZ94)</f>
        <v>43.814874732261771</v>
      </c>
      <c r="DA97" s="37">
        <f t="shared" ref="DA97" si="966">SUM(CX94:DA94)</f>
        <v>44.434545547074492</v>
      </c>
      <c r="DB97" s="37">
        <f t="shared" ref="DB97" si="967">SUM(CY94:DB94)</f>
        <v>45.023439295530352</v>
      </c>
      <c r="DE97" s="134"/>
      <c r="DF97" s="3">
        <v>31.241401812256878</v>
      </c>
    </row>
    <row r="98" spans="1:110" s="97" customFormat="1" x14ac:dyDescent="0.2">
      <c r="A98" s="97" t="s">
        <v>425</v>
      </c>
      <c r="C98" s="101">
        <f t="shared" ref="C98:AA98" si="968">+C97/B97-1</f>
        <v>-0.59837475429721332</v>
      </c>
      <c r="D98" s="101">
        <f t="shared" si="968"/>
        <v>1.0916086694230711</v>
      </c>
      <c r="E98" s="101" t="e">
        <f t="shared" ca="1" si="968"/>
        <v>#DIV/0!</v>
      </c>
      <c r="F98" s="101" t="e">
        <f t="shared" ca="1" si="968"/>
        <v>#DIV/0!</v>
      </c>
      <c r="G98" s="101" t="e">
        <f t="shared" ca="1" si="968"/>
        <v>#DIV/0!</v>
      </c>
      <c r="H98" s="101" t="e">
        <f t="shared" ca="1" si="968"/>
        <v>#DIV/0!</v>
      </c>
      <c r="I98" s="101" t="e">
        <f t="shared" ca="1" si="968"/>
        <v>#DIV/0!</v>
      </c>
      <c r="J98" s="101" t="e">
        <f t="shared" ca="1" si="968"/>
        <v>#DIV/0!</v>
      </c>
      <c r="K98" s="101" t="e">
        <f t="shared" ca="1" si="968"/>
        <v>#DIV/0!</v>
      </c>
      <c r="L98" s="101" t="e">
        <f t="shared" ca="1" si="968"/>
        <v>#DIV/0!</v>
      </c>
      <c r="M98" s="101" t="e">
        <f t="shared" ca="1" si="968"/>
        <v>#DIV/0!</v>
      </c>
      <c r="N98" s="101" t="e">
        <f t="shared" ca="1" si="968"/>
        <v>#DIV/0!</v>
      </c>
      <c r="O98" s="101" t="e">
        <f t="shared" ca="1" si="968"/>
        <v>#DIV/0!</v>
      </c>
      <c r="P98" s="101" t="e">
        <f t="shared" ca="1" si="968"/>
        <v>#DIV/0!</v>
      </c>
      <c r="Q98" s="101" t="e">
        <f t="shared" ca="1" si="968"/>
        <v>#DIV/0!</v>
      </c>
      <c r="R98" s="101" t="e">
        <f t="shared" ca="1" si="968"/>
        <v>#DIV/0!</v>
      </c>
      <c r="S98" s="101" t="e">
        <f t="shared" ca="1" si="968"/>
        <v>#DIV/0!</v>
      </c>
      <c r="T98" s="101" t="e">
        <f t="shared" ca="1" si="968"/>
        <v>#DIV/0!</v>
      </c>
      <c r="U98" s="101" t="e">
        <f t="shared" ca="1" si="968"/>
        <v>#DIV/0!</v>
      </c>
      <c r="V98" s="101" t="e">
        <f t="shared" ca="1" si="968"/>
        <v>#DIV/0!</v>
      </c>
      <c r="W98" s="101" t="e">
        <f t="shared" ca="1" si="968"/>
        <v>#DIV/0!</v>
      </c>
      <c r="X98" s="101" t="e">
        <f t="shared" ca="1" si="968"/>
        <v>#DIV/0!</v>
      </c>
      <c r="Y98" s="101" t="e">
        <f t="shared" ca="1" si="968"/>
        <v>#DIV/0!</v>
      </c>
      <c r="Z98" s="101" t="e">
        <f t="shared" ca="1" si="968"/>
        <v>#DIV/0!</v>
      </c>
      <c r="AA98" s="101" t="e">
        <f t="shared" ca="1" si="968"/>
        <v>#DIV/0!</v>
      </c>
      <c r="AB98" s="174" t="e">
        <f t="shared" ref="AB98" ca="1" si="969">+AB97/AA97-1</f>
        <v>#DIV/0!</v>
      </c>
      <c r="AC98" s="174" t="e">
        <f t="shared" ref="AC98" ca="1" si="970">+AC97/AB97-1</f>
        <v>#DIV/0!</v>
      </c>
      <c r="AD98" s="174" t="e">
        <f t="shared" ref="AD98" ca="1" si="971">+AD97/AC97-1</f>
        <v>#DIV/0!</v>
      </c>
      <c r="AE98" s="174" t="e">
        <f t="shared" ref="AE98" ca="1" si="972">+AE97/AD97-1</f>
        <v>#DIV/0!</v>
      </c>
      <c r="AL98" s="176"/>
      <c r="AM98" s="176"/>
      <c r="AN98" s="176"/>
      <c r="AO98" s="176"/>
      <c r="AP98" s="176">
        <f t="shared" ref="AP98:CL98" si="973">+IF(AL97&lt;0,1-AP97/AL97,AP97/AL97-1)</f>
        <v>7.1244656289348729E-3</v>
      </c>
      <c r="AQ98" s="176">
        <f t="shared" si="973"/>
        <v>-1.0526481282444378E-2</v>
      </c>
      <c r="AR98" s="176">
        <f t="shared" si="973"/>
        <v>3.4878636538260066E-2</v>
      </c>
      <c r="AS98" s="176">
        <f t="shared" si="973"/>
        <v>0.10953397088504691</v>
      </c>
      <c r="AT98" s="176">
        <f t="shared" si="973"/>
        <v>0.17822686106952212</v>
      </c>
      <c r="AU98" s="176">
        <f t="shared" si="973"/>
        <v>0.23318392775375973</v>
      </c>
      <c r="AV98" s="176">
        <f t="shared" si="973"/>
        <v>0.16380576464108665</v>
      </c>
      <c r="AW98" s="176">
        <f t="shared" si="973"/>
        <v>2.2034652808518018E-3</v>
      </c>
      <c r="AX98" s="176">
        <f t="shared" si="973"/>
        <v>-2.9240229194682499E-4</v>
      </c>
      <c r="AY98" s="176">
        <f t="shared" si="973"/>
        <v>-0.14547539508885687</v>
      </c>
      <c r="AZ98" s="176">
        <f t="shared" si="973"/>
        <v>-0.19653698131853581</v>
      </c>
      <c r="BA98" s="176">
        <f t="shared" si="973"/>
        <v>-8.3603263411338946E-2</v>
      </c>
      <c r="BB98" s="176">
        <f t="shared" si="973"/>
        <v>1.3470282628539332E-2</v>
      </c>
      <c r="BC98" s="176">
        <f t="shared" si="973"/>
        <v>0.25669090585098719</v>
      </c>
      <c r="BD98" s="176">
        <f t="shared" si="973"/>
        <v>0.37997043436081612</v>
      </c>
      <c r="BE98" s="176">
        <f t="shared" si="973"/>
        <v>0.28763013678285532</v>
      </c>
      <c r="BF98" s="176">
        <f t="shared" si="973"/>
        <v>8.6580086580086757E-2</v>
      </c>
      <c r="BG98" s="176">
        <f t="shared" si="973"/>
        <v>-1.1234729493891704E-2</v>
      </c>
      <c r="BH98" s="176">
        <f t="shared" si="973"/>
        <v>-0.1016842765979703</v>
      </c>
      <c r="BI98" s="176">
        <f t="shared" si="973"/>
        <v>-0.10873440285204994</v>
      </c>
      <c r="BJ98" s="176">
        <f t="shared" si="973"/>
        <v>-0.1195219123505975</v>
      </c>
      <c r="BK98" s="176">
        <f t="shared" si="973"/>
        <v>-0.13921676778819636</v>
      </c>
      <c r="BL98" s="176">
        <f t="shared" si="973"/>
        <v>-6.0323745196226852E-2</v>
      </c>
      <c r="BM98" s="176">
        <f t="shared" si="973"/>
        <v>-0.120235294117647</v>
      </c>
      <c r="BN98" s="176">
        <f t="shared" si="973"/>
        <v>-0.14467068878833578</v>
      </c>
      <c r="BO98" s="176">
        <f t="shared" si="973"/>
        <v>-0.17993079584775085</v>
      </c>
      <c r="BP98" s="176">
        <f t="shared" si="973"/>
        <v>-0.22443921179824022</v>
      </c>
      <c r="BQ98" s="176">
        <f t="shared" si="973"/>
        <v>-8.5584380850494801E-2</v>
      </c>
      <c r="BR98" s="176">
        <f t="shared" si="973"/>
        <v>0.17266715650257147</v>
      </c>
      <c r="BS98" s="176">
        <f t="shared" si="973"/>
        <v>0.36552586341615867</v>
      </c>
      <c r="BT98" s="176">
        <f t="shared" si="973"/>
        <v>0.40859699584531817</v>
      </c>
      <c r="BU98" s="176">
        <f t="shared" si="973"/>
        <v>0.36238666276689102</v>
      </c>
      <c r="BV98" s="176">
        <f t="shared" si="973"/>
        <v>0.22343358395989976</v>
      </c>
      <c r="BW98" s="176">
        <f t="shared" si="973"/>
        <v>0.2288853284504464</v>
      </c>
      <c r="BX98" s="176">
        <f t="shared" si="973"/>
        <v>0.29336358479863867</v>
      </c>
      <c r="BY98" s="176">
        <f t="shared" si="973"/>
        <v>0.16530699871189358</v>
      </c>
      <c r="BZ98" s="176">
        <f t="shared" si="973"/>
        <v>7.6615794325514797E-2</v>
      </c>
      <c r="CA98" s="176">
        <f t="shared" si="973"/>
        <v>-0.12618737195008378</v>
      </c>
      <c r="CB98" s="176">
        <f t="shared" si="973"/>
        <v>-0.26041575300412245</v>
      </c>
      <c r="CC98" s="176">
        <f t="shared" si="973"/>
        <v>-0.23507737656595429</v>
      </c>
      <c r="CD98" s="176">
        <f t="shared" si="973"/>
        <v>-0.26182094948149581</v>
      </c>
      <c r="CE98" s="176">
        <f t="shared" si="973"/>
        <v>-0.13247362250879247</v>
      </c>
      <c r="CF98" s="176">
        <f t="shared" si="973"/>
        <v>4.6133776091081602E-2</v>
      </c>
      <c r="CG98" s="176">
        <f t="shared" si="973"/>
        <v>0.14053468208092501</v>
      </c>
      <c r="CH98" s="176">
        <f t="shared" si="973"/>
        <v>0.34501868797525459</v>
      </c>
      <c r="CI98" s="176">
        <f t="shared" si="973"/>
        <v>0.26842751842751844</v>
      </c>
      <c r="CJ98" s="176">
        <f t="shared" si="973"/>
        <v>0.19759664437138658</v>
      </c>
      <c r="CK98" s="176">
        <f t="shared" si="973"/>
        <v>0.24348009713863372</v>
      </c>
      <c r="CL98" s="176">
        <f t="shared" si="973"/>
        <v>0.32301648141050232</v>
      </c>
      <c r="CM98" s="102">
        <f t="shared" ref="CM98:DB98" si="974">+IF(CI97&lt;0,1-CM97/CI97,CM97/CI97-1)</f>
        <v>0.52010056746873157</v>
      </c>
      <c r="CN98" s="102">
        <f t="shared" si="974"/>
        <v>0.6454963131769651</v>
      </c>
      <c r="CO98" s="102">
        <f t="shared" si="974"/>
        <v>0.53748553771684793</v>
      </c>
      <c r="CP98" s="102">
        <f t="shared" si="974"/>
        <v>0.28360813832544096</v>
      </c>
      <c r="CQ98" s="102">
        <f t="shared" si="974"/>
        <v>0.12944567959667541</v>
      </c>
      <c r="CR98" s="102">
        <f t="shared" si="974"/>
        <v>2.0517756175473911E-2</v>
      </c>
      <c r="CS98" s="102">
        <f t="shared" si="974"/>
        <v>-1.494992129435202E-2</v>
      </c>
      <c r="CT98" s="102">
        <f t="shared" si="974"/>
        <v>1.955352432849744E-2</v>
      </c>
      <c r="CU98" s="102">
        <f t="shared" si="974"/>
        <v>9.9545955021669297E-3</v>
      </c>
      <c r="CV98" s="102">
        <f t="shared" si="974"/>
        <v>4.9210950058462544E-3</v>
      </c>
      <c r="CW98" s="102">
        <f t="shared" si="974"/>
        <v>-7.4749145597907685E-5</v>
      </c>
      <c r="CX98" s="102">
        <f t="shared" si="974"/>
        <v>-8.8617236781038944E-3</v>
      </c>
      <c r="CY98" s="102">
        <f t="shared" si="974"/>
        <v>1.7973423810542233E-2</v>
      </c>
      <c r="CZ98" s="102">
        <f t="shared" si="974"/>
        <v>3.8413805050920846E-2</v>
      </c>
      <c r="DA98" s="102">
        <f t="shared" si="974"/>
        <v>5.2630370281964822E-2</v>
      </c>
      <c r="DB98" s="102">
        <f t="shared" si="974"/>
        <v>6.215846651553969E-2</v>
      </c>
      <c r="DE98" s="135"/>
      <c r="DF98" s="97">
        <v>0.26480378168632934</v>
      </c>
    </row>
    <row r="99" spans="1:110" s="144" customFormat="1" x14ac:dyDescent="0.2">
      <c r="A99" s="144" t="s">
        <v>424</v>
      </c>
      <c r="AB99" s="145"/>
      <c r="AC99" s="145"/>
      <c r="AD99" s="145"/>
      <c r="AE99" s="145"/>
      <c r="CL99" s="144">
        <v>30.8</v>
      </c>
      <c r="CM99" s="145"/>
      <c r="CN99" s="145"/>
      <c r="CO99" s="145"/>
      <c r="CP99" s="145">
        <v>39.6</v>
      </c>
      <c r="CQ99" s="145"/>
      <c r="CR99" s="145"/>
      <c r="CS99" s="145"/>
      <c r="CT99" s="145">
        <v>42.4</v>
      </c>
      <c r="CU99" s="145"/>
      <c r="CV99" s="145"/>
      <c r="CW99" s="145"/>
      <c r="CX99" s="145"/>
      <c r="CY99" s="145"/>
      <c r="CZ99" s="145"/>
      <c r="DA99" s="145"/>
      <c r="DB99" s="145"/>
      <c r="DE99" s="146"/>
      <c r="DF99" s="144">
        <v>30.8</v>
      </c>
    </row>
    <row r="100" spans="1:110" s="144" customFormat="1" x14ac:dyDescent="0.2">
      <c r="A100" s="144" t="s">
        <v>436</v>
      </c>
      <c r="AB100" s="145"/>
      <c r="AC100" s="145"/>
      <c r="AD100" s="145"/>
      <c r="AE100" s="145"/>
      <c r="CL100" s="144">
        <f>+CL97/CL99-1</f>
        <v>6.1015907169753358E-2</v>
      </c>
      <c r="CM100" s="145"/>
      <c r="CN100" s="145"/>
      <c r="CO100" s="145"/>
      <c r="CP100" s="145">
        <f>+CP97/CP99-1</f>
        <v>5.9277841483435623E-2</v>
      </c>
      <c r="CQ100" s="145"/>
      <c r="CR100" s="145"/>
      <c r="CS100" s="145"/>
      <c r="CT100" s="145">
        <f>+CT97/CT99-1</f>
        <v>8.6703320398540118E-3</v>
      </c>
      <c r="CU100" s="145"/>
      <c r="CV100" s="145"/>
      <c r="CW100" s="145"/>
      <c r="CX100" s="145"/>
      <c r="CY100" s="145"/>
      <c r="CZ100" s="145"/>
      <c r="DA100" s="145"/>
      <c r="DB100" s="145"/>
      <c r="DE100" s="146"/>
      <c r="DF100" s="144">
        <v>1.4331227670677738E-2</v>
      </c>
    </row>
    <row r="101" spans="1:110" s="3" customFormat="1" x14ac:dyDescent="0.2">
      <c r="A101" s="3" t="s">
        <v>34</v>
      </c>
      <c r="B101" s="3">
        <f>'Annual Raw'!C112</f>
        <v>75.92</v>
      </c>
      <c r="C101" s="3">
        <f>'Annual Raw'!D112</f>
        <v>0</v>
      </c>
      <c r="D101" s="3">
        <f>'Annual Raw'!E112</f>
        <v>94.75</v>
      </c>
      <c r="E101" s="3">
        <f>'Annual Raw'!F112</f>
        <v>0</v>
      </c>
      <c r="F101" s="3">
        <f>'Annual Raw'!G112</f>
        <v>0</v>
      </c>
      <c r="G101" s="3">
        <f>'Annual Raw'!H112</f>
        <v>64.92</v>
      </c>
      <c r="H101" s="3">
        <f>'Annual Raw'!I112</f>
        <v>64.92</v>
      </c>
      <c r="I101" s="3">
        <f>'Annual Raw'!J112</f>
        <v>64.92</v>
      </c>
      <c r="J101" s="3">
        <f>'Annual Raw'!K112</f>
        <v>64.92</v>
      </c>
      <c r="K101" s="3">
        <f>'Annual Raw'!L112</f>
        <v>64.92</v>
      </c>
      <c r="L101" s="3">
        <f>'Annual Raw'!M112</f>
        <v>64.92</v>
      </c>
      <c r="M101" s="3">
        <f>'Annual Raw'!N112</f>
        <v>64.92</v>
      </c>
      <c r="N101" s="3">
        <f>'Annual Raw'!O112</f>
        <v>64.92</v>
      </c>
      <c r="O101" s="3">
        <f>'Annual Raw'!P112</f>
        <v>64.92</v>
      </c>
      <c r="P101" s="3">
        <f>'Annual Raw'!Q112</f>
        <v>64.92</v>
      </c>
      <c r="Q101" s="3">
        <f>'Annual Raw'!R112</f>
        <v>64.92</v>
      </c>
      <c r="R101" s="3">
        <f>'Annual Raw'!S112</f>
        <v>64.92</v>
      </c>
      <c r="S101" s="3">
        <f>'Annual Raw'!T112</f>
        <v>64.92</v>
      </c>
      <c r="T101" s="3">
        <f>'Annual Raw'!U112</f>
        <v>64.92</v>
      </c>
      <c r="U101" s="3">
        <f>'Annual Raw'!V112</f>
        <v>64.92</v>
      </c>
      <c r="V101" s="3">
        <f>'Annual Raw'!W112</f>
        <v>64.92</v>
      </c>
      <c r="W101" s="3">
        <f>'Annual Raw'!X112</f>
        <v>64.92</v>
      </c>
      <c r="X101" s="3">
        <f>'Annual Raw'!Y112</f>
        <v>64.92</v>
      </c>
      <c r="Y101" s="3">
        <f>'Annual Raw'!Z112</f>
        <v>64.92</v>
      </c>
      <c r="Z101" s="3">
        <f>'Annual Raw'!AA112</f>
        <v>63.42</v>
      </c>
      <c r="AA101" s="3">
        <f>'Annual Raw'!AB112</f>
        <v>60.71</v>
      </c>
      <c r="AB101" s="37"/>
      <c r="AC101" s="37"/>
      <c r="AD101" s="37"/>
      <c r="AE101" s="37"/>
      <c r="AI101" s="3">
        <f>'QTR Raw'!C49</f>
        <v>64.92</v>
      </c>
      <c r="AJ101" s="3">
        <f>'QTR Raw'!D49</f>
        <v>64.92</v>
      </c>
      <c r="AK101" s="3">
        <f>'QTR Raw'!E49</f>
        <v>64.92</v>
      </c>
      <c r="AL101" s="3">
        <f>'QTR Raw'!F49</f>
        <v>64.92</v>
      </c>
      <c r="AM101" s="3">
        <f>'QTR Raw'!G49</f>
        <v>64.92</v>
      </c>
      <c r="AN101" s="3">
        <f>'QTR Raw'!H49</f>
        <v>64.92</v>
      </c>
      <c r="AO101" s="3">
        <f>'QTR Raw'!I49</f>
        <v>64.92</v>
      </c>
      <c r="AP101" s="3">
        <f>'QTR Raw'!J49</f>
        <v>64.92</v>
      </c>
      <c r="AQ101" s="3">
        <f>'QTR Raw'!K49</f>
        <v>64.92</v>
      </c>
      <c r="AR101" s="3">
        <f>'QTR Raw'!L49</f>
        <v>64.92</v>
      </c>
      <c r="AS101" s="3">
        <f>'QTR Raw'!M49</f>
        <v>64.92</v>
      </c>
      <c r="AT101" s="3">
        <f>'QTR Raw'!N49</f>
        <v>64.92</v>
      </c>
      <c r="AU101" s="3">
        <f>'QTR Raw'!O49</f>
        <v>64.92</v>
      </c>
      <c r="AV101" s="3">
        <f>'QTR Raw'!P49</f>
        <v>64.92</v>
      </c>
      <c r="AW101" s="3">
        <f>'QTR Raw'!Q49</f>
        <v>64.92</v>
      </c>
      <c r="AX101" s="3">
        <f>'QTR Raw'!R49</f>
        <v>64.92</v>
      </c>
      <c r="AY101" s="3">
        <f>'QTR Raw'!S49</f>
        <v>64.92</v>
      </c>
      <c r="AZ101" s="3">
        <f>'QTR Raw'!T49</f>
        <v>64.92</v>
      </c>
      <c r="BA101" s="3">
        <f>'QTR Raw'!U49</f>
        <v>64.92</v>
      </c>
      <c r="BB101" s="3">
        <f>'QTR Raw'!V49</f>
        <v>64.92</v>
      </c>
      <c r="BC101" s="3">
        <f>'QTR Raw'!W49</f>
        <v>64.92</v>
      </c>
      <c r="BD101" s="3">
        <f>'QTR Raw'!X49</f>
        <v>64.92</v>
      </c>
      <c r="BE101" s="3">
        <f>'QTR Raw'!Y49</f>
        <v>64.92</v>
      </c>
      <c r="BF101" s="3">
        <f>'QTR Raw'!Z49</f>
        <v>64.92</v>
      </c>
      <c r="BG101" s="3">
        <f>'QTR Raw'!AA49</f>
        <v>64.92</v>
      </c>
      <c r="BH101" s="3">
        <f>'QTR Raw'!AB49</f>
        <v>64.92</v>
      </c>
      <c r="BI101" s="3">
        <f>'QTR Raw'!AC49</f>
        <v>64.92</v>
      </c>
      <c r="BJ101" s="3">
        <f>'QTR Raw'!AD49</f>
        <v>64.92</v>
      </c>
      <c r="BK101" s="3">
        <f>'QTR Raw'!AE49</f>
        <v>64.92</v>
      </c>
      <c r="BL101" s="3">
        <f>'QTR Raw'!AF49</f>
        <v>64.92</v>
      </c>
      <c r="BM101" s="3">
        <f>'QTR Raw'!AG49</f>
        <v>64.92</v>
      </c>
      <c r="BN101" s="3">
        <f>'QTR Raw'!AH49</f>
        <v>64.92</v>
      </c>
      <c r="BO101" s="3">
        <f>'QTR Raw'!AI49</f>
        <v>64.92</v>
      </c>
      <c r="BP101" s="3">
        <f>'QTR Raw'!AJ49</f>
        <v>64.92</v>
      </c>
      <c r="BQ101" s="3">
        <f>'QTR Raw'!AK49</f>
        <v>64.92</v>
      </c>
      <c r="BR101" s="3">
        <f>'QTR Raw'!AL49</f>
        <v>64.92</v>
      </c>
      <c r="BS101" s="3">
        <f>'QTR Raw'!AM49</f>
        <v>64.92</v>
      </c>
      <c r="BT101" s="3">
        <f>'QTR Raw'!AN49</f>
        <v>64.92</v>
      </c>
      <c r="BU101" s="3">
        <f>'QTR Raw'!AO49</f>
        <v>64.92</v>
      </c>
      <c r="BV101" s="3">
        <f>'QTR Raw'!AP49</f>
        <v>64.92</v>
      </c>
      <c r="BW101" s="3">
        <f>'QTR Raw'!AQ49</f>
        <v>64.92</v>
      </c>
      <c r="BX101" s="3">
        <f>'QTR Raw'!AR49</f>
        <v>64.92</v>
      </c>
      <c r="BY101" s="3">
        <f>'QTR Raw'!AS49</f>
        <v>64.92</v>
      </c>
      <c r="BZ101" s="3">
        <f>'QTR Raw'!AT49</f>
        <v>64.92</v>
      </c>
      <c r="CA101" s="3">
        <f>'QTR Raw'!AU49</f>
        <v>64.92</v>
      </c>
      <c r="CB101" s="3">
        <f>'QTR Raw'!AV49</f>
        <v>64.92</v>
      </c>
      <c r="CC101" s="3">
        <f>'QTR Raw'!AW49</f>
        <v>64.92</v>
      </c>
      <c r="CD101" s="3">
        <f>'QTR Raw'!AX49</f>
        <v>64.92</v>
      </c>
      <c r="CE101" s="3">
        <f>'QTR Raw'!AY49</f>
        <v>64.92</v>
      </c>
      <c r="CF101" s="3">
        <f>'QTR Raw'!AZ49</f>
        <v>63.42</v>
      </c>
      <c r="CG101" s="3">
        <f>'QTR Raw'!BA49</f>
        <v>63.42</v>
      </c>
      <c r="CH101" s="3">
        <f>'QTR Raw'!BB49</f>
        <v>63.42</v>
      </c>
      <c r="CI101" s="3">
        <f>'QTR Raw'!BC49</f>
        <v>61.84</v>
      </c>
      <c r="CJ101" s="3">
        <f>'QTR Raw'!BD49</f>
        <v>61.84</v>
      </c>
      <c r="CK101" s="3">
        <f>'QTR Raw'!BE49</f>
        <v>61.84</v>
      </c>
      <c r="CL101" s="3">
        <f>'QTR Raw'!BF49</f>
        <v>60.71</v>
      </c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E101" s="134"/>
    </row>
    <row r="102" spans="1:110" s="3" customFormat="1" x14ac:dyDescent="0.2">
      <c r="A102" s="3" t="s">
        <v>35</v>
      </c>
      <c r="B102" s="3">
        <f>'Annual Raw'!C113</f>
        <v>0</v>
      </c>
      <c r="C102" s="3">
        <f>'Annual Raw'!D113</f>
        <v>0</v>
      </c>
      <c r="D102" s="3">
        <f>'Annual Raw'!E113</f>
        <v>0</v>
      </c>
      <c r="E102" s="3">
        <f>'Annual Raw'!F113</f>
        <v>0</v>
      </c>
      <c r="F102" s="3">
        <f>'Annual Raw'!G113</f>
        <v>0</v>
      </c>
      <c r="G102" s="3">
        <f>'Annual Raw'!H113</f>
        <v>0</v>
      </c>
      <c r="H102" s="3">
        <f>'Annual Raw'!I113</f>
        <v>0</v>
      </c>
      <c r="I102" s="3">
        <f>'Annual Raw'!J113</f>
        <v>0</v>
      </c>
      <c r="J102" s="3">
        <f>'Annual Raw'!K113</f>
        <v>0</v>
      </c>
      <c r="K102" s="3">
        <f>'Annual Raw'!L113</f>
        <v>0</v>
      </c>
      <c r="L102" s="3">
        <f>'Annual Raw'!M113</f>
        <v>0</v>
      </c>
      <c r="M102" s="3">
        <f>'Annual Raw'!N113</f>
        <v>0</v>
      </c>
      <c r="N102" s="3">
        <f>'Annual Raw'!O113</f>
        <v>0</v>
      </c>
      <c r="O102" s="3">
        <f>'Annual Raw'!P113</f>
        <v>0</v>
      </c>
      <c r="P102" s="3">
        <f>'Annual Raw'!Q113</f>
        <v>0</v>
      </c>
      <c r="Q102" s="3">
        <f>'Annual Raw'!R113</f>
        <v>0</v>
      </c>
      <c r="R102" s="3">
        <f>'Annual Raw'!S113</f>
        <v>0</v>
      </c>
      <c r="S102" s="3">
        <f>'Annual Raw'!T113</f>
        <v>0</v>
      </c>
      <c r="T102" s="3">
        <f>'Annual Raw'!U113</f>
        <v>0</v>
      </c>
      <c r="U102" s="3">
        <f>'Annual Raw'!V113</f>
        <v>0</v>
      </c>
      <c r="V102" s="3">
        <f>'Annual Raw'!W113</f>
        <v>22.83</v>
      </c>
      <c r="W102" s="3">
        <f>'Annual Raw'!X113</f>
        <v>86.05</v>
      </c>
      <c r="X102" s="3">
        <f>'Annual Raw'!Y113</f>
        <v>87.59</v>
      </c>
      <c r="Y102" s="3">
        <f>'Annual Raw'!Z113</f>
        <v>98.35</v>
      </c>
      <c r="Z102" s="3">
        <f>'Annual Raw'!AA113</f>
        <v>93.5</v>
      </c>
      <c r="AA102" s="3">
        <f>'Annual Raw'!AB113</f>
        <v>9.44</v>
      </c>
      <c r="AB102" s="37"/>
      <c r="AC102" s="37"/>
      <c r="AD102" s="37"/>
      <c r="AE102" s="37"/>
      <c r="AI102" s="3">
        <f>'QTR Raw'!C50</f>
        <v>0</v>
      </c>
      <c r="AJ102" s="3">
        <f>'QTR Raw'!D50</f>
        <v>0</v>
      </c>
      <c r="AK102" s="3">
        <f>'QTR Raw'!E50</f>
        <v>0</v>
      </c>
      <c r="AL102" s="3">
        <f>'QTR Raw'!F50</f>
        <v>0</v>
      </c>
      <c r="AM102" s="3">
        <f>'QTR Raw'!G50</f>
        <v>0</v>
      </c>
      <c r="AN102" s="3">
        <f>'QTR Raw'!H50</f>
        <v>0</v>
      </c>
      <c r="AO102" s="3">
        <f>'QTR Raw'!I50</f>
        <v>0</v>
      </c>
      <c r="AP102" s="3">
        <f>'QTR Raw'!J50</f>
        <v>0</v>
      </c>
      <c r="AQ102" s="3">
        <f>'QTR Raw'!K50</f>
        <v>0</v>
      </c>
      <c r="AR102" s="3">
        <f>'QTR Raw'!L50</f>
        <v>0</v>
      </c>
      <c r="AS102" s="3">
        <f>'QTR Raw'!M50</f>
        <v>0</v>
      </c>
      <c r="AT102" s="3">
        <f>'QTR Raw'!N50</f>
        <v>0</v>
      </c>
      <c r="AU102" s="3">
        <f>'QTR Raw'!O50</f>
        <v>0</v>
      </c>
      <c r="AV102" s="3">
        <f>'QTR Raw'!P50</f>
        <v>0</v>
      </c>
      <c r="AW102" s="3">
        <f>'QTR Raw'!Q50</f>
        <v>0</v>
      </c>
      <c r="AX102" s="3">
        <f>'QTR Raw'!R50</f>
        <v>0</v>
      </c>
      <c r="AY102" s="3">
        <f>'QTR Raw'!S50</f>
        <v>0</v>
      </c>
      <c r="AZ102" s="3">
        <f>'QTR Raw'!T50</f>
        <v>0</v>
      </c>
      <c r="BA102" s="3">
        <f>'QTR Raw'!U50</f>
        <v>0</v>
      </c>
      <c r="BB102" s="3">
        <f>'QTR Raw'!V50</f>
        <v>0</v>
      </c>
      <c r="BC102" s="3">
        <f>'QTR Raw'!W50</f>
        <v>0</v>
      </c>
      <c r="BD102" s="3">
        <f>'QTR Raw'!X50</f>
        <v>0</v>
      </c>
      <c r="BE102" s="3">
        <f>'QTR Raw'!Y50</f>
        <v>0</v>
      </c>
      <c r="BF102" s="3">
        <f>'QTR Raw'!Z50</f>
        <v>0</v>
      </c>
      <c r="BG102" s="3">
        <f>'QTR Raw'!AA50</f>
        <v>0</v>
      </c>
      <c r="BH102" s="3">
        <f>'QTR Raw'!AB50</f>
        <v>0</v>
      </c>
      <c r="BI102" s="3">
        <f>'QTR Raw'!AC50</f>
        <v>0</v>
      </c>
      <c r="BJ102" s="3">
        <f>'QTR Raw'!AD50</f>
        <v>0</v>
      </c>
      <c r="BK102" s="3">
        <f>'QTR Raw'!AE50</f>
        <v>0</v>
      </c>
      <c r="BL102" s="3">
        <f>'QTR Raw'!AF50</f>
        <v>0</v>
      </c>
      <c r="BM102" s="3">
        <f>'QTR Raw'!AG50</f>
        <v>0</v>
      </c>
      <c r="BN102" s="3">
        <f>'QTR Raw'!AH50</f>
        <v>0</v>
      </c>
      <c r="BO102" s="3">
        <f>'QTR Raw'!AI50</f>
        <v>0</v>
      </c>
      <c r="BP102" s="3">
        <f>'QTR Raw'!AJ50</f>
        <v>22.83</v>
      </c>
      <c r="BQ102" s="3">
        <f>'QTR Raw'!AK50</f>
        <v>22.83</v>
      </c>
      <c r="BR102" s="3">
        <f>'QTR Raw'!AL50</f>
        <v>22.83</v>
      </c>
      <c r="BS102" s="3">
        <f>'QTR Raw'!AM50</f>
        <v>22.83</v>
      </c>
      <c r="BT102" s="3">
        <f>'QTR Raw'!AN50</f>
        <v>22.83</v>
      </c>
      <c r="BU102" s="3">
        <f>'QTR Raw'!AO50</f>
        <v>22.83</v>
      </c>
      <c r="BV102" s="3">
        <f>'QTR Raw'!AP50</f>
        <v>86.05</v>
      </c>
      <c r="BW102" s="3">
        <f>'QTR Raw'!AQ50</f>
        <v>86.05</v>
      </c>
      <c r="BX102" s="3">
        <f>'QTR Raw'!AR50</f>
        <v>86.05</v>
      </c>
      <c r="BY102" s="3">
        <f>'QTR Raw'!AS50</f>
        <v>87.59</v>
      </c>
      <c r="BZ102" s="3">
        <f>'QTR Raw'!AT50</f>
        <v>87.59</v>
      </c>
      <c r="CA102" s="3">
        <f>'QTR Raw'!AU50</f>
        <v>99.37</v>
      </c>
      <c r="CB102" s="3">
        <f>'QTR Raw'!AV50</f>
        <v>98.35</v>
      </c>
      <c r="CC102" s="3">
        <f>'QTR Raw'!AW50</f>
        <v>98.35</v>
      </c>
      <c r="CD102" s="3">
        <f>'QTR Raw'!AX50</f>
        <v>98.35</v>
      </c>
      <c r="CE102" s="3">
        <f>'QTR Raw'!AY50</f>
        <v>99.04</v>
      </c>
      <c r="CF102" s="3">
        <f>'QTR Raw'!AZ50</f>
        <v>95.42</v>
      </c>
      <c r="CG102" s="3">
        <f>'QTR Raw'!BA50</f>
        <v>93.5</v>
      </c>
      <c r="CH102" s="3">
        <f>'QTR Raw'!BB50</f>
        <v>93.5</v>
      </c>
      <c r="CI102" s="3">
        <f>'QTR Raw'!BC50</f>
        <v>11.24</v>
      </c>
      <c r="CJ102" s="3">
        <f>'QTR Raw'!BD50</f>
        <v>9.27</v>
      </c>
      <c r="CK102" s="3">
        <f>'QTR Raw'!BE50</f>
        <v>9.27</v>
      </c>
      <c r="CL102" s="3">
        <f>'QTR Raw'!BF50</f>
        <v>9.44</v>
      </c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E102" s="134"/>
    </row>
    <row r="103" spans="1:110" s="3" customFormat="1" x14ac:dyDescent="0.2">
      <c r="AB103" s="37"/>
      <c r="AC103" s="37"/>
      <c r="AD103" s="37"/>
      <c r="AE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</row>
    <row r="104" spans="1:110" s="13" customFormat="1" x14ac:dyDescent="0.2">
      <c r="A104" s="13" t="s">
        <v>36</v>
      </c>
      <c r="AB104" s="37"/>
      <c r="AC104" s="37"/>
      <c r="AD104" s="37"/>
      <c r="AE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34"/>
    </row>
    <row r="105" spans="1:110" s="13" customFormat="1" x14ac:dyDescent="0.2">
      <c r="A105" s="13" t="s">
        <v>457</v>
      </c>
      <c r="B105" s="13">
        <f>'Annual Raw'!C106</f>
        <v>2.11</v>
      </c>
      <c r="C105" s="13">
        <f>'Annual Raw'!D106</f>
        <v>3.6150000000000002</v>
      </c>
      <c r="D105" s="13">
        <f>'Annual Raw'!E106</f>
        <v>1.47</v>
      </c>
      <c r="E105" s="13">
        <f>'Annual Raw'!F106</f>
        <v>10.16</v>
      </c>
      <c r="F105" s="13">
        <f>'Annual Raw'!G106</f>
        <v>17</v>
      </c>
      <c r="G105" s="13">
        <f>'Annual Raw'!H106</f>
        <v>52.32</v>
      </c>
      <c r="H105" s="13">
        <f>'Annual Raw'!I106</f>
        <v>56.335000000000001</v>
      </c>
      <c r="I105" s="13">
        <f>'Annual Raw'!J106</f>
        <v>52.65</v>
      </c>
      <c r="J105" s="13">
        <f>'Annual Raw'!K106</f>
        <v>44.74</v>
      </c>
      <c r="K105" s="13">
        <f>'Annual Raw'!L106</f>
        <v>120.315</v>
      </c>
      <c r="L105" s="13">
        <f>'Annual Raw'!M106</f>
        <v>137.55000000000001</v>
      </c>
      <c r="M105" s="13">
        <f>'Annual Raw'!N106</f>
        <v>132.25</v>
      </c>
      <c r="N105" s="13">
        <f>'Annual Raw'!O106</f>
        <v>121.15</v>
      </c>
      <c r="O105" s="13">
        <f>'Annual Raw'!P106</f>
        <v>128.35</v>
      </c>
      <c r="P105" s="13">
        <f>'Annual Raw'!Q106</f>
        <v>161.85</v>
      </c>
      <c r="Q105" s="13">
        <f>'Annual Raw'!R106</f>
        <v>183.5</v>
      </c>
      <c r="R105" s="13">
        <f>'Annual Raw'!S106</f>
        <v>288.85000000000002</v>
      </c>
      <c r="S105" s="13">
        <f>'Annual Raw'!T106</f>
        <v>300.95</v>
      </c>
      <c r="T105" s="13">
        <f>'Annual Raw'!U106</f>
        <v>276.39999999999998</v>
      </c>
      <c r="U105" s="13">
        <f>'Annual Raw'!V106</f>
        <v>155.15</v>
      </c>
      <c r="V105" s="13">
        <f>'Annual Raw'!W106</f>
        <v>272.8</v>
      </c>
      <c r="W105" s="13">
        <f>'Annual Raw'!X106</f>
        <v>309.7</v>
      </c>
      <c r="X105" s="13">
        <f>'Annual Raw'!Y106</f>
        <v>293.39999999999998</v>
      </c>
      <c r="Y105" s="13">
        <f>'Annual Raw'!Z106</f>
        <v>292.25</v>
      </c>
      <c r="Z105" s="13">
        <f>'Annual Raw'!AA106</f>
        <v>462</v>
      </c>
      <c r="AA105" s="13">
        <f>'Annual Raw'!AB106</f>
        <v>502.2</v>
      </c>
      <c r="AB105" s="37">
        <f>+CP105</f>
        <v>588</v>
      </c>
      <c r="AC105" s="37">
        <f>+CT105</f>
        <v>588</v>
      </c>
      <c r="AD105" s="37">
        <f>+CX105</f>
        <v>588</v>
      </c>
      <c r="AE105" s="37">
        <f>+DB105</f>
        <v>588</v>
      </c>
      <c r="AJ105" s="13">
        <f>'QTR Share Price'!HP21</f>
        <v>135.44999999999999</v>
      </c>
      <c r="AK105" s="13">
        <f>'QTR Share Price'!HQ21</f>
        <v>136.05000000000001</v>
      </c>
      <c r="AL105" s="13">
        <f>'QTR Share Price'!HR21</f>
        <v>121.15</v>
      </c>
      <c r="AM105" s="13">
        <f>'QTR Share Price'!HS21</f>
        <v>102.45</v>
      </c>
      <c r="AN105" s="13">
        <f>'QTR Share Price'!HT21</f>
        <v>133.05000000000001</v>
      </c>
      <c r="AO105" s="13">
        <f>'QTR Share Price'!HU21</f>
        <v>132.44999999999999</v>
      </c>
      <c r="AP105" s="13">
        <f>'QTR Share Price'!HV21</f>
        <v>128.35</v>
      </c>
      <c r="AQ105" s="13">
        <f>'QTR Share Price'!HW21</f>
        <v>166.75</v>
      </c>
      <c r="AR105" s="13">
        <f>'QTR Share Price'!HX21</f>
        <v>160.85</v>
      </c>
      <c r="AS105" s="13">
        <f>'QTR Share Price'!HY21</f>
        <v>170.35</v>
      </c>
      <c r="AT105" s="13">
        <f>'QTR Share Price'!HZ21</f>
        <v>161.85</v>
      </c>
      <c r="AU105" s="13">
        <f>'QTR Share Price'!IA21</f>
        <v>167</v>
      </c>
      <c r="AV105" s="13">
        <f>'QTR Share Price'!IB21</f>
        <v>139.65</v>
      </c>
      <c r="AW105" s="13">
        <f>'QTR Share Price'!IC21</f>
        <v>146.6</v>
      </c>
      <c r="AX105" s="13">
        <f>'QTR Share Price'!ID21</f>
        <v>183.5</v>
      </c>
      <c r="AY105" s="13">
        <f>'QTR Share Price'!IE21</f>
        <v>179.8</v>
      </c>
      <c r="AZ105" s="13">
        <f>'QTR Share Price'!IF21</f>
        <v>233.25</v>
      </c>
      <c r="BA105" s="13">
        <f>'QTR Share Price'!IG21</f>
        <v>255.45</v>
      </c>
      <c r="BB105" s="13">
        <f>'QTR Share Price'!IH21</f>
        <v>288.85000000000002</v>
      </c>
      <c r="BC105" s="13">
        <f>'QTR Share Price'!II21</f>
        <v>262.85000000000002</v>
      </c>
      <c r="BD105" s="13">
        <f>'QTR Share Price'!IJ21</f>
        <v>295.8</v>
      </c>
      <c r="BE105" s="13">
        <f>'QTR Share Price'!IK21</f>
        <v>309</v>
      </c>
      <c r="BF105" s="13">
        <f>'QTR Share Price'!IL21</f>
        <v>300.95</v>
      </c>
      <c r="BG105" s="13">
        <f>'QTR Share Price'!IM21</f>
        <v>275.75</v>
      </c>
      <c r="BH105" s="13">
        <f>'QTR Share Price'!IN21</f>
        <v>290.39999999999998</v>
      </c>
      <c r="BI105" s="13">
        <f>'QTR Share Price'!IO21</f>
        <v>277.8</v>
      </c>
      <c r="BJ105" s="13">
        <f>'QTR Share Price'!IP21</f>
        <v>276.39999999999998</v>
      </c>
      <c r="BK105" s="13">
        <f>'QTR Share Price'!IQ21</f>
        <v>244</v>
      </c>
      <c r="BL105" s="13">
        <f>'QTR Share Price'!IR21</f>
        <v>213.5</v>
      </c>
      <c r="BM105" s="13">
        <f>'QTR Share Price'!IS21</f>
        <v>209.7</v>
      </c>
      <c r="BN105" s="13">
        <f>'QTR Share Price'!IT21</f>
        <v>155.15</v>
      </c>
      <c r="BO105" s="13">
        <f>'QTR Share Price'!IU21</f>
        <v>195.95</v>
      </c>
      <c r="BP105" s="13">
        <f>'QTR Share Price'!IV21</f>
        <v>209.9</v>
      </c>
      <c r="BQ105" s="13">
        <f>'QTR Share Price'!IW21</f>
        <v>238.9</v>
      </c>
      <c r="BR105" s="13">
        <f>'QTR Share Price'!IX21</f>
        <v>272.8</v>
      </c>
      <c r="BS105" s="13">
        <f>'QTR Share Price'!IY21</f>
        <v>339.45</v>
      </c>
      <c r="BT105" s="13">
        <f>'QTR Share Price'!IZ21</f>
        <v>311.45</v>
      </c>
      <c r="BU105" s="13">
        <f>'QTR Share Price'!JA21</f>
        <v>316.8</v>
      </c>
      <c r="BV105" s="13">
        <f>'QTR Share Price'!JB21</f>
        <v>309.7</v>
      </c>
      <c r="BW105" s="13">
        <f>'QTR Share Price'!JC21</f>
        <v>249.4</v>
      </c>
      <c r="BX105" s="13">
        <f>'QTR Share Price'!JD21</f>
        <v>267.2</v>
      </c>
      <c r="BY105" s="13">
        <f>'QTR Share Price'!JE21</f>
        <v>322.39999999999998</v>
      </c>
      <c r="BZ105" s="13">
        <f>'QTR Share Price'!JF21</f>
        <v>293.39999999999998</v>
      </c>
      <c r="CA105" s="13">
        <f>'QTR Share Price'!JG21</f>
        <v>307.2</v>
      </c>
      <c r="CB105" s="13">
        <f>'QTR Share Price'!JH21</f>
        <v>308.8</v>
      </c>
      <c r="CC105" s="13">
        <f>'QTR Share Price'!JI21</f>
        <v>318</v>
      </c>
      <c r="CD105" s="13">
        <f>'QTR Share Price'!JJ21</f>
        <v>292.25</v>
      </c>
      <c r="CE105" s="13">
        <f>'QTR Share Price'!JK21</f>
        <v>668.9</v>
      </c>
      <c r="CF105" s="13">
        <f>'QTR Share Price'!JL21</f>
        <v>522.29999999999995</v>
      </c>
      <c r="CG105" s="13">
        <f>'QTR Share Price'!JM21</f>
        <v>443.7</v>
      </c>
      <c r="CH105" s="13">
        <f>'QTR Share Price'!JN21</f>
        <v>462</v>
      </c>
      <c r="CI105" s="13">
        <f>'QTR Share Price'!JO21</f>
        <v>450.85</v>
      </c>
      <c r="CJ105" s="13">
        <f>'QTR Share Price'!JP21</f>
        <v>482.45</v>
      </c>
      <c r="CK105" s="13">
        <f>'QTR Share Price'!JQ21</f>
        <v>612.29999999999995</v>
      </c>
      <c r="CL105" s="13">
        <f>'QTR Share Price'!JR21</f>
        <v>502.2</v>
      </c>
      <c r="CM105" s="37">
        <v>588</v>
      </c>
      <c r="CN105" s="37">
        <f t="shared" ref="CN105" si="975">+CM105</f>
        <v>588</v>
      </c>
      <c r="CO105" s="37">
        <f t="shared" ref="CO105" si="976">+CN105</f>
        <v>588</v>
      </c>
      <c r="CP105" s="37">
        <f t="shared" ref="CP105" si="977">+CO105</f>
        <v>588</v>
      </c>
      <c r="CQ105" s="37">
        <f t="shared" ref="CQ105" si="978">+CP105</f>
        <v>588</v>
      </c>
      <c r="CR105" s="37">
        <f t="shared" ref="CR105" si="979">+CQ105</f>
        <v>588</v>
      </c>
      <c r="CS105" s="37">
        <f t="shared" ref="CS105" si="980">+CR105</f>
        <v>588</v>
      </c>
      <c r="CT105" s="37">
        <f t="shared" ref="CT105" si="981">+CS105</f>
        <v>588</v>
      </c>
      <c r="CU105" s="37">
        <f t="shared" ref="CU105" si="982">+CT105</f>
        <v>588</v>
      </c>
      <c r="CV105" s="37">
        <f t="shared" ref="CV105" si="983">+CU105</f>
        <v>588</v>
      </c>
      <c r="CW105" s="37">
        <f t="shared" ref="CW105" si="984">+CV105</f>
        <v>588</v>
      </c>
      <c r="CX105" s="37">
        <f t="shared" ref="CX105" si="985">+CW105</f>
        <v>588</v>
      </c>
      <c r="CY105" s="37">
        <f t="shared" ref="CY105" si="986">+CX105</f>
        <v>588</v>
      </c>
      <c r="CZ105" s="37">
        <f t="shared" ref="CZ105" si="987">+CY105</f>
        <v>588</v>
      </c>
      <c r="DA105" s="37">
        <f t="shared" ref="DA105" si="988">+CZ105</f>
        <v>588</v>
      </c>
      <c r="DB105" s="37">
        <f t="shared" ref="DB105" si="989">+DA105</f>
        <v>588</v>
      </c>
      <c r="DE105" s="134"/>
      <c r="DF105" s="13">
        <v>502.2</v>
      </c>
    </row>
    <row r="106" spans="1:110" s="13" customFormat="1" x14ac:dyDescent="0.2">
      <c r="A106" s="13" t="s">
        <v>458</v>
      </c>
      <c r="B106" s="13">
        <f>'Annual Raw'!C107</f>
        <v>2.7</v>
      </c>
      <c r="C106" s="13">
        <f>'Annual Raw'!D107</f>
        <v>3.79</v>
      </c>
      <c r="D106" s="13">
        <f>'Annual Raw'!E107</f>
        <v>3.8250000000000002</v>
      </c>
      <c r="E106" s="13">
        <f>'Annual Raw'!F107</f>
        <v>14.5</v>
      </c>
      <c r="F106" s="13">
        <f>'Annual Raw'!G107</f>
        <v>19.3</v>
      </c>
      <c r="G106" s="13">
        <f>'Annual Raw'!H107</f>
        <v>54</v>
      </c>
      <c r="H106" s="13">
        <f>'Annual Raw'!I107</f>
        <v>111.9</v>
      </c>
      <c r="I106" s="13">
        <f>'Annual Raw'!J107</f>
        <v>96.9</v>
      </c>
      <c r="J106" s="13">
        <f>'Annual Raw'!K107</f>
        <v>76.319999999999993</v>
      </c>
      <c r="K106" s="13">
        <f>'Annual Raw'!L107</f>
        <v>132.47999999999999</v>
      </c>
      <c r="L106" s="13">
        <f>'Annual Raw'!M107</f>
        <v>145.55000000000001</v>
      </c>
      <c r="M106" s="13">
        <f>'Annual Raw'!N107</f>
        <v>155.25</v>
      </c>
      <c r="N106" s="13">
        <f>'Annual Raw'!O107</f>
        <v>146.80000000000001</v>
      </c>
      <c r="O106" s="13">
        <f>'Annual Raw'!P107</f>
        <v>141.80000000000001</v>
      </c>
      <c r="P106" s="13">
        <f>'Annual Raw'!Q107</f>
        <v>190.4</v>
      </c>
      <c r="Q106" s="13">
        <f>'Annual Raw'!R107</f>
        <v>199.8</v>
      </c>
      <c r="R106" s="13">
        <f>'Annual Raw'!S107</f>
        <v>333.4</v>
      </c>
      <c r="S106" s="13">
        <f>'Annual Raw'!T107</f>
        <v>339.55</v>
      </c>
      <c r="T106" s="13">
        <f>'Annual Raw'!U107</f>
        <v>336.35</v>
      </c>
      <c r="U106" s="13">
        <f>'Annual Raw'!V107</f>
        <v>291.8</v>
      </c>
      <c r="V106" s="13">
        <f>'Annual Raw'!W107</f>
        <v>334.25</v>
      </c>
      <c r="W106" s="13">
        <f>'Annual Raw'!X107</f>
        <v>407.9</v>
      </c>
      <c r="X106" s="13">
        <f>'Annual Raw'!Y107</f>
        <v>383</v>
      </c>
      <c r="Y106" s="13">
        <f>'Annual Raw'!Z107</f>
        <v>344</v>
      </c>
      <c r="Z106" s="13">
        <f>'Annual Raw'!AA107</f>
        <v>807</v>
      </c>
      <c r="AA106" s="13">
        <f>'Annual Raw'!AB107</f>
        <v>732.6</v>
      </c>
      <c r="AB106" s="37">
        <f>+MAX(CM106:CP106)</f>
        <v>950.1643320938889</v>
      </c>
      <c r="AC106" s="37">
        <f>+MAX(CQ106:CT106)</f>
        <v>999.79931189976548</v>
      </c>
      <c r="AD106" s="37">
        <f>+MAX(CU106:CX106)</f>
        <v>1052.1598163308556</v>
      </c>
      <c r="AE106" s="37">
        <f>+MAX(CY106:DB106)</f>
        <v>1095.9622834602274</v>
      </c>
      <c r="AJ106" s="13">
        <f>'QTR Share Price'!HP19</f>
        <v>139.94999999999999</v>
      </c>
      <c r="AK106" s="13">
        <f>'QTR Share Price'!HQ19</f>
        <v>146.80000000000001</v>
      </c>
      <c r="AL106" s="13">
        <f>'QTR Share Price'!HR19</f>
        <v>142.94999999999999</v>
      </c>
      <c r="AM106" s="13">
        <f>'QTR Share Price'!HS19</f>
        <v>125.3</v>
      </c>
      <c r="AN106" s="13">
        <f>'QTR Share Price'!HT19</f>
        <v>137.25</v>
      </c>
      <c r="AO106" s="13">
        <f>'QTR Share Price'!HU19</f>
        <v>140.44999999999999</v>
      </c>
      <c r="AP106" s="13">
        <f>'QTR Share Price'!HV19</f>
        <v>141.80000000000001</v>
      </c>
      <c r="AQ106" s="13">
        <f>'QTR Share Price'!HW19</f>
        <v>184</v>
      </c>
      <c r="AR106" s="13">
        <f>'QTR Share Price'!HX19</f>
        <v>178</v>
      </c>
      <c r="AS106" s="13">
        <f>'QTR Share Price'!HY19</f>
        <v>178.9</v>
      </c>
      <c r="AT106" s="13">
        <f>'QTR Share Price'!HZ19</f>
        <v>190.4</v>
      </c>
      <c r="AU106" s="13">
        <f>'QTR Share Price'!IA19</f>
        <v>183.6</v>
      </c>
      <c r="AV106" s="13">
        <f>'QTR Share Price'!IB19</f>
        <v>170.05</v>
      </c>
      <c r="AW106" s="13">
        <f>'QTR Share Price'!IC19</f>
        <v>163.55000000000001</v>
      </c>
      <c r="AX106" s="13">
        <f>'QTR Share Price'!ID19</f>
        <v>199.8</v>
      </c>
      <c r="AY106" s="13">
        <f>'QTR Share Price'!IE19</f>
        <v>189.65</v>
      </c>
      <c r="AZ106" s="13">
        <f>'QTR Share Price'!IF19</f>
        <v>235.8</v>
      </c>
      <c r="BA106" s="13">
        <f>'QTR Share Price'!IG19</f>
        <v>289.85000000000002</v>
      </c>
      <c r="BB106" s="13">
        <f>'QTR Share Price'!IH19</f>
        <v>333.4</v>
      </c>
      <c r="BC106" s="13">
        <f>'QTR Share Price'!II19</f>
        <v>294.2</v>
      </c>
      <c r="BD106" s="13">
        <f>'QTR Share Price'!IJ19</f>
        <v>313.60000000000002</v>
      </c>
      <c r="BE106" s="13">
        <f>'QTR Share Price'!IK19</f>
        <v>330.6</v>
      </c>
      <c r="BF106" s="13">
        <f>'QTR Share Price'!IL19</f>
        <v>339.55</v>
      </c>
      <c r="BG106" s="13">
        <f>'QTR Share Price'!IM19</f>
        <v>336.35</v>
      </c>
      <c r="BH106" s="13">
        <f>'QTR Share Price'!IN19</f>
        <v>308.89999999999998</v>
      </c>
      <c r="BI106" s="13">
        <f>'QTR Share Price'!IO19</f>
        <v>299</v>
      </c>
      <c r="BJ106" s="13">
        <f>'QTR Share Price'!IP19</f>
        <v>281.45</v>
      </c>
      <c r="BK106" s="13">
        <f>'QTR Share Price'!IQ19</f>
        <v>291.8</v>
      </c>
      <c r="BL106" s="13">
        <f>'QTR Share Price'!IR19</f>
        <v>248.45</v>
      </c>
      <c r="BM106" s="13">
        <f>'QTR Share Price'!IS19</f>
        <v>225</v>
      </c>
      <c r="BN106" s="13">
        <f>'QTR Share Price'!IT19</f>
        <v>224.6</v>
      </c>
      <c r="BO106" s="13">
        <f>'QTR Share Price'!IU19</f>
        <v>204.75</v>
      </c>
      <c r="BP106" s="13">
        <f>'QTR Share Price'!IV19</f>
        <v>258.8</v>
      </c>
      <c r="BQ106" s="13">
        <f>'QTR Share Price'!IW19</f>
        <v>249.25</v>
      </c>
      <c r="BR106" s="13">
        <f>'QTR Share Price'!IX19</f>
        <v>334.25</v>
      </c>
      <c r="BS106" s="13">
        <f>'QTR Share Price'!IY19</f>
        <v>362.4</v>
      </c>
      <c r="BT106" s="13">
        <f>'QTR Share Price'!IZ19</f>
        <v>350.8</v>
      </c>
      <c r="BU106" s="13">
        <f>'QTR Share Price'!JA19</f>
        <v>407.9</v>
      </c>
      <c r="BV106" s="13">
        <f>'QTR Share Price'!JB19</f>
        <v>372.15</v>
      </c>
      <c r="BW106" s="13">
        <f>'QTR Share Price'!JC19</f>
        <v>356.7</v>
      </c>
      <c r="BX106" s="13">
        <f>'QTR Share Price'!JD19</f>
        <v>301.5</v>
      </c>
      <c r="BY106" s="13">
        <f>'QTR Share Price'!JE19</f>
        <v>333</v>
      </c>
      <c r="BZ106" s="13">
        <f>'QTR Share Price'!JF19</f>
        <v>383</v>
      </c>
      <c r="CA106" s="13">
        <f>'QTR Share Price'!JG19</f>
        <v>328.45</v>
      </c>
      <c r="CB106" s="13">
        <f>'QTR Share Price'!JH19</f>
        <v>344</v>
      </c>
      <c r="CC106" s="13">
        <f>'QTR Share Price'!JI19</f>
        <v>331.8</v>
      </c>
      <c r="CD106" s="13">
        <f>'QTR Share Price'!JJ19</f>
        <v>325.10000000000002</v>
      </c>
      <c r="CE106" s="13">
        <f>'QTR Share Price'!JK19</f>
        <v>807</v>
      </c>
      <c r="CF106" s="13">
        <f>'QTR Share Price'!JL19</f>
        <v>717.1</v>
      </c>
      <c r="CG106" s="13">
        <f>'QTR Share Price'!JM19</f>
        <v>575</v>
      </c>
      <c r="CH106" s="13">
        <f>'QTR Share Price'!JN19</f>
        <v>480.3</v>
      </c>
      <c r="CI106" s="13">
        <f>'QTR Share Price'!JO19</f>
        <v>546.95000000000005</v>
      </c>
      <c r="CJ106" s="13">
        <f>'QTR Share Price'!JP19</f>
        <v>483.7</v>
      </c>
      <c r="CK106" s="13">
        <f>'QTR Share Price'!JQ19</f>
        <v>656.25</v>
      </c>
      <c r="CL106" s="13">
        <f>'QTR Share Price'!JR19</f>
        <v>732.6</v>
      </c>
      <c r="CM106" s="37">
        <f t="shared" ref="CM106:DB106" si="990">+CM135/CM93</f>
        <v>818.15100351769638</v>
      </c>
      <c r="CN106" s="37">
        <f t="shared" si="990"/>
        <v>901.94476315952636</v>
      </c>
      <c r="CO106" s="37">
        <f t="shared" si="990"/>
        <v>949.82897489952313</v>
      </c>
      <c r="CP106" s="37">
        <f t="shared" si="990"/>
        <v>950.1643320938889</v>
      </c>
      <c r="CQ106" s="37">
        <f t="shared" si="990"/>
        <v>958.43796946808448</v>
      </c>
      <c r="CR106" s="37">
        <f t="shared" si="990"/>
        <v>968.14682630525147</v>
      </c>
      <c r="CS106" s="37">
        <f t="shared" si="990"/>
        <v>981.53434045034896</v>
      </c>
      <c r="CT106" s="37">
        <f t="shared" si="990"/>
        <v>999.79931189976548</v>
      </c>
      <c r="CU106" s="37">
        <f t="shared" si="990"/>
        <v>1015.551652266209</v>
      </c>
      <c r="CV106" s="37">
        <f t="shared" si="990"/>
        <v>1030.3613894273383</v>
      </c>
      <c r="CW106" s="37">
        <f t="shared" si="990"/>
        <v>1043.0943582841651</v>
      </c>
      <c r="CX106" s="37">
        <f t="shared" si="990"/>
        <v>1052.1598163308556</v>
      </c>
      <c r="CY106" s="37">
        <f t="shared" si="990"/>
        <v>1062.0873957429571</v>
      </c>
      <c r="CZ106" s="37">
        <f t="shared" si="990"/>
        <v>1073.2460680221634</v>
      </c>
      <c r="DA106" s="37">
        <f t="shared" si="990"/>
        <v>1084.7077589978853</v>
      </c>
      <c r="DB106" s="37">
        <f t="shared" si="990"/>
        <v>1095.9622834602274</v>
      </c>
      <c r="DE106" s="134"/>
      <c r="DF106" s="13">
        <v>732.6</v>
      </c>
    </row>
    <row r="107" spans="1:110" s="13" customFormat="1" x14ac:dyDescent="0.2">
      <c r="A107" s="13" t="s">
        <v>459</v>
      </c>
      <c r="B107" s="13">
        <f>'Annual Raw'!C108</f>
        <v>0.56999999999999995</v>
      </c>
      <c r="C107" s="13">
        <f>'Annual Raw'!D108</f>
        <v>1.0900000000000001</v>
      </c>
      <c r="D107" s="13">
        <f>'Annual Raw'!E108</f>
        <v>1.47</v>
      </c>
      <c r="E107" s="13">
        <f>'Annual Raw'!F108</f>
        <v>1.43</v>
      </c>
      <c r="F107" s="13">
        <f>'Annual Raw'!G108</f>
        <v>6.75</v>
      </c>
      <c r="G107" s="13">
        <f>'Annual Raw'!H108</f>
        <v>14.05</v>
      </c>
      <c r="H107" s="13">
        <f>'Annual Raw'!I108</f>
        <v>41.5</v>
      </c>
      <c r="I107" s="13">
        <f>'Annual Raw'!J108</f>
        <v>50.7</v>
      </c>
      <c r="J107" s="13">
        <f>'Annual Raw'!K108</f>
        <v>21.5</v>
      </c>
      <c r="K107" s="13">
        <f>'Annual Raw'!L108</f>
        <v>44.805</v>
      </c>
      <c r="L107" s="13">
        <f>'Annual Raw'!M108</f>
        <v>90</v>
      </c>
      <c r="M107" s="13">
        <f>'Annual Raw'!N108</f>
        <v>106.7</v>
      </c>
      <c r="N107" s="13">
        <f>'Annual Raw'!O108</f>
        <v>110.55</v>
      </c>
      <c r="O107" s="13">
        <f>'Annual Raw'!P108</f>
        <v>94</v>
      </c>
      <c r="P107" s="13">
        <f>'Annual Raw'!Q108</f>
        <v>121.1</v>
      </c>
      <c r="Q107" s="13">
        <f>'Annual Raw'!R108</f>
        <v>117.2</v>
      </c>
      <c r="R107" s="13">
        <f>'Annual Raw'!S108</f>
        <v>158.19999999999999</v>
      </c>
      <c r="S107" s="13">
        <f>'Annual Raw'!T108</f>
        <v>226.75</v>
      </c>
      <c r="T107" s="13">
        <f>'Annual Raw'!U108</f>
        <v>243</v>
      </c>
      <c r="U107" s="13">
        <f>'Annual Raw'!V108</f>
        <v>122</v>
      </c>
      <c r="V107" s="13">
        <f>'Annual Raw'!W108</f>
        <v>151.69999999999999</v>
      </c>
      <c r="W107" s="13">
        <f>'Annual Raw'!X108</f>
        <v>274.3</v>
      </c>
      <c r="X107" s="13">
        <f>'Annual Raw'!Y108</f>
        <v>242.4</v>
      </c>
      <c r="Y107" s="13">
        <f>'Annual Raw'!Z108</f>
        <v>285</v>
      </c>
      <c r="Z107" s="13">
        <f>'Annual Raw'!AA108</f>
        <v>295.14999999999998</v>
      </c>
      <c r="AA107" s="13">
        <f>'Annual Raw'!AB108</f>
        <v>385.05</v>
      </c>
      <c r="AB107" s="37">
        <f>+MIN(CM107:CP107)</f>
        <v>540.26465743498079</v>
      </c>
      <c r="AC107" s="37">
        <f>+MIN(CQ107:CT107)</f>
        <v>637.28631977034252</v>
      </c>
      <c r="AD107" s="37">
        <f>+MIN(CU107:CX107)</f>
        <v>684.43001046827453</v>
      </c>
      <c r="AE107" s="37">
        <f>+MIN(CY107:DB107)</f>
        <v>734.65028455096297</v>
      </c>
      <c r="AJ107" s="13">
        <f>+'QTR Share Price'!HP20</f>
        <v>113.55</v>
      </c>
      <c r="AK107" s="13">
        <f>+'QTR Share Price'!HQ20</f>
        <v>128.55000000000001</v>
      </c>
      <c r="AL107" s="13">
        <f>+'QTR Share Price'!HR20</f>
        <v>110.55</v>
      </c>
      <c r="AM107" s="13">
        <f>+'QTR Share Price'!HS20</f>
        <v>96.2</v>
      </c>
      <c r="AN107" s="13">
        <f>+'QTR Share Price'!HT20</f>
        <v>94</v>
      </c>
      <c r="AO107" s="13">
        <f>+'QTR Share Price'!HU20</f>
        <v>121.6</v>
      </c>
      <c r="AP107" s="13">
        <f>+'QTR Share Price'!HV20</f>
        <v>114.8</v>
      </c>
      <c r="AQ107" s="13">
        <f>+'QTR Share Price'!HW20</f>
        <v>121.1</v>
      </c>
      <c r="AR107" s="13">
        <f>+'QTR Share Price'!HX20</f>
        <v>152</v>
      </c>
      <c r="AS107" s="13">
        <f>+'QTR Share Price'!HY20</f>
        <v>153.05000000000001</v>
      </c>
      <c r="AT107" s="13">
        <f>+'QTR Share Price'!HZ20</f>
        <v>152.5</v>
      </c>
      <c r="AU107" s="13">
        <f>+'QTR Share Price'!IA20</f>
        <v>160.19999999999999</v>
      </c>
      <c r="AV107" s="13">
        <f>+'QTR Share Price'!IB20</f>
        <v>117.2</v>
      </c>
      <c r="AW107" s="13">
        <f>+'QTR Share Price'!IC20</f>
        <v>136.30000000000001</v>
      </c>
      <c r="AX107" s="13">
        <f>+'QTR Share Price'!ID20</f>
        <v>135.80000000000001</v>
      </c>
      <c r="AY107" s="13">
        <f>+'QTR Share Price'!IE20</f>
        <v>158.19999999999999</v>
      </c>
      <c r="AZ107" s="13">
        <f>+'QTR Share Price'!IF20</f>
        <v>176</v>
      </c>
      <c r="BA107" s="13">
        <f>+'QTR Share Price'!IG20</f>
        <v>231</v>
      </c>
      <c r="BB107" s="13">
        <f>+'QTR Share Price'!IH20</f>
        <v>250.1</v>
      </c>
      <c r="BC107" s="13">
        <f>+'QTR Share Price'!II20</f>
        <v>226.75</v>
      </c>
      <c r="BD107" s="13">
        <f>+'QTR Share Price'!IJ20</f>
        <v>263.10000000000002</v>
      </c>
      <c r="BE107" s="13">
        <f>+'QTR Share Price'!IK20</f>
        <v>281.39999999999998</v>
      </c>
      <c r="BF107" s="13">
        <f>+'QTR Share Price'!IL20</f>
        <v>275.10000000000002</v>
      </c>
      <c r="BG107" s="13">
        <f>+'QTR Share Price'!IM20</f>
        <v>270</v>
      </c>
      <c r="BH107" s="13">
        <f>+'QTR Share Price'!IN20</f>
        <v>261.14999999999998</v>
      </c>
      <c r="BI107" s="13">
        <f>+'QTR Share Price'!IO20</f>
        <v>259.5</v>
      </c>
      <c r="BJ107" s="13">
        <f>+'QTR Share Price'!IP20</f>
        <v>243</v>
      </c>
      <c r="BK107" s="13">
        <f>+'QTR Share Price'!IQ20</f>
        <v>225.7</v>
      </c>
      <c r="BL107" s="13">
        <f>+'QTR Share Price'!IR20</f>
        <v>193</v>
      </c>
      <c r="BM107" s="13">
        <f>+'QTR Share Price'!IS20</f>
        <v>199</v>
      </c>
      <c r="BN107" s="13">
        <f>+'QTR Share Price'!IT20</f>
        <v>122</v>
      </c>
      <c r="BO107" s="13">
        <f>+'QTR Share Price'!IU20</f>
        <v>151.69999999999999</v>
      </c>
      <c r="BP107" s="13">
        <f>+'QTR Share Price'!IV20</f>
        <v>182.5</v>
      </c>
      <c r="BQ107" s="13">
        <f>+'QTR Share Price'!IW20</f>
        <v>197.55</v>
      </c>
      <c r="BR107" s="13">
        <f>+'QTR Share Price'!IX20</f>
        <v>230.8</v>
      </c>
      <c r="BS107" s="13">
        <f>+'QTR Share Price'!IY20</f>
        <v>274.3</v>
      </c>
      <c r="BT107" s="13">
        <f>+'QTR Share Price'!IZ20</f>
        <v>294</v>
      </c>
      <c r="BU107" s="13">
        <f>+'QTR Share Price'!JA20</f>
        <v>305.60000000000002</v>
      </c>
      <c r="BV107" s="13">
        <f>+'QTR Share Price'!JB20</f>
        <v>295.60000000000002</v>
      </c>
      <c r="BW107" s="13">
        <f>+'QTR Share Price'!JC20</f>
        <v>245.25</v>
      </c>
      <c r="BX107" s="13">
        <f>+'QTR Share Price'!JD20</f>
        <v>242.4</v>
      </c>
      <c r="BY107" s="13">
        <f>+'QTR Share Price'!JE20</f>
        <v>264.5</v>
      </c>
      <c r="BZ107" s="13">
        <f>+'QTR Share Price'!JF20</f>
        <v>292.3</v>
      </c>
      <c r="CA107" s="13">
        <f>+'QTR Share Price'!JG20</f>
        <v>293.14999999999998</v>
      </c>
      <c r="CB107" s="13">
        <f>+'QTR Share Price'!JH20</f>
        <v>294</v>
      </c>
      <c r="CC107" s="13">
        <f>+'QTR Share Price'!JI20</f>
        <v>290.55</v>
      </c>
      <c r="CD107" s="13">
        <f>+'QTR Share Price'!JJ20</f>
        <v>285</v>
      </c>
      <c r="CE107" s="13">
        <f>+'QTR Share Price'!JK20</f>
        <v>295.14999999999998</v>
      </c>
      <c r="CF107" s="13">
        <f>+'QTR Share Price'!JL20</f>
        <v>475.55</v>
      </c>
      <c r="CG107" s="13">
        <f>+'QTR Share Price'!JM20</f>
        <v>430.25</v>
      </c>
      <c r="CH107" s="13">
        <f>+'QTR Share Price'!JN20</f>
        <v>378.65</v>
      </c>
      <c r="CI107" s="13">
        <f>+'QTR Share Price'!JO20</f>
        <v>385.05</v>
      </c>
      <c r="CJ107" s="13">
        <f>+'QTR Share Price'!JP20</f>
        <v>413.4</v>
      </c>
      <c r="CK107" s="13">
        <f>+'QTR Share Price'!JQ20</f>
        <v>453.5</v>
      </c>
      <c r="CL107" s="13">
        <f>+'QTR Share Price'!JR20</f>
        <v>484</v>
      </c>
      <c r="CM107" s="37">
        <f t="shared" ref="CM107:DB107" si="991">+CM136/CM93</f>
        <v>540.26465743498079</v>
      </c>
      <c r="CN107" s="37">
        <f t="shared" si="991"/>
        <v>596.45491134604447</v>
      </c>
      <c r="CO107" s="37">
        <f t="shared" si="991"/>
        <v>629.23071903528512</v>
      </c>
      <c r="CP107" s="37">
        <f t="shared" si="991"/>
        <v>631.21448702290263</v>
      </c>
      <c r="CQ107" s="37">
        <f t="shared" si="991"/>
        <v>637.28631977034252</v>
      </c>
      <c r="CR107" s="37">
        <f t="shared" si="991"/>
        <v>645.17447583877765</v>
      </c>
      <c r="CS107" s="37">
        <f t="shared" si="991"/>
        <v>655.93562804126157</v>
      </c>
      <c r="CT107" s="37">
        <f t="shared" si="991"/>
        <v>669.99147235225212</v>
      </c>
      <c r="CU107" s="37">
        <f t="shared" si="991"/>
        <v>684.43001046827453</v>
      </c>
      <c r="CV107" s="37">
        <f t="shared" si="991"/>
        <v>699.04209365721204</v>
      </c>
      <c r="CW107" s="37">
        <f t="shared" si="991"/>
        <v>712.68842505458827</v>
      </c>
      <c r="CX107" s="37">
        <f t="shared" si="991"/>
        <v>723.95810807604209</v>
      </c>
      <c r="CY107" s="37">
        <f t="shared" si="991"/>
        <v>734.65028455096297</v>
      </c>
      <c r="CZ107" s="37">
        <f t="shared" si="991"/>
        <v>746.9073105955282</v>
      </c>
      <c r="DA107" s="37">
        <f t="shared" si="991"/>
        <v>759.74223472971892</v>
      </c>
      <c r="DB107" s="37">
        <f t="shared" si="991"/>
        <v>772.46498608239062</v>
      </c>
      <c r="DE107" s="134"/>
      <c r="DF107" s="13">
        <v>484</v>
      </c>
    </row>
    <row r="108" spans="1:110" s="14" customFormat="1" x14ac:dyDescent="0.2">
      <c r="AB108" s="16"/>
      <c r="AC108" s="16"/>
      <c r="AD108" s="16"/>
      <c r="AE108" s="16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E108" s="134"/>
    </row>
    <row r="109" spans="1:110" s="51" customFormat="1" x14ac:dyDescent="0.2">
      <c r="A109" s="51" t="s">
        <v>346</v>
      </c>
      <c r="AB109" s="48">
        <f t="shared" ref="AB109:AD109" si="992">+AB106/AB105-1</f>
        <v>0.61592573485355251</v>
      </c>
      <c r="AC109" s="48">
        <f t="shared" si="992"/>
        <v>0.70033896581592781</v>
      </c>
      <c r="AD109" s="48">
        <f t="shared" si="992"/>
        <v>0.78938744273955042</v>
      </c>
      <c r="AE109" s="48">
        <f t="shared" ref="AE109" si="993">+AE106/AE105-1</f>
        <v>0.86388143445616894</v>
      </c>
      <c r="CM109" s="48">
        <f t="shared" ref="CM109:DB109" si="994">+CM106/CM105-1</f>
        <v>0.39141327128859937</v>
      </c>
      <c r="CN109" s="48">
        <f t="shared" si="994"/>
        <v>0.53391966523728973</v>
      </c>
      <c r="CO109" s="48">
        <f t="shared" si="994"/>
        <v>0.61535539948898488</v>
      </c>
      <c r="CP109" s="48">
        <f t="shared" si="994"/>
        <v>0.61592573485355251</v>
      </c>
      <c r="CQ109" s="48">
        <f t="shared" si="994"/>
        <v>0.62999654671442928</v>
      </c>
      <c r="CR109" s="48">
        <f t="shared" si="994"/>
        <v>0.64650820800212827</v>
      </c>
      <c r="CS109" s="48">
        <f t="shared" si="994"/>
        <v>0.66927608920127368</v>
      </c>
      <c r="CT109" s="48">
        <f t="shared" si="994"/>
        <v>0.70033896581592781</v>
      </c>
      <c r="CU109" s="48">
        <f t="shared" si="994"/>
        <v>0.727128660316682</v>
      </c>
      <c r="CV109" s="48">
        <f t="shared" si="994"/>
        <v>0.75231528814173187</v>
      </c>
      <c r="CW109" s="48">
        <f t="shared" si="994"/>
        <v>0.77396999708191339</v>
      </c>
      <c r="CX109" s="48">
        <f t="shared" si="994"/>
        <v>0.78938744273955042</v>
      </c>
      <c r="CY109" s="48">
        <f t="shared" si="994"/>
        <v>0.80627108119550539</v>
      </c>
      <c r="CZ109" s="48">
        <f t="shared" si="994"/>
        <v>0.82524841500367918</v>
      </c>
      <c r="DA109" s="48">
        <f t="shared" si="994"/>
        <v>0.84474108673109738</v>
      </c>
      <c r="DB109" s="48">
        <f t="shared" si="994"/>
        <v>0.86388143445616894</v>
      </c>
      <c r="DE109" s="129"/>
      <c r="DF109" s="51">
        <v>0.45878136200716857</v>
      </c>
    </row>
    <row r="110" spans="1:110" s="51" customFormat="1" x14ac:dyDescent="0.2">
      <c r="A110" s="51" t="s">
        <v>347</v>
      </c>
      <c r="AB110" s="48">
        <f t="shared" ref="AB110:AD110" si="995">+AB107/AB105-1</f>
        <v>-8.1182555382685706E-2</v>
      </c>
      <c r="AC110" s="48">
        <f t="shared" si="995"/>
        <v>8.3820271718269668E-2</v>
      </c>
      <c r="AD110" s="48">
        <f t="shared" si="995"/>
        <v>0.16399661644264385</v>
      </c>
      <c r="AE110" s="48">
        <f t="shared" ref="AE110" si="996">+AE107/AE105-1</f>
        <v>0.24940524583497092</v>
      </c>
      <c r="CM110" s="48">
        <f t="shared" ref="CM110:DB110" si="997">+CM107/CM105-1</f>
        <v>-8.1182555382685706E-2</v>
      </c>
      <c r="CN110" s="48">
        <f t="shared" si="997"/>
        <v>1.4379100928647137E-2</v>
      </c>
      <c r="CO110" s="48">
        <f t="shared" si="997"/>
        <v>7.0120270468172041E-2</v>
      </c>
      <c r="CP110" s="48">
        <f t="shared" si="997"/>
        <v>7.3494025549154074E-2</v>
      </c>
      <c r="CQ110" s="48">
        <f t="shared" si="997"/>
        <v>8.3820271718269668E-2</v>
      </c>
      <c r="CR110" s="48">
        <f t="shared" si="997"/>
        <v>9.7235503127172773E-2</v>
      </c>
      <c r="CS110" s="48">
        <f t="shared" si="997"/>
        <v>0.11553678238309795</v>
      </c>
      <c r="CT110" s="48">
        <f t="shared" si="997"/>
        <v>0.13944127951063279</v>
      </c>
      <c r="CU110" s="48">
        <f t="shared" si="997"/>
        <v>0.16399661644264385</v>
      </c>
      <c r="CV110" s="48">
        <f t="shared" si="997"/>
        <v>0.18884709805648314</v>
      </c>
      <c r="CW110" s="48">
        <f t="shared" si="997"/>
        <v>0.21205514465066022</v>
      </c>
      <c r="CX110" s="48">
        <f t="shared" si="997"/>
        <v>0.2312212722381668</v>
      </c>
      <c r="CY110" s="48">
        <f t="shared" si="997"/>
        <v>0.24940524583497092</v>
      </c>
      <c r="CZ110" s="48">
        <f t="shared" si="997"/>
        <v>0.27025052822368734</v>
      </c>
      <c r="DA110" s="48">
        <f t="shared" si="997"/>
        <v>0.2920786304927192</v>
      </c>
      <c r="DB110" s="48">
        <f t="shared" si="997"/>
        <v>0.31371596272515423</v>
      </c>
      <c r="DE110" s="129"/>
      <c r="DF110" s="51">
        <v>-0.23327359617682197</v>
      </c>
    </row>
    <row r="111" spans="1:110" s="14" customFormat="1" x14ac:dyDescent="0.2">
      <c r="AB111" s="16"/>
      <c r="AC111" s="16"/>
      <c r="AD111" s="16"/>
      <c r="AE111" s="16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E111" s="134"/>
    </row>
    <row r="112" spans="1:110" s="13" customFormat="1" x14ac:dyDescent="0.2">
      <c r="A112" s="13" t="s">
        <v>40</v>
      </c>
      <c r="AB112" s="37"/>
      <c r="AC112" s="37"/>
      <c r="AD112" s="37"/>
      <c r="AE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E112" s="134"/>
    </row>
    <row r="113" spans="1:110" s="13" customFormat="1" x14ac:dyDescent="0.2">
      <c r="A113" s="13" t="s">
        <v>460</v>
      </c>
      <c r="B113" s="13">
        <f t="shared" ref="B113:D113" si="998">+B105/B97</f>
        <v>0.52685429373259296</v>
      </c>
      <c r="C113" s="13">
        <f t="shared" si="998"/>
        <v>2.2474775686770774</v>
      </c>
      <c r="D113" s="13">
        <f t="shared" si="998"/>
        <v>0.43694217457369577</v>
      </c>
      <c r="E113" s="13" t="e">
        <f t="shared" ref="E113:AE113" ca="1" si="999">+E105/E97</f>
        <v>#DIV/0!</v>
      </c>
      <c r="F113" s="13" t="e">
        <f t="shared" ca="1" si="999"/>
        <v>#DIV/0!</v>
      </c>
      <c r="G113" s="13" t="e">
        <f t="shared" ca="1" si="999"/>
        <v>#DIV/0!</v>
      </c>
      <c r="H113" s="13" t="e">
        <f t="shared" ca="1" si="999"/>
        <v>#DIV/0!</v>
      </c>
      <c r="I113" s="13" t="e">
        <f t="shared" ca="1" si="999"/>
        <v>#DIV/0!</v>
      </c>
      <c r="J113" s="13" t="e">
        <f t="shared" ca="1" si="999"/>
        <v>#DIV/0!</v>
      </c>
      <c r="K113" s="13" t="e">
        <f t="shared" ca="1" si="999"/>
        <v>#DIV/0!</v>
      </c>
      <c r="L113" s="13" t="e">
        <f t="shared" ca="1" si="999"/>
        <v>#DIV/0!</v>
      </c>
      <c r="M113" s="13" t="e">
        <f t="shared" ca="1" si="999"/>
        <v>#DIV/0!</v>
      </c>
      <c r="N113" s="13" t="e">
        <f t="shared" ca="1" si="999"/>
        <v>#DIV/0!</v>
      </c>
      <c r="O113" s="13" t="e">
        <f t="shared" ca="1" si="999"/>
        <v>#DIV/0!</v>
      </c>
      <c r="P113" s="13" t="e">
        <f t="shared" ca="1" si="999"/>
        <v>#DIV/0!</v>
      </c>
      <c r="Q113" s="13" t="e">
        <f t="shared" ca="1" si="999"/>
        <v>#DIV/0!</v>
      </c>
      <c r="R113" s="13" t="e">
        <f t="shared" ca="1" si="999"/>
        <v>#DIV/0!</v>
      </c>
      <c r="S113" s="13" t="e">
        <f t="shared" ca="1" si="999"/>
        <v>#DIV/0!</v>
      </c>
      <c r="T113" s="13" t="e">
        <f t="shared" ca="1" si="999"/>
        <v>#DIV/0!</v>
      </c>
      <c r="U113" s="13" t="e">
        <f t="shared" ca="1" si="999"/>
        <v>#DIV/0!</v>
      </c>
      <c r="V113" s="13" t="e">
        <f t="shared" ca="1" si="999"/>
        <v>#DIV/0!</v>
      </c>
      <c r="W113" s="13" t="e">
        <f t="shared" ca="1" si="999"/>
        <v>#DIV/0!</v>
      </c>
      <c r="X113" s="13" t="e">
        <f t="shared" ca="1" si="999"/>
        <v>#DIV/0!</v>
      </c>
      <c r="Y113" s="13" t="e">
        <f t="shared" ca="1" si="999"/>
        <v>#DIV/0!</v>
      </c>
      <c r="Z113" s="13" t="e">
        <f t="shared" ref="Z113:AA113" ca="1" si="1000">+Z105/Z97</f>
        <v>#DIV/0!</v>
      </c>
      <c r="AA113" s="13" t="e">
        <f t="shared" ca="1" si="1000"/>
        <v>#DIV/0!</v>
      </c>
      <c r="AB113" s="37" t="e">
        <f t="shared" ca="1" si="999"/>
        <v>#DIV/0!</v>
      </c>
      <c r="AC113" s="37" t="e">
        <f t="shared" ca="1" si="999"/>
        <v>#DIV/0!</v>
      </c>
      <c r="AD113" s="37" t="e">
        <f t="shared" ca="1" si="999"/>
        <v>#DIV/0!</v>
      </c>
      <c r="AE113" s="37" t="e">
        <f t="shared" ca="1" si="999"/>
        <v>#DIV/0!</v>
      </c>
      <c r="AL113" s="13">
        <f t="shared" ref="AL113:BQ113" si="1001">+AL105/AL97</f>
        <v>7.4000001445711368</v>
      </c>
      <c r="AM113" s="13">
        <f t="shared" si="1001"/>
        <v>6.1865588339545834</v>
      </c>
      <c r="AN113" s="13">
        <f t="shared" si="1001"/>
        <v>7.8529843187930002</v>
      </c>
      <c r="AO113" s="13">
        <f t="shared" si="1001"/>
        <v>7.6990663733433493</v>
      </c>
      <c r="AP113" s="13">
        <f t="shared" si="1001"/>
        <v>7.7843263774548577</v>
      </c>
      <c r="AQ113" s="13">
        <f t="shared" si="1001"/>
        <v>10.176509716177549</v>
      </c>
      <c r="AR113" s="13">
        <f t="shared" si="1001"/>
        <v>9.1738470447845</v>
      </c>
      <c r="AS113" s="13">
        <f t="shared" si="1001"/>
        <v>8.9245768838264148</v>
      </c>
      <c r="AT113" s="13">
        <f t="shared" si="1001"/>
        <v>8.3312266154312855</v>
      </c>
      <c r="AU113" s="13">
        <f t="shared" si="1001"/>
        <v>8.2645959153457991</v>
      </c>
      <c r="AV113" s="13">
        <f t="shared" si="1001"/>
        <v>6.8436984566275942</v>
      </c>
      <c r="AW113" s="13">
        <f t="shared" si="1001"/>
        <v>7.6634365790105337</v>
      </c>
      <c r="AX113" s="13">
        <f t="shared" si="1001"/>
        <v>9.4484228203868899</v>
      </c>
      <c r="AY113" s="13">
        <f t="shared" si="1001"/>
        <v>10.41286572954005</v>
      </c>
      <c r="AZ113" s="13">
        <f t="shared" si="1001"/>
        <v>14.226749540924157</v>
      </c>
      <c r="BA113" s="13">
        <f t="shared" si="1001"/>
        <v>14.571758681073579</v>
      </c>
      <c r="BB113" s="13">
        <f t="shared" si="1001"/>
        <v>14.67521945646946</v>
      </c>
      <c r="BC113" s="13">
        <f t="shared" si="1001"/>
        <v>12.113233529668413</v>
      </c>
      <c r="BD113" s="13">
        <f t="shared" si="1001"/>
        <v>13.074118631656033</v>
      </c>
      <c r="BE113" s="13">
        <f t="shared" si="1001"/>
        <v>13.689053161371502</v>
      </c>
      <c r="BF113" s="13">
        <f t="shared" si="1001"/>
        <v>14.071643979637008</v>
      </c>
      <c r="BG113" s="13">
        <f t="shared" si="1001"/>
        <v>12.852109762824048</v>
      </c>
      <c r="BH113" s="13">
        <f t="shared" si="1001"/>
        <v>14.2883428438337</v>
      </c>
      <c r="BI113" s="13">
        <f t="shared" si="1001"/>
        <v>13.80829411764706</v>
      </c>
      <c r="BJ113" s="13">
        <f t="shared" si="1001"/>
        <v>14.678104575163397</v>
      </c>
      <c r="BK113" s="13">
        <f t="shared" si="1001"/>
        <v>13.211585287709855</v>
      </c>
      <c r="BL113" s="13">
        <f t="shared" si="1001"/>
        <v>11.17904944850663</v>
      </c>
      <c r="BM113" s="13">
        <f t="shared" si="1001"/>
        <v>11.847853704198982</v>
      </c>
      <c r="BN113" s="13">
        <f t="shared" si="1001"/>
        <v>9.6327516531961788</v>
      </c>
      <c r="BO113" s="13">
        <f t="shared" si="1001"/>
        <v>12.937783247382402</v>
      </c>
      <c r="BP113" s="13">
        <f t="shared" si="1001"/>
        <v>14.171100990731864</v>
      </c>
      <c r="BQ113" s="13">
        <f t="shared" si="1001"/>
        <v>14.760931558935361</v>
      </c>
      <c r="BR113" s="13">
        <f t="shared" ref="BR113:DB113" si="1002">+BR105/BR97</f>
        <v>14.443358395989977</v>
      </c>
      <c r="BS113" s="13">
        <f t="shared" si="1002"/>
        <v>16.413095101853973</v>
      </c>
      <c r="BT113" s="13">
        <f t="shared" si="1002"/>
        <v>14.927694271128756</v>
      </c>
      <c r="BU113" s="13">
        <f t="shared" si="1002"/>
        <v>14.367539716616575</v>
      </c>
      <c r="BV113" s="13">
        <f t="shared" si="1002"/>
        <v>13.402463382157123</v>
      </c>
      <c r="BW113" s="13">
        <f t="shared" si="1002"/>
        <v>9.8129539951573861</v>
      </c>
      <c r="BX113" s="13">
        <f t="shared" si="1002"/>
        <v>9.9019384264538193</v>
      </c>
      <c r="BY113" s="13">
        <f t="shared" si="1002"/>
        <v>12.54734708916728</v>
      </c>
      <c r="BZ113" s="13">
        <f t="shared" si="1002"/>
        <v>11.793502045476165</v>
      </c>
      <c r="CA113" s="13">
        <f t="shared" si="1002"/>
        <v>13.832676116380688</v>
      </c>
      <c r="CB113" s="13">
        <f t="shared" si="1002"/>
        <v>15.472960151802658</v>
      </c>
      <c r="CC113" s="13">
        <f t="shared" si="1002"/>
        <v>16.179552023121389</v>
      </c>
      <c r="CD113" s="13">
        <f t="shared" si="1002"/>
        <v>15.913858100270655</v>
      </c>
      <c r="CE113" s="13">
        <f t="shared" si="1002"/>
        <v>34.718703931203926</v>
      </c>
      <c r="CF113" s="13">
        <f t="shared" si="1002"/>
        <v>25.016636435778256</v>
      </c>
      <c r="CG113" s="13">
        <f t="shared" si="1002"/>
        <v>19.793395628761481</v>
      </c>
      <c r="CH113" s="13">
        <f t="shared" si="1002"/>
        <v>18.704005366040629</v>
      </c>
      <c r="CI113" s="13">
        <f t="shared" ref="CI113:CJ113" si="1003">+CI105/CI97</f>
        <v>18.448825665859566</v>
      </c>
      <c r="CJ113" s="13">
        <f t="shared" si="1003"/>
        <v>19.295259844755773</v>
      </c>
      <c r="CK113" s="13">
        <f t="shared" ref="CK113:CL113" si="1004">+CK105/CK97</f>
        <v>21.966268998896151</v>
      </c>
      <c r="CL113" s="13">
        <f t="shared" si="1004"/>
        <v>15.367530962555225</v>
      </c>
      <c r="CM113" s="37">
        <f t="shared" si="1002"/>
        <v>15.828569151328519</v>
      </c>
      <c r="CN113" s="37">
        <f t="shared" si="1002"/>
        <v>14.291530262089797</v>
      </c>
      <c r="CO113" s="37">
        <f t="shared" si="1002"/>
        <v>13.720133115725645</v>
      </c>
      <c r="CP113" s="37">
        <f t="shared" si="1002"/>
        <v>14.017554476255924</v>
      </c>
      <c r="CQ113" s="37">
        <f t="shared" si="1002"/>
        <v>14.014458098578848</v>
      </c>
      <c r="CR113" s="37">
        <f t="shared" si="1002"/>
        <v>14.004195591509557</v>
      </c>
      <c r="CS113" s="37">
        <f t="shared" si="1002"/>
        <v>13.928361016684397</v>
      </c>
      <c r="CT113" s="37">
        <f t="shared" si="1002"/>
        <v>13.748718573150168</v>
      </c>
      <c r="CU113" s="37">
        <f t="shared" si="1002"/>
        <v>13.876324897170864</v>
      </c>
      <c r="CV113" s="37">
        <f t="shared" si="1002"/>
        <v>13.935617095815951</v>
      </c>
      <c r="CW113" s="37">
        <f t="shared" si="1002"/>
        <v>13.929402227599599</v>
      </c>
      <c r="CX113" s="37">
        <f t="shared" si="1002"/>
        <v>13.871645260408588</v>
      </c>
      <c r="CY113" s="37">
        <f t="shared" si="1002"/>
        <v>13.631323345582176</v>
      </c>
      <c r="CZ113" s="37">
        <f t="shared" si="1002"/>
        <v>13.420099990997892</v>
      </c>
      <c r="DA113" s="37">
        <f t="shared" si="1002"/>
        <v>13.232947310714941</v>
      </c>
      <c r="DB113" s="37">
        <f t="shared" si="1002"/>
        <v>13.059864133000008</v>
      </c>
      <c r="DE113" s="134"/>
      <c r="DF113" s="13">
        <v>16.074822859036139</v>
      </c>
    </row>
    <row r="114" spans="1:110" s="13" customFormat="1" x14ac:dyDescent="0.2">
      <c r="A114" s="13" t="s">
        <v>461</v>
      </c>
      <c r="B114" s="13">
        <f t="shared" ref="B114:D114" si="1005">+B106/B97</f>
        <v>0.67417374079526127</v>
      </c>
      <c r="C114" s="13">
        <f t="shared" si="1005"/>
        <v>2.356276621102662</v>
      </c>
      <c r="D114" s="13">
        <f t="shared" si="1005"/>
        <v>1.1369413726152289</v>
      </c>
      <c r="E114" s="13" t="e">
        <f t="shared" ref="E114:AE114" ca="1" si="1006">+E106/E97</f>
        <v>#DIV/0!</v>
      </c>
      <c r="F114" s="13" t="e">
        <f t="shared" ca="1" si="1006"/>
        <v>#DIV/0!</v>
      </c>
      <c r="G114" s="13" t="e">
        <f t="shared" ca="1" si="1006"/>
        <v>#DIV/0!</v>
      </c>
      <c r="H114" s="13" t="e">
        <f t="shared" ca="1" si="1006"/>
        <v>#DIV/0!</v>
      </c>
      <c r="I114" s="13" t="e">
        <f t="shared" ca="1" si="1006"/>
        <v>#DIV/0!</v>
      </c>
      <c r="J114" s="13" t="e">
        <f t="shared" ca="1" si="1006"/>
        <v>#DIV/0!</v>
      </c>
      <c r="K114" s="13" t="e">
        <f t="shared" ca="1" si="1006"/>
        <v>#DIV/0!</v>
      </c>
      <c r="L114" s="13" t="e">
        <f t="shared" ca="1" si="1006"/>
        <v>#DIV/0!</v>
      </c>
      <c r="M114" s="13" t="e">
        <f t="shared" ca="1" si="1006"/>
        <v>#DIV/0!</v>
      </c>
      <c r="N114" s="13" t="e">
        <f t="shared" ca="1" si="1006"/>
        <v>#DIV/0!</v>
      </c>
      <c r="O114" s="13" t="e">
        <f t="shared" ca="1" si="1006"/>
        <v>#DIV/0!</v>
      </c>
      <c r="P114" s="13" t="e">
        <f t="shared" ca="1" si="1006"/>
        <v>#DIV/0!</v>
      </c>
      <c r="Q114" s="13" t="e">
        <f t="shared" ca="1" si="1006"/>
        <v>#DIV/0!</v>
      </c>
      <c r="R114" s="13" t="e">
        <f t="shared" ca="1" si="1006"/>
        <v>#DIV/0!</v>
      </c>
      <c r="S114" s="13" t="e">
        <f t="shared" ca="1" si="1006"/>
        <v>#DIV/0!</v>
      </c>
      <c r="T114" s="13" t="e">
        <f t="shared" ca="1" si="1006"/>
        <v>#DIV/0!</v>
      </c>
      <c r="U114" s="13" t="e">
        <f t="shared" ca="1" si="1006"/>
        <v>#DIV/0!</v>
      </c>
      <c r="V114" s="13" t="e">
        <f t="shared" ca="1" si="1006"/>
        <v>#DIV/0!</v>
      </c>
      <c r="W114" s="13" t="e">
        <f t="shared" ca="1" si="1006"/>
        <v>#DIV/0!</v>
      </c>
      <c r="X114" s="13" t="e">
        <f t="shared" ca="1" si="1006"/>
        <v>#DIV/0!</v>
      </c>
      <c r="Y114" s="13" t="e">
        <f t="shared" ca="1" si="1006"/>
        <v>#DIV/0!</v>
      </c>
      <c r="Z114" s="13" t="e">
        <f t="shared" ref="Z114:AA114" ca="1" si="1007">+Z106/Z97</f>
        <v>#DIV/0!</v>
      </c>
      <c r="AA114" s="13" t="e">
        <f t="shared" ca="1" si="1007"/>
        <v>#DIV/0!</v>
      </c>
      <c r="AB114" s="60" t="e">
        <f t="shared" ca="1" si="1006"/>
        <v>#DIV/0!</v>
      </c>
      <c r="AC114" s="60" t="e">
        <f t="shared" ca="1" si="1006"/>
        <v>#DIV/0!</v>
      </c>
      <c r="AD114" s="60" t="e">
        <f t="shared" ca="1" si="1006"/>
        <v>#DIV/0!</v>
      </c>
      <c r="AE114" s="60" t="e">
        <f t="shared" ca="1" si="1006"/>
        <v>#DIV/0!</v>
      </c>
      <c r="AL114" s="13">
        <f t="shared" ref="AL114:BQ114" si="1008">+AL106/AL97</f>
        <v>8.7315726014564081</v>
      </c>
      <c r="AM114" s="13">
        <f t="shared" si="1008"/>
        <v>7.5663818632943807</v>
      </c>
      <c r="AN114" s="13">
        <f t="shared" si="1008"/>
        <v>8.1008801033772215</v>
      </c>
      <c r="AO114" s="13">
        <f t="shared" si="1008"/>
        <v>8.1640911448552167</v>
      </c>
      <c r="AP114" s="13">
        <f t="shared" si="1008"/>
        <v>8.6000582806630224</v>
      </c>
      <c r="AQ114" s="13">
        <f t="shared" si="1008"/>
        <v>11.22925210060971</v>
      </c>
      <c r="AR114" s="13">
        <f t="shared" si="1008"/>
        <v>10.15197248350414</v>
      </c>
      <c r="AS114" s="13">
        <f t="shared" si="1008"/>
        <v>9.3725083916439438</v>
      </c>
      <c r="AT114" s="13">
        <f t="shared" si="1008"/>
        <v>9.8008374888978498</v>
      </c>
      <c r="AU114" s="13">
        <f t="shared" si="1008"/>
        <v>9.0861066470508316</v>
      </c>
      <c r="AV114" s="13">
        <f t="shared" si="1008"/>
        <v>8.3334831546689756</v>
      </c>
      <c r="AW114" s="13">
        <f t="shared" si="1008"/>
        <v>8.54948876191796</v>
      </c>
      <c r="AX114" s="13">
        <f t="shared" si="1008"/>
        <v>10.287710515058858</v>
      </c>
      <c r="AY114" s="13">
        <f t="shared" si="1008"/>
        <v>10.983314714167243</v>
      </c>
      <c r="AZ114" s="13">
        <f t="shared" si="1008"/>
        <v>14.382283137191495</v>
      </c>
      <c r="BA114" s="13">
        <f t="shared" si="1008"/>
        <v>16.534054624032795</v>
      </c>
      <c r="BB114" s="13">
        <f t="shared" si="1008"/>
        <v>16.938612313612314</v>
      </c>
      <c r="BC114" s="13">
        <f t="shared" si="1008"/>
        <v>13.557973385689353</v>
      </c>
      <c r="BD114" s="13">
        <f t="shared" si="1008"/>
        <v>13.860864107124179</v>
      </c>
      <c r="BE114" s="13">
        <f t="shared" si="1008"/>
        <v>14.645957848379997</v>
      </c>
      <c r="BF114" s="13">
        <f t="shared" si="1008"/>
        <v>15.876480190349714</v>
      </c>
      <c r="BG114" s="13">
        <f t="shared" si="1008"/>
        <v>15.676544401544401</v>
      </c>
      <c r="BH114" s="13">
        <f t="shared" si="1008"/>
        <v>15.198585070455337</v>
      </c>
      <c r="BI114" s="13">
        <f t="shared" si="1008"/>
        <v>14.862058823529413</v>
      </c>
      <c r="BJ114" s="13">
        <f t="shared" si="1008"/>
        <v>14.946282679738561</v>
      </c>
      <c r="BK114" s="13">
        <f t="shared" si="1008"/>
        <v>15.799756503908753</v>
      </c>
      <c r="BL114" s="13">
        <f t="shared" si="1008"/>
        <v>13.009062461271533</v>
      </c>
      <c r="BM114" s="13">
        <f t="shared" si="1008"/>
        <v>12.71228938218775</v>
      </c>
      <c r="BN114" s="13">
        <f t="shared" si="1008"/>
        <v>13.94467303453343</v>
      </c>
      <c r="BO114" s="13">
        <f t="shared" si="1008"/>
        <v>13.518811533052039</v>
      </c>
      <c r="BP114" s="13">
        <f t="shared" si="1008"/>
        <v>17.472515180568873</v>
      </c>
      <c r="BQ114" s="13">
        <f t="shared" si="1008"/>
        <v>15.400427756653993</v>
      </c>
      <c r="BR114" s="13">
        <f t="shared" ref="BR114:CH114" si="1009">+BR106/BR97</f>
        <v>17.696820175438599</v>
      </c>
      <c r="BS114" s="13">
        <f t="shared" si="1009"/>
        <v>17.522774090180818</v>
      </c>
      <c r="BT114" s="13">
        <f t="shared" si="1009"/>
        <v>16.813726602382303</v>
      </c>
      <c r="BU114" s="13">
        <f t="shared" si="1009"/>
        <v>18.499114426792616</v>
      </c>
      <c r="BV114" s="13">
        <f t="shared" si="1009"/>
        <v>16.105026631158456</v>
      </c>
      <c r="BW114" s="13">
        <f t="shared" si="1009"/>
        <v>14.034806295399516</v>
      </c>
      <c r="BX114" s="13">
        <f t="shared" si="1009"/>
        <v>11.173033067274801</v>
      </c>
      <c r="BY114" s="13">
        <f t="shared" si="1009"/>
        <v>12.959883935151069</v>
      </c>
      <c r="BZ114" s="13">
        <f t="shared" si="1009"/>
        <v>15.395062315669298</v>
      </c>
      <c r="CA114" s="13">
        <f t="shared" si="1009"/>
        <v>14.789526270915484</v>
      </c>
      <c r="CB114" s="13">
        <f t="shared" si="1009"/>
        <v>17.236717267552184</v>
      </c>
      <c r="CC114" s="13">
        <f t="shared" si="1009"/>
        <v>16.881683526011564</v>
      </c>
      <c r="CD114" s="13">
        <f t="shared" si="1009"/>
        <v>17.702635648923835</v>
      </c>
      <c r="CE114" s="13">
        <f t="shared" si="1009"/>
        <v>41.886670761670757</v>
      </c>
      <c r="CF114" s="13">
        <f t="shared" si="1009"/>
        <v>34.346984468881082</v>
      </c>
      <c r="CG114" s="13">
        <f t="shared" si="1009"/>
        <v>25.650670467743637</v>
      </c>
      <c r="CH114" s="13">
        <f t="shared" si="1009"/>
        <v>19.444878305864318</v>
      </c>
      <c r="CI114" s="13">
        <f t="shared" ref="CI114:CJ114" si="1010">+CI106/CI97</f>
        <v>22.38124697336562</v>
      </c>
      <c r="CJ114" s="13">
        <f t="shared" si="1010"/>
        <v>19.345252745172282</v>
      </c>
      <c r="CK114" s="13">
        <f t="shared" ref="CK114:CL114" si="1011">+CK106/CK97</f>
        <v>23.542975715377427</v>
      </c>
      <c r="CL114" s="13">
        <f t="shared" si="1011"/>
        <v>22.417867748243644</v>
      </c>
      <c r="CM114" s="60">
        <f t="shared" ref="CM114:CM115" si="1012">+CL114</f>
        <v>22.417867748243644</v>
      </c>
      <c r="CN114" s="60">
        <f t="shared" ref="CN114:CN115" si="1013">+CM114</f>
        <v>22.417867748243644</v>
      </c>
      <c r="CO114" s="60">
        <f t="shared" ref="CO114:CO115" si="1014">+CN114</f>
        <v>22.417867748243644</v>
      </c>
      <c r="CP114" s="60">
        <f t="shared" ref="CP114:CP115" si="1015">+CO114</f>
        <v>22.417867748243644</v>
      </c>
      <c r="CQ114" s="60">
        <f t="shared" ref="CQ114:CQ115" si="1016">+CP114</f>
        <v>22.417867748243644</v>
      </c>
      <c r="CR114" s="60">
        <f t="shared" ref="CR114:CR115" si="1017">+CQ114</f>
        <v>22.417867748243644</v>
      </c>
      <c r="CS114" s="60">
        <f t="shared" ref="CS114:CS115" si="1018">+CR114</f>
        <v>22.417867748243644</v>
      </c>
      <c r="CT114" s="60">
        <f t="shared" ref="CT114:CT115" si="1019">+CS114</f>
        <v>22.417867748243644</v>
      </c>
      <c r="CU114" s="60">
        <f t="shared" ref="CU114:CU115" si="1020">+CT114</f>
        <v>22.417867748243644</v>
      </c>
      <c r="CV114" s="60">
        <f t="shared" ref="CV114:CV115" si="1021">+CU114</f>
        <v>22.417867748243644</v>
      </c>
      <c r="CW114" s="60">
        <f t="shared" ref="CW114:CW115" si="1022">+CV114</f>
        <v>22.417867748243644</v>
      </c>
      <c r="CX114" s="60">
        <f t="shared" ref="CX114:CX115" si="1023">+CW114</f>
        <v>22.417867748243644</v>
      </c>
      <c r="CY114" s="60">
        <f t="shared" ref="CY114:CY115" si="1024">+CX114</f>
        <v>22.417867748243644</v>
      </c>
      <c r="CZ114" s="60">
        <f t="shared" ref="CZ114:CZ115" si="1025">+CY114</f>
        <v>22.417867748243644</v>
      </c>
      <c r="DA114" s="60">
        <f t="shared" ref="DA114:DA115" si="1026">+CZ114</f>
        <v>22.417867748243644</v>
      </c>
      <c r="DB114" s="60">
        <f t="shared" ref="DB114:DB115" si="1027">+DA114</f>
        <v>22.417867748243644</v>
      </c>
      <c r="DE114" s="136"/>
      <c r="DF114" s="13">
        <v>23.44965198432871</v>
      </c>
    </row>
    <row r="115" spans="1:110" s="13" customFormat="1" x14ac:dyDescent="0.2">
      <c r="A115" s="13" t="s">
        <v>462</v>
      </c>
      <c r="B115" s="13">
        <f t="shared" ref="B115:D115" si="1028">+B107/B97</f>
        <v>0.1423255675012218</v>
      </c>
      <c r="C115" s="13">
        <f t="shared" si="1028"/>
        <v>0.67766266939364161</v>
      </c>
      <c r="D115" s="13">
        <f t="shared" si="1028"/>
        <v>0.43694217457369577</v>
      </c>
      <c r="E115" s="13" t="e">
        <f t="shared" ref="E115:AE115" ca="1" si="1029">+E107/E97</f>
        <v>#DIV/0!</v>
      </c>
      <c r="F115" s="13" t="e">
        <f t="shared" ca="1" si="1029"/>
        <v>#DIV/0!</v>
      </c>
      <c r="G115" s="13" t="e">
        <f t="shared" ca="1" si="1029"/>
        <v>#DIV/0!</v>
      </c>
      <c r="H115" s="13" t="e">
        <f t="shared" ca="1" si="1029"/>
        <v>#DIV/0!</v>
      </c>
      <c r="I115" s="13" t="e">
        <f t="shared" ca="1" si="1029"/>
        <v>#DIV/0!</v>
      </c>
      <c r="J115" s="13" t="e">
        <f t="shared" ca="1" si="1029"/>
        <v>#DIV/0!</v>
      </c>
      <c r="K115" s="13" t="e">
        <f t="shared" ca="1" si="1029"/>
        <v>#DIV/0!</v>
      </c>
      <c r="L115" s="13" t="e">
        <f t="shared" ca="1" si="1029"/>
        <v>#DIV/0!</v>
      </c>
      <c r="M115" s="13" t="e">
        <f t="shared" ca="1" si="1029"/>
        <v>#DIV/0!</v>
      </c>
      <c r="N115" s="13" t="e">
        <f t="shared" ca="1" si="1029"/>
        <v>#DIV/0!</v>
      </c>
      <c r="O115" s="13" t="e">
        <f t="shared" ca="1" si="1029"/>
        <v>#DIV/0!</v>
      </c>
      <c r="P115" s="13" t="e">
        <f t="shared" ca="1" si="1029"/>
        <v>#DIV/0!</v>
      </c>
      <c r="Q115" s="13" t="e">
        <f t="shared" ca="1" si="1029"/>
        <v>#DIV/0!</v>
      </c>
      <c r="R115" s="13" t="e">
        <f t="shared" ca="1" si="1029"/>
        <v>#DIV/0!</v>
      </c>
      <c r="S115" s="13" t="e">
        <f t="shared" ca="1" si="1029"/>
        <v>#DIV/0!</v>
      </c>
      <c r="T115" s="13" t="e">
        <f t="shared" ca="1" si="1029"/>
        <v>#DIV/0!</v>
      </c>
      <c r="U115" s="13" t="e">
        <f t="shared" ca="1" si="1029"/>
        <v>#DIV/0!</v>
      </c>
      <c r="V115" s="13" t="e">
        <f t="shared" ca="1" si="1029"/>
        <v>#DIV/0!</v>
      </c>
      <c r="W115" s="13" t="e">
        <f t="shared" ca="1" si="1029"/>
        <v>#DIV/0!</v>
      </c>
      <c r="X115" s="13" t="e">
        <f t="shared" ca="1" si="1029"/>
        <v>#DIV/0!</v>
      </c>
      <c r="Y115" s="13" t="e">
        <f t="shared" ca="1" si="1029"/>
        <v>#DIV/0!</v>
      </c>
      <c r="Z115" s="13" t="e">
        <f t="shared" ref="Z115:AA115" ca="1" si="1030">+Z107/Z97</f>
        <v>#DIV/0!</v>
      </c>
      <c r="AA115" s="13" t="e">
        <f t="shared" ca="1" si="1030"/>
        <v>#DIV/0!</v>
      </c>
      <c r="AB115" s="60" t="e">
        <f t="shared" ca="1" si="1029"/>
        <v>#DIV/0!</v>
      </c>
      <c r="AC115" s="60" t="e">
        <f t="shared" ca="1" si="1029"/>
        <v>#DIV/0!</v>
      </c>
      <c r="AD115" s="60" t="e">
        <f t="shared" ca="1" si="1029"/>
        <v>#DIV/0!</v>
      </c>
      <c r="AE115" s="60" t="e">
        <f t="shared" ca="1" si="1029"/>
        <v>#DIV/0!</v>
      </c>
      <c r="AL115" s="13">
        <f t="shared" ref="AL115:BQ115" si="1031">+AL107/AL97</f>
        <v>6.7525383077370122</v>
      </c>
      <c r="AM115" s="13">
        <f t="shared" si="1031"/>
        <v>5.8091455327128445</v>
      </c>
      <c r="AN115" s="13">
        <f t="shared" si="1031"/>
        <v>5.5481437502182791</v>
      </c>
      <c r="AO115" s="13">
        <f t="shared" si="1031"/>
        <v>7.06837652698038</v>
      </c>
      <c r="AP115" s="13">
        <f t="shared" si="1031"/>
        <v>6.9625295530332503</v>
      </c>
      <c r="AQ115" s="13">
        <f t="shared" si="1031"/>
        <v>7.3905566814338899</v>
      </c>
      <c r="AR115" s="13">
        <f t="shared" si="1031"/>
        <v>8.6691000982731996</v>
      </c>
      <c r="AS115" s="13">
        <f t="shared" si="1031"/>
        <v>8.018235938183933</v>
      </c>
      <c r="AT115" s="13">
        <f t="shared" si="1031"/>
        <v>7.8499354887443387</v>
      </c>
      <c r="AU115" s="13">
        <f t="shared" si="1031"/>
        <v>7.9280734469365095</v>
      </c>
      <c r="AV115" s="13">
        <f t="shared" si="1031"/>
        <v>5.7435120595542717</v>
      </c>
      <c r="AW115" s="13">
        <f t="shared" si="1031"/>
        <v>7.1250095888072025</v>
      </c>
      <c r="AX115" s="13">
        <f t="shared" si="1031"/>
        <v>6.992347787512478</v>
      </c>
      <c r="AY115" s="13">
        <f t="shared" si="1031"/>
        <v>9.1619319155352379</v>
      </c>
      <c r="AZ115" s="13">
        <f t="shared" si="1031"/>
        <v>10.734867820804508</v>
      </c>
      <c r="BA115" s="13">
        <f t="shared" si="1031"/>
        <v>13.177045430917977</v>
      </c>
      <c r="BB115" s="13">
        <f t="shared" si="1031"/>
        <v>12.70649951899952</v>
      </c>
      <c r="BC115" s="13">
        <f t="shared" si="1031"/>
        <v>10.449593695462479</v>
      </c>
      <c r="BD115" s="13">
        <f t="shared" si="1031"/>
        <v>11.628805314363429</v>
      </c>
      <c r="BE115" s="13">
        <f t="shared" si="1031"/>
        <v>12.466341616860648</v>
      </c>
      <c r="BF115" s="13">
        <f t="shared" si="1031"/>
        <v>12.862964807436921</v>
      </c>
      <c r="BG115" s="13">
        <f t="shared" si="1031"/>
        <v>12.584114726971869</v>
      </c>
      <c r="BH115" s="13">
        <f t="shared" si="1031"/>
        <v>12.849176080121111</v>
      </c>
      <c r="BI115" s="13">
        <f t="shared" si="1031"/>
        <v>12.898676470588237</v>
      </c>
      <c r="BJ115" s="13">
        <f t="shared" si="1031"/>
        <v>12.904411764705882</v>
      </c>
      <c r="BK115" s="13">
        <f t="shared" si="1031"/>
        <v>12.220716391131615</v>
      </c>
      <c r="BL115" s="13">
        <f t="shared" si="1031"/>
        <v>10.105651257900607</v>
      </c>
      <c r="BM115" s="13">
        <f t="shared" si="1031"/>
        <v>11.243313720246055</v>
      </c>
      <c r="BN115" s="13">
        <f t="shared" si="1031"/>
        <v>7.5745775165319618</v>
      </c>
      <c r="BO115" s="13">
        <f t="shared" si="1031"/>
        <v>10.016135333645881</v>
      </c>
      <c r="BP115" s="13">
        <f t="shared" si="1031"/>
        <v>12.321228827101312</v>
      </c>
      <c r="BQ115" s="13">
        <f t="shared" si="1031"/>
        <v>12.206036121673005</v>
      </c>
      <c r="BR115" s="13">
        <f t="shared" ref="BR115:CH115" si="1032">+BR107/BR97</f>
        <v>12.21967418546366</v>
      </c>
      <c r="BS115" s="13">
        <f t="shared" si="1032"/>
        <v>13.262960631723507</v>
      </c>
      <c r="BT115" s="13">
        <f t="shared" si="1032"/>
        <v>14.091321610890526</v>
      </c>
      <c r="BU115" s="13">
        <f t="shared" si="1032"/>
        <v>13.859596393301848</v>
      </c>
      <c r="BV115" s="13">
        <f t="shared" si="1032"/>
        <v>12.792276964047938</v>
      </c>
      <c r="BW115" s="13">
        <f t="shared" si="1032"/>
        <v>9.6496670702179177</v>
      </c>
      <c r="BX115" s="13">
        <f t="shared" si="1032"/>
        <v>8.9828962371721772</v>
      </c>
      <c r="BY115" s="13">
        <f t="shared" si="1032"/>
        <v>10.29396186440678</v>
      </c>
      <c r="BZ115" s="13">
        <f t="shared" si="1032"/>
        <v>11.749286461801921</v>
      </c>
      <c r="CA115" s="13">
        <f t="shared" si="1032"/>
        <v>13.200029308323563</v>
      </c>
      <c r="CB115" s="13">
        <f t="shared" si="1032"/>
        <v>14.731380455407971</v>
      </c>
      <c r="CC115" s="13">
        <f t="shared" si="1032"/>
        <v>14.782920881502891</v>
      </c>
      <c r="CD115" s="13">
        <f t="shared" si="1032"/>
        <v>15.519074623018433</v>
      </c>
      <c r="CE115" s="13">
        <f t="shared" si="1032"/>
        <v>15.319517813267812</v>
      </c>
      <c r="CF115" s="13">
        <f t="shared" si="1032"/>
        <v>22.77744870196123</v>
      </c>
      <c r="CG115" s="13">
        <f t="shared" si="1032"/>
        <v>19.193392989124696</v>
      </c>
      <c r="CH115" s="13">
        <f t="shared" si="1032"/>
        <v>15.329592276734381</v>
      </c>
      <c r="CI115" s="13">
        <f t="shared" ref="CI115:CJ115" si="1033">+CI107/CI97</f>
        <v>15.756283292978209</v>
      </c>
      <c r="CJ115" s="13">
        <f t="shared" si="1033"/>
        <v>16.533652025747823</v>
      </c>
      <c r="CK115" s="13">
        <f t="shared" ref="CK115:CL115" si="1034">+CK107/CK97</f>
        <v>16.269317313407488</v>
      </c>
      <c r="CL115" s="13">
        <f t="shared" si="1034"/>
        <v>14.810603317157963</v>
      </c>
      <c r="CM115" s="60">
        <f t="shared" si="1012"/>
        <v>14.810603317157963</v>
      </c>
      <c r="CN115" s="60">
        <f t="shared" si="1013"/>
        <v>14.810603317157963</v>
      </c>
      <c r="CO115" s="60">
        <f t="shared" si="1014"/>
        <v>14.810603317157963</v>
      </c>
      <c r="CP115" s="60">
        <f t="shared" si="1015"/>
        <v>14.810603317157963</v>
      </c>
      <c r="CQ115" s="60">
        <f t="shared" si="1016"/>
        <v>14.810603317157963</v>
      </c>
      <c r="CR115" s="60">
        <f t="shared" si="1017"/>
        <v>14.810603317157963</v>
      </c>
      <c r="CS115" s="60">
        <f t="shared" si="1018"/>
        <v>14.810603317157963</v>
      </c>
      <c r="CT115" s="60">
        <f t="shared" si="1019"/>
        <v>14.810603317157963</v>
      </c>
      <c r="CU115" s="60">
        <f t="shared" si="1020"/>
        <v>14.810603317157963</v>
      </c>
      <c r="CV115" s="60">
        <f t="shared" si="1021"/>
        <v>14.810603317157963</v>
      </c>
      <c r="CW115" s="60">
        <f t="shared" si="1022"/>
        <v>14.810603317157963</v>
      </c>
      <c r="CX115" s="60">
        <f t="shared" si="1023"/>
        <v>14.810603317157963</v>
      </c>
      <c r="CY115" s="60">
        <f t="shared" si="1024"/>
        <v>14.810603317157963</v>
      </c>
      <c r="CZ115" s="60">
        <f t="shared" si="1025"/>
        <v>14.810603317157963</v>
      </c>
      <c r="DA115" s="60">
        <f t="shared" si="1026"/>
        <v>14.810603317157963</v>
      </c>
      <c r="DB115" s="60">
        <f t="shared" si="1027"/>
        <v>14.810603317157963</v>
      </c>
      <c r="DE115" s="136"/>
      <c r="DF115" s="13">
        <v>15.492262572229176</v>
      </c>
    </row>
    <row r="116" spans="1:110" s="13" customFormat="1" x14ac:dyDescent="0.2">
      <c r="AB116" s="60"/>
      <c r="AC116" s="60"/>
      <c r="AD116" s="60"/>
      <c r="AE116" s="60"/>
      <c r="CM116" s="60"/>
      <c r="CN116" s="60"/>
      <c r="CO116" s="60"/>
      <c r="CP116" s="60"/>
      <c r="CQ116" s="60"/>
      <c r="CR116" s="60"/>
      <c r="CS116" s="60"/>
      <c r="CT116" s="60"/>
      <c r="CU116" s="60"/>
      <c r="CV116" s="60"/>
      <c r="CW116" s="60"/>
      <c r="CX116" s="60"/>
      <c r="CY116" s="60"/>
      <c r="CZ116" s="60"/>
      <c r="DA116" s="60"/>
      <c r="DB116" s="60"/>
      <c r="DE116" s="136"/>
    </row>
    <row r="117" spans="1:110" s="13" customFormat="1" x14ac:dyDescent="0.2">
      <c r="A117" s="13" t="s">
        <v>463</v>
      </c>
      <c r="B117" s="13">
        <f t="shared" ref="B117:AD117" si="1035">+B106/C97</f>
        <v>1.6786139517090206</v>
      </c>
      <c r="C117" s="13">
        <f t="shared" si="1035"/>
        <v>1.1265379875063313</v>
      </c>
      <c r="D117" s="13" t="e">
        <f t="shared" ca="1" si="1035"/>
        <v>#DIV/0!</v>
      </c>
      <c r="E117" s="13" t="e">
        <f t="shared" ca="1" si="1035"/>
        <v>#DIV/0!</v>
      </c>
      <c r="F117" s="13" t="e">
        <f t="shared" ca="1" si="1035"/>
        <v>#DIV/0!</v>
      </c>
      <c r="G117" s="13" t="e">
        <f t="shared" ca="1" si="1035"/>
        <v>#DIV/0!</v>
      </c>
      <c r="H117" s="13" t="e">
        <f t="shared" ca="1" si="1035"/>
        <v>#DIV/0!</v>
      </c>
      <c r="I117" s="13" t="e">
        <f t="shared" ca="1" si="1035"/>
        <v>#DIV/0!</v>
      </c>
      <c r="J117" s="13" t="e">
        <f t="shared" ca="1" si="1035"/>
        <v>#DIV/0!</v>
      </c>
      <c r="K117" s="13" t="e">
        <f t="shared" ca="1" si="1035"/>
        <v>#DIV/0!</v>
      </c>
      <c r="L117" s="13" t="e">
        <f t="shared" ca="1" si="1035"/>
        <v>#DIV/0!</v>
      </c>
      <c r="M117" s="13" t="e">
        <f t="shared" ca="1" si="1035"/>
        <v>#DIV/0!</v>
      </c>
      <c r="N117" s="13" t="e">
        <f t="shared" ca="1" si="1035"/>
        <v>#DIV/0!</v>
      </c>
      <c r="O117" s="13" t="e">
        <f t="shared" ca="1" si="1035"/>
        <v>#DIV/0!</v>
      </c>
      <c r="P117" s="13" t="e">
        <f t="shared" ca="1" si="1035"/>
        <v>#DIV/0!</v>
      </c>
      <c r="Q117" s="13" t="e">
        <f t="shared" ca="1" si="1035"/>
        <v>#DIV/0!</v>
      </c>
      <c r="R117" s="13" t="e">
        <f t="shared" ca="1" si="1035"/>
        <v>#DIV/0!</v>
      </c>
      <c r="S117" s="13" t="e">
        <f t="shared" ca="1" si="1035"/>
        <v>#DIV/0!</v>
      </c>
      <c r="T117" s="13" t="e">
        <f t="shared" ca="1" si="1035"/>
        <v>#DIV/0!</v>
      </c>
      <c r="U117" s="13" t="e">
        <f t="shared" ca="1" si="1035"/>
        <v>#DIV/0!</v>
      </c>
      <c r="V117" s="13" t="e">
        <f t="shared" ca="1" si="1035"/>
        <v>#DIV/0!</v>
      </c>
      <c r="W117" s="13" t="e">
        <f t="shared" ca="1" si="1035"/>
        <v>#DIV/0!</v>
      </c>
      <c r="X117" s="13" t="e">
        <f t="shared" ca="1" si="1035"/>
        <v>#DIV/0!</v>
      </c>
      <c r="Y117" s="13" t="e">
        <f t="shared" ca="1" si="1035"/>
        <v>#DIV/0!</v>
      </c>
      <c r="Z117" s="13" t="e">
        <f t="shared" ref="Z117:AA117" ca="1" si="1036">+Z106/AA97</f>
        <v>#DIV/0!</v>
      </c>
      <c r="AA117" s="13" t="e">
        <f t="shared" ca="1" si="1036"/>
        <v>#DIV/0!</v>
      </c>
      <c r="AB117" s="37" t="e">
        <f t="shared" ca="1" si="1035"/>
        <v>#DIV/0!</v>
      </c>
      <c r="AC117" s="37" t="e">
        <f t="shared" ca="1" si="1035"/>
        <v>#DIV/0!</v>
      </c>
      <c r="AD117" s="37" t="e">
        <f t="shared" ca="1" si="1035"/>
        <v>#DIV/0!</v>
      </c>
      <c r="AE117" s="37"/>
      <c r="AL117" s="13">
        <f t="shared" ref="AL117:BQ117" si="1037">+AL106/AP97</f>
        <v>8.6698048746176219</v>
      </c>
      <c r="AM117" s="13">
        <f t="shared" si="1037"/>
        <v>7.6468765663391114</v>
      </c>
      <c r="AN117" s="13">
        <f t="shared" si="1037"/>
        <v>7.8278551874210303</v>
      </c>
      <c r="AO117" s="13">
        <f t="shared" si="1037"/>
        <v>7.3581263477159959</v>
      </c>
      <c r="AP117" s="13">
        <f t="shared" si="1037"/>
        <v>7.2991531298619492</v>
      </c>
      <c r="AQ117" s="13">
        <f t="shared" si="1037"/>
        <v>9.1059020863690243</v>
      </c>
      <c r="AR117" s="13">
        <f t="shared" si="1037"/>
        <v>8.7230814556370344</v>
      </c>
      <c r="AS117" s="13">
        <f t="shared" si="1037"/>
        <v>9.3519018007161296</v>
      </c>
      <c r="AT117" s="13">
        <f t="shared" si="1037"/>
        <v>9.8037041144504844</v>
      </c>
      <c r="AU117" s="13">
        <f t="shared" si="1037"/>
        <v>10.632937419040895</v>
      </c>
      <c r="AV117" s="13">
        <f t="shared" si="1037"/>
        <v>10.371956096180719</v>
      </c>
      <c r="AW117" s="13">
        <f t="shared" si="1037"/>
        <v>9.3294622520633563</v>
      </c>
      <c r="AX117" s="13">
        <f t="shared" si="1037"/>
        <v>10.150974025974028</v>
      </c>
      <c r="AY117" s="13">
        <f t="shared" si="1037"/>
        <v>8.7398696553228632</v>
      </c>
      <c r="AZ117" s="13">
        <f t="shared" si="1037"/>
        <v>10.422167590752172</v>
      </c>
      <c r="BA117" s="13">
        <f t="shared" si="1037"/>
        <v>12.840686274509807</v>
      </c>
      <c r="BB117" s="13">
        <f t="shared" si="1037"/>
        <v>15.588922089420096</v>
      </c>
      <c r="BC117" s="13">
        <f t="shared" si="1037"/>
        <v>13.712024269167125</v>
      </c>
      <c r="BD117" s="13">
        <f t="shared" si="1037"/>
        <v>15.429835798299756</v>
      </c>
      <c r="BE117" s="13">
        <f t="shared" si="1037"/>
        <v>16.432764705882356</v>
      </c>
      <c r="BF117" s="13">
        <f t="shared" si="1037"/>
        <v>18.031658496732025</v>
      </c>
      <c r="BG117" s="13">
        <f t="shared" si="1037"/>
        <v>18.211953735742664</v>
      </c>
      <c r="BH117" s="13">
        <f t="shared" si="1037"/>
        <v>16.174278101375634</v>
      </c>
      <c r="BI117" s="13">
        <f t="shared" si="1037"/>
        <v>16.893220112329502</v>
      </c>
      <c r="BJ117" s="13">
        <f t="shared" si="1037"/>
        <v>17.474301983835414</v>
      </c>
      <c r="BK117" s="13">
        <f t="shared" si="1037"/>
        <v>19.266369745272698</v>
      </c>
      <c r="BL117" s="13">
        <f t="shared" si="1037"/>
        <v>16.773749600511344</v>
      </c>
      <c r="BM117" s="13">
        <f t="shared" si="1037"/>
        <v>13.902091254752852</v>
      </c>
      <c r="BN117" s="13">
        <f t="shared" si="1037"/>
        <v>11.891416040100252</v>
      </c>
      <c r="BO117" s="13">
        <f t="shared" si="1037"/>
        <v>9.9000772487983522</v>
      </c>
      <c r="BP117" s="13">
        <f t="shared" si="1037"/>
        <v>12.404197390811117</v>
      </c>
      <c r="BQ117" s="13">
        <f t="shared" si="1037"/>
        <v>11.304006547874625</v>
      </c>
      <c r="BR117" s="13">
        <f t="shared" ref="BR117:CL117" si="1038">+BR106/BV97</f>
        <v>14.464880159786951</v>
      </c>
      <c r="BS117" s="13">
        <f t="shared" si="1038"/>
        <v>14.2590799031477</v>
      </c>
      <c r="BT117" s="13">
        <f t="shared" si="1038"/>
        <v>13</v>
      </c>
      <c r="BU117" s="13">
        <f t="shared" si="1038"/>
        <v>15.874884856300664</v>
      </c>
      <c r="BV117" s="13">
        <f t="shared" si="1038"/>
        <v>14.958935876700597</v>
      </c>
      <c r="BW117" s="13">
        <f t="shared" si="1038"/>
        <v>16.061574123414687</v>
      </c>
      <c r="BX117" s="13">
        <f t="shared" si="1038"/>
        <v>15.107180977229602</v>
      </c>
      <c r="BY117" s="13">
        <f t="shared" si="1038"/>
        <v>16.94273843930636</v>
      </c>
      <c r="BZ117" s="13">
        <f t="shared" si="1038"/>
        <v>20.855458177600209</v>
      </c>
      <c r="CA117" s="13">
        <f t="shared" si="1038"/>
        <v>17.047926904176904</v>
      </c>
      <c r="CB117" s="13">
        <f t="shared" si="1038"/>
        <v>16.476589955787325</v>
      </c>
      <c r="CC117" s="13">
        <f t="shared" si="1038"/>
        <v>14.801552106430155</v>
      </c>
      <c r="CD117" s="13">
        <f t="shared" si="1038"/>
        <v>13.161628018397856</v>
      </c>
      <c r="CE117" s="13">
        <f t="shared" si="1038"/>
        <v>33.022518159806296</v>
      </c>
      <c r="CF117" s="13">
        <f t="shared" si="1038"/>
        <v>28.679927110942828</v>
      </c>
      <c r="CG117" s="13">
        <f t="shared" si="1038"/>
        <v>20.628131102997365</v>
      </c>
      <c r="CH117" s="13">
        <f t="shared" si="1038"/>
        <v>14.697381762873905</v>
      </c>
      <c r="CI117" s="13">
        <f t="shared" si="1038"/>
        <v>14.723530437617574</v>
      </c>
      <c r="CJ117" s="13">
        <f t="shared" si="1038"/>
        <v>11.756485013219107</v>
      </c>
      <c r="CK117" s="13">
        <f t="shared" si="1038"/>
        <v>15.312648566658085</v>
      </c>
      <c r="CL117" s="13">
        <f t="shared" si="1038"/>
        <v>17.464728587253557</v>
      </c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E117" s="134"/>
      <c r="DF117" s="13">
        <v>18.9393532240816</v>
      </c>
    </row>
    <row r="118" spans="1:110" s="98" customFormat="1" x14ac:dyDescent="0.2">
      <c r="A118" s="98" t="s">
        <v>426</v>
      </c>
      <c r="AB118" s="99"/>
      <c r="AC118" s="99"/>
      <c r="AD118" s="99"/>
      <c r="AE118" s="99"/>
      <c r="AL118" s="175"/>
      <c r="AM118" s="175"/>
      <c r="AN118" s="175"/>
      <c r="AO118" s="175">
        <f t="shared" ref="AO118:CI118" si="1039">+CORREL(AL97:AO97,AL114:AO114)</f>
        <v>-0.20851471326093957</v>
      </c>
      <c r="AP118" s="175">
        <f t="shared" si="1039"/>
        <v>-4.3296377009123845E-3</v>
      </c>
      <c r="AQ118" s="175">
        <f t="shared" si="1039"/>
        <v>-0.73430968896803361</v>
      </c>
      <c r="AR118" s="175">
        <f t="shared" si="1039"/>
        <v>-0.21668773997418161</v>
      </c>
      <c r="AS118" s="175">
        <f t="shared" si="1039"/>
        <v>-0.24270874472133086</v>
      </c>
      <c r="AT118" s="175">
        <f t="shared" si="1039"/>
        <v>-0.91542491872891407</v>
      </c>
      <c r="AU118" s="175">
        <f t="shared" si="1039"/>
        <v>-0.8633165520487126</v>
      </c>
      <c r="AV118" s="175">
        <f t="shared" si="1039"/>
        <v>-0.79442881954900291</v>
      </c>
      <c r="AW118" s="175">
        <f t="shared" si="1039"/>
        <v>-0.3063817052908811</v>
      </c>
      <c r="AX118" s="175">
        <f t="shared" si="1039"/>
        <v>-0.34358150873460658</v>
      </c>
      <c r="AY118" s="175">
        <f t="shared" si="1039"/>
        <v>-0.78332518446778709</v>
      </c>
      <c r="AZ118" s="175">
        <f t="shared" si="1039"/>
        <v>-0.85939946734890393</v>
      </c>
      <c r="BA118" s="175">
        <f t="shared" si="1039"/>
        <v>-0.55186353015262246</v>
      </c>
      <c r="BB118" s="175">
        <f t="shared" si="1039"/>
        <v>0.53868689107724155</v>
      </c>
      <c r="BC118" s="175">
        <f t="shared" si="1039"/>
        <v>-0.25669119300060683</v>
      </c>
      <c r="BD118" s="175">
        <f t="shared" si="1039"/>
        <v>-0.85204124854880237</v>
      </c>
      <c r="BE118" s="175">
        <f t="shared" si="1039"/>
        <v>-0.84452175361130888</v>
      </c>
      <c r="BF118" s="175">
        <f t="shared" si="1039"/>
        <v>-0.45106690235971497</v>
      </c>
      <c r="BG118" s="175">
        <f t="shared" si="1039"/>
        <v>-0.94896432704286582</v>
      </c>
      <c r="BH118" s="175">
        <f t="shared" si="1039"/>
        <v>-0.43102662708308564</v>
      </c>
      <c r="BI118" s="175">
        <f t="shared" si="1039"/>
        <v>0.95885930299650324</v>
      </c>
      <c r="BJ118" s="175">
        <f t="shared" si="1039"/>
        <v>0.82167482620912857</v>
      </c>
      <c r="BK118" s="175">
        <f t="shared" si="1039"/>
        <v>-0.56129865070604845</v>
      </c>
      <c r="BL118" s="175">
        <f t="shared" si="1039"/>
        <v>-0.23510118755763168</v>
      </c>
      <c r="BM118" s="175">
        <f t="shared" si="1039"/>
        <v>0.25055728758479745</v>
      </c>
      <c r="BN118" s="175">
        <f t="shared" si="1039"/>
        <v>3.0273593062244208E-2</v>
      </c>
      <c r="BO118" s="175">
        <f t="shared" si="1039"/>
        <v>-0.70139790180299333</v>
      </c>
      <c r="BP118" s="175">
        <f t="shared" si="1039"/>
        <v>-0.71147511158709664</v>
      </c>
      <c r="BQ118" s="175">
        <f t="shared" si="1039"/>
        <v>-0.4244159371680869</v>
      </c>
      <c r="BR118" s="175">
        <f t="shared" si="1039"/>
        <v>0.47188380492078524</v>
      </c>
      <c r="BS118" s="175">
        <f t="shared" si="1039"/>
        <v>0.40104311550519112</v>
      </c>
      <c r="BT118" s="175">
        <f t="shared" si="1039"/>
        <v>0.74146928937216006</v>
      </c>
      <c r="BU118" s="175">
        <f t="shared" si="1039"/>
        <v>0.3398897407509901</v>
      </c>
      <c r="BV118" s="175">
        <f t="shared" si="1039"/>
        <v>-0.31407325954582621</v>
      </c>
      <c r="BW118" s="175">
        <f t="shared" si="1039"/>
        <v>-0.80546416853289293</v>
      </c>
      <c r="BX118" s="175">
        <f t="shared" si="1039"/>
        <v>-0.98668462363877274</v>
      </c>
      <c r="BY118" s="175">
        <f t="shared" si="1039"/>
        <v>-0.9797523571825173</v>
      </c>
      <c r="BZ118" s="175">
        <f t="shared" si="1039"/>
        <v>-0.97783104199579518</v>
      </c>
      <c r="CA118" s="175">
        <f t="shared" si="1039"/>
        <v>-0.76187053831714058</v>
      </c>
      <c r="CB118" s="175">
        <f t="shared" si="1039"/>
        <v>-0.82828573443980913</v>
      </c>
      <c r="CC118" s="175">
        <f t="shared" si="1039"/>
        <v>-0.76295438701440543</v>
      </c>
      <c r="CD118" s="175">
        <f t="shared" si="1039"/>
        <v>-0.96199648940251381</v>
      </c>
      <c r="CE118" s="175">
        <f t="shared" si="1039"/>
        <v>-6.4892900214279597E-2</v>
      </c>
      <c r="CF118" s="175">
        <f t="shared" si="1039"/>
        <v>0.39983128014222491</v>
      </c>
      <c r="CG118" s="175">
        <f t="shared" si="1039"/>
        <v>8.5074855331241067E-2</v>
      </c>
      <c r="CH118" s="175">
        <f t="shared" si="1039"/>
        <v>-0.98805144886549967</v>
      </c>
      <c r="CI118" s="175">
        <f t="shared" si="1039"/>
        <v>-0.96409901401673392</v>
      </c>
      <c r="CJ118" s="175">
        <f>+CORREL(CG97:CJ97,CG114:CJ114)</f>
        <v>-0.9443220117509995</v>
      </c>
      <c r="CK118" s="175">
        <f>+CORREL(CH97:CK97,CH114:CK114)</f>
        <v>0.65496127317742825</v>
      </c>
      <c r="CL118" s="175">
        <f>+CORREL(CI97:CL97,CI114:CL114)</f>
        <v>0.40310253390907397</v>
      </c>
      <c r="CM118" s="99"/>
      <c r="CN118" s="99"/>
      <c r="CO118" s="99"/>
      <c r="CP118" s="99"/>
      <c r="CQ118" s="99"/>
      <c r="CR118" s="99"/>
      <c r="CS118" s="99"/>
      <c r="CT118" s="99"/>
      <c r="CU118" s="99"/>
      <c r="CV118" s="99"/>
      <c r="CW118" s="99"/>
      <c r="CX118" s="99"/>
      <c r="CY118" s="99"/>
      <c r="CZ118" s="99"/>
      <c r="DA118" s="99"/>
      <c r="DB118" s="99"/>
      <c r="DE118" s="137"/>
      <c r="DF118" s="98">
        <v>0.63805464798181477</v>
      </c>
    </row>
    <row r="119" spans="1:110" s="4" customFormat="1" x14ac:dyDescent="0.2">
      <c r="A119" s="3"/>
      <c r="AB119" s="17"/>
      <c r="AC119" s="17"/>
      <c r="AD119" s="17"/>
      <c r="AE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E119" s="119"/>
    </row>
    <row r="120" spans="1:110" s="162" customFormat="1" hidden="1" outlineLevel="1" x14ac:dyDescent="0.2">
      <c r="A120" s="49" t="s">
        <v>505</v>
      </c>
      <c r="E120" s="162" t="e">
        <f t="shared" ref="E120:AE120" ca="1" si="1040">+E$153/E$93</f>
        <v>#DIV/0!</v>
      </c>
      <c r="F120" s="162" t="e">
        <f t="shared" ca="1" si="1040"/>
        <v>#DIV/0!</v>
      </c>
      <c r="G120" s="162" t="e">
        <f t="shared" ca="1" si="1040"/>
        <v>#DIV/0!</v>
      </c>
      <c r="H120" s="162" t="e">
        <f t="shared" ca="1" si="1040"/>
        <v>#DIV/0!</v>
      </c>
      <c r="I120" s="162" t="e">
        <f t="shared" ca="1" si="1040"/>
        <v>#DIV/0!</v>
      </c>
      <c r="J120" s="162" t="e">
        <f t="shared" ca="1" si="1040"/>
        <v>#DIV/0!</v>
      </c>
      <c r="K120" s="162" t="e">
        <f t="shared" ca="1" si="1040"/>
        <v>#DIV/0!</v>
      </c>
      <c r="L120" s="162" t="e">
        <f t="shared" ca="1" si="1040"/>
        <v>#DIV/0!</v>
      </c>
      <c r="M120" s="162" t="e">
        <f t="shared" ca="1" si="1040"/>
        <v>#DIV/0!</v>
      </c>
      <c r="N120" s="162" t="e">
        <f t="shared" ca="1" si="1040"/>
        <v>#DIV/0!</v>
      </c>
      <c r="O120" s="162" t="e">
        <f t="shared" ca="1" si="1040"/>
        <v>#DIV/0!</v>
      </c>
      <c r="P120" s="162" t="e">
        <f t="shared" ca="1" si="1040"/>
        <v>#DIV/0!</v>
      </c>
      <c r="Q120" s="162" t="e">
        <f t="shared" ca="1" si="1040"/>
        <v>#DIV/0!</v>
      </c>
      <c r="R120" s="162" t="e">
        <f t="shared" ca="1" si="1040"/>
        <v>#DIV/0!</v>
      </c>
      <c r="S120" s="162" t="e">
        <f t="shared" ca="1" si="1040"/>
        <v>#DIV/0!</v>
      </c>
      <c r="T120" s="162" t="e">
        <f t="shared" ca="1" si="1040"/>
        <v>#DIV/0!</v>
      </c>
      <c r="U120" s="162" t="e">
        <f t="shared" ca="1" si="1040"/>
        <v>#DIV/0!</v>
      </c>
      <c r="V120" s="162" t="e">
        <f t="shared" ca="1" si="1040"/>
        <v>#DIV/0!</v>
      </c>
      <c r="W120" s="162" t="e">
        <f t="shared" ca="1" si="1040"/>
        <v>#DIV/0!</v>
      </c>
      <c r="X120" s="162" t="e">
        <f t="shared" ca="1" si="1040"/>
        <v>#DIV/0!</v>
      </c>
      <c r="Y120" s="162" t="e">
        <f t="shared" ca="1" si="1040"/>
        <v>#DIV/0!</v>
      </c>
      <c r="Z120" s="162" t="e">
        <f t="shared" ca="1" si="1040"/>
        <v>#DIV/0!</v>
      </c>
      <c r="AA120" s="162" t="e">
        <f t="shared" ca="1" si="1040"/>
        <v>#DIV/0!</v>
      </c>
      <c r="AB120" s="21" t="e">
        <f t="shared" ca="1" si="1040"/>
        <v>#DIV/0!</v>
      </c>
      <c r="AC120" s="21" t="e">
        <f t="shared" ca="1" si="1040"/>
        <v>#DIV/0!</v>
      </c>
      <c r="AD120" s="21" t="e">
        <f t="shared" ca="1" si="1040"/>
        <v>#DIV/0!</v>
      </c>
      <c r="AE120" s="21" t="e">
        <f t="shared" ca="1" si="1040"/>
        <v>#DIV/0!</v>
      </c>
      <c r="AL120" s="162">
        <f t="shared" ref="AL120:BQ120" si="1041">+AL$153/AL$93</f>
        <v>76.392284023668637</v>
      </c>
      <c r="AM120" s="162">
        <f t="shared" si="1041"/>
        <v>80.322343195266257</v>
      </c>
      <c r="AN120" s="162">
        <f t="shared" si="1041"/>
        <v>82.286603550295851</v>
      </c>
      <c r="AO120" s="162">
        <f t="shared" si="1041"/>
        <v>86.364047337278095</v>
      </c>
      <c r="AP120" s="162">
        <f t="shared" si="1041"/>
        <v>88.562390532544384</v>
      </c>
      <c r="AQ120" s="162">
        <f t="shared" si="1041"/>
        <v>92.391195266272192</v>
      </c>
      <c r="AR120" s="162">
        <f t="shared" si="1041"/>
        <v>95.333443786982244</v>
      </c>
      <c r="AS120" s="162">
        <f t="shared" si="1041"/>
        <v>100.96508875739644</v>
      </c>
      <c r="AT120" s="162">
        <f t="shared" si="1041"/>
        <v>102.61081656804734</v>
      </c>
      <c r="AU120" s="162">
        <f t="shared" si="1041"/>
        <v>107.20286390532544</v>
      </c>
      <c r="AV120" s="162">
        <f t="shared" si="1041"/>
        <v>107.99843786982248</v>
      </c>
      <c r="AW120" s="162">
        <f t="shared" si="1041"/>
        <v>112.35247337278106</v>
      </c>
      <c r="AX120" s="162">
        <f t="shared" si="1041"/>
        <v>88.485656804733722</v>
      </c>
      <c r="AY120" s="162">
        <f t="shared" si="1041"/>
        <v>90.940094674556207</v>
      </c>
      <c r="AZ120" s="162">
        <f t="shared" si="1041"/>
        <v>95.616213017751477</v>
      </c>
      <c r="BA120" s="162">
        <f t="shared" si="1041"/>
        <v>101.1073372781065</v>
      </c>
      <c r="BB120" s="162">
        <f t="shared" si="1041"/>
        <v>72.911242603550292</v>
      </c>
      <c r="BC120" s="162">
        <f t="shared" si="1041"/>
        <v>77.382248520710064</v>
      </c>
      <c r="BD120" s="162">
        <f t="shared" si="1041"/>
        <v>83.263905325443787</v>
      </c>
      <c r="BE120" s="162">
        <f t="shared" si="1041"/>
        <v>88.702958579881653</v>
      </c>
      <c r="BF120" s="162">
        <f t="shared" si="1041"/>
        <v>85.046153846153842</v>
      </c>
      <c r="BG120" s="162">
        <f t="shared" si="1041"/>
        <v>89.585798816568044</v>
      </c>
      <c r="BH120" s="162">
        <f t="shared" si="1041"/>
        <v>93.671005917159761</v>
      </c>
      <c r="BI120" s="162">
        <f t="shared" si="1041"/>
        <v>98.904142011834324</v>
      </c>
      <c r="BJ120" s="162">
        <f t="shared" si="1041"/>
        <v>79.538461538461533</v>
      </c>
      <c r="BK120" s="162">
        <f t="shared" si="1041"/>
        <v>83.715976331360949</v>
      </c>
      <c r="BL120" s="162">
        <f t="shared" si="1041"/>
        <v>88.525443786982251</v>
      </c>
      <c r="BM120" s="162">
        <f t="shared" si="1041"/>
        <v>92.359763313609463</v>
      </c>
      <c r="BN120" s="162">
        <f t="shared" si="1041"/>
        <v>95.408284023668642</v>
      </c>
      <c r="BO120" s="162">
        <f t="shared" si="1041"/>
        <v>98.624852071005918</v>
      </c>
      <c r="BP120" s="162">
        <f t="shared" si="1041"/>
        <v>86.724260355029585</v>
      </c>
      <c r="BQ120" s="162">
        <f t="shared" si="1041"/>
        <v>91.931360946745556</v>
      </c>
      <c r="BR120" s="162">
        <f t="shared" ref="BR120:DB120" si="1042">+BR$153/BR$93</f>
        <v>76.480473372781063</v>
      </c>
      <c r="BS120" s="162">
        <f t="shared" si="1042"/>
        <v>81.173964497041425</v>
      </c>
      <c r="BT120" s="162">
        <f t="shared" si="1042"/>
        <v>85.988165680473372</v>
      </c>
      <c r="BU120" s="162">
        <f t="shared" si="1042"/>
        <v>92.381065088757396</v>
      </c>
      <c r="BV120" s="162">
        <f t="shared" si="1042"/>
        <v>81.138461538461542</v>
      </c>
      <c r="BW120" s="162">
        <f t="shared" si="1042"/>
        <v>88.456804733727807</v>
      </c>
      <c r="BX120" s="162">
        <f t="shared" si="1042"/>
        <v>74.026035502958578</v>
      </c>
      <c r="BY120" s="162">
        <f t="shared" si="1042"/>
        <v>79.128994082840237</v>
      </c>
      <c r="BZ120" s="162">
        <f t="shared" si="1042"/>
        <v>30.608284023668638</v>
      </c>
      <c r="CA120" s="162">
        <f t="shared" si="1042"/>
        <v>35.256804733727812</v>
      </c>
      <c r="CB120" s="162">
        <f t="shared" si="1042"/>
        <v>32.319526627218934</v>
      </c>
      <c r="CC120" s="162">
        <f t="shared" si="1042"/>
        <v>37.119526627218931</v>
      </c>
      <c r="CD120" s="162">
        <f t="shared" si="1042"/>
        <v>35.964497041420117</v>
      </c>
      <c r="CE120" s="162">
        <f t="shared" si="1042"/>
        <v>41.514792899408285</v>
      </c>
      <c r="CF120" s="162">
        <f t="shared" si="1042"/>
        <v>18.035502958579883</v>
      </c>
      <c r="CG120" s="162">
        <f t="shared" si="1042"/>
        <v>24.37396449704142</v>
      </c>
      <c r="CH120" s="162">
        <f t="shared" si="1042"/>
        <v>31.540828402366863</v>
      </c>
      <c r="CI120" s="162">
        <f t="shared" si="1042"/>
        <v>36.828402366863905</v>
      </c>
      <c r="CJ120" s="162">
        <f t="shared" si="1042"/>
        <v>32.418934911242602</v>
      </c>
      <c r="CK120" s="162">
        <f t="shared" si="1042"/>
        <v>41.687573964497041</v>
      </c>
      <c r="CL120" s="162">
        <f t="shared" si="1042"/>
        <v>53.559763313609466</v>
      </c>
      <c r="CM120" s="21">
        <f t="shared" si="1042"/>
        <v>63.31606712216486</v>
      </c>
      <c r="CN120" s="21">
        <f t="shared" si="1042"/>
        <v>73.58111965065433</v>
      </c>
      <c r="CO120" s="21">
        <f t="shared" si="1042"/>
        <v>84.504064325896607</v>
      </c>
      <c r="CP120" s="21">
        <f t="shared" si="1042"/>
        <v>95.507165836353508</v>
      </c>
      <c r="CQ120" s="21">
        <f t="shared" si="1042"/>
        <v>105.27273757377702</v>
      </c>
      <c r="CR120" s="21">
        <f t="shared" si="1042"/>
        <v>115.56853664706445</v>
      </c>
      <c r="CS120" s="21">
        <f t="shared" si="1042"/>
        <v>126.72008667738874</v>
      </c>
      <c r="CT120" s="21">
        <f t="shared" si="1042"/>
        <v>138.27478791484333</v>
      </c>
      <c r="CU120" s="21">
        <f t="shared" si="1042"/>
        <v>147.64706970835272</v>
      </c>
      <c r="CV120" s="21">
        <f t="shared" si="1042"/>
        <v>157.76257771156401</v>
      </c>
      <c r="CW120" s="21">
        <f t="shared" si="1042"/>
        <v>168.93295341727955</v>
      </c>
      <c r="CX120" s="21">
        <f t="shared" si="1042"/>
        <v>180.66341514410399</v>
      </c>
      <c r="CY120" s="21">
        <f t="shared" si="1042"/>
        <v>190.78301367307182</v>
      </c>
      <c r="CZ120" s="21">
        <f t="shared" si="1042"/>
        <v>201.57745244382576</v>
      </c>
      <c r="DA120" s="21">
        <f t="shared" si="1042"/>
        <v>213.36749896435404</v>
      </c>
      <c r="DB120" s="21">
        <f t="shared" si="1042"/>
        <v>225.68685443963435</v>
      </c>
      <c r="DE120" s="22"/>
      <c r="DF120" s="162">
        <v>52.162111871428479</v>
      </c>
    </row>
    <row r="121" spans="1:110" s="162" customFormat="1" hidden="1" outlineLevel="1" x14ac:dyDescent="0.2">
      <c r="A121" s="49" t="s">
        <v>501</v>
      </c>
      <c r="AB121" s="21"/>
      <c r="AC121" s="21"/>
      <c r="AD121" s="21"/>
      <c r="AE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22"/>
    </row>
    <row r="122" spans="1:110" s="162" customFormat="1" hidden="1" outlineLevel="1" x14ac:dyDescent="0.2">
      <c r="A122" s="49" t="s">
        <v>502</v>
      </c>
      <c r="E122" s="162" t="e">
        <f t="shared" ref="E122:AE124" ca="1" si="1043">+E105/E$120</f>
        <v>#DIV/0!</v>
      </c>
      <c r="F122" s="162" t="e">
        <f t="shared" ca="1" si="1043"/>
        <v>#DIV/0!</v>
      </c>
      <c r="G122" s="162" t="e">
        <f t="shared" ca="1" si="1043"/>
        <v>#DIV/0!</v>
      </c>
      <c r="H122" s="162" t="e">
        <f t="shared" ca="1" si="1043"/>
        <v>#DIV/0!</v>
      </c>
      <c r="I122" s="162" t="e">
        <f t="shared" ca="1" si="1043"/>
        <v>#DIV/0!</v>
      </c>
      <c r="J122" s="162" t="e">
        <f t="shared" ca="1" si="1043"/>
        <v>#DIV/0!</v>
      </c>
      <c r="K122" s="162" t="e">
        <f t="shared" ca="1" si="1043"/>
        <v>#DIV/0!</v>
      </c>
      <c r="L122" s="162" t="e">
        <f t="shared" ca="1" si="1043"/>
        <v>#DIV/0!</v>
      </c>
      <c r="M122" s="162" t="e">
        <f t="shared" ca="1" si="1043"/>
        <v>#DIV/0!</v>
      </c>
      <c r="N122" s="162" t="e">
        <f t="shared" ca="1" si="1043"/>
        <v>#DIV/0!</v>
      </c>
      <c r="O122" s="162" t="e">
        <f t="shared" ca="1" si="1043"/>
        <v>#DIV/0!</v>
      </c>
      <c r="P122" s="162" t="e">
        <f t="shared" ca="1" si="1043"/>
        <v>#DIV/0!</v>
      </c>
      <c r="Q122" s="162" t="e">
        <f t="shared" ca="1" si="1043"/>
        <v>#DIV/0!</v>
      </c>
      <c r="R122" s="162" t="e">
        <f t="shared" ca="1" si="1043"/>
        <v>#DIV/0!</v>
      </c>
      <c r="S122" s="162" t="e">
        <f t="shared" ca="1" si="1043"/>
        <v>#DIV/0!</v>
      </c>
      <c r="T122" s="162" t="e">
        <f t="shared" ca="1" si="1043"/>
        <v>#DIV/0!</v>
      </c>
      <c r="U122" s="162" t="e">
        <f t="shared" ca="1" si="1043"/>
        <v>#DIV/0!</v>
      </c>
      <c r="V122" s="162" t="e">
        <f t="shared" ca="1" si="1043"/>
        <v>#DIV/0!</v>
      </c>
      <c r="W122" s="162" t="e">
        <f t="shared" ca="1" si="1043"/>
        <v>#DIV/0!</v>
      </c>
      <c r="X122" s="162" t="e">
        <f t="shared" ca="1" si="1043"/>
        <v>#DIV/0!</v>
      </c>
      <c r="Y122" s="162" t="e">
        <f t="shared" ca="1" si="1043"/>
        <v>#DIV/0!</v>
      </c>
      <c r="Z122" s="162" t="e">
        <f t="shared" ca="1" si="1043"/>
        <v>#DIV/0!</v>
      </c>
      <c r="AA122" s="162" t="e">
        <f t="shared" ref="AA122" ca="1" si="1044">+AA105/AA$120</f>
        <v>#DIV/0!</v>
      </c>
      <c r="AB122" s="21" t="e">
        <f t="shared" ca="1" si="1043"/>
        <v>#DIV/0!</v>
      </c>
      <c r="AC122" s="21" t="e">
        <f t="shared" ca="1" si="1043"/>
        <v>#DIV/0!</v>
      </c>
      <c r="AD122" s="21" t="e">
        <f t="shared" ca="1" si="1043"/>
        <v>#DIV/0!</v>
      </c>
      <c r="AE122" s="21" t="e">
        <f t="shared" ca="1" si="1043"/>
        <v>#DIV/0!</v>
      </c>
      <c r="AL122" s="162">
        <f t="shared" ref="AL122:CI124" si="1045">+AL105/AL$120</f>
        <v>1.5858931507070018</v>
      </c>
      <c r="AM122" s="162">
        <f t="shared" si="1045"/>
        <v>1.2754856983061449</v>
      </c>
      <c r="AN122" s="162">
        <f t="shared" si="1045"/>
        <v>1.6169096093348434</v>
      </c>
      <c r="AO122" s="162">
        <f t="shared" si="1045"/>
        <v>1.5336242809781959</v>
      </c>
      <c r="AP122" s="162">
        <f t="shared" si="1045"/>
        <v>1.4492607892380083</v>
      </c>
      <c r="AQ122" s="162">
        <f t="shared" si="1045"/>
        <v>1.8048256602745003</v>
      </c>
      <c r="AR122" s="162">
        <f t="shared" si="1045"/>
        <v>1.6872358073984108</v>
      </c>
      <c r="AS122" s="162">
        <f t="shared" si="1045"/>
        <v>1.6872168597734292</v>
      </c>
      <c r="AT122" s="162">
        <f t="shared" si="1045"/>
        <v>1.5773190918197948</v>
      </c>
      <c r="AU122" s="162">
        <f t="shared" si="1045"/>
        <v>1.5577942035903394</v>
      </c>
      <c r="AV122" s="162">
        <f t="shared" si="1045"/>
        <v>1.2930742587992727</v>
      </c>
      <c r="AW122" s="162">
        <f t="shared" si="1045"/>
        <v>1.3048221868119181</v>
      </c>
      <c r="AX122" s="162">
        <f t="shared" si="1045"/>
        <v>2.0737824256075736</v>
      </c>
      <c r="AY122" s="162">
        <f t="shared" si="1045"/>
        <v>1.9771257182373001</v>
      </c>
      <c r="AZ122" s="162">
        <f t="shared" si="1045"/>
        <v>2.4394398464274709</v>
      </c>
      <c r="BA122" s="162">
        <f t="shared" si="1045"/>
        <v>2.526522870415997</v>
      </c>
      <c r="BB122" s="162">
        <f t="shared" si="1045"/>
        <v>3.9616661256289567</v>
      </c>
      <c r="BC122" s="162">
        <f t="shared" si="1045"/>
        <v>3.3967738728818744</v>
      </c>
      <c r="BD122" s="162">
        <f t="shared" si="1045"/>
        <v>3.5525597657693511</v>
      </c>
      <c r="BE122" s="162">
        <f t="shared" si="1045"/>
        <v>3.4835365690957123</v>
      </c>
      <c r="BF122" s="162">
        <f t="shared" si="1045"/>
        <v>3.5386667872648334</v>
      </c>
      <c r="BG122" s="162">
        <f t="shared" si="1045"/>
        <v>3.0780548216644652</v>
      </c>
      <c r="BH122" s="162">
        <f t="shared" si="1045"/>
        <v>3.1002122498483926</v>
      </c>
      <c r="BI122" s="162">
        <f t="shared" si="1045"/>
        <v>2.8087802426592003</v>
      </c>
      <c r="BJ122" s="162">
        <f t="shared" si="1045"/>
        <v>3.4750483558994198</v>
      </c>
      <c r="BK122" s="162">
        <f t="shared" si="1045"/>
        <v>2.9146169069833192</v>
      </c>
      <c r="BL122" s="162">
        <f t="shared" si="1045"/>
        <v>2.411736003422277</v>
      </c>
      <c r="BM122" s="162">
        <f t="shared" si="1045"/>
        <v>2.2704692224898775</v>
      </c>
      <c r="BN122" s="162">
        <f t="shared" si="1045"/>
        <v>1.6261690647482014</v>
      </c>
      <c r="BO122" s="162">
        <f t="shared" si="1045"/>
        <v>1.9868217379826729</v>
      </c>
      <c r="BP122" s="162">
        <f t="shared" si="1045"/>
        <v>2.4203146748178272</v>
      </c>
      <c r="BQ122" s="162">
        <f t="shared" si="1045"/>
        <v>2.5986779434103142</v>
      </c>
      <c r="BR122" s="162">
        <f t="shared" si="1045"/>
        <v>3.5669235292297219</v>
      </c>
      <c r="BS122" s="162">
        <f t="shared" si="1045"/>
        <v>4.1817595346396077</v>
      </c>
      <c r="BT122" s="162">
        <f t="shared" si="1045"/>
        <v>3.6220100467932839</v>
      </c>
      <c r="BU122" s="162">
        <f t="shared" si="1045"/>
        <v>3.4292741666880175</v>
      </c>
      <c r="BV122" s="162">
        <f t="shared" si="1045"/>
        <v>3.8169321198331434</v>
      </c>
      <c r="BW122" s="162">
        <f t="shared" si="1045"/>
        <v>2.8194552216841036</v>
      </c>
      <c r="BX122" s="162">
        <f t="shared" si="1045"/>
        <v>3.6095408620028135</v>
      </c>
      <c r="BY122" s="162">
        <f t="shared" si="1045"/>
        <v>4.0743598947116535</v>
      </c>
      <c r="BZ122" s="162">
        <f t="shared" si="1045"/>
        <v>9.5856402721930092</v>
      </c>
      <c r="CA122" s="162">
        <f t="shared" si="1045"/>
        <v>8.7132116004296449</v>
      </c>
      <c r="CB122" s="162">
        <f t="shared" si="1045"/>
        <v>9.5545953863053832</v>
      </c>
      <c r="CC122" s="162">
        <f t="shared" si="1045"/>
        <v>8.5669195944653449</v>
      </c>
      <c r="CD122" s="162">
        <f t="shared" si="1045"/>
        <v>8.1260694307337946</v>
      </c>
      <c r="CE122" s="162">
        <f t="shared" si="1045"/>
        <v>16.11232896237172</v>
      </c>
      <c r="CF122" s="162">
        <f t="shared" si="1045"/>
        <v>28.959547244094484</v>
      </c>
      <c r="CG122" s="162">
        <f t="shared" si="1045"/>
        <v>18.203850262186833</v>
      </c>
      <c r="CH122" s="162">
        <f t="shared" si="1045"/>
        <v>14.647681224673571</v>
      </c>
      <c r="CI122" s="162">
        <f t="shared" si="1045"/>
        <v>12.241910347043703</v>
      </c>
      <c r="CJ122" s="162">
        <f>+CJ105/CJ$120</f>
        <v>14.881735051471125</v>
      </c>
      <c r="CK122" s="162">
        <f>+CK105/CK$120</f>
        <v>14.68783001192301</v>
      </c>
      <c r="CL122" s="162">
        <f>+CL105/CL$120</f>
        <v>9.3764417340580675</v>
      </c>
      <c r="CM122" s="21">
        <f t="shared" ref="CM122:DB122" si="1046">+CM105/CM$120</f>
        <v>9.2867423187464642</v>
      </c>
      <c r="CN122" s="21">
        <f t="shared" si="1046"/>
        <v>7.9911803842029618</v>
      </c>
      <c r="CO122" s="21">
        <f t="shared" si="1046"/>
        <v>6.9582452002821009</v>
      </c>
      <c r="CP122" s="21">
        <f t="shared" si="1046"/>
        <v>6.156606102284587</v>
      </c>
      <c r="CQ122" s="21">
        <f t="shared" si="1046"/>
        <v>5.5854916814328979</v>
      </c>
      <c r="CR122" s="21">
        <f t="shared" si="1046"/>
        <v>5.0878899833758151</v>
      </c>
      <c r="CS122" s="21">
        <f t="shared" si="1046"/>
        <v>4.6401483412567739</v>
      </c>
      <c r="CT122" s="21">
        <f t="shared" si="1046"/>
        <v>4.252402110803601</v>
      </c>
      <c r="CU122" s="21">
        <f t="shared" si="1046"/>
        <v>3.9824698259266271</v>
      </c>
      <c r="CV122" s="21">
        <f t="shared" si="1046"/>
        <v>3.7271196283001631</v>
      </c>
      <c r="CW122" s="21">
        <f t="shared" si="1046"/>
        <v>3.480670811144746</v>
      </c>
      <c r="CX122" s="21">
        <f t="shared" si="1046"/>
        <v>3.2546711216047193</v>
      </c>
      <c r="CY122" s="21">
        <f t="shared" si="1046"/>
        <v>3.0820353902554669</v>
      </c>
      <c r="CZ122" s="21">
        <f t="shared" si="1046"/>
        <v>2.916992912011624</v>
      </c>
      <c r="DA122" s="21">
        <f t="shared" si="1046"/>
        <v>2.7558086533986765</v>
      </c>
      <c r="DB122" s="21">
        <f t="shared" si="1046"/>
        <v>2.6053799254722452</v>
      </c>
      <c r="DE122" s="22"/>
      <c r="DF122" s="162">
        <v>9.6276776760466518</v>
      </c>
    </row>
    <row r="123" spans="1:110" s="162" customFormat="1" hidden="1" outlineLevel="1" x14ac:dyDescent="0.2">
      <c r="A123" s="49" t="s">
        <v>503</v>
      </c>
      <c r="E123" s="162" t="e">
        <f t="shared" ca="1" si="1043"/>
        <v>#DIV/0!</v>
      </c>
      <c r="F123" s="162" t="e">
        <f t="shared" ca="1" si="1043"/>
        <v>#DIV/0!</v>
      </c>
      <c r="G123" s="162" t="e">
        <f t="shared" ca="1" si="1043"/>
        <v>#DIV/0!</v>
      </c>
      <c r="H123" s="162" t="e">
        <f t="shared" ca="1" si="1043"/>
        <v>#DIV/0!</v>
      </c>
      <c r="I123" s="162" t="e">
        <f t="shared" ca="1" si="1043"/>
        <v>#DIV/0!</v>
      </c>
      <c r="J123" s="162" t="e">
        <f t="shared" ca="1" si="1043"/>
        <v>#DIV/0!</v>
      </c>
      <c r="K123" s="162" t="e">
        <f t="shared" ca="1" si="1043"/>
        <v>#DIV/0!</v>
      </c>
      <c r="L123" s="162" t="e">
        <f t="shared" ca="1" si="1043"/>
        <v>#DIV/0!</v>
      </c>
      <c r="M123" s="162" t="e">
        <f t="shared" ca="1" si="1043"/>
        <v>#DIV/0!</v>
      </c>
      <c r="N123" s="162" t="e">
        <f t="shared" ca="1" si="1043"/>
        <v>#DIV/0!</v>
      </c>
      <c r="O123" s="162" t="e">
        <f t="shared" ca="1" si="1043"/>
        <v>#DIV/0!</v>
      </c>
      <c r="P123" s="162" t="e">
        <f t="shared" ca="1" si="1043"/>
        <v>#DIV/0!</v>
      </c>
      <c r="Q123" s="162" t="e">
        <f t="shared" ca="1" si="1043"/>
        <v>#DIV/0!</v>
      </c>
      <c r="R123" s="162" t="e">
        <f t="shared" ca="1" si="1043"/>
        <v>#DIV/0!</v>
      </c>
      <c r="S123" s="162" t="e">
        <f t="shared" ca="1" si="1043"/>
        <v>#DIV/0!</v>
      </c>
      <c r="T123" s="162" t="e">
        <f t="shared" ca="1" si="1043"/>
        <v>#DIV/0!</v>
      </c>
      <c r="U123" s="162" t="e">
        <f t="shared" ca="1" si="1043"/>
        <v>#DIV/0!</v>
      </c>
      <c r="V123" s="162" t="e">
        <f t="shared" ca="1" si="1043"/>
        <v>#DIV/0!</v>
      </c>
      <c r="W123" s="162" t="e">
        <f t="shared" ca="1" si="1043"/>
        <v>#DIV/0!</v>
      </c>
      <c r="X123" s="162" t="e">
        <f t="shared" ca="1" si="1043"/>
        <v>#DIV/0!</v>
      </c>
      <c r="Y123" s="162" t="e">
        <f t="shared" ca="1" si="1043"/>
        <v>#DIV/0!</v>
      </c>
      <c r="Z123" s="162" t="e">
        <f t="shared" ca="1" si="1043"/>
        <v>#DIV/0!</v>
      </c>
      <c r="AA123" s="162" t="e">
        <f t="shared" ref="AA123" ca="1" si="1047">+AA106/AA$120</f>
        <v>#DIV/0!</v>
      </c>
      <c r="AB123" s="21" t="e">
        <f t="shared" ca="1" si="1043"/>
        <v>#DIV/0!</v>
      </c>
      <c r="AC123" s="21" t="e">
        <f t="shared" ca="1" si="1043"/>
        <v>#DIV/0!</v>
      </c>
      <c r="AD123" s="21" t="e">
        <f t="shared" ca="1" si="1043"/>
        <v>#DIV/0!</v>
      </c>
      <c r="AE123" s="21" t="e">
        <f t="shared" ca="1" si="1043"/>
        <v>#DIV/0!</v>
      </c>
      <c r="AL123" s="162">
        <f t="shared" si="1045"/>
        <v>1.8712622855432592</v>
      </c>
      <c r="AM123" s="162">
        <f t="shared" si="1045"/>
        <v>1.5599644509298189</v>
      </c>
      <c r="AN123" s="162">
        <f t="shared" si="1045"/>
        <v>1.6679507243984011</v>
      </c>
      <c r="AO123" s="162">
        <f t="shared" si="1045"/>
        <v>1.6262554191271243</v>
      </c>
      <c r="AP123" s="162">
        <f t="shared" si="1045"/>
        <v>1.6011311251573792</v>
      </c>
      <c r="AQ123" s="162">
        <f t="shared" si="1045"/>
        <v>1.9915317630615177</v>
      </c>
      <c r="AR123" s="162">
        <f t="shared" si="1045"/>
        <v>1.8671307038664415</v>
      </c>
      <c r="AS123" s="162">
        <f t="shared" si="1045"/>
        <v>1.7718995962046757</v>
      </c>
      <c r="AT123" s="162">
        <f t="shared" si="1045"/>
        <v>1.8555548661259744</v>
      </c>
      <c r="AU123" s="162">
        <f t="shared" si="1045"/>
        <v>1.7126408130490198</v>
      </c>
      <c r="AV123" s="162">
        <f t="shared" si="1045"/>
        <v>1.5745598117351689</v>
      </c>
      <c r="AW123" s="162">
        <f t="shared" si="1045"/>
        <v>1.4556866893116591</v>
      </c>
      <c r="AX123" s="162">
        <f t="shared" si="1045"/>
        <v>2.2579930715879741</v>
      </c>
      <c r="AY123" s="162">
        <f t="shared" si="1045"/>
        <v>2.0854387789972413</v>
      </c>
      <c r="AZ123" s="162">
        <f t="shared" si="1045"/>
        <v>2.4661089637196039</v>
      </c>
      <c r="BA123" s="162">
        <f t="shared" si="1045"/>
        <v>2.8667553493445954</v>
      </c>
      <c r="BB123" s="162">
        <f t="shared" si="1045"/>
        <v>4.5726830060055184</v>
      </c>
      <c r="BC123" s="162">
        <f t="shared" si="1045"/>
        <v>3.8019055484186697</v>
      </c>
      <c r="BD123" s="162">
        <f t="shared" si="1045"/>
        <v>3.7663378720259248</v>
      </c>
      <c r="BE123" s="162">
        <f t="shared" si="1045"/>
        <v>3.7270459214985197</v>
      </c>
      <c r="BF123" s="162">
        <f t="shared" si="1045"/>
        <v>3.9925379884225762</v>
      </c>
      <c r="BG123" s="162">
        <f t="shared" si="1045"/>
        <v>3.7545013210039633</v>
      </c>
      <c r="BH123" s="162">
        <f t="shared" si="1045"/>
        <v>3.2977119971700017</v>
      </c>
      <c r="BI123" s="162">
        <f t="shared" si="1045"/>
        <v>3.0231292028621342</v>
      </c>
      <c r="BJ123" s="162">
        <f t="shared" si="1045"/>
        <v>3.5385396518375241</v>
      </c>
      <c r="BK123" s="162">
        <f t="shared" si="1045"/>
        <v>3.4855951371218548</v>
      </c>
      <c r="BL123" s="162">
        <f t="shared" si="1045"/>
        <v>2.8065377519918719</v>
      </c>
      <c r="BM123" s="162">
        <f t="shared" si="1045"/>
        <v>2.4361257752037315</v>
      </c>
      <c r="BN123" s="162">
        <f t="shared" si="1045"/>
        <v>2.3540932771024559</v>
      </c>
      <c r="BO123" s="162">
        <f t="shared" si="1045"/>
        <v>2.0760487412704887</v>
      </c>
      <c r="BP123" s="162">
        <f t="shared" si="1045"/>
        <v>2.9841707376982072</v>
      </c>
      <c r="BQ123" s="162">
        <f t="shared" si="1045"/>
        <v>2.7112619397028914</v>
      </c>
      <c r="BR123" s="162">
        <f t="shared" si="1045"/>
        <v>4.370396589607898</v>
      </c>
      <c r="BS123" s="162">
        <f t="shared" si="1045"/>
        <v>4.4644856543037079</v>
      </c>
      <c r="BT123" s="162">
        <f t="shared" si="1045"/>
        <v>4.0796311588219103</v>
      </c>
      <c r="BU123" s="162">
        <f t="shared" si="1045"/>
        <v>4.4154069841920522</v>
      </c>
      <c r="BV123" s="162">
        <f t="shared" si="1045"/>
        <v>4.5866040955631391</v>
      </c>
      <c r="BW123" s="162">
        <f t="shared" si="1045"/>
        <v>4.032476654269125</v>
      </c>
      <c r="BX123" s="162">
        <f t="shared" si="1045"/>
        <v>4.0728913543931453</v>
      </c>
      <c r="BY123" s="162">
        <f t="shared" si="1045"/>
        <v>4.2083183776022972</v>
      </c>
      <c r="BZ123" s="162">
        <f t="shared" si="1045"/>
        <v>12.512952366223322</v>
      </c>
      <c r="CA123" s="162">
        <f t="shared" si="1045"/>
        <v>9.3159321294307187</v>
      </c>
      <c r="CB123" s="162">
        <f t="shared" si="1045"/>
        <v>10.643720248993043</v>
      </c>
      <c r="CC123" s="162">
        <f t="shared" si="1045"/>
        <v>8.9386915768666722</v>
      </c>
      <c r="CD123" s="162">
        <f t="shared" si="1045"/>
        <v>9.0394702204672601</v>
      </c>
      <c r="CE123" s="162">
        <f t="shared" si="1045"/>
        <v>19.438854047890537</v>
      </c>
      <c r="CF123" s="162">
        <f t="shared" si="1045"/>
        <v>39.760465879265091</v>
      </c>
      <c r="CG123" s="162">
        <f t="shared" si="1045"/>
        <v>23.590745775878812</v>
      </c>
      <c r="CH123" s="162">
        <f t="shared" si="1045"/>
        <v>15.22788158487168</v>
      </c>
      <c r="CI123" s="162">
        <f t="shared" si="1045"/>
        <v>14.851309447300773</v>
      </c>
      <c r="CJ123" s="162">
        <f t="shared" ref="CJ123:CL124" si="1048">+CJ106/CJ$120</f>
        <v>14.920292764839017</v>
      </c>
      <c r="CK123" s="162">
        <f t="shared" ref="CK123" si="1049">+CK106/CK$120</f>
        <v>15.742101004939533</v>
      </c>
      <c r="CL123" s="162">
        <f t="shared" si="1048"/>
        <v>13.678178443590085</v>
      </c>
      <c r="CM123" s="94">
        <f t="shared" ref="CM123:DB123" si="1050">+CL123</f>
        <v>13.678178443590085</v>
      </c>
      <c r="CN123" s="94">
        <f t="shared" si="1050"/>
        <v>13.678178443590085</v>
      </c>
      <c r="CO123" s="94">
        <f t="shared" si="1050"/>
        <v>13.678178443590085</v>
      </c>
      <c r="CP123" s="94">
        <f t="shared" si="1050"/>
        <v>13.678178443590085</v>
      </c>
      <c r="CQ123" s="94">
        <f t="shared" si="1050"/>
        <v>13.678178443590085</v>
      </c>
      <c r="CR123" s="94">
        <f t="shared" si="1050"/>
        <v>13.678178443590085</v>
      </c>
      <c r="CS123" s="94">
        <f t="shared" si="1050"/>
        <v>13.678178443590085</v>
      </c>
      <c r="CT123" s="94">
        <f t="shared" si="1050"/>
        <v>13.678178443590085</v>
      </c>
      <c r="CU123" s="94">
        <f t="shared" si="1050"/>
        <v>13.678178443590085</v>
      </c>
      <c r="CV123" s="94">
        <f t="shared" si="1050"/>
        <v>13.678178443590085</v>
      </c>
      <c r="CW123" s="94">
        <f t="shared" si="1050"/>
        <v>13.678178443590085</v>
      </c>
      <c r="CX123" s="94">
        <f t="shared" si="1050"/>
        <v>13.678178443590085</v>
      </c>
      <c r="CY123" s="94">
        <f t="shared" si="1050"/>
        <v>13.678178443590085</v>
      </c>
      <c r="CZ123" s="94">
        <f t="shared" si="1050"/>
        <v>13.678178443590085</v>
      </c>
      <c r="DA123" s="94">
        <f t="shared" si="1050"/>
        <v>13.678178443590085</v>
      </c>
      <c r="DB123" s="94">
        <f t="shared" si="1050"/>
        <v>13.678178443590085</v>
      </c>
      <c r="DC123" s="94"/>
      <c r="DE123" s="22"/>
      <c r="DF123" s="162">
        <v>14.044676753229345</v>
      </c>
    </row>
    <row r="124" spans="1:110" s="162" customFormat="1" hidden="1" outlineLevel="1" x14ac:dyDescent="0.2">
      <c r="A124" s="49" t="s">
        <v>504</v>
      </c>
      <c r="E124" s="162" t="e">
        <f t="shared" ca="1" si="1043"/>
        <v>#DIV/0!</v>
      </c>
      <c r="F124" s="162" t="e">
        <f t="shared" ca="1" si="1043"/>
        <v>#DIV/0!</v>
      </c>
      <c r="G124" s="162" t="e">
        <f t="shared" ca="1" si="1043"/>
        <v>#DIV/0!</v>
      </c>
      <c r="H124" s="162" t="e">
        <f t="shared" ca="1" si="1043"/>
        <v>#DIV/0!</v>
      </c>
      <c r="I124" s="162" t="e">
        <f t="shared" ca="1" si="1043"/>
        <v>#DIV/0!</v>
      </c>
      <c r="J124" s="162" t="e">
        <f t="shared" ca="1" si="1043"/>
        <v>#DIV/0!</v>
      </c>
      <c r="K124" s="162" t="e">
        <f t="shared" ca="1" si="1043"/>
        <v>#DIV/0!</v>
      </c>
      <c r="L124" s="162" t="e">
        <f t="shared" ca="1" si="1043"/>
        <v>#DIV/0!</v>
      </c>
      <c r="M124" s="162" t="e">
        <f t="shared" ca="1" si="1043"/>
        <v>#DIV/0!</v>
      </c>
      <c r="N124" s="162" t="e">
        <f t="shared" ca="1" si="1043"/>
        <v>#DIV/0!</v>
      </c>
      <c r="O124" s="162" t="e">
        <f t="shared" ca="1" si="1043"/>
        <v>#DIV/0!</v>
      </c>
      <c r="P124" s="162" t="e">
        <f t="shared" ca="1" si="1043"/>
        <v>#DIV/0!</v>
      </c>
      <c r="Q124" s="162" t="e">
        <f t="shared" ca="1" si="1043"/>
        <v>#DIV/0!</v>
      </c>
      <c r="R124" s="162" t="e">
        <f t="shared" ca="1" si="1043"/>
        <v>#DIV/0!</v>
      </c>
      <c r="S124" s="162" t="e">
        <f t="shared" ca="1" si="1043"/>
        <v>#DIV/0!</v>
      </c>
      <c r="T124" s="162" t="e">
        <f t="shared" ca="1" si="1043"/>
        <v>#DIV/0!</v>
      </c>
      <c r="U124" s="162" t="e">
        <f t="shared" ca="1" si="1043"/>
        <v>#DIV/0!</v>
      </c>
      <c r="V124" s="162" t="e">
        <f t="shared" ca="1" si="1043"/>
        <v>#DIV/0!</v>
      </c>
      <c r="W124" s="162" t="e">
        <f t="shared" ca="1" si="1043"/>
        <v>#DIV/0!</v>
      </c>
      <c r="X124" s="162" t="e">
        <f t="shared" ca="1" si="1043"/>
        <v>#DIV/0!</v>
      </c>
      <c r="Y124" s="162" t="e">
        <f t="shared" ca="1" si="1043"/>
        <v>#DIV/0!</v>
      </c>
      <c r="Z124" s="162" t="e">
        <f t="shared" ca="1" si="1043"/>
        <v>#DIV/0!</v>
      </c>
      <c r="AA124" s="162" t="e">
        <f t="shared" ref="AA124" ca="1" si="1051">+AA107/AA$120</f>
        <v>#DIV/0!</v>
      </c>
      <c r="AB124" s="21" t="e">
        <f t="shared" ca="1" si="1043"/>
        <v>#DIV/0!</v>
      </c>
      <c r="AC124" s="21" t="e">
        <f t="shared" ca="1" si="1043"/>
        <v>#DIV/0!</v>
      </c>
      <c r="AD124" s="21" t="e">
        <f t="shared" ca="1" si="1043"/>
        <v>#DIV/0!</v>
      </c>
      <c r="AE124" s="21" t="e">
        <f t="shared" ca="1" si="1043"/>
        <v>#DIV/0!</v>
      </c>
      <c r="AL124" s="162">
        <f t="shared" si="1045"/>
        <v>1.4471356814746927</v>
      </c>
      <c r="AM124" s="162">
        <f t="shared" si="1045"/>
        <v>1.1976742232996695</v>
      </c>
      <c r="AN124" s="162">
        <f t="shared" si="1045"/>
        <v>1.1423487657081945</v>
      </c>
      <c r="AO124" s="162">
        <f t="shared" si="1045"/>
        <v>1.4079932998637117</v>
      </c>
      <c r="AP124" s="162">
        <f t="shared" si="1045"/>
        <v>1.2962613058396835</v>
      </c>
      <c r="AQ124" s="162">
        <f t="shared" si="1045"/>
        <v>1.3107309592758141</v>
      </c>
      <c r="AR124" s="162">
        <f t="shared" si="1045"/>
        <v>1.5944037471219052</v>
      </c>
      <c r="AS124" s="162">
        <f t="shared" si="1045"/>
        <v>1.5158705041873988</v>
      </c>
      <c r="AT124" s="162">
        <f t="shared" si="1045"/>
        <v>1.4861980939296802</v>
      </c>
      <c r="AU124" s="162">
        <f t="shared" si="1045"/>
        <v>1.4943630623663016</v>
      </c>
      <c r="AV124" s="162">
        <f t="shared" si="1045"/>
        <v>1.0852008817133889</v>
      </c>
      <c r="AW124" s="162">
        <f t="shared" si="1045"/>
        <v>1.2131464124315448</v>
      </c>
      <c r="AX124" s="162">
        <f t="shared" si="1045"/>
        <v>1.5347120076158502</v>
      </c>
      <c r="AY124" s="162">
        <f t="shared" si="1045"/>
        <v>1.7396067220530635</v>
      </c>
      <c r="AZ124" s="162">
        <f t="shared" si="1045"/>
        <v>1.8406920170256587</v>
      </c>
      <c r="BA124" s="162">
        <f t="shared" si="1045"/>
        <v>2.2847006579216886</v>
      </c>
      <c r="BB124" s="162">
        <f t="shared" si="1045"/>
        <v>3.4301980198019804</v>
      </c>
      <c r="BC124" s="162">
        <f t="shared" si="1045"/>
        <v>2.9302586101425336</v>
      </c>
      <c r="BD124" s="162">
        <f t="shared" si="1045"/>
        <v>3.1598325705676684</v>
      </c>
      <c r="BE124" s="162">
        <f t="shared" si="1045"/>
        <v>3.1723857299143474</v>
      </c>
      <c r="BF124" s="162">
        <f t="shared" si="1045"/>
        <v>3.2347141823444288</v>
      </c>
      <c r="BG124" s="162">
        <f t="shared" si="1045"/>
        <v>3.0138705416116252</v>
      </c>
      <c r="BH124" s="162">
        <f t="shared" si="1045"/>
        <v>2.7879491358399027</v>
      </c>
      <c r="BI124" s="162">
        <f t="shared" si="1045"/>
        <v>2.6237526024840259</v>
      </c>
      <c r="BJ124" s="162">
        <f t="shared" si="1045"/>
        <v>3.0551257253384914</v>
      </c>
      <c r="BK124" s="162">
        <f t="shared" si="1045"/>
        <v>2.69602063895957</v>
      </c>
      <c r="BL124" s="162">
        <f t="shared" si="1045"/>
        <v>2.1801641623442598</v>
      </c>
      <c r="BM124" s="162">
        <f t="shared" si="1045"/>
        <v>2.1546179078468559</v>
      </c>
      <c r="BN124" s="162">
        <f t="shared" si="1045"/>
        <v>1.2787149590672289</v>
      </c>
      <c r="BO124" s="162">
        <f t="shared" si="1045"/>
        <v>1.5381518634956441</v>
      </c>
      <c r="BP124" s="162">
        <f t="shared" si="1045"/>
        <v>2.1043707868235035</v>
      </c>
      <c r="BQ124" s="162">
        <f t="shared" si="1045"/>
        <v>2.1488858422800652</v>
      </c>
      <c r="BR124" s="162">
        <f t="shared" si="1045"/>
        <v>3.0177637483365829</v>
      </c>
      <c r="BS124" s="162">
        <f t="shared" si="1045"/>
        <v>3.3791622929787728</v>
      </c>
      <c r="BT124" s="162">
        <f t="shared" si="1045"/>
        <v>3.4190751445086707</v>
      </c>
      <c r="BU124" s="162">
        <f t="shared" si="1045"/>
        <v>3.3080372011990473</v>
      </c>
      <c r="BV124" s="162">
        <f t="shared" si="1045"/>
        <v>3.6431551004929847</v>
      </c>
      <c r="BW124" s="162">
        <f t="shared" si="1045"/>
        <v>2.7725396676745246</v>
      </c>
      <c r="BX124" s="162">
        <f t="shared" si="1045"/>
        <v>3.2745235963678221</v>
      </c>
      <c r="BY124" s="162">
        <f t="shared" si="1045"/>
        <v>3.3426432759033262</v>
      </c>
      <c r="BZ124" s="162">
        <f t="shared" si="1045"/>
        <v>9.5497022888957623</v>
      </c>
      <c r="CA124" s="162">
        <f t="shared" si="1045"/>
        <v>8.3147069683136401</v>
      </c>
      <c r="CB124" s="162">
        <f t="shared" si="1045"/>
        <v>9.0966678872207982</v>
      </c>
      <c r="CC124" s="162">
        <f t="shared" si="1045"/>
        <v>7.8274166294714034</v>
      </c>
      <c r="CD124" s="162">
        <f t="shared" si="1045"/>
        <v>7.9244817374136236</v>
      </c>
      <c r="CE124" s="162">
        <f t="shared" si="1045"/>
        <v>7.1095139680729753</v>
      </c>
      <c r="CF124" s="162">
        <f t="shared" si="1045"/>
        <v>26.367437664041994</v>
      </c>
      <c r="CG124" s="162">
        <f t="shared" si="1045"/>
        <v>17.652031947951059</v>
      </c>
      <c r="CH124" s="162">
        <f t="shared" si="1045"/>
        <v>12.005074666066337</v>
      </c>
      <c r="CI124" s="162">
        <f t="shared" si="1045"/>
        <v>10.455245822622109</v>
      </c>
      <c r="CJ124" s="162">
        <f t="shared" si="1048"/>
        <v>12.751806965028839</v>
      </c>
      <c r="CK124" s="162">
        <f t="shared" ref="CK124" si="1052">+CK107/CK$120</f>
        <v>10.878541418270595</v>
      </c>
      <c r="CL124" s="162">
        <f t="shared" si="1048"/>
        <v>9.0366344071766314</v>
      </c>
      <c r="CM124" s="94">
        <f t="shared" ref="CM124:DB124" si="1053">+CL124</f>
        <v>9.0366344071766314</v>
      </c>
      <c r="CN124" s="94">
        <f t="shared" si="1053"/>
        <v>9.0366344071766314</v>
      </c>
      <c r="CO124" s="94">
        <f t="shared" si="1053"/>
        <v>9.0366344071766314</v>
      </c>
      <c r="CP124" s="94">
        <f t="shared" si="1053"/>
        <v>9.0366344071766314</v>
      </c>
      <c r="CQ124" s="94">
        <f t="shared" si="1053"/>
        <v>9.0366344071766314</v>
      </c>
      <c r="CR124" s="94">
        <f t="shared" si="1053"/>
        <v>9.0366344071766314</v>
      </c>
      <c r="CS124" s="94">
        <f t="shared" si="1053"/>
        <v>9.0366344071766314</v>
      </c>
      <c r="CT124" s="94">
        <f t="shared" si="1053"/>
        <v>9.0366344071766314</v>
      </c>
      <c r="CU124" s="94">
        <f t="shared" si="1053"/>
        <v>9.0366344071766314</v>
      </c>
      <c r="CV124" s="94">
        <f t="shared" si="1053"/>
        <v>9.0366344071766314</v>
      </c>
      <c r="CW124" s="94">
        <f t="shared" si="1053"/>
        <v>9.0366344071766314</v>
      </c>
      <c r="CX124" s="94">
        <f t="shared" si="1053"/>
        <v>9.0366344071766314</v>
      </c>
      <c r="CY124" s="94">
        <f t="shared" si="1053"/>
        <v>9.0366344071766314</v>
      </c>
      <c r="CZ124" s="94">
        <f t="shared" si="1053"/>
        <v>9.0366344071766314</v>
      </c>
      <c r="DA124" s="94">
        <f t="shared" si="1053"/>
        <v>9.0366344071766314</v>
      </c>
      <c r="DB124" s="94">
        <f t="shared" si="1053"/>
        <v>9.0366344071766314</v>
      </c>
      <c r="DC124" s="94"/>
      <c r="DE124" s="22"/>
      <c r="DF124" s="162">
        <v>9.2787654225539224</v>
      </c>
    </row>
    <row r="125" spans="1:110" s="4" customFormat="1" hidden="1" outlineLevel="1" x14ac:dyDescent="0.2">
      <c r="A125" s="3"/>
      <c r="AB125" s="17"/>
      <c r="AC125" s="17"/>
      <c r="AD125" s="17"/>
      <c r="AE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E125" s="119"/>
    </row>
    <row r="126" spans="1:110" s="177" customFormat="1" hidden="1" outlineLevel="1" x14ac:dyDescent="0.2">
      <c r="A126" s="177" t="s">
        <v>510</v>
      </c>
      <c r="E126" s="177">
        <f t="shared" ref="E126:Y126" si="1054">+E38</f>
        <v>1841.4939999999999</v>
      </c>
      <c r="F126" s="177">
        <f t="shared" si="1054"/>
        <v>2202.11</v>
      </c>
      <c r="G126" s="177">
        <f t="shared" si="1054"/>
        <v>3876.9700000000003</v>
      </c>
      <c r="H126" s="177">
        <f t="shared" si="1054"/>
        <v>8560.2200000000012</v>
      </c>
      <c r="I126" s="177">
        <f t="shared" si="1054"/>
        <v>7877.7699999999995</v>
      </c>
      <c r="J126" s="177">
        <f t="shared" si="1054"/>
        <v>5680.27</v>
      </c>
      <c r="K126" s="177">
        <f t="shared" si="1054"/>
        <v>8016.9700000000012</v>
      </c>
      <c r="L126" s="177">
        <f t="shared" si="1054"/>
        <v>10039.17</v>
      </c>
      <c r="M126" s="177">
        <f t="shared" si="1054"/>
        <v>11405.31</v>
      </c>
      <c r="N126" s="177">
        <f t="shared" si="1054"/>
        <v>12699.84</v>
      </c>
      <c r="O126" s="177">
        <f t="shared" si="1054"/>
        <v>13636.039999999999</v>
      </c>
      <c r="P126" s="177">
        <f t="shared" si="1054"/>
        <v>14788.39</v>
      </c>
      <c r="Q126" s="177">
        <f t="shared" si="1054"/>
        <v>14181</v>
      </c>
      <c r="R126" s="177">
        <f t="shared" si="1054"/>
        <v>17273</v>
      </c>
      <c r="S126" s="177">
        <f t="shared" si="1054"/>
        <v>22082</v>
      </c>
      <c r="T126" s="177">
        <f t="shared" si="1054"/>
        <v>21118</v>
      </c>
      <c r="U126" s="177">
        <f t="shared" si="1054"/>
        <v>18561</v>
      </c>
      <c r="V126" s="177">
        <f t="shared" si="1054"/>
        <v>22629</v>
      </c>
      <c r="W126" s="177">
        <f t="shared" si="1054"/>
        <v>29440</v>
      </c>
      <c r="X126" s="177">
        <f t="shared" si="1054"/>
        <v>34098</v>
      </c>
      <c r="Y126" s="177">
        <f t="shared" si="1054"/>
        <v>28932</v>
      </c>
      <c r="Z126" s="177">
        <f>+Z38</f>
        <v>34083</v>
      </c>
      <c r="AA126" s="177">
        <f>+AA38</f>
        <v>40844</v>
      </c>
      <c r="AB126" s="178">
        <f t="shared" ref="AA126:AE126" si="1055">+AB38</f>
        <v>48418.314968725666</v>
      </c>
      <c r="AC126" s="178">
        <f t="shared" si="1055"/>
        <v>47775.418849550391</v>
      </c>
      <c r="AD126" s="178">
        <f t="shared" si="1055"/>
        <v>47363.69191238554</v>
      </c>
      <c r="AE126" s="178">
        <f t="shared" si="1055"/>
        <v>46647.738909943153</v>
      </c>
      <c r="AL126" s="177">
        <f t="shared" ref="AL126:BQ126" si="1056">+SUM(AI36:AL36)</f>
        <v>12699.84</v>
      </c>
      <c r="AM126" s="177">
        <f t="shared" si="1056"/>
        <v>12936.289999999999</v>
      </c>
      <c r="AN126" s="177">
        <f t="shared" si="1056"/>
        <v>13629.96</v>
      </c>
      <c r="AO126" s="177">
        <f t="shared" si="1056"/>
        <v>13902.009999999998</v>
      </c>
      <c r="AP126" s="177">
        <f t="shared" si="1056"/>
        <v>13636.039999999999</v>
      </c>
      <c r="AQ126" s="177">
        <f t="shared" si="1056"/>
        <v>13659.07</v>
      </c>
      <c r="AR126" s="177">
        <f t="shared" si="1056"/>
        <v>13902.32</v>
      </c>
      <c r="AS126" s="177">
        <f t="shared" si="1056"/>
        <v>14305.39</v>
      </c>
      <c r="AT126" s="177">
        <f t="shared" si="1056"/>
        <v>14788.39</v>
      </c>
      <c r="AU126" s="177">
        <f t="shared" si="1056"/>
        <v>15411.37</v>
      </c>
      <c r="AV126" s="177">
        <f t="shared" si="1056"/>
        <v>15966.869999999999</v>
      </c>
      <c r="AW126" s="177">
        <f t="shared" si="1056"/>
        <v>15835.23</v>
      </c>
      <c r="AX126" s="177">
        <f t="shared" si="1056"/>
        <v>15163.14</v>
      </c>
      <c r="AY126" s="177">
        <f t="shared" si="1056"/>
        <v>14336.970000000001</v>
      </c>
      <c r="AZ126" s="177">
        <f t="shared" si="1056"/>
        <v>13831.09</v>
      </c>
      <c r="BA126" s="177">
        <f t="shared" si="1056"/>
        <v>15500.59</v>
      </c>
      <c r="BB126" s="177">
        <f t="shared" si="1056"/>
        <v>18302</v>
      </c>
      <c r="BC126" s="177">
        <f t="shared" si="1056"/>
        <v>20511</v>
      </c>
      <c r="BD126" s="177">
        <f t="shared" si="1056"/>
        <v>21968</v>
      </c>
      <c r="BE126" s="177">
        <f t="shared" si="1056"/>
        <v>22499</v>
      </c>
      <c r="BF126" s="177">
        <f t="shared" si="1056"/>
        <v>22521</v>
      </c>
      <c r="BG126" s="177">
        <f t="shared" si="1056"/>
        <v>22818</v>
      </c>
      <c r="BH126" s="177">
        <f t="shared" si="1056"/>
        <v>22286</v>
      </c>
      <c r="BI126" s="177">
        <f t="shared" si="1056"/>
        <v>21904</v>
      </c>
      <c r="BJ126" s="177">
        <f t="shared" si="1056"/>
        <v>21118</v>
      </c>
      <c r="BK126" s="177">
        <f t="shared" si="1056"/>
        <v>20795</v>
      </c>
      <c r="BL126" s="177">
        <f t="shared" si="1056"/>
        <v>20529</v>
      </c>
      <c r="BM126" s="177">
        <f t="shared" si="1056"/>
        <v>19661</v>
      </c>
      <c r="BN126" s="177">
        <f t="shared" si="1056"/>
        <v>18561</v>
      </c>
      <c r="BO126" s="177">
        <f t="shared" si="1056"/>
        <v>17563</v>
      </c>
      <c r="BP126" s="177">
        <f t="shared" si="1056"/>
        <v>18712</v>
      </c>
      <c r="BQ126" s="177">
        <f t="shared" si="1056"/>
        <v>20073</v>
      </c>
      <c r="BR126" s="177">
        <f t="shared" ref="BR126:CW126" si="1057">+SUM(BO36:BR36)</f>
        <v>22629</v>
      </c>
      <c r="BS126" s="177">
        <f t="shared" si="1057"/>
        <v>25171</v>
      </c>
      <c r="BT126" s="177">
        <f t="shared" si="1057"/>
        <v>25633</v>
      </c>
      <c r="BU126" s="177">
        <f t="shared" si="1057"/>
        <v>27590</v>
      </c>
      <c r="BV126" s="177">
        <f t="shared" si="1057"/>
        <v>29440</v>
      </c>
      <c r="BW126" s="177">
        <f t="shared" si="1057"/>
        <v>32296</v>
      </c>
      <c r="BX126" s="177">
        <f t="shared" si="1057"/>
        <v>34510</v>
      </c>
      <c r="BY126" s="177">
        <f t="shared" si="1057"/>
        <v>34386</v>
      </c>
      <c r="BZ126" s="177">
        <f t="shared" si="1057"/>
        <v>34098</v>
      </c>
      <c r="CA126" s="177">
        <f t="shared" si="1057"/>
        <v>31993</v>
      </c>
      <c r="CB126" s="177">
        <f t="shared" si="1057"/>
        <v>30448</v>
      </c>
      <c r="CC126" s="177">
        <f t="shared" si="1057"/>
        <v>29892</v>
      </c>
      <c r="CD126" s="177">
        <f t="shared" si="1057"/>
        <v>28932</v>
      </c>
      <c r="CE126" s="177">
        <f t="shared" si="1057"/>
        <v>29780</v>
      </c>
      <c r="CF126" s="177">
        <f t="shared" si="1057"/>
        <v>31241</v>
      </c>
      <c r="CG126" s="177">
        <f t="shared" si="1057"/>
        <v>32545</v>
      </c>
      <c r="CH126" s="177">
        <f t="shared" si="1057"/>
        <v>34083</v>
      </c>
      <c r="CI126" s="177">
        <f t="shared" si="1057"/>
        <v>33724</v>
      </c>
      <c r="CJ126" s="177">
        <f t="shared" si="1057"/>
        <v>34021</v>
      </c>
      <c r="CK126" s="177">
        <f t="shared" si="1057"/>
        <v>36387</v>
      </c>
      <c r="CL126" s="177">
        <f t="shared" si="1057"/>
        <v>40844</v>
      </c>
      <c r="CM126" s="178">
        <f t="shared" si="1057"/>
        <v>44448.622108208954</v>
      </c>
      <c r="CN126" s="178">
        <f t="shared" si="1057"/>
        <v>47689.683905189151</v>
      </c>
      <c r="CO126" s="178">
        <f t="shared" si="1057"/>
        <v>49210.371333103663</v>
      </c>
      <c r="CP126" s="178">
        <f t="shared" si="1057"/>
        <v>48418.314968725666</v>
      </c>
      <c r="CQ126" s="178">
        <f t="shared" si="1057"/>
        <v>48101.895875469003</v>
      </c>
      <c r="CR126" s="178">
        <f t="shared" si="1057"/>
        <v>47882.927751755138</v>
      </c>
      <c r="CS126" s="178">
        <f t="shared" si="1057"/>
        <v>47767.669535815672</v>
      </c>
      <c r="CT126" s="178">
        <f t="shared" si="1057"/>
        <v>47775.418849550391</v>
      </c>
      <c r="CU126" s="178">
        <f t="shared" si="1057"/>
        <v>47773.742080724842</v>
      </c>
      <c r="CV126" s="178">
        <f t="shared" si="1057"/>
        <v>47706.324877882056</v>
      </c>
      <c r="CW126" s="178">
        <f t="shared" si="1057"/>
        <v>47568.240692245752</v>
      </c>
      <c r="CX126" s="178">
        <f t="shared" ref="CX126:DB126" si="1058">+SUM(CU36:CX36)</f>
        <v>47363.69191238554</v>
      </c>
      <c r="CY126" s="178">
        <f t="shared" si="1058"/>
        <v>47205.649478095889</v>
      </c>
      <c r="CZ126" s="178">
        <f t="shared" si="1058"/>
        <v>47035.037464663299</v>
      </c>
      <c r="DA126" s="178">
        <f t="shared" si="1058"/>
        <v>46846.151226407557</v>
      </c>
      <c r="DB126" s="178">
        <f t="shared" si="1058"/>
        <v>46647.738909943153</v>
      </c>
      <c r="DE126" s="179"/>
      <c r="DF126" s="177">
        <v>40240.126384154777</v>
      </c>
    </row>
    <row r="127" spans="1:110" s="163" customFormat="1" hidden="1" outlineLevel="1" x14ac:dyDescent="0.2">
      <c r="A127" s="163" t="s">
        <v>511</v>
      </c>
      <c r="E127" s="163" t="e">
        <f t="shared" ref="E127:AE127" ca="1" si="1059">+E126/E93</f>
        <v>#DIV/0!</v>
      </c>
      <c r="F127" s="163" t="e">
        <f t="shared" ca="1" si="1059"/>
        <v>#DIV/0!</v>
      </c>
      <c r="G127" s="163" t="e">
        <f t="shared" ca="1" si="1059"/>
        <v>#DIV/0!</v>
      </c>
      <c r="H127" s="163" t="e">
        <f t="shared" ca="1" si="1059"/>
        <v>#DIV/0!</v>
      </c>
      <c r="I127" s="163" t="e">
        <f t="shared" ca="1" si="1059"/>
        <v>#DIV/0!</v>
      </c>
      <c r="J127" s="163" t="e">
        <f t="shared" ca="1" si="1059"/>
        <v>#DIV/0!</v>
      </c>
      <c r="K127" s="163" t="e">
        <f t="shared" ca="1" si="1059"/>
        <v>#DIV/0!</v>
      </c>
      <c r="L127" s="163" t="e">
        <f t="shared" ca="1" si="1059"/>
        <v>#DIV/0!</v>
      </c>
      <c r="M127" s="163" t="e">
        <f t="shared" ca="1" si="1059"/>
        <v>#DIV/0!</v>
      </c>
      <c r="N127" s="163" t="e">
        <f t="shared" ca="1" si="1059"/>
        <v>#DIV/0!</v>
      </c>
      <c r="O127" s="163" t="e">
        <f t="shared" ca="1" si="1059"/>
        <v>#DIV/0!</v>
      </c>
      <c r="P127" s="163" t="e">
        <f t="shared" ca="1" si="1059"/>
        <v>#DIV/0!</v>
      </c>
      <c r="Q127" s="163" t="e">
        <f t="shared" ca="1" si="1059"/>
        <v>#DIV/0!</v>
      </c>
      <c r="R127" s="163" t="e">
        <f t="shared" ca="1" si="1059"/>
        <v>#DIV/0!</v>
      </c>
      <c r="S127" s="163" t="e">
        <f t="shared" ca="1" si="1059"/>
        <v>#DIV/0!</v>
      </c>
      <c r="T127" s="163" t="e">
        <f t="shared" ca="1" si="1059"/>
        <v>#DIV/0!</v>
      </c>
      <c r="U127" s="163" t="e">
        <f t="shared" ca="1" si="1059"/>
        <v>#DIV/0!</v>
      </c>
      <c r="V127" s="163" t="e">
        <f t="shared" ca="1" si="1059"/>
        <v>#DIV/0!</v>
      </c>
      <c r="W127" s="163" t="e">
        <f t="shared" ca="1" si="1059"/>
        <v>#DIV/0!</v>
      </c>
      <c r="X127" s="163" t="e">
        <f t="shared" ca="1" si="1059"/>
        <v>#DIV/0!</v>
      </c>
      <c r="Y127" s="163" t="e">
        <f t="shared" ca="1" si="1059"/>
        <v>#DIV/0!</v>
      </c>
      <c r="Z127" s="163" t="e">
        <f t="shared" ref="Z127:AA127" ca="1" si="1060">+Z126/Z93</f>
        <v>#DIV/0!</v>
      </c>
      <c r="AA127" s="163" t="e">
        <f t="shared" ca="1" si="1060"/>
        <v>#DIV/0!</v>
      </c>
      <c r="AB127" s="94" t="e">
        <f t="shared" ca="1" si="1059"/>
        <v>#DIV/0!</v>
      </c>
      <c r="AC127" s="94" t="e">
        <f t="shared" ca="1" si="1059"/>
        <v>#DIV/0!</v>
      </c>
      <c r="AD127" s="94" t="e">
        <f t="shared" ca="1" si="1059"/>
        <v>#DIV/0!</v>
      </c>
      <c r="AE127" s="94" t="e">
        <f t="shared" ca="1" si="1059"/>
        <v>#DIV/0!</v>
      </c>
      <c r="AL127" s="163">
        <f t="shared" ref="AL127:BQ127" si="1061">+AL126/AL93</f>
        <v>30.058792899408285</v>
      </c>
      <c r="AM127" s="163">
        <f t="shared" si="1061"/>
        <v>30.618437869822483</v>
      </c>
      <c r="AN127" s="163">
        <f t="shared" si="1061"/>
        <v>32.260260355029587</v>
      </c>
      <c r="AO127" s="163">
        <f t="shared" si="1061"/>
        <v>32.904165680473369</v>
      </c>
      <c r="AP127" s="163">
        <f t="shared" si="1061"/>
        <v>32.274650887573962</v>
      </c>
      <c r="AQ127" s="163">
        <f t="shared" si="1061"/>
        <v>32.329159763313612</v>
      </c>
      <c r="AR127" s="163">
        <f t="shared" si="1061"/>
        <v>32.904899408284024</v>
      </c>
      <c r="AS127" s="163">
        <f t="shared" si="1061"/>
        <v>33.858911242603547</v>
      </c>
      <c r="AT127" s="163">
        <f t="shared" si="1061"/>
        <v>35.002106508875741</v>
      </c>
      <c r="AU127" s="163">
        <f t="shared" si="1061"/>
        <v>36.476615384615386</v>
      </c>
      <c r="AV127" s="163">
        <f t="shared" si="1061"/>
        <v>37.791408284023667</v>
      </c>
      <c r="AW127" s="163">
        <f t="shared" si="1061"/>
        <v>37.479834319526624</v>
      </c>
      <c r="AX127" s="163">
        <f t="shared" si="1061"/>
        <v>35.889088757396451</v>
      </c>
      <c r="AY127" s="163">
        <f t="shared" si="1061"/>
        <v>33.933656804733729</v>
      </c>
      <c r="AZ127" s="163">
        <f t="shared" si="1061"/>
        <v>32.73630769230769</v>
      </c>
      <c r="BA127" s="163">
        <f t="shared" si="1061"/>
        <v>36.687786982248518</v>
      </c>
      <c r="BB127" s="163">
        <f t="shared" si="1061"/>
        <v>43.318343195266273</v>
      </c>
      <c r="BC127" s="163">
        <f t="shared" si="1061"/>
        <v>48.546745562130177</v>
      </c>
      <c r="BD127" s="163">
        <f t="shared" si="1061"/>
        <v>51.995266272189347</v>
      </c>
      <c r="BE127" s="163">
        <f t="shared" si="1061"/>
        <v>53.252071005917159</v>
      </c>
      <c r="BF127" s="163">
        <f t="shared" si="1061"/>
        <v>53.304142011834323</v>
      </c>
      <c r="BG127" s="163">
        <f t="shared" si="1061"/>
        <v>54.007100591715975</v>
      </c>
      <c r="BH127" s="163">
        <f t="shared" si="1061"/>
        <v>52.747928994082841</v>
      </c>
      <c r="BI127" s="163">
        <f t="shared" si="1061"/>
        <v>51.843786982248524</v>
      </c>
      <c r="BJ127" s="163">
        <f t="shared" si="1061"/>
        <v>49.98343195266272</v>
      </c>
      <c r="BK127" s="163">
        <f t="shared" si="1061"/>
        <v>49.218934911242606</v>
      </c>
      <c r="BL127" s="163">
        <f t="shared" si="1061"/>
        <v>48.589349112426035</v>
      </c>
      <c r="BM127" s="163">
        <f t="shared" si="1061"/>
        <v>46.534911242603549</v>
      </c>
      <c r="BN127" s="163">
        <f t="shared" si="1061"/>
        <v>43.931360946745563</v>
      </c>
      <c r="BO127" s="163">
        <f t="shared" si="1061"/>
        <v>41.569230769230771</v>
      </c>
      <c r="BP127" s="163">
        <f t="shared" si="1061"/>
        <v>44.288757396449704</v>
      </c>
      <c r="BQ127" s="163">
        <f t="shared" si="1061"/>
        <v>47.510059171597632</v>
      </c>
      <c r="BR127" s="163">
        <f t="shared" ref="BR127:CW127" si="1062">+BR126/BR93</f>
        <v>53.559763313609466</v>
      </c>
      <c r="BS127" s="163">
        <f t="shared" si="1062"/>
        <v>59.576331360946746</v>
      </c>
      <c r="BT127" s="163">
        <f t="shared" si="1062"/>
        <v>60.669822485207099</v>
      </c>
      <c r="BU127" s="163">
        <f t="shared" si="1062"/>
        <v>65.301775147928993</v>
      </c>
      <c r="BV127" s="163">
        <f t="shared" si="1062"/>
        <v>69.680473372781066</v>
      </c>
      <c r="BW127" s="163">
        <f t="shared" si="1062"/>
        <v>76.440236686390534</v>
      </c>
      <c r="BX127" s="163">
        <f t="shared" si="1062"/>
        <v>81.680473372781066</v>
      </c>
      <c r="BY127" s="163">
        <f t="shared" si="1062"/>
        <v>81.38698224852071</v>
      </c>
      <c r="BZ127" s="163">
        <f t="shared" si="1062"/>
        <v>80.705325443786975</v>
      </c>
      <c r="CA127" s="163">
        <f t="shared" si="1062"/>
        <v>75.723076923076917</v>
      </c>
      <c r="CB127" s="163">
        <f t="shared" si="1062"/>
        <v>72.066272189349107</v>
      </c>
      <c r="CC127" s="163">
        <f t="shared" si="1062"/>
        <v>70.750295857988164</v>
      </c>
      <c r="CD127" s="163">
        <f t="shared" si="1062"/>
        <v>68.47810650887574</v>
      </c>
      <c r="CE127" s="163">
        <f t="shared" si="1062"/>
        <v>70.485207100591722</v>
      </c>
      <c r="CF127" s="163">
        <f t="shared" si="1062"/>
        <v>73.943195266272184</v>
      </c>
      <c r="CG127" s="163">
        <f t="shared" si="1062"/>
        <v>77.029585798816569</v>
      </c>
      <c r="CH127" s="163">
        <f t="shared" si="1062"/>
        <v>80.669822485207106</v>
      </c>
      <c r="CI127" s="163">
        <f t="shared" si="1062"/>
        <v>79.820118343195261</v>
      </c>
      <c r="CJ127" s="163">
        <f t="shared" si="1062"/>
        <v>80.523076923076928</v>
      </c>
      <c r="CK127" s="163">
        <f t="shared" ref="CK127:CL127" si="1063">+CK126/CK93</f>
        <v>86.123076923076923</v>
      </c>
      <c r="CL127" s="163">
        <f t="shared" si="1063"/>
        <v>96.672189349112429</v>
      </c>
      <c r="CM127" s="50">
        <f t="shared" si="1062"/>
        <v>105.20383930937031</v>
      </c>
      <c r="CN127" s="50">
        <f t="shared" si="1062"/>
        <v>112.87499149157196</v>
      </c>
      <c r="CO127" s="50">
        <f t="shared" si="1062"/>
        <v>116.474251675985</v>
      </c>
      <c r="CP127" s="50">
        <f t="shared" si="1062"/>
        <v>114.59956205615542</v>
      </c>
      <c r="CQ127" s="50">
        <f t="shared" si="1062"/>
        <v>113.85064112537042</v>
      </c>
      <c r="CR127" s="50">
        <f t="shared" si="1062"/>
        <v>113.33237337693524</v>
      </c>
      <c r="CS127" s="50">
        <f t="shared" si="1062"/>
        <v>113.0595728658359</v>
      </c>
      <c r="CT127" s="50">
        <f t="shared" si="1062"/>
        <v>113.07791443680566</v>
      </c>
      <c r="CU127" s="50">
        <f t="shared" si="1062"/>
        <v>113.07394575319489</v>
      </c>
      <c r="CV127" s="50">
        <f t="shared" si="1062"/>
        <v>112.9143784091883</v>
      </c>
      <c r="CW127" s="50">
        <f t="shared" si="1062"/>
        <v>112.58755193430947</v>
      </c>
      <c r="CX127" s="50">
        <f t="shared" ref="CX127:DB127" si="1064">+CX126/CX93</f>
        <v>112.10341281037998</v>
      </c>
      <c r="CY127" s="50">
        <f t="shared" si="1064"/>
        <v>111.72934787715003</v>
      </c>
      <c r="CZ127" s="50">
        <f t="shared" si="1064"/>
        <v>111.32553246074154</v>
      </c>
      <c r="DA127" s="50">
        <f t="shared" si="1064"/>
        <v>110.87846444120132</v>
      </c>
      <c r="DB127" s="50">
        <f t="shared" si="1064"/>
        <v>110.40884949098971</v>
      </c>
      <c r="DE127" s="164"/>
      <c r="DF127" s="163">
        <v>95.242902684390003</v>
      </c>
    </row>
    <row r="128" spans="1:110" s="163" customFormat="1" hidden="1" outlineLevel="1" x14ac:dyDescent="0.2">
      <c r="AB128" s="94"/>
      <c r="AC128" s="94"/>
      <c r="AD128" s="94"/>
      <c r="AE128" s="94"/>
      <c r="CM128" s="94"/>
      <c r="CN128" s="94"/>
      <c r="CO128" s="94"/>
      <c r="CP128" s="94"/>
      <c r="CQ128" s="94"/>
      <c r="CR128" s="94"/>
      <c r="CS128" s="94"/>
      <c r="CT128" s="94"/>
      <c r="CU128" s="94"/>
      <c r="CV128" s="94"/>
      <c r="CW128" s="94"/>
      <c r="CX128" s="94"/>
      <c r="CY128" s="94"/>
      <c r="CZ128" s="94"/>
      <c r="DA128" s="94"/>
      <c r="DB128" s="94"/>
      <c r="DE128" s="164"/>
    </row>
    <row r="129" spans="1:110" s="163" customFormat="1" hidden="1" outlineLevel="1" x14ac:dyDescent="0.2">
      <c r="A129" s="163" t="s">
        <v>506</v>
      </c>
      <c r="AB129" s="94"/>
      <c r="AC129" s="94"/>
      <c r="AD129" s="94"/>
      <c r="AE129" s="94"/>
      <c r="CM129" s="94"/>
      <c r="CN129" s="94"/>
      <c r="CO129" s="94"/>
      <c r="CP129" s="94"/>
      <c r="CQ129" s="94"/>
      <c r="CR129" s="94"/>
      <c r="CS129" s="94"/>
      <c r="CT129" s="94"/>
      <c r="CU129" s="94"/>
      <c r="CV129" s="94"/>
      <c r="CW129" s="94"/>
      <c r="CX129" s="94"/>
      <c r="CY129" s="94"/>
      <c r="CZ129" s="94"/>
      <c r="DA129" s="94"/>
      <c r="DB129" s="94"/>
      <c r="DE129" s="164"/>
    </row>
    <row r="130" spans="1:110" s="163" customFormat="1" hidden="1" outlineLevel="1" x14ac:dyDescent="0.2">
      <c r="A130" s="163" t="s">
        <v>507</v>
      </c>
      <c r="E130" s="163" t="e">
        <f t="shared" ref="E130:AE132" ca="1" si="1065">+E105/E$127</f>
        <v>#DIV/0!</v>
      </c>
      <c r="F130" s="163" t="e">
        <f t="shared" ca="1" si="1065"/>
        <v>#DIV/0!</v>
      </c>
      <c r="G130" s="163" t="e">
        <f t="shared" ca="1" si="1065"/>
        <v>#DIV/0!</v>
      </c>
      <c r="H130" s="163" t="e">
        <f t="shared" ca="1" si="1065"/>
        <v>#DIV/0!</v>
      </c>
      <c r="I130" s="163" t="e">
        <f t="shared" ca="1" si="1065"/>
        <v>#DIV/0!</v>
      </c>
      <c r="J130" s="163" t="e">
        <f t="shared" ca="1" si="1065"/>
        <v>#DIV/0!</v>
      </c>
      <c r="K130" s="163" t="e">
        <f t="shared" ca="1" si="1065"/>
        <v>#DIV/0!</v>
      </c>
      <c r="L130" s="163" t="e">
        <f t="shared" ca="1" si="1065"/>
        <v>#DIV/0!</v>
      </c>
      <c r="M130" s="163" t="e">
        <f t="shared" ca="1" si="1065"/>
        <v>#DIV/0!</v>
      </c>
      <c r="N130" s="163" t="e">
        <f t="shared" ca="1" si="1065"/>
        <v>#DIV/0!</v>
      </c>
      <c r="O130" s="163" t="e">
        <f t="shared" ca="1" si="1065"/>
        <v>#DIV/0!</v>
      </c>
      <c r="P130" s="163" t="e">
        <f t="shared" ca="1" si="1065"/>
        <v>#DIV/0!</v>
      </c>
      <c r="Q130" s="163" t="e">
        <f t="shared" ca="1" si="1065"/>
        <v>#DIV/0!</v>
      </c>
      <c r="R130" s="163" t="e">
        <f t="shared" ca="1" si="1065"/>
        <v>#DIV/0!</v>
      </c>
      <c r="S130" s="163" t="e">
        <f t="shared" ca="1" si="1065"/>
        <v>#DIV/0!</v>
      </c>
      <c r="T130" s="163" t="e">
        <f t="shared" ca="1" si="1065"/>
        <v>#DIV/0!</v>
      </c>
      <c r="U130" s="163" t="e">
        <f t="shared" ca="1" si="1065"/>
        <v>#DIV/0!</v>
      </c>
      <c r="V130" s="163" t="e">
        <f t="shared" ca="1" si="1065"/>
        <v>#DIV/0!</v>
      </c>
      <c r="W130" s="163" t="e">
        <f t="shared" ca="1" si="1065"/>
        <v>#DIV/0!</v>
      </c>
      <c r="X130" s="163" t="e">
        <f t="shared" ca="1" si="1065"/>
        <v>#DIV/0!</v>
      </c>
      <c r="Y130" s="163" t="e">
        <f t="shared" ca="1" si="1065"/>
        <v>#DIV/0!</v>
      </c>
      <c r="Z130" s="163" t="e">
        <f ca="1">+Z105/Z$127</f>
        <v>#DIV/0!</v>
      </c>
      <c r="AA130" s="163" t="e">
        <f ca="1">+AA105/AA$127</f>
        <v>#DIV/0!</v>
      </c>
      <c r="AB130" s="50" t="e">
        <f t="shared" ref="AA130:AE130" ca="1" si="1066">+AB105/AB$127</f>
        <v>#DIV/0!</v>
      </c>
      <c r="AC130" s="50" t="e">
        <f t="shared" ca="1" si="1066"/>
        <v>#DIV/0!</v>
      </c>
      <c r="AD130" s="50" t="e">
        <f t="shared" ca="1" si="1066"/>
        <v>#DIV/0!</v>
      </c>
      <c r="AE130" s="50" t="e">
        <f t="shared" ca="1" si="1066"/>
        <v>#DIV/0!</v>
      </c>
      <c r="AL130" s="163">
        <f t="shared" ref="AL130:BQ130" si="1067">+AL105/AL127</f>
        <v>4.0304346353969818</v>
      </c>
      <c r="AM130" s="163">
        <f t="shared" si="1067"/>
        <v>3.346023086990165</v>
      </c>
      <c r="AN130" s="163">
        <f t="shared" si="1067"/>
        <v>4.1242692568430135</v>
      </c>
      <c r="AO130" s="163">
        <f t="shared" si="1067"/>
        <v>4.0253261938381577</v>
      </c>
      <c r="AP130" s="163">
        <f t="shared" si="1067"/>
        <v>3.9768052161771306</v>
      </c>
      <c r="AQ130" s="163">
        <f t="shared" si="1067"/>
        <v>5.1578822716334267</v>
      </c>
      <c r="AR130" s="163">
        <f t="shared" si="1067"/>
        <v>4.8883297895603031</v>
      </c>
      <c r="AS130" s="163">
        <f t="shared" si="1067"/>
        <v>5.0311718170563688</v>
      </c>
      <c r="AT130" s="163">
        <f t="shared" si="1067"/>
        <v>4.6240074139240308</v>
      </c>
      <c r="AU130" s="163">
        <f t="shared" si="1067"/>
        <v>4.5782756497313342</v>
      </c>
      <c r="AV130" s="163">
        <f t="shared" si="1067"/>
        <v>3.6952843606793317</v>
      </c>
      <c r="AW130" s="163">
        <f t="shared" si="1067"/>
        <v>3.9114367142125501</v>
      </c>
      <c r="AX130" s="163">
        <f t="shared" si="1067"/>
        <v>5.1129746213515137</v>
      </c>
      <c r="AY130" s="163">
        <f t="shared" si="1067"/>
        <v>5.2985742454646969</v>
      </c>
      <c r="AZ130" s="163">
        <f t="shared" si="1067"/>
        <v>7.1251163140432174</v>
      </c>
      <c r="BA130" s="163">
        <f t="shared" si="1067"/>
        <v>6.962807544745071</v>
      </c>
      <c r="BB130" s="163">
        <f t="shared" si="1067"/>
        <v>6.66807589334499</v>
      </c>
      <c r="BC130" s="163">
        <f t="shared" si="1067"/>
        <v>5.4143691190093124</v>
      </c>
      <c r="BD130" s="163">
        <f t="shared" si="1067"/>
        <v>5.6889794246176262</v>
      </c>
      <c r="BE130" s="163">
        <f t="shared" si="1067"/>
        <v>5.8025912262767232</v>
      </c>
      <c r="BF130" s="163">
        <f t="shared" si="1067"/>
        <v>5.6459027130233999</v>
      </c>
      <c r="BG130" s="163">
        <f t="shared" si="1067"/>
        <v>5.1058101060566221</v>
      </c>
      <c r="BH130" s="163">
        <f t="shared" si="1067"/>
        <v>5.5054294175715688</v>
      </c>
      <c r="BI130" s="163">
        <f t="shared" si="1067"/>
        <v>5.358404857560263</v>
      </c>
      <c r="BJ130" s="163">
        <f t="shared" si="1067"/>
        <v>5.5298323704896291</v>
      </c>
      <c r="BK130" s="163">
        <f t="shared" si="1067"/>
        <v>4.9574416927145943</v>
      </c>
      <c r="BL130" s="163">
        <f t="shared" si="1067"/>
        <v>4.3939670709727698</v>
      </c>
      <c r="BM130" s="163">
        <f t="shared" si="1067"/>
        <v>4.5062941864605053</v>
      </c>
      <c r="BN130" s="163">
        <f t="shared" si="1067"/>
        <v>3.5316456548677335</v>
      </c>
      <c r="BO130" s="163">
        <f t="shared" si="1067"/>
        <v>4.7138230940044403</v>
      </c>
      <c r="BP130" s="163">
        <f t="shared" si="1067"/>
        <v>4.7393517528858489</v>
      </c>
      <c r="BQ130" s="163">
        <f t="shared" si="1067"/>
        <v>5.0284088078513429</v>
      </c>
      <c r="BR130" s="163">
        <f t="shared" ref="BR130:DB130" si="1068">+BR105/BR127</f>
        <v>5.0933757567722839</v>
      </c>
      <c r="BS130" s="163">
        <f t="shared" si="1068"/>
        <v>5.6977325096341023</v>
      </c>
      <c r="BT130" s="163">
        <f t="shared" si="1068"/>
        <v>5.1335241680646044</v>
      </c>
      <c r="BU130" s="163">
        <f t="shared" si="1068"/>
        <v>4.8513229430953251</v>
      </c>
      <c r="BV130" s="163">
        <f t="shared" si="1068"/>
        <v>4.4445737092391306</v>
      </c>
      <c r="BW130" s="163">
        <f t="shared" si="1068"/>
        <v>3.2626795888035671</v>
      </c>
      <c r="BX130" s="163">
        <f t="shared" si="1068"/>
        <v>3.271283685888148</v>
      </c>
      <c r="BY130" s="163">
        <f t="shared" si="1068"/>
        <v>3.9613214680393183</v>
      </c>
      <c r="BZ130" s="163">
        <f t="shared" si="1068"/>
        <v>3.635447826852015</v>
      </c>
      <c r="CA130" s="163">
        <f t="shared" si="1068"/>
        <v>4.0568874441284031</v>
      </c>
      <c r="CB130" s="163">
        <f t="shared" si="1068"/>
        <v>4.2849448239621655</v>
      </c>
      <c r="CC130" s="163">
        <f t="shared" si="1068"/>
        <v>4.4946808510638299</v>
      </c>
      <c r="CD130" s="163">
        <f t="shared" si="1068"/>
        <v>4.2677873980367762</v>
      </c>
      <c r="CE130" s="163">
        <f t="shared" si="1068"/>
        <v>9.4899345198119534</v>
      </c>
      <c r="CF130" s="163">
        <f t="shared" si="1068"/>
        <v>7.0635302967254567</v>
      </c>
      <c r="CG130" s="163">
        <f t="shared" si="1068"/>
        <v>5.7601244430788139</v>
      </c>
      <c r="CH130" s="163">
        <f t="shared" si="1068"/>
        <v>5.7270486752926679</v>
      </c>
      <c r="CI130" s="163">
        <f t="shared" si="1068"/>
        <v>5.6483253765864081</v>
      </c>
      <c r="CJ130" s="163">
        <f t="shared" si="1068"/>
        <v>5.9914501337409245</v>
      </c>
      <c r="CK130" s="163">
        <f t="shared" ref="CK130:CL130" si="1069">+CK105/CK127</f>
        <v>7.1095927116827431</v>
      </c>
      <c r="CL130" s="163">
        <f t="shared" si="1069"/>
        <v>5.1948756243267065</v>
      </c>
      <c r="CM130" s="50">
        <f t="shared" si="1068"/>
        <v>5.589149634272216</v>
      </c>
      <c r="CN130" s="50">
        <f t="shared" si="1068"/>
        <v>5.2093027182545057</v>
      </c>
      <c r="CO130" s="50">
        <f t="shared" si="1068"/>
        <v>5.0483260595288764</v>
      </c>
      <c r="CP130" s="50">
        <f t="shared" si="1068"/>
        <v>5.1309096601248054</v>
      </c>
      <c r="CQ130" s="50">
        <f t="shared" si="1068"/>
        <v>5.1646612982398956</v>
      </c>
      <c r="CR130" s="50">
        <f t="shared" si="1068"/>
        <v>5.188279239898689</v>
      </c>
      <c r="CS130" s="50">
        <f t="shared" si="1068"/>
        <v>5.2007979960950355</v>
      </c>
      <c r="CT130" s="50">
        <f t="shared" si="1068"/>
        <v>5.199954411332973</v>
      </c>
      <c r="CU130" s="50">
        <f t="shared" si="1068"/>
        <v>5.2001369199888039</v>
      </c>
      <c r="CV130" s="50">
        <f t="shared" si="1068"/>
        <v>5.2074856035531436</v>
      </c>
      <c r="CW130" s="50">
        <f t="shared" si="1068"/>
        <v>5.2226022317553848</v>
      </c>
      <c r="CX130" s="50">
        <f t="shared" si="1068"/>
        <v>5.2451569961976698</v>
      </c>
      <c r="CY130" s="50">
        <f t="shared" si="1068"/>
        <v>5.2627175506879773</v>
      </c>
      <c r="CZ130" s="50">
        <f t="shared" si="1068"/>
        <v>5.2818072099260389</v>
      </c>
      <c r="DA130" s="50">
        <f t="shared" si="1068"/>
        <v>5.303103744837804</v>
      </c>
      <c r="DB130" s="50">
        <f t="shared" si="1068"/>
        <v>5.3256600599572934</v>
      </c>
      <c r="DE130" s="106"/>
      <c r="DF130" s="163">
        <v>5.2728338369123318</v>
      </c>
    </row>
    <row r="131" spans="1:110" s="163" customFormat="1" hidden="1" outlineLevel="1" x14ac:dyDescent="0.2">
      <c r="A131" s="163" t="s">
        <v>508</v>
      </c>
      <c r="E131" s="163" t="e">
        <f t="shared" ca="1" si="1065"/>
        <v>#DIV/0!</v>
      </c>
      <c r="F131" s="163" t="e">
        <f t="shared" ca="1" si="1065"/>
        <v>#DIV/0!</v>
      </c>
      <c r="G131" s="163" t="e">
        <f t="shared" ca="1" si="1065"/>
        <v>#DIV/0!</v>
      </c>
      <c r="H131" s="163" t="e">
        <f t="shared" ca="1" si="1065"/>
        <v>#DIV/0!</v>
      </c>
      <c r="I131" s="163" t="e">
        <f t="shared" ca="1" si="1065"/>
        <v>#DIV/0!</v>
      </c>
      <c r="J131" s="163" t="e">
        <f t="shared" ca="1" si="1065"/>
        <v>#DIV/0!</v>
      </c>
      <c r="K131" s="163" t="e">
        <f t="shared" ca="1" si="1065"/>
        <v>#DIV/0!</v>
      </c>
      <c r="L131" s="163" t="e">
        <f t="shared" ca="1" si="1065"/>
        <v>#DIV/0!</v>
      </c>
      <c r="M131" s="163" t="e">
        <f t="shared" ca="1" si="1065"/>
        <v>#DIV/0!</v>
      </c>
      <c r="N131" s="163" t="e">
        <f t="shared" ca="1" si="1065"/>
        <v>#DIV/0!</v>
      </c>
      <c r="O131" s="163" t="e">
        <f t="shared" ca="1" si="1065"/>
        <v>#DIV/0!</v>
      </c>
      <c r="P131" s="163" t="e">
        <f t="shared" ca="1" si="1065"/>
        <v>#DIV/0!</v>
      </c>
      <c r="Q131" s="163" t="e">
        <f t="shared" ca="1" si="1065"/>
        <v>#DIV/0!</v>
      </c>
      <c r="R131" s="163" t="e">
        <f t="shared" ca="1" si="1065"/>
        <v>#DIV/0!</v>
      </c>
      <c r="S131" s="163" t="e">
        <f t="shared" ca="1" si="1065"/>
        <v>#DIV/0!</v>
      </c>
      <c r="T131" s="163" t="e">
        <f t="shared" ca="1" si="1065"/>
        <v>#DIV/0!</v>
      </c>
      <c r="U131" s="163" t="e">
        <f t="shared" ca="1" si="1065"/>
        <v>#DIV/0!</v>
      </c>
      <c r="V131" s="163" t="e">
        <f t="shared" ca="1" si="1065"/>
        <v>#DIV/0!</v>
      </c>
      <c r="W131" s="163" t="e">
        <f t="shared" ca="1" si="1065"/>
        <v>#DIV/0!</v>
      </c>
      <c r="X131" s="163" t="e">
        <f t="shared" ca="1" si="1065"/>
        <v>#DIV/0!</v>
      </c>
      <c r="Y131" s="163" t="e">
        <f t="shared" ca="1" si="1065"/>
        <v>#DIV/0!</v>
      </c>
      <c r="Z131" s="163" t="e">
        <f t="shared" ref="Z131:AA132" ca="1" si="1070">+Z106/Z$127</f>
        <v>#DIV/0!</v>
      </c>
      <c r="AA131" s="163" t="e">
        <f t="shared" ca="1" si="1070"/>
        <v>#DIV/0!</v>
      </c>
      <c r="AB131" s="94" t="e">
        <f t="shared" ca="1" si="1065"/>
        <v>#DIV/0!</v>
      </c>
      <c r="AC131" s="94" t="e">
        <f t="shared" ca="1" si="1065"/>
        <v>#DIV/0!</v>
      </c>
      <c r="AD131" s="94" t="e">
        <f t="shared" ca="1" si="1065"/>
        <v>#DIV/0!</v>
      </c>
      <c r="AE131" s="94" t="e">
        <f t="shared" ca="1" si="1065"/>
        <v>#DIV/0!</v>
      </c>
      <c r="AL131" s="163">
        <f t="shared" ref="AL131:BQ131" si="1071">+AL106/AL127</f>
        <v>4.7556799928188065</v>
      </c>
      <c r="AM131" s="163">
        <f t="shared" si="1071"/>
        <v>4.0923054446058336</v>
      </c>
      <c r="AN131" s="163">
        <f t="shared" si="1071"/>
        <v>4.2544603946013044</v>
      </c>
      <c r="AO131" s="163">
        <f t="shared" si="1071"/>
        <v>4.2684565037717572</v>
      </c>
      <c r="AP131" s="163">
        <f t="shared" si="1071"/>
        <v>4.393540940038311</v>
      </c>
      <c r="AQ131" s="163">
        <f t="shared" si="1071"/>
        <v>5.6914562997334368</v>
      </c>
      <c r="AR131" s="163">
        <f t="shared" si="1071"/>
        <v>5.4095287692989373</v>
      </c>
      <c r="AS131" s="163">
        <f t="shared" si="1071"/>
        <v>5.2836902733864655</v>
      </c>
      <c r="AT131" s="163">
        <f t="shared" si="1071"/>
        <v>5.4396726080391442</v>
      </c>
      <c r="AU131" s="163">
        <f t="shared" si="1071"/>
        <v>5.033361732279479</v>
      </c>
      <c r="AV131" s="163">
        <f t="shared" si="1071"/>
        <v>4.4997000038204114</v>
      </c>
      <c r="AW131" s="163">
        <f t="shared" si="1071"/>
        <v>4.3636799086593632</v>
      </c>
      <c r="AX131" s="163">
        <f t="shared" si="1071"/>
        <v>5.5671516585614853</v>
      </c>
      <c r="AY131" s="163">
        <f t="shared" si="1071"/>
        <v>5.5888465275438257</v>
      </c>
      <c r="AZ131" s="163">
        <f t="shared" si="1071"/>
        <v>7.2030114763189319</v>
      </c>
      <c r="BA131" s="163">
        <f t="shared" si="1071"/>
        <v>7.9004492732212137</v>
      </c>
      <c r="BB131" s="163">
        <f t="shared" si="1071"/>
        <v>7.6965085782974532</v>
      </c>
      <c r="BC131" s="163">
        <f t="shared" si="1071"/>
        <v>6.0601384622885277</v>
      </c>
      <c r="BD131" s="163">
        <f t="shared" si="1071"/>
        <v>6.0313182811361985</v>
      </c>
      <c r="BE131" s="163">
        <f t="shared" si="1071"/>
        <v>6.2082092537446112</v>
      </c>
      <c r="BF131" s="163">
        <f t="shared" si="1071"/>
        <v>6.3700490653168149</v>
      </c>
      <c r="BG131" s="163">
        <f t="shared" si="1071"/>
        <v>6.2278847839425024</v>
      </c>
      <c r="BH131" s="163">
        <f t="shared" si="1071"/>
        <v>5.8561540877681049</v>
      </c>
      <c r="BI131" s="163">
        <f t="shared" si="1071"/>
        <v>5.767325602629656</v>
      </c>
      <c r="BJ131" s="163">
        <f t="shared" si="1071"/>
        <v>5.6308658490387344</v>
      </c>
      <c r="BK131" s="163">
        <f t="shared" si="1071"/>
        <v>5.9286126472709784</v>
      </c>
      <c r="BL131" s="163">
        <f t="shared" si="1071"/>
        <v>5.1132605095231138</v>
      </c>
      <c r="BM131" s="163">
        <f t="shared" si="1071"/>
        <v>4.8350795992065514</v>
      </c>
      <c r="BN131" s="163">
        <f t="shared" si="1071"/>
        <v>5.1125208771079143</v>
      </c>
      <c r="BO131" s="163">
        <f t="shared" si="1071"/>
        <v>4.9255181347150261</v>
      </c>
      <c r="BP131" s="163">
        <f t="shared" si="1071"/>
        <v>5.8434694313809326</v>
      </c>
      <c r="BQ131" s="163">
        <f t="shared" si="1071"/>
        <v>5.2462574104518511</v>
      </c>
      <c r="BR131" s="163">
        <f t="shared" ref="BR131:CJ131" si="1072">+BR106/BR127</f>
        <v>6.2406922533032834</v>
      </c>
      <c r="BS131" s="163">
        <f t="shared" si="1072"/>
        <v>6.0829526041873576</v>
      </c>
      <c r="BT131" s="163">
        <f t="shared" si="1072"/>
        <v>5.7821168025592016</v>
      </c>
      <c r="BU131" s="163">
        <f t="shared" si="1072"/>
        <v>6.2463845596230518</v>
      </c>
      <c r="BV131" s="163">
        <f t="shared" si="1072"/>
        <v>5.3408075747282604</v>
      </c>
      <c r="BW131" s="163">
        <f t="shared" si="1072"/>
        <v>4.6663905746841712</v>
      </c>
      <c r="BX131" s="163">
        <f t="shared" si="1072"/>
        <v>3.691212691973341</v>
      </c>
      <c r="BY131" s="163">
        <f t="shared" si="1072"/>
        <v>4.0915634269760952</v>
      </c>
      <c r="BZ131" s="163">
        <f t="shared" si="1072"/>
        <v>4.7456595694762163</v>
      </c>
      <c r="CA131" s="163">
        <f t="shared" si="1072"/>
        <v>4.3375152377082493</v>
      </c>
      <c r="CB131" s="163">
        <f t="shared" si="1072"/>
        <v>4.7733841303205473</v>
      </c>
      <c r="CC131" s="163">
        <f t="shared" si="1072"/>
        <v>4.6897330389401848</v>
      </c>
      <c r="CD131" s="163">
        <f t="shared" si="1072"/>
        <v>4.7475027651043833</v>
      </c>
      <c r="CE131" s="163">
        <f t="shared" si="1072"/>
        <v>11.44921087978509</v>
      </c>
      <c r="CF131" s="163">
        <f t="shared" si="1072"/>
        <v>9.6979850196856709</v>
      </c>
      <c r="CG131" s="163">
        <f t="shared" si="1072"/>
        <v>7.4646643109540634</v>
      </c>
      <c r="CH131" s="163">
        <f t="shared" si="1072"/>
        <v>5.9538993046386759</v>
      </c>
      <c r="CI131" s="163">
        <f t="shared" si="1072"/>
        <v>6.8522824991104265</v>
      </c>
      <c r="CJ131" s="163">
        <f t="shared" si="1072"/>
        <v>6.0069736339319828</v>
      </c>
      <c r="CK131" s="163">
        <f t="shared" ref="CK131:CL131" si="1073">+CK106/CK127</f>
        <v>7.619908896034298</v>
      </c>
      <c r="CL131" s="163">
        <f t="shared" si="1073"/>
        <v>7.5781877387131527</v>
      </c>
      <c r="CM131" s="94">
        <f t="shared" ref="CM131:DB131" si="1074">+CL131</f>
        <v>7.5781877387131527</v>
      </c>
      <c r="CN131" s="94">
        <f t="shared" si="1074"/>
        <v>7.5781877387131527</v>
      </c>
      <c r="CO131" s="94">
        <f t="shared" si="1074"/>
        <v>7.5781877387131527</v>
      </c>
      <c r="CP131" s="94">
        <f t="shared" si="1074"/>
        <v>7.5781877387131527</v>
      </c>
      <c r="CQ131" s="94">
        <f t="shared" si="1074"/>
        <v>7.5781877387131527</v>
      </c>
      <c r="CR131" s="94">
        <f t="shared" si="1074"/>
        <v>7.5781877387131527</v>
      </c>
      <c r="CS131" s="94">
        <f t="shared" si="1074"/>
        <v>7.5781877387131527</v>
      </c>
      <c r="CT131" s="94">
        <f t="shared" si="1074"/>
        <v>7.5781877387131527</v>
      </c>
      <c r="CU131" s="94">
        <f t="shared" si="1074"/>
        <v>7.5781877387131527</v>
      </c>
      <c r="CV131" s="94">
        <f t="shared" si="1074"/>
        <v>7.5781877387131527</v>
      </c>
      <c r="CW131" s="94">
        <f t="shared" si="1074"/>
        <v>7.5781877387131527</v>
      </c>
      <c r="CX131" s="94">
        <f t="shared" si="1074"/>
        <v>7.5781877387131527</v>
      </c>
      <c r="CY131" s="94">
        <f t="shared" si="1074"/>
        <v>7.5781877387131527</v>
      </c>
      <c r="CZ131" s="94">
        <f t="shared" si="1074"/>
        <v>7.5781877387131527</v>
      </c>
      <c r="DA131" s="94">
        <f t="shared" si="1074"/>
        <v>7.5781877387131527</v>
      </c>
      <c r="DB131" s="94">
        <f t="shared" si="1074"/>
        <v>7.5781877387131527</v>
      </c>
      <c r="DE131" s="164"/>
      <c r="DF131" s="163">
        <v>7.6919117262484562</v>
      </c>
    </row>
    <row r="132" spans="1:110" s="163" customFormat="1" hidden="1" outlineLevel="1" x14ac:dyDescent="0.2">
      <c r="A132" s="163" t="s">
        <v>509</v>
      </c>
      <c r="E132" s="163" t="e">
        <f t="shared" ca="1" si="1065"/>
        <v>#DIV/0!</v>
      </c>
      <c r="F132" s="163" t="e">
        <f t="shared" ca="1" si="1065"/>
        <v>#DIV/0!</v>
      </c>
      <c r="G132" s="163" t="e">
        <f t="shared" ca="1" si="1065"/>
        <v>#DIV/0!</v>
      </c>
      <c r="H132" s="163" t="e">
        <f t="shared" ca="1" si="1065"/>
        <v>#DIV/0!</v>
      </c>
      <c r="I132" s="163" t="e">
        <f t="shared" ca="1" si="1065"/>
        <v>#DIV/0!</v>
      </c>
      <c r="J132" s="163" t="e">
        <f t="shared" ca="1" si="1065"/>
        <v>#DIV/0!</v>
      </c>
      <c r="K132" s="163" t="e">
        <f t="shared" ca="1" si="1065"/>
        <v>#DIV/0!</v>
      </c>
      <c r="L132" s="163" t="e">
        <f t="shared" ca="1" si="1065"/>
        <v>#DIV/0!</v>
      </c>
      <c r="M132" s="163" t="e">
        <f t="shared" ca="1" si="1065"/>
        <v>#DIV/0!</v>
      </c>
      <c r="N132" s="163" t="e">
        <f t="shared" ca="1" si="1065"/>
        <v>#DIV/0!</v>
      </c>
      <c r="O132" s="163" t="e">
        <f t="shared" ca="1" si="1065"/>
        <v>#DIV/0!</v>
      </c>
      <c r="P132" s="163" t="e">
        <f t="shared" ca="1" si="1065"/>
        <v>#DIV/0!</v>
      </c>
      <c r="Q132" s="163" t="e">
        <f t="shared" ca="1" si="1065"/>
        <v>#DIV/0!</v>
      </c>
      <c r="R132" s="163" t="e">
        <f t="shared" ca="1" si="1065"/>
        <v>#DIV/0!</v>
      </c>
      <c r="S132" s="163" t="e">
        <f t="shared" ca="1" si="1065"/>
        <v>#DIV/0!</v>
      </c>
      <c r="T132" s="163" t="e">
        <f t="shared" ca="1" si="1065"/>
        <v>#DIV/0!</v>
      </c>
      <c r="U132" s="163" t="e">
        <f t="shared" ca="1" si="1065"/>
        <v>#DIV/0!</v>
      </c>
      <c r="V132" s="163" t="e">
        <f t="shared" ca="1" si="1065"/>
        <v>#DIV/0!</v>
      </c>
      <c r="W132" s="163" t="e">
        <f t="shared" ca="1" si="1065"/>
        <v>#DIV/0!</v>
      </c>
      <c r="X132" s="163" t="e">
        <f t="shared" ca="1" si="1065"/>
        <v>#DIV/0!</v>
      </c>
      <c r="Y132" s="163" t="e">
        <f t="shared" ca="1" si="1065"/>
        <v>#DIV/0!</v>
      </c>
      <c r="Z132" s="163" t="e">
        <f t="shared" ca="1" si="1070"/>
        <v>#DIV/0!</v>
      </c>
      <c r="AA132" s="163" t="e">
        <f t="shared" ca="1" si="1070"/>
        <v>#DIV/0!</v>
      </c>
      <c r="AB132" s="94" t="e">
        <f t="shared" ca="1" si="1065"/>
        <v>#DIV/0!</v>
      </c>
      <c r="AC132" s="94" t="e">
        <f t="shared" ca="1" si="1065"/>
        <v>#DIV/0!</v>
      </c>
      <c r="AD132" s="94" t="e">
        <f t="shared" ca="1" si="1065"/>
        <v>#DIV/0!</v>
      </c>
      <c r="AE132" s="94" t="e">
        <f t="shared" ca="1" si="1065"/>
        <v>#DIV/0!</v>
      </c>
      <c r="AL132" s="163">
        <f t="shared" ref="AL132:BQ132" si="1075">+AL107/AL127</f>
        <v>3.6777923973845339</v>
      </c>
      <c r="AM132" s="163">
        <f t="shared" si="1075"/>
        <v>3.1418977156510874</v>
      </c>
      <c r="AN132" s="163">
        <f t="shared" si="1075"/>
        <v>2.9138016545903289</v>
      </c>
      <c r="AO132" s="163">
        <f t="shared" si="1075"/>
        <v>3.6955807109907131</v>
      </c>
      <c r="AP132" s="163">
        <f t="shared" si="1075"/>
        <v>3.5569710854470946</v>
      </c>
      <c r="AQ132" s="163">
        <f t="shared" si="1075"/>
        <v>3.7458443364006477</v>
      </c>
      <c r="AR132" s="163">
        <f t="shared" si="1075"/>
        <v>4.6193728816485304</v>
      </c>
      <c r="AS132" s="163">
        <f t="shared" si="1075"/>
        <v>4.5202280399206183</v>
      </c>
      <c r="AT132" s="163">
        <f t="shared" si="1075"/>
        <v>4.3568806340649653</v>
      </c>
      <c r="AU132" s="163">
        <f t="shared" si="1075"/>
        <v>4.3918548448320944</v>
      </c>
      <c r="AV132" s="163">
        <f t="shared" si="1075"/>
        <v>3.101233992636002</v>
      </c>
      <c r="AW132" s="163">
        <f t="shared" si="1075"/>
        <v>3.6366222656696499</v>
      </c>
      <c r="AX132" s="163">
        <f t="shared" si="1075"/>
        <v>3.7838798560192681</v>
      </c>
      <c r="AY132" s="163">
        <f t="shared" si="1075"/>
        <v>4.6620380735957454</v>
      </c>
      <c r="AZ132" s="163">
        <f t="shared" si="1075"/>
        <v>5.3762935531472937</v>
      </c>
      <c r="BA132" s="163">
        <f t="shared" si="1075"/>
        <v>6.2963732348252552</v>
      </c>
      <c r="BB132" s="163">
        <f t="shared" si="1075"/>
        <v>5.7735356791607471</v>
      </c>
      <c r="BC132" s="163">
        <f t="shared" si="1075"/>
        <v>4.6707559358393063</v>
      </c>
      <c r="BD132" s="163">
        <f t="shared" si="1075"/>
        <v>5.0600760196649679</v>
      </c>
      <c r="BE132" s="163">
        <f t="shared" si="1075"/>
        <v>5.2843015245122</v>
      </c>
      <c r="BF132" s="163">
        <f t="shared" si="1075"/>
        <v>5.1609497802051418</v>
      </c>
      <c r="BG132" s="163">
        <f t="shared" si="1075"/>
        <v>4.9993426242440178</v>
      </c>
      <c r="BH132" s="163">
        <f t="shared" si="1075"/>
        <v>4.9509052768554245</v>
      </c>
      <c r="BI132" s="163">
        <f t="shared" si="1075"/>
        <v>5.0054213842220596</v>
      </c>
      <c r="BJ132" s="163">
        <f t="shared" si="1075"/>
        <v>4.8616109480064402</v>
      </c>
      <c r="BK132" s="163">
        <f t="shared" si="1075"/>
        <v>4.5856335657609995</v>
      </c>
      <c r="BL132" s="163">
        <f t="shared" si="1075"/>
        <v>3.9720639095913097</v>
      </c>
      <c r="BM132" s="163">
        <f t="shared" si="1075"/>
        <v>4.2763592899649057</v>
      </c>
      <c r="BN132" s="163">
        <f t="shared" si="1075"/>
        <v>2.7770594256774959</v>
      </c>
      <c r="BO132" s="163">
        <f t="shared" si="1075"/>
        <v>3.6493338267949662</v>
      </c>
      <c r="BP132" s="163">
        <f t="shared" si="1075"/>
        <v>4.1206845874305262</v>
      </c>
      <c r="BQ132" s="163">
        <f t="shared" si="1075"/>
        <v>4.1580668061575254</v>
      </c>
      <c r="BR132" s="163">
        <f t="shared" ref="BR132:CJ132" si="1076">+BR107/BR127</f>
        <v>4.3092050024305095</v>
      </c>
      <c r="BS132" s="163">
        <f t="shared" si="1076"/>
        <v>4.6041774264034006</v>
      </c>
      <c r="BT132" s="163">
        <f t="shared" si="1076"/>
        <v>4.8459017672531504</v>
      </c>
      <c r="BU132" s="163">
        <f t="shared" si="1076"/>
        <v>4.6798115259151869</v>
      </c>
      <c r="BV132" s="163">
        <f t="shared" si="1076"/>
        <v>4.242221467391305</v>
      </c>
      <c r="BW132" s="163">
        <f t="shared" si="1076"/>
        <v>3.2083888097597226</v>
      </c>
      <c r="BX132" s="163">
        <f t="shared" si="1076"/>
        <v>2.9676615473775718</v>
      </c>
      <c r="BY132" s="163">
        <f t="shared" si="1076"/>
        <v>3.2499054847903217</v>
      </c>
      <c r="BZ132" s="163">
        <f t="shared" si="1076"/>
        <v>3.6218179951903342</v>
      </c>
      <c r="CA132" s="163">
        <f t="shared" si="1076"/>
        <v>3.8713429500203169</v>
      </c>
      <c r="CB132" s="163">
        <f t="shared" si="1076"/>
        <v>4.0795782974251189</v>
      </c>
      <c r="CC132" s="163">
        <f t="shared" si="1076"/>
        <v>4.1066966077880371</v>
      </c>
      <c r="CD132" s="163">
        <f t="shared" si="1076"/>
        <v>4.1619141435089171</v>
      </c>
      <c r="CE132" s="163">
        <f t="shared" si="1076"/>
        <v>4.1874034586971112</v>
      </c>
      <c r="CF132" s="163">
        <f t="shared" si="1076"/>
        <v>6.4312882110047696</v>
      </c>
      <c r="CG132" s="163">
        <f t="shared" si="1076"/>
        <v>5.5855162083269319</v>
      </c>
      <c r="CH132" s="163">
        <f t="shared" si="1076"/>
        <v>4.69382463398175</v>
      </c>
      <c r="CI132" s="163">
        <f t="shared" si="1076"/>
        <v>4.8239718004981622</v>
      </c>
      <c r="CJ132" s="163">
        <f t="shared" si="1076"/>
        <v>5.1339319831868542</v>
      </c>
      <c r="CK132" s="163">
        <f t="shared" ref="CK132:CL132" si="1077">+CK107/CK127</f>
        <v>5.2657198999642727</v>
      </c>
      <c r="CL132" s="163">
        <f t="shared" si="1077"/>
        <v>5.006610518068749</v>
      </c>
      <c r="CM132" s="94">
        <f t="shared" ref="CM132:DB132" si="1078">+CL132</f>
        <v>5.006610518068749</v>
      </c>
      <c r="CN132" s="94">
        <f t="shared" si="1078"/>
        <v>5.006610518068749</v>
      </c>
      <c r="CO132" s="94">
        <f t="shared" si="1078"/>
        <v>5.006610518068749</v>
      </c>
      <c r="CP132" s="94">
        <f t="shared" si="1078"/>
        <v>5.006610518068749</v>
      </c>
      <c r="CQ132" s="94">
        <f t="shared" si="1078"/>
        <v>5.006610518068749</v>
      </c>
      <c r="CR132" s="94">
        <f t="shared" si="1078"/>
        <v>5.006610518068749</v>
      </c>
      <c r="CS132" s="94">
        <f t="shared" si="1078"/>
        <v>5.006610518068749</v>
      </c>
      <c r="CT132" s="94">
        <f t="shared" si="1078"/>
        <v>5.006610518068749</v>
      </c>
      <c r="CU132" s="94">
        <f t="shared" si="1078"/>
        <v>5.006610518068749</v>
      </c>
      <c r="CV132" s="94">
        <f t="shared" si="1078"/>
        <v>5.006610518068749</v>
      </c>
      <c r="CW132" s="94">
        <f t="shared" si="1078"/>
        <v>5.006610518068749</v>
      </c>
      <c r="CX132" s="94">
        <f t="shared" si="1078"/>
        <v>5.006610518068749</v>
      </c>
      <c r="CY132" s="94">
        <f t="shared" si="1078"/>
        <v>5.006610518068749</v>
      </c>
      <c r="CZ132" s="94">
        <f t="shared" si="1078"/>
        <v>5.006610518068749</v>
      </c>
      <c r="DA132" s="94">
        <f t="shared" si="1078"/>
        <v>5.006610518068749</v>
      </c>
      <c r="DB132" s="94">
        <f t="shared" si="1078"/>
        <v>5.006610518068749</v>
      </c>
      <c r="DE132" s="164"/>
      <c r="DF132" s="163">
        <v>5.0817434828067878</v>
      </c>
    </row>
    <row r="133" spans="1:110" s="4" customFormat="1" collapsed="1" x14ac:dyDescent="0.2">
      <c r="A133" s="3"/>
      <c r="AB133" s="17"/>
      <c r="AC133" s="17"/>
      <c r="AD133" s="17"/>
      <c r="AE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E133" s="119"/>
    </row>
    <row r="134" spans="1:110" s="4" customFormat="1" x14ac:dyDescent="0.2">
      <c r="A134" s="3"/>
      <c r="AB134" s="17"/>
      <c r="AC134" s="17"/>
      <c r="AD134" s="17"/>
      <c r="AE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E134" s="119"/>
    </row>
    <row r="135" spans="1:110" s="162" customFormat="1" x14ac:dyDescent="0.2">
      <c r="A135" s="49" t="s">
        <v>340</v>
      </c>
      <c r="B135" s="162">
        <f t="shared" ref="B135:AE135" si="1079">+B106*B93</f>
        <v>114.08361300000001</v>
      </c>
      <c r="C135" s="162">
        <f t="shared" si="1079"/>
        <v>160.13962799999999</v>
      </c>
      <c r="D135" s="162">
        <f t="shared" si="1079"/>
        <v>161.61849000000001</v>
      </c>
      <c r="E135" s="162" t="e">
        <f t="shared" ca="1" si="1079"/>
        <v>#DIV/0!</v>
      </c>
      <c r="F135" s="162" t="e">
        <f t="shared" ca="1" si="1079"/>
        <v>#DIV/0!</v>
      </c>
      <c r="G135" s="162" t="e">
        <f t="shared" ca="1" si="1079"/>
        <v>#DIV/0!</v>
      </c>
      <c r="H135" s="162" t="e">
        <f t="shared" ca="1" si="1079"/>
        <v>#DIV/0!</v>
      </c>
      <c r="I135" s="162" t="e">
        <f t="shared" ca="1" si="1079"/>
        <v>#DIV/0!</v>
      </c>
      <c r="J135" s="162" t="e">
        <f t="shared" ca="1" si="1079"/>
        <v>#DIV/0!</v>
      </c>
      <c r="K135" s="162" t="e">
        <f t="shared" ca="1" si="1079"/>
        <v>#DIV/0!</v>
      </c>
      <c r="L135" s="162" t="e">
        <f t="shared" ca="1" si="1079"/>
        <v>#DIV/0!</v>
      </c>
      <c r="M135" s="162" t="e">
        <f t="shared" ca="1" si="1079"/>
        <v>#DIV/0!</v>
      </c>
      <c r="N135" s="162" t="e">
        <f t="shared" ca="1" si="1079"/>
        <v>#DIV/0!</v>
      </c>
      <c r="O135" s="162" t="e">
        <f t="shared" ca="1" si="1079"/>
        <v>#DIV/0!</v>
      </c>
      <c r="P135" s="162" t="e">
        <f t="shared" ca="1" si="1079"/>
        <v>#DIV/0!</v>
      </c>
      <c r="Q135" s="162" t="e">
        <f t="shared" ca="1" si="1079"/>
        <v>#DIV/0!</v>
      </c>
      <c r="R135" s="162" t="e">
        <f t="shared" ca="1" si="1079"/>
        <v>#DIV/0!</v>
      </c>
      <c r="S135" s="162" t="e">
        <f t="shared" ca="1" si="1079"/>
        <v>#DIV/0!</v>
      </c>
      <c r="T135" s="162" t="e">
        <f t="shared" ca="1" si="1079"/>
        <v>#DIV/0!</v>
      </c>
      <c r="U135" s="162" t="e">
        <f t="shared" ca="1" si="1079"/>
        <v>#DIV/0!</v>
      </c>
      <c r="V135" s="162" t="e">
        <f t="shared" ca="1" si="1079"/>
        <v>#DIV/0!</v>
      </c>
      <c r="W135" s="162" t="e">
        <f t="shared" ca="1" si="1079"/>
        <v>#DIV/0!</v>
      </c>
      <c r="X135" s="162" t="e">
        <f t="shared" ca="1" si="1079"/>
        <v>#DIV/0!</v>
      </c>
      <c r="Y135" s="162" t="e">
        <f t="shared" ca="1" si="1079"/>
        <v>#DIV/0!</v>
      </c>
      <c r="Z135" s="162" t="e">
        <f t="shared" ca="1" si="1079"/>
        <v>#DIV/0!</v>
      </c>
      <c r="AA135" s="162" t="e">
        <f t="shared" ref="AA135" ca="1" si="1080">+AA106*AA93</f>
        <v>#DIV/0!</v>
      </c>
      <c r="AB135" s="21" t="e">
        <f t="shared" ca="1" si="1079"/>
        <v>#DIV/0!</v>
      </c>
      <c r="AC135" s="21" t="e">
        <f t="shared" ca="1" si="1079"/>
        <v>#DIV/0!</v>
      </c>
      <c r="AD135" s="21" t="e">
        <f t="shared" ca="1" si="1079"/>
        <v>#DIV/0!</v>
      </c>
      <c r="AE135" s="21" t="e">
        <f t="shared" ca="1" si="1079"/>
        <v>#DIV/0!</v>
      </c>
      <c r="AL135" s="162">
        <f t="shared" ref="AL135:BQ135" si="1081">+AL106*AL93</f>
        <v>60396.374999999993</v>
      </c>
      <c r="AM135" s="162">
        <f t="shared" si="1081"/>
        <v>52939.25</v>
      </c>
      <c r="AN135" s="162">
        <f t="shared" si="1081"/>
        <v>57988.125</v>
      </c>
      <c r="AO135" s="162">
        <f t="shared" si="1081"/>
        <v>59340.124999999993</v>
      </c>
      <c r="AP135" s="162">
        <f t="shared" si="1081"/>
        <v>59910.500000000007</v>
      </c>
      <c r="AQ135" s="162">
        <f t="shared" si="1081"/>
        <v>77740</v>
      </c>
      <c r="AR135" s="162">
        <f t="shared" si="1081"/>
        <v>75205</v>
      </c>
      <c r="AS135" s="162">
        <f t="shared" si="1081"/>
        <v>75585.25</v>
      </c>
      <c r="AT135" s="162">
        <f t="shared" si="1081"/>
        <v>80444</v>
      </c>
      <c r="AU135" s="162">
        <f t="shared" si="1081"/>
        <v>77571</v>
      </c>
      <c r="AV135" s="162">
        <f t="shared" si="1081"/>
        <v>71846.125</v>
      </c>
      <c r="AW135" s="162">
        <f t="shared" si="1081"/>
        <v>69099.875</v>
      </c>
      <c r="AX135" s="162">
        <f t="shared" si="1081"/>
        <v>84415.5</v>
      </c>
      <c r="AY135" s="162">
        <f t="shared" si="1081"/>
        <v>80127.125</v>
      </c>
      <c r="AZ135" s="162">
        <f t="shared" si="1081"/>
        <v>99625.5</v>
      </c>
      <c r="BA135" s="162">
        <f t="shared" si="1081"/>
        <v>122461.62500000001</v>
      </c>
      <c r="BB135" s="162">
        <f t="shared" si="1081"/>
        <v>140861.5</v>
      </c>
      <c r="BC135" s="162">
        <f t="shared" si="1081"/>
        <v>124299.5</v>
      </c>
      <c r="BD135" s="162">
        <f t="shared" si="1081"/>
        <v>132496</v>
      </c>
      <c r="BE135" s="162">
        <f t="shared" si="1081"/>
        <v>139678.5</v>
      </c>
      <c r="BF135" s="162">
        <f t="shared" si="1081"/>
        <v>143459.875</v>
      </c>
      <c r="BG135" s="162">
        <f t="shared" si="1081"/>
        <v>142107.875</v>
      </c>
      <c r="BH135" s="162">
        <f t="shared" si="1081"/>
        <v>130510.24999999999</v>
      </c>
      <c r="BI135" s="162">
        <f t="shared" si="1081"/>
        <v>126327.5</v>
      </c>
      <c r="BJ135" s="162">
        <f t="shared" si="1081"/>
        <v>118912.625</v>
      </c>
      <c r="BK135" s="162">
        <f t="shared" si="1081"/>
        <v>123285.5</v>
      </c>
      <c r="BL135" s="162">
        <f t="shared" si="1081"/>
        <v>104970.125</v>
      </c>
      <c r="BM135" s="162">
        <f t="shared" si="1081"/>
        <v>95062.5</v>
      </c>
      <c r="BN135" s="162">
        <f t="shared" si="1081"/>
        <v>94893.5</v>
      </c>
      <c r="BO135" s="162">
        <f t="shared" si="1081"/>
        <v>86506.875</v>
      </c>
      <c r="BP135" s="162">
        <f t="shared" si="1081"/>
        <v>109343</v>
      </c>
      <c r="BQ135" s="162">
        <f t="shared" si="1081"/>
        <v>105308.125</v>
      </c>
      <c r="BR135" s="162">
        <f t="shared" ref="BR135:CJ135" si="1082">+BR106*BR93</f>
        <v>141220.625</v>
      </c>
      <c r="BS135" s="162">
        <f t="shared" si="1082"/>
        <v>153114</v>
      </c>
      <c r="BT135" s="162">
        <f t="shared" si="1082"/>
        <v>148213</v>
      </c>
      <c r="BU135" s="162">
        <f t="shared" si="1082"/>
        <v>172337.75</v>
      </c>
      <c r="BV135" s="162">
        <f t="shared" si="1082"/>
        <v>157233.375</v>
      </c>
      <c r="BW135" s="162">
        <f t="shared" si="1082"/>
        <v>150705.75</v>
      </c>
      <c r="BX135" s="162">
        <f t="shared" si="1082"/>
        <v>127383.75</v>
      </c>
      <c r="BY135" s="162">
        <f t="shared" si="1082"/>
        <v>140692.5</v>
      </c>
      <c r="BZ135" s="162">
        <f t="shared" si="1082"/>
        <v>161817.5</v>
      </c>
      <c r="CA135" s="162">
        <f t="shared" si="1082"/>
        <v>138770.125</v>
      </c>
      <c r="CB135" s="162">
        <f t="shared" si="1082"/>
        <v>145340</v>
      </c>
      <c r="CC135" s="162">
        <f t="shared" si="1082"/>
        <v>140185.5</v>
      </c>
      <c r="CD135" s="162">
        <f t="shared" si="1082"/>
        <v>137354.75</v>
      </c>
      <c r="CE135" s="162">
        <f t="shared" si="1082"/>
        <v>340957.5</v>
      </c>
      <c r="CF135" s="162">
        <f t="shared" si="1082"/>
        <v>302974.75</v>
      </c>
      <c r="CG135" s="162">
        <f t="shared" si="1082"/>
        <v>242937.5</v>
      </c>
      <c r="CH135" s="162">
        <f t="shared" si="1082"/>
        <v>202926.75</v>
      </c>
      <c r="CI135" s="162">
        <f t="shared" si="1082"/>
        <v>231086.37500000003</v>
      </c>
      <c r="CJ135" s="162">
        <f t="shared" si="1082"/>
        <v>204363.25</v>
      </c>
      <c r="CK135" s="162">
        <f t="shared" ref="CK135:CL135" si="1083">+CK106*CK93</f>
        <v>277265.625</v>
      </c>
      <c r="CL135" s="162">
        <f t="shared" si="1083"/>
        <v>309523.5</v>
      </c>
      <c r="CM135" s="21">
        <f t="shared" ref="CM135:DB135" si="1084">+CM138-CM137</f>
        <v>345668.79898622673</v>
      </c>
      <c r="CN135" s="21">
        <f t="shared" si="1084"/>
        <v>381071.66243489989</v>
      </c>
      <c r="CO135" s="21">
        <f t="shared" si="1084"/>
        <v>401302.74189504853</v>
      </c>
      <c r="CP135" s="21">
        <f t="shared" si="1084"/>
        <v>401444.43030966807</v>
      </c>
      <c r="CQ135" s="21">
        <f t="shared" si="1084"/>
        <v>404940.04210026568</v>
      </c>
      <c r="CR135" s="21">
        <f t="shared" si="1084"/>
        <v>409042.03411396872</v>
      </c>
      <c r="CS135" s="21">
        <f t="shared" si="1084"/>
        <v>414698.25884027244</v>
      </c>
      <c r="CT135" s="21">
        <f t="shared" si="1084"/>
        <v>422415.20927765092</v>
      </c>
      <c r="CU135" s="21">
        <f t="shared" si="1084"/>
        <v>429070.5730824733</v>
      </c>
      <c r="CV135" s="21">
        <f t="shared" si="1084"/>
        <v>435327.68703305046</v>
      </c>
      <c r="CW135" s="21">
        <f t="shared" si="1084"/>
        <v>440707.3663750597</v>
      </c>
      <c r="CX135" s="21">
        <f t="shared" si="1084"/>
        <v>444537.52239978651</v>
      </c>
      <c r="CY135" s="21">
        <f t="shared" si="1084"/>
        <v>448731.92470139934</v>
      </c>
      <c r="CZ135" s="21">
        <f t="shared" si="1084"/>
        <v>453446.46373936406</v>
      </c>
      <c r="DA135" s="21">
        <f t="shared" si="1084"/>
        <v>458289.02817660652</v>
      </c>
      <c r="DB135" s="21">
        <f t="shared" si="1084"/>
        <v>463044.06476194604</v>
      </c>
      <c r="DE135" s="22"/>
      <c r="DF135" s="162">
        <v>309523.5</v>
      </c>
    </row>
    <row r="136" spans="1:110" s="162" customFormat="1" x14ac:dyDescent="0.2">
      <c r="A136" s="49" t="s">
        <v>341</v>
      </c>
      <c r="B136" s="162">
        <f t="shared" ref="B136:AE136" si="1085">+B107*B93</f>
        <v>24.0843183</v>
      </c>
      <c r="C136" s="162">
        <f t="shared" si="1085"/>
        <v>46.055988000000006</v>
      </c>
      <c r="D136" s="162">
        <f t="shared" si="1085"/>
        <v>62.112203999999998</v>
      </c>
      <c r="E136" s="162" t="e">
        <f t="shared" ca="1" si="1085"/>
        <v>#DIV/0!</v>
      </c>
      <c r="F136" s="162" t="e">
        <f t="shared" ca="1" si="1085"/>
        <v>#DIV/0!</v>
      </c>
      <c r="G136" s="162" t="e">
        <f t="shared" ca="1" si="1085"/>
        <v>#DIV/0!</v>
      </c>
      <c r="H136" s="162" t="e">
        <f t="shared" ca="1" si="1085"/>
        <v>#DIV/0!</v>
      </c>
      <c r="I136" s="162" t="e">
        <f t="shared" ca="1" si="1085"/>
        <v>#DIV/0!</v>
      </c>
      <c r="J136" s="162" t="e">
        <f t="shared" ca="1" si="1085"/>
        <v>#DIV/0!</v>
      </c>
      <c r="K136" s="162" t="e">
        <f t="shared" ca="1" si="1085"/>
        <v>#DIV/0!</v>
      </c>
      <c r="L136" s="162" t="e">
        <f t="shared" ca="1" si="1085"/>
        <v>#DIV/0!</v>
      </c>
      <c r="M136" s="162" t="e">
        <f t="shared" ca="1" si="1085"/>
        <v>#DIV/0!</v>
      </c>
      <c r="N136" s="162" t="e">
        <f t="shared" ca="1" si="1085"/>
        <v>#DIV/0!</v>
      </c>
      <c r="O136" s="162" t="e">
        <f t="shared" ca="1" si="1085"/>
        <v>#DIV/0!</v>
      </c>
      <c r="P136" s="162" t="e">
        <f t="shared" ca="1" si="1085"/>
        <v>#DIV/0!</v>
      </c>
      <c r="Q136" s="162" t="e">
        <f t="shared" ca="1" si="1085"/>
        <v>#DIV/0!</v>
      </c>
      <c r="R136" s="162" t="e">
        <f t="shared" ca="1" si="1085"/>
        <v>#DIV/0!</v>
      </c>
      <c r="S136" s="162" t="e">
        <f t="shared" ca="1" si="1085"/>
        <v>#DIV/0!</v>
      </c>
      <c r="T136" s="162" t="e">
        <f t="shared" ca="1" si="1085"/>
        <v>#DIV/0!</v>
      </c>
      <c r="U136" s="162" t="e">
        <f t="shared" ca="1" si="1085"/>
        <v>#DIV/0!</v>
      </c>
      <c r="V136" s="162" t="e">
        <f t="shared" ca="1" si="1085"/>
        <v>#DIV/0!</v>
      </c>
      <c r="W136" s="162" t="e">
        <f t="shared" ca="1" si="1085"/>
        <v>#DIV/0!</v>
      </c>
      <c r="X136" s="162" t="e">
        <f t="shared" ca="1" si="1085"/>
        <v>#DIV/0!</v>
      </c>
      <c r="Y136" s="162" t="e">
        <f t="shared" ca="1" si="1085"/>
        <v>#DIV/0!</v>
      </c>
      <c r="Z136" s="162" t="e">
        <f t="shared" ca="1" si="1085"/>
        <v>#DIV/0!</v>
      </c>
      <c r="AA136" s="162" t="e">
        <f t="shared" ref="AA136" ca="1" si="1086">+AA107*AA93</f>
        <v>#DIV/0!</v>
      </c>
      <c r="AB136" s="21" t="e">
        <f t="shared" ca="1" si="1085"/>
        <v>#DIV/0!</v>
      </c>
      <c r="AC136" s="21" t="e">
        <f t="shared" ca="1" si="1085"/>
        <v>#DIV/0!</v>
      </c>
      <c r="AD136" s="21" t="e">
        <f t="shared" ca="1" si="1085"/>
        <v>#DIV/0!</v>
      </c>
      <c r="AE136" s="21" t="e">
        <f t="shared" ca="1" si="1085"/>
        <v>#DIV/0!</v>
      </c>
      <c r="AL136" s="162">
        <f t="shared" ref="AL136:BQ136" si="1087">+AL107*AL93</f>
        <v>46707.375</v>
      </c>
      <c r="AM136" s="162">
        <f t="shared" si="1087"/>
        <v>40644.5</v>
      </c>
      <c r="AN136" s="162">
        <f t="shared" si="1087"/>
        <v>39715</v>
      </c>
      <c r="AO136" s="162">
        <f t="shared" si="1087"/>
        <v>51376</v>
      </c>
      <c r="AP136" s="162">
        <f t="shared" si="1087"/>
        <v>48503</v>
      </c>
      <c r="AQ136" s="162">
        <f t="shared" si="1087"/>
        <v>51164.75</v>
      </c>
      <c r="AR136" s="162">
        <f t="shared" si="1087"/>
        <v>64220</v>
      </c>
      <c r="AS136" s="162">
        <f t="shared" si="1087"/>
        <v>64663.625000000007</v>
      </c>
      <c r="AT136" s="162">
        <f t="shared" si="1087"/>
        <v>64431.25</v>
      </c>
      <c r="AU136" s="162">
        <f t="shared" si="1087"/>
        <v>67684.5</v>
      </c>
      <c r="AV136" s="162">
        <f t="shared" si="1087"/>
        <v>49517</v>
      </c>
      <c r="AW136" s="162">
        <f t="shared" si="1087"/>
        <v>57586.750000000007</v>
      </c>
      <c r="AX136" s="162">
        <f t="shared" si="1087"/>
        <v>57375.500000000007</v>
      </c>
      <c r="AY136" s="162">
        <f t="shared" si="1087"/>
        <v>66839.5</v>
      </c>
      <c r="AZ136" s="162">
        <f t="shared" si="1087"/>
        <v>74360</v>
      </c>
      <c r="BA136" s="162">
        <f t="shared" si="1087"/>
        <v>97597.5</v>
      </c>
      <c r="BB136" s="162">
        <f t="shared" si="1087"/>
        <v>105667.25</v>
      </c>
      <c r="BC136" s="162">
        <f t="shared" si="1087"/>
        <v>95801.875</v>
      </c>
      <c r="BD136" s="162">
        <f t="shared" si="1087"/>
        <v>111159.75000000001</v>
      </c>
      <c r="BE136" s="162">
        <f t="shared" si="1087"/>
        <v>118891.49999999999</v>
      </c>
      <c r="BF136" s="162">
        <f t="shared" si="1087"/>
        <v>116229.75000000001</v>
      </c>
      <c r="BG136" s="162">
        <f t="shared" si="1087"/>
        <v>114075</v>
      </c>
      <c r="BH136" s="162">
        <f t="shared" si="1087"/>
        <v>110335.87499999999</v>
      </c>
      <c r="BI136" s="162">
        <f t="shared" si="1087"/>
        <v>109638.75</v>
      </c>
      <c r="BJ136" s="162">
        <f t="shared" si="1087"/>
        <v>102667.5</v>
      </c>
      <c r="BK136" s="162">
        <f t="shared" si="1087"/>
        <v>95358.25</v>
      </c>
      <c r="BL136" s="162">
        <f t="shared" si="1087"/>
        <v>81542.5</v>
      </c>
      <c r="BM136" s="162">
        <f t="shared" si="1087"/>
        <v>84077.5</v>
      </c>
      <c r="BN136" s="162">
        <f t="shared" si="1087"/>
        <v>51545</v>
      </c>
      <c r="BO136" s="162">
        <f t="shared" si="1087"/>
        <v>64093.249999999993</v>
      </c>
      <c r="BP136" s="162">
        <f t="shared" si="1087"/>
        <v>77106.25</v>
      </c>
      <c r="BQ136" s="162">
        <f t="shared" si="1087"/>
        <v>83464.875</v>
      </c>
      <c r="BR136" s="162">
        <f t="shared" ref="BR136:CJ136" si="1088">+BR107*BR93</f>
        <v>97513</v>
      </c>
      <c r="BS136" s="162">
        <f t="shared" si="1088"/>
        <v>115891.75</v>
      </c>
      <c r="BT136" s="162">
        <f t="shared" si="1088"/>
        <v>124215</v>
      </c>
      <c r="BU136" s="162">
        <f t="shared" si="1088"/>
        <v>129116.00000000001</v>
      </c>
      <c r="BV136" s="162">
        <f t="shared" si="1088"/>
        <v>124891.00000000001</v>
      </c>
      <c r="BW136" s="162">
        <f t="shared" si="1088"/>
        <v>103618.125</v>
      </c>
      <c r="BX136" s="162">
        <f t="shared" si="1088"/>
        <v>102414</v>
      </c>
      <c r="BY136" s="162">
        <f t="shared" si="1088"/>
        <v>111751.25</v>
      </c>
      <c r="BZ136" s="162">
        <f t="shared" si="1088"/>
        <v>123496.75</v>
      </c>
      <c r="CA136" s="162">
        <f t="shared" si="1088"/>
        <v>123855.87499999999</v>
      </c>
      <c r="CB136" s="162">
        <f t="shared" si="1088"/>
        <v>124215</v>
      </c>
      <c r="CC136" s="162">
        <f t="shared" si="1088"/>
        <v>122757.375</v>
      </c>
      <c r="CD136" s="162">
        <f t="shared" si="1088"/>
        <v>120412.5</v>
      </c>
      <c r="CE136" s="162">
        <f t="shared" si="1088"/>
        <v>124700.87499999999</v>
      </c>
      <c r="CF136" s="162">
        <f t="shared" si="1088"/>
        <v>200919.875</v>
      </c>
      <c r="CG136" s="162">
        <f t="shared" si="1088"/>
        <v>181780.625</v>
      </c>
      <c r="CH136" s="162">
        <f t="shared" si="1088"/>
        <v>159979.625</v>
      </c>
      <c r="CI136" s="162">
        <f t="shared" si="1088"/>
        <v>162683.625</v>
      </c>
      <c r="CJ136" s="162">
        <f t="shared" si="1088"/>
        <v>174661.5</v>
      </c>
      <c r="CK136" s="162">
        <f t="shared" ref="CK136:CL136" si="1089">+CK107*CK93</f>
        <v>191603.75</v>
      </c>
      <c r="CL136" s="162">
        <f t="shared" si="1089"/>
        <v>204490</v>
      </c>
      <c r="CM136" s="21">
        <f t="shared" ref="CM136:DB136" si="1090">+CM139-CM137</f>
        <v>228261.81776627939</v>
      </c>
      <c r="CN136" s="21">
        <f t="shared" si="1090"/>
        <v>252002.20004370378</v>
      </c>
      <c r="CO136" s="21">
        <f t="shared" si="1090"/>
        <v>265849.97879240796</v>
      </c>
      <c r="CP136" s="21">
        <f t="shared" si="1090"/>
        <v>266688.12076717638</v>
      </c>
      <c r="CQ136" s="21">
        <f t="shared" si="1090"/>
        <v>269253.47010296973</v>
      </c>
      <c r="CR136" s="21">
        <f t="shared" si="1090"/>
        <v>272586.21604188357</v>
      </c>
      <c r="CS136" s="21">
        <f t="shared" si="1090"/>
        <v>277132.80284743302</v>
      </c>
      <c r="CT136" s="21">
        <f t="shared" si="1090"/>
        <v>283071.39706882654</v>
      </c>
      <c r="CU136" s="21">
        <f t="shared" si="1090"/>
        <v>289171.67942284601</v>
      </c>
      <c r="CV136" s="21">
        <f t="shared" si="1090"/>
        <v>295345.28457017208</v>
      </c>
      <c r="CW136" s="21">
        <f t="shared" si="1090"/>
        <v>301110.85958556354</v>
      </c>
      <c r="CX136" s="21">
        <f t="shared" si="1090"/>
        <v>305872.30066212779</v>
      </c>
      <c r="CY136" s="21">
        <f t="shared" si="1090"/>
        <v>310389.74522278184</v>
      </c>
      <c r="CZ136" s="21">
        <f t="shared" si="1090"/>
        <v>315568.33872661064</v>
      </c>
      <c r="DA136" s="21">
        <f t="shared" si="1090"/>
        <v>320991.09417330625</v>
      </c>
      <c r="DB136" s="21">
        <f t="shared" si="1090"/>
        <v>326366.45661981002</v>
      </c>
      <c r="DE136" s="22"/>
      <c r="DF136" s="162">
        <v>204490</v>
      </c>
    </row>
    <row r="137" spans="1:110" s="162" customFormat="1" x14ac:dyDescent="0.2">
      <c r="A137" s="49" t="s">
        <v>80</v>
      </c>
      <c r="B137" s="162">
        <f>+B201</f>
        <v>-63.808900000000001</v>
      </c>
      <c r="C137" s="162">
        <f t="shared" ref="C137:W137" si="1091">+C201</f>
        <v>-52.606999999999999</v>
      </c>
      <c r="D137" s="162">
        <f t="shared" si="1091"/>
        <v>-256.15200000000004</v>
      </c>
      <c r="E137" s="162">
        <f t="shared" si="1091"/>
        <v>-416.14200000000005</v>
      </c>
      <c r="F137" s="162">
        <f t="shared" si="1091"/>
        <v>-138.67000000000007</v>
      </c>
      <c r="G137" s="162">
        <f t="shared" si="1091"/>
        <v>-1120.8900000000001</v>
      </c>
      <c r="H137" s="162">
        <f t="shared" si="1091"/>
        <v>-4522.5999999999995</v>
      </c>
      <c r="I137" s="162">
        <f t="shared" si="1091"/>
        <v>-7693.45</v>
      </c>
      <c r="J137" s="162">
        <f t="shared" si="1091"/>
        <v>-9637.52</v>
      </c>
      <c r="K137" s="162">
        <f t="shared" si="1091"/>
        <v>-11814.150000000001</v>
      </c>
      <c r="L137" s="162">
        <f t="shared" si="1091"/>
        <v>-14965.03</v>
      </c>
      <c r="M137" s="162">
        <f t="shared" si="1091"/>
        <v>-17947.190000000002</v>
      </c>
      <c r="N137" s="162">
        <f t="shared" si="1091"/>
        <v>-21479.279999999999</v>
      </c>
      <c r="O137" s="162">
        <f t="shared" si="1091"/>
        <v>-25535</v>
      </c>
      <c r="P137" s="162">
        <f t="shared" si="1091"/>
        <v>-30785.1</v>
      </c>
      <c r="Q137" s="162">
        <f t="shared" si="1091"/>
        <v>-35274</v>
      </c>
      <c r="R137" s="162">
        <f t="shared" si="1091"/>
        <v>-24255</v>
      </c>
      <c r="S137" s="162">
        <f t="shared" si="1091"/>
        <v>-22186</v>
      </c>
      <c r="T137" s="162">
        <f t="shared" si="1091"/>
        <v>-16973</v>
      </c>
      <c r="U137" s="162">
        <f t="shared" si="1091"/>
        <v>-21636</v>
      </c>
      <c r="V137" s="162">
        <f t="shared" si="1091"/>
        <v>-15156</v>
      </c>
      <c r="W137" s="162">
        <f t="shared" si="1091"/>
        <v>-17712</v>
      </c>
      <c r="X137" s="162">
        <f t="shared" ref="X137:Y137" si="1092">+X201</f>
        <v>886</v>
      </c>
      <c r="Y137" s="162">
        <f t="shared" si="1092"/>
        <v>-1194</v>
      </c>
      <c r="Z137" s="162">
        <f t="shared" ref="Z137:AA137" si="1093">+Z201</f>
        <v>1894</v>
      </c>
      <c r="AA137" s="162">
        <f t="shared" si="1093"/>
        <v>-5316</v>
      </c>
      <c r="AB137" s="21">
        <f t="shared" ref="AA137:AD137" si="1094">+AB201</f>
        <v>-11285.760717151548</v>
      </c>
      <c r="AC137" s="21">
        <f t="shared" si="1094"/>
        <v>-18974.386566477675</v>
      </c>
      <c r="AD137" s="21">
        <f t="shared" si="1094"/>
        <v>-43061.416267206281</v>
      </c>
      <c r="AE137" s="21">
        <f t="shared" ref="AE137" si="1095">+AE201</f>
        <v>-67322.677489848007</v>
      </c>
      <c r="AL137" s="162">
        <f t="shared" ref="AL137:AM137" si="1096">+AL201</f>
        <v>-21479.279999999999</v>
      </c>
      <c r="AM137" s="162">
        <f t="shared" si="1096"/>
        <v>-23402.387669553416</v>
      </c>
      <c r="AN137" s="162">
        <f t="shared" ref="AN137:AO137" si="1097">+AN201</f>
        <v>-23631.260000000002</v>
      </c>
      <c r="AO137" s="162">
        <f t="shared" si="1097"/>
        <v>-25386.16454785299</v>
      </c>
      <c r="AP137" s="162">
        <f t="shared" ref="AP137:CD137" si="1098">+AP201</f>
        <v>-25535</v>
      </c>
      <c r="AQ137" s="162">
        <f t="shared" si="1098"/>
        <v>-27342.379469593816</v>
      </c>
      <c r="AR137" s="162">
        <f t="shared" si="1098"/>
        <v>-27478.579999999998</v>
      </c>
      <c r="AS137" s="162">
        <f t="shared" si="1098"/>
        <v>-29841.092075331766</v>
      </c>
      <c r="AT137" s="162">
        <f t="shared" si="1098"/>
        <v>-30785.1</v>
      </c>
      <c r="AU137" s="162">
        <f t="shared" si="1098"/>
        <v>-32874.142335566503</v>
      </c>
      <c r="AV137" s="162">
        <f t="shared" si="1098"/>
        <v>-34568.35</v>
      </c>
      <c r="AW137" s="162">
        <f t="shared" si="1098"/>
        <v>-36620.880797406076</v>
      </c>
      <c r="AX137" s="162">
        <f t="shared" si="1098"/>
        <v>-35274.019999999997</v>
      </c>
      <c r="AY137" s="162">
        <f t="shared" si="1098"/>
        <v>-36355.110465834099</v>
      </c>
      <c r="AZ137" s="162">
        <f t="shared" si="1098"/>
        <v>-25165.64</v>
      </c>
      <c r="BA137" s="162">
        <f t="shared" si="1098"/>
        <v>-27151.525111630322</v>
      </c>
      <c r="BB137" s="162">
        <f t="shared" si="1098"/>
        <v>-24255</v>
      </c>
      <c r="BC137" s="162">
        <f t="shared" si="1098"/>
        <v>-26478.994724220625</v>
      </c>
      <c r="BD137" s="162">
        <f t="shared" si="1098"/>
        <v>-19391</v>
      </c>
      <c r="BE137" s="162">
        <f t="shared" si="1098"/>
        <v>-21605.634771143341</v>
      </c>
      <c r="BF137" s="162">
        <f t="shared" si="1098"/>
        <v>-22186</v>
      </c>
      <c r="BG137" s="162">
        <f t="shared" si="1098"/>
        <v>-24198.89756252987</v>
      </c>
      <c r="BH137" s="162">
        <f t="shared" si="1098"/>
        <v>-23315</v>
      </c>
      <c r="BI137" s="162">
        <f t="shared" si="1098"/>
        <v>-25418.665689763449</v>
      </c>
      <c r="BJ137" s="162">
        <f t="shared" si="1098"/>
        <v>-16973</v>
      </c>
      <c r="BK137" s="162">
        <f t="shared" si="1098"/>
        <v>-18789.951192861045</v>
      </c>
      <c r="BL137" s="162">
        <f t="shared" si="1098"/>
        <v>-19649</v>
      </c>
      <c r="BM137" s="162">
        <f t="shared" si="1098"/>
        <v>-21246.443582354244</v>
      </c>
      <c r="BN137" s="162">
        <f t="shared" si="1098"/>
        <v>-21636</v>
      </c>
      <c r="BO137" s="162">
        <f t="shared" si="1098"/>
        <v>-23061.465953085859</v>
      </c>
      <c r="BP137" s="162">
        <f t="shared" si="1098"/>
        <v>-18560</v>
      </c>
      <c r="BQ137" s="162">
        <f t="shared" si="1098"/>
        <v>-20724.940636042404</v>
      </c>
      <c r="BR137" s="162">
        <f t="shared" si="1098"/>
        <v>-15156</v>
      </c>
      <c r="BS137" s="162">
        <f t="shared" si="1098"/>
        <v>-17156.126241543112</v>
      </c>
      <c r="BT137" s="162">
        <f t="shared" si="1098"/>
        <v>-19127</v>
      </c>
      <c r="BU137" s="162">
        <f t="shared" si="1098"/>
        <v>-21557.655668082327</v>
      </c>
      <c r="BV137" s="162">
        <f t="shared" si="1098"/>
        <v>-17992</v>
      </c>
      <c r="BW137" s="162">
        <f t="shared" si="1098"/>
        <v>-21041.679890871888</v>
      </c>
      <c r="BX137" s="162">
        <f t="shared" si="1098"/>
        <v>-15721</v>
      </c>
      <c r="BY137" s="162">
        <f t="shared" si="1098"/>
        <v>-17953.059261036469</v>
      </c>
      <c r="BZ137" s="162">
        <f t="shared" si="1098"/>
        <v>579</v>
      </c>
      <c r="CA137" s="162">
        <f t="shared" si="1098"/>
        <v>-1407.2068398166648</v>
      </c>
      <c r="CB137" s="162">
        <f t="shared" si="1098"/>
        <v>62</v>
      </c>
      <c r="CC137" s="162">
        <f t="shared" si="1098"/>
        <v>-1951.8614342512155</v>
      </c>
      <c r="CD137" s="162">
        <f t="shared" si="1098"/>
        <v>-1593</v>
      </c>
      <c r="CE137" s="162">
        <f t="shared" ref="CE137:CF137" si="1099">+CE201</f>
        <v>-3939.9240959067429</v>
      </c>
      <c r="CF137" s="162">
        <f t="shared" si="1099"/>
        <v>5828</v>
      </c>
      <c r="CG137" s="162">
        <f t="shared" ref="CG137:CH137" si="1100">+CG201</f>
        <v>3131.7069801260313</v>
      </c>
      <c r="CH137" s="162">
        <f t="shared" si="1100"/>
        <v>1894</v>
      </c>
      <c r="CI137" s="162">
        <f t="shared" ref="CI137:CJ137" si="1101">+CI201</f>
        <v>-597.67921206118808</v>
      </c>
      <c r="CJ137" s="162">
        <f t="shared" si="1101"/>
        <v>2711</v>
      </c>
      <c r="CK137" s="162">
        <f t="shared" ref="CK137:CL137" si="1102">+CK201</f>
        <v>-3408.5901275002943</v>
      </c>
      <c r="CL137" s="162">
        <f t="shared" si="1102"/>
        <v>-5421</v>
      </c>
      <c r="CM137" s="21">
        <f t="shared" ref="CM137:DB137" si="1103">+CM201</f>
        <v>-5741.475737558103</v>
      </c>
      <c r="CN137" s="21">
        <f t="shared" si="1103"/>
        <v>-7378.0676597213223</v>
      </c>
      <c r="CO137" s="21">
        <f t="shared" si="1103"/>
        <v>-9127.6368912092694</v>
      </c>
      <c r="CP137" s="21">
        <f t="shared" si="1103"/>
        <v>-11285.760717151548</v>
      </c>
      <c r="CQ137" s="21">
        <f t="shared" si="1103"/>
        <v>-12087.992413187822</v>
      </c>
      <c r="CR137" s="21">
        <f t="shared" si="1103"/>
        <v>-13962.793535807868</v>
      </c>
      <c r="CS137" s="21">
        <f t="shared" si="1103"/>
        <v>-16406.294076054863</v>
      </c>
      <c r="CT137" s="21">
        <f t="shared" si="1103"/>
        <v>-18974.386566477675</v>
      </c>
      <c r="CU137" s="21">
        <f t="shared" si="1103"/>
        <v>-24022.628292222445</v>
      </c>
      <c r="CV137" s="21">
        <f t="shared" si="1103"/>
        <v>-30037.959993891847</v>
      </c>
      <c r="CW137" s="21">
        <f t="shared" si="1103"/>
        <v>-36534.919432391398</v>
      </c>
      <c r="CX137" s="21">
        <f t="shared" si="1103"/>
        <v>-43061.416267206281</v>
      </c>
      <c r="CY137" s="21">
        <f t="shared" si="1103"/>
        <v>-48191.11976872282</v>
      </c>
      <c r="CZ137" s="21">
        <f t="shared" si="1103"/>
        <v>-54249.231316462305</v>
      </c>
      <c r="DA137" s="21">
        <f t="shared" si="1103"/>
        <v>-60771.617300661077</v>
      </c>
      <c r="DB137" s="21">
        <f t="shared" si="1103"/>
        <v>-67322.677489848007</v>
      </c>
      <c r="DE137" s="22"/>
      <c r="DF137" s="162">
        <v>-1652.9395184415371</v>
      </c>
    </row>
    <row r="138" spans="1:110" s="162" customFormat="1" x14ac:dyDescent="0.2">
      <c r="A138" s="49" t="s">
        <v>342</v>
      </c>
      <c r="B138" s="162">
        <f>+B135+B137</f>
        <v>50.274713000000013</v>
      </c>
      <c r="C138" s="162">
        <f t="shared" ref="C138:W138" si="1104">+C135+C137</f>
        <v>107.53262799999999</v>
      </c>
      <c r="D138" s="162">
        <f t="shared" si="1104"/>
        <v>-94.533510000000035</v>
      </c>
      <c r="E138" s="162" t="e">
        <f t="shared" ca="1" si="1104"/>
        <v>#DIV/0!</v>
      </c>
      <c r="F138" s="162" t="e">
        <f t="shared" ca="1" si="1104"/>
        <v>#DIV/0!</v>
      </c>
      <c r="G138" s="162" t="e">
        <f t="shared" ca="1" si="1104"/>
        <v>#DIV/0!</v>
      </c>
      <c r="H138" s="162" t="e">
        <f t="shared" ca="1" si="1104"/>
        <v>#DIV/0!</v>
      </c>
      <c r="I138" s="162" t="e">
        <f t="shared" ca="1" si="1104"/>
        <v>#DIV/0!</v>
      </c>
      <c r="J138" s="162" t="e">
        <f t="shared" ca="1" si="1104"/>
        <v>#DIV/0!</v>
      </c>
      <c r="K138" s="162" t="e">
        <f t="shared" ca="1" si="1104"/>
        <v>#DIV/0!</v>
      </c>
      <c r="L138" s="162" t="e">
        <f t="shared" ca="1" si="1104"/>
        <v>#DIV/0!</v>
      </c>
      <c r="M138" s="162" t="e">
        <f t="shared" ca="1" si="1104"/>
        <v>#DIV/0!</v>
      </c>
      <c r="N138" s="162" t="e">
        <f t="shared" ca="1" si="1104"/>
        <v>#DIV/0!</v>
      </c>
      <c r="O138" s="162" t="e">
        <f t="shared" ca="1" si="1104"/>
        <v>#DIV/0!</v>
      </c>
      <c r="P138" s="162" t="e">
        <f t="shared" ca="1" si="1104"/>
        <v>#DIV/0!</v>
      </c>
      <c r="Q138" s="162" t="e">
        <f t="shared" ca="1" si="1104"/>
        <v>#DIV/0!</v>
      </c>
      <c r="R138" s="162" t="e">
        <f t="shared" ca="1" si="1104"/>
        <v>#DIV/0!</v>
      </c>
      <c r="S138" s="162" t="e">
        <f t="shared" ca="1" si="1104"/>
        <v>#DIV/0!</v>
      </c>
      <c r="T138" s="162" t="e">
        <f t="shared" ca="1" si="1104"/>
        <v>#DIV/0!</v>
      </c>
      <c r="U138" s="162" t="e">
        <f t="shared" ca="1" si="1104"/>
        <v>#DIV/0!</v>
      </c>
      <c r="V138" s="162" t="e">
        <f t="shared" ca="1" si="1104"/>
        <v>#DIV/0!</v>
      </c>
      <c r="W138" s="162" t="e">
        <f t="shared" ca="1" si="1104"/>
        <v>#DIV/0!</v>
      </c>
      <c r="X138" s="162" t="e">
        <f t="shared" ref="X138:Y138" ca="1" si="1105">+X135+X137</f>
        <v>#DIV/0!</v>
      </c>
      <c r="Y138" s="162" t="e">
        <f t="shared" ca="1" si="1105"/>
        <v>#DIV/0!</v>
      </c>
      <c r="Z138" s="162" t="e">
        <f t="shared" ref="Z138:AA138" ca="1" si="1106">+Z135+Z137</f>
        <v>#DIV/0!</v>
      </c>
      <c r="AA138" s="162" t="e">
        <f t="shared" ca="1" si="1106"/>
        <v>#DIV/0!</v>
      </c>
      <c r="AB138" s="21" t="e">
        <f t="shared" ref="AA138:AD138" ca="1" si="1107">+AB135+AB137</f>
        <v>#DIV/0!</v>
      </c>
      <c r="AC138" s="21" t="e">
        <f t="shared" ca="1" si="1107"/>
        <v>#DIV/0!</v>
      </c>
      <c r="AD138" s="21" t="e">
        <f t="shared" ca="1" si="1107"/>
        <v>#DIV/0!</v>
      </c>
      <c r="AE138" s="21" t="e">
        <f t="shared" ref="AE138" ca="1" si="1108">+AE135+AE137</f>
        <v>#DIV/0!</v>
      </c>
      <c r="AL138" s="162">
        <f t="shared" ref="AL138" si="1109">+AL135+AL137</f>
        <v>38917.094999999994</v>
      </c>
      <c r="AM138" s="162">
        <f t="shared" ref="AM138:AO138" si="1110">+AM135+AM137</f>
        <v>29536.862330446584</v>
      </c>
      <c r="AN138" s="162">
        <f t="shared" si="1110"/>
        <v>34356.864999999998</v>
      </c>
      <c r="AO138" s="162">
        <f t="shared" si="1110"/>
        <v>33953.960452147003</v>
      </c>
      <c r="AP138" s="162">
        <f t="shared" ref="AP138:CD138" si="1111">+AP135+AP137</f>
        <v>34375.500000000007</v>
      </c>
      <c r="AQ138" s="162">
        <f t="shared" si="1111"/>
        <v>50397.620530406188</v>
      </c>
      <c r="AR138" s="162">
        <f t="shared" si="1111"/>
        <v>47726.42</v>
      </c>
      <c r="AS138" s="162">
        <f t="shared" si="1111"/>
        <v>45744.157924668238</v>
      </c>
      <c r="AT138" s="162">
        <f t="shared" si="1111"/>
        <v>49658.9</v>
      </c>
      <c r="AU138" s="162">
        <f t="shared" si="1111"/>
        <v>44696.857664433497</v>
      </c>
      <c r="AV138" s="162">
        <f t="shared" si="1111"/>
        <v>37277.775000000001</v>
      </c>
      <c r="AW138" s="162">
        <f t="shared" si="1111"/>
        <v>32478.994202593924</v>
      </c>
      <c r="AX138" s="162">
        <f t="shared" si="1111"/>
        <v>49141.48</v>
      </c>
      <c r="AY138" s="162">
        <f t="shared" si="1111"/>
        <v>43772.014534165901</v>
      </c>
      <c r="AZ138" s="162">
        <f t="shared" si="1111"/>
        <v>74459.86</v>
      </c>
      <c r="BA138" s="162">
        <f t="shared" si="1111"/>
        <v>95310.099888369688</v>
      </c>
      <c r="BB138" s="162">
        <f t="shared" si="1111"/>
        <v>116606.5</v>
      </c>
      <c r="BC138" s="162">
        <f t="shared" si="1111"/>
        <v>97820.505275779375</v>
      </c>
      <c r="BD138" s="162">
        <f t="shared" si="1111"/>
        <v>113105</v>
      </c>
      <c r="BE138" s="162">
        <f t="shared" si="1111"/>
        <v>118072.86522885665</v>
      </c>
      <c r="BF138" s="162">
        <f t="shared" si="1111"/>
        <v>121273.875</v>
      </c>
      <c r="BG138" s="162">
        <f t="shared" si="1111"/>
        <v>117908.97743747014</v>
      </c>
      <c r="BH138" s="162">
        <f t="shared" si="1111"/>
        <v>107195.24999999999</v>
      </c>
      <c r="BI138" s="162">
        <f t="shared" si="1111"/>
        <v>100908.83431023655</v>
      </c>
      <c r="BJ138" s="162">
        <f t="shared" si="1111"/>
        <v>101939.625</v>
      </c>
      <c r="BK138" s="162">
        <f t="shared" si="1111"/>
        <v>104495.54880713896</v>
      </c>
      <c r="BL138" s="162">
        <f t="shared" si="1111"/>
        <v>85321.125</v>
      </c>
      <c r="BM138" s="162">
        <f t="shared" si="1111"/>
        <v>73816.056417645756</v>
      </c>
      <c r="BN138" s="162">
        <f t="shared" si="1111"/>
        <v>73257.5</v>
      </c>
      <c r="BO138" s="162">
        <f t="shared" si="1111"/>
        <v>63445.409046914137</v>
      </c>
      <c r="BP138" s="162">
        <f t="shared" si="1111"/>
        <v>90783</v>
      </c>
      <c r="BQ138" s="162">
        <f t="shared" si="1111"/>
        <v>84583.184363957596</v>
      </c>
      <c r="BR138" s="162">
        <f t="shared" si="1111"/>
        <v>126064.625</v>
      </c>
      <c r="BS138" s="162">
        <f t="shared" si="1111"/>
        <v>135957.8737584569</v>
      </c>
      <c r="BT138" s="162">
        <f t="shared" si="1111"/>
        <v>129086</v>
      </c>
      <c r="BU138" s="162">
        <f t="shared" si="1111"/>
        <v>150780.09433191767</v>
      </c>
      <c r="BV138" s="162">
        <f t="shared" si="1111"/>
        <v>139241.375</v>
      </c>
      <c r="BW138" s="162">
        <f t="shared" si="1111"/>
        <v>129664.07010912811</v>
      </c>
      <c r="BX138" s="162">
        <f t="shared" si="1111"/>
        <v>111662.75</v>
      </c>
      <c r="BY138" s="162">
        <f t="shared" si="1111"/>
        <v>122739.44073896353</v>
      </c>
      <c r="BZ138" s="162">
        <f t="shared" si="1111"/>
        <v>162396.5</v>
      </c>
      <c r="CA138" s="162">
        <f t="shared" si="1111"/>
        <v>137362.91816018333</v>
      </c>
      <c r="CB138" s="162">
        <f t="shared" si="1111"/>
        <v>145402</v>
      </c>
      <c r="CC138" s="162">
        <f t="shared" si="1111"/>
        <v>138233.63856574878</v>
      </c>
      <c r="CD138" s="162">
        <f t="shared" si="1111"/>
        <v>135761.75</v>
      </c>
      <c r="CE138" s="162">
        <f t="shared" ref="CE138:CF138" si="1112">+CE135+CE137</f>
        <v>337017.57590409328</v>
      </c>
      <c r="CF138" s="162">
        <f t="shared" si="1112"/>
        <v>308802.75</v>
      </c>
      <c r="CG138" s="162">
        <f t="shared" ref="CG138:CH138" si="1113">+CG135+CG137</f>
        <v>246069.20698012604</v>
      </c>
      <c r="CH138" s="162">
        <f t="shared" si="1113"/>
        <v>204820.75</v>
      </c>
      <c r="CI138" s="162">
        <f t="shared" ref="CI138:CJ138" si="1114">+CI135+CI137</f>
        <v>230488.69578793884</v>
      </c>
      <c r="CJ138" s="162">
        <f t="shared" si="1114"/>
        <v>207074.25</v>
      </c>
      <c r="CK138" s="162">
        <f t="shared" ref="CK138:CL138" si="1115">+CK135+CK137</f>
        <v>273857.0348724997</v>
      </c>
      <c r="CL138" s="162">
        <f t="shared" si="1115"/>
        <v>304102.5</v>
      </c>
      <c r="CM138" s="21">
        <f t="shared" ref="CM138:DB138" si="1116">+CM140*CM141</f>
        <v>339927.32324866863</v>
      </c>
      <c r="CN138" s="21">
        <f t="shared" si="1116"/>
        <v>373693.59477517859</v>
      </c>
      <c r="CO138" s="21">
        <f t="shared" si="1116"/>
        <v>392175.10500383924</v>
      </c>
      <c r="CP138" s="21">
        <f t="shared" si="1116"/>
        <v>390158.6695925165</v>
      </c>
      <c r="CQ138" s="21">
        <f t="shared" si="1116"/>
        <v>392852.04968707787</v>
      </c>
      <c r="CR138" s="21">
        <f t="shared" si="1116"/>
        <v>395079.24057816085</v>
      </c>
      <c r="CS138" s="21">
        <f t="shared" si="1116"/>
        <v>398291.96476421756</v>
      </c>
      <c r="CT138" s="21">
        <f t="shared" si="1116"/>
        <v>403440.82271117327</v>
      </c>
      <c r="CU138" s="21">
        <f t="shared" si="1116"/>
        <v>405047.94479025085</v>
      </c>
      <c r="CV138" s="21">
        <f t="shared" si="1116"/>
        <v>405289.72703915864</v>
      </c>
      <c r="CW138" s="21">
        <f t="shared" si="1116"/>
        <v>404172.44694266829</v>
      </c>
      <c r="CX138" s="21">
        <f t="shared" si="1116"/>
        <v>401476.10613258026</v>
      </c>
      <c r="CY138" s="21">
        <f t="shared" si="1116"/>
        <v>400540.80493267655</v>
      </c>
      <c r="CZ138" s="21">
        <f t="shared" si="1116"/>
        <v>399197.23242290172</v>
      </c>
      <c r="DA138" s="21">
        <f t="shared" si="1116"/>
        <v>397517.41087594547</v>
      </c>
      <c r="DB138" s="21">
        <f t="shared" si="1116"/>
        <v>395721.38727209804</v>
      </c>
      <c r="DE138" s="22"/>
      <c r="DF138" s="162">
        <v>307870.56048155844</v>
      </c>
    </row>
    <row r="139" spans="1:110" s="162" customFormat="1" x14ac:dyDescent="0.2">
      <c r="A139" s="49" t="s">
        <v>345</v>
      </c>
      <c r="B139" s="162">
        <f>+B136+B137</f>
        <v>-39.724581700000002</v>
      </c>
      <c r="C139" s="162">
        <f t="shared" ref="C139:W139" si="1117">+C136+C137</f>
        <v>-6.551011999999993</v>
      </c>
      <c r="D139" s="162">
        <f t="shared" si="1117"/>
        <v>-194.03979600000005</v>
      </c>
      <c r="E139" s="162" t="e">
        <f t="shared" ca="1" si="1117"/>
        <v>#DIV/0!</v>
      </c>
      <c r="F139" s="162" t="e">
        <f t="shared" ca="1" si="1117"/>
        <v>#DIV/0!</v>
      </c>
      <c r="G139" s="162" t="e">
        <f t="shared" ca="1" si="1117"/>
        <v>#DIV/0!</v>
      </c>
      <c r="H139" s="162" t="e">
        <f t="shared" ca="1" si="1117"/>
        <v>#DIV/0!</v>
      </c>
      <c r="I139" s="162" t="e">
        <f t="shared" ca="1" si="1117"/>
        <v>#DIV/0!</v>
      </c>
      <c r="J139" s="162" t="e">
        <f t="shared" ca="1" si="1117"/>
        <v>#DIV/0!</v>
      </c>
      <c r="K139" s="162" t="e">
        <f t="shared" ca="1" si="1117"/>
        <v>#DIV/0!</v>
      </c>
      <c r="L139" s="162" t="e">
        <f t="shared" ca="1" si="1117"/>
        <v>#DIV/0!</v>
      </c>
      <c r="M139" s="162" t="e">
        <f t="shared" ca="1" si="1117"/>
        <v>#DIV/0!</v>
      </c>
      <c r="N139" s="162" t="e">
        <f t="shared" ca="1" si="1117"/>
        <v>#DIV/0!</v>
      </c>
      <c r="O139" s="162" t="e">
        <f t="shared" ca="1" si="1117"/>
        <v>#DIV/0!</v>
      </c>
      <c r="P139" s="162" t="e">
        <f t="shared" ca="1" si="1117"/>
        <v>#DIV/0!</v>
      </c>
      <c r="Q139" s="162" t="e">
        <f t="shared" ca="1" si="1117"/>
        <v>#DIV/0!</v>
      </c>
      <c r="R139" s="162" t="e">
        <f t="shared" ca="1" si="1117"/>
        <v>#DIV/0!</v>
      </c>
      <c r="S139" s="162" t="e">
        <f t="shared" ca="1" si="1117"/>
        <v>#DIV/0!</v>
      </c>
      <c r="T139" s="162" t="e">
        <f t="shared" ca="1" si="1117"/>
        <v>#DIV/0!</v>
      </c>
      <c r="U139" s="162" t="e">
        <f t="shared" ca="1" si="1117"/>
        <v>#DIV/0!</v>
      </c>
      <c r="V139" s="162" t="e">
        <f t="shared" ca="1" si="1117"/>
        <v>#DIV/0!</v>
      </c>
      <c r="W139" s="162" t="e">
        <f t="shared" ca="1" si="1117"/>
        <v>#DIV/0!</v>
      </c>
      <c r="X139" s="162" t="e">
        <f t="shared" ref="X139:Y139" ca="1" si="1118">+X136+X137</f>
        <v>#DIV/0!</v>
      </c>
      <c r="Y139" s="162" t="e">
        <f t="shared" ca="1" si="1118"/>
        <v>#DIV/0!</v>
      </c>
      <c r="Z139" s="162" t="e">
        <f t="shared" ref="Z139:AA139" ca="1" si="1119">+Z136+Z137</f>
        <v>#DIV/0!</v>
      </c>
      <c r="AA139" s="162" t="e">
        <f t="shared" ca="1" si="1119"/>
        <v>#DIV/0!</v>
      </c>
      <c r="AB139" s="21" t="e">
        <f t="shared" ref="AA139:AD139" ca="1" si="1120">+AB136+AB137</f>
        <v>#DIV/0!</v>
      </c>
      <c r="AC139" s="21" t="e">
        <f t="shared" ca="1" si="1120"/>
        <v>#DIV/0!</v>
      </c>
      <c r="AD139" s="21" t="e">
        <f t="shared" ca="1" si="1120"/>
        <v>#DIV/0!</v>
      </c>
      <c r="AE139" s="21" t="e">
        <f t="shared" ref="AE139" ca="1" si="1121">+AE136+AE137</f>
        <v>#DIV/0!</v>
      </c>
      <c r="AL139" s="162">
        <f t="shared" ref="AL139:AM139" si="1122">+AL136+AL137</f>
        <v>25228.095000000001</v>
      </c>
      <c r="AM139" s="162">
        <f t="shared" si="1122"/>
        <v>17242.112330446584</v>
      </c>
      <c r="AN139" s="162">
        <f t="shared" ref="AN139:AO139" si="1123">+AN136+AN137</f>
        <v>16083.739999999998</v>
      </c>
      <c r="AO139" s="162">
        <f t="shared" si="1123"/>
        <v>25989.83545214701</v>
      </c>
      <c r="AP139" s="162">
        <f t="shared" ref="AP139:CD139" si="1124">+AP136+AP137</f>
        <v>22968</v>
      </c>
      <c r="AQ139" s="162">
        <f t="shared" si="1124"/>
        <v>23822.370530406184</v>
      </c>
      <c r="AR139" s="162">
        <f t="shared" si="1124"/>
        <v>36741.42</v>
      </c>
      <c r="AS139" s="162">
        <f t="shared" si="1124"/>
        <v>34822.532924668238</v>
      </c>
      <c r="AT139" s="162">
        <f t="shared" si="1124"/>
        <v>33646.15</v>
      </c>
      <c r="AU139" s="162">
        <f t="shared" si="1124"/>
        <v>34810.357664433497</v>
      </c>
      <c r="AV139" s="162">
        <f t="shared" si="1124"/>
        <v>14948.650000000001</v>
      </c>
      <c r="AW139" s="162">
        <f t="shared" si="1124"/>
        <v>20965.869202593931</v>
      </c>
      <c r="AX139" s="162">
        <f t="shared" si="1124"/>
        <v>22101.48000000001</v>
      </c>
      <c r="AY139" s="162">
        <f t="shared" si="1124"/>
        <v>30484.389534165901</v>
      </c>
      <c r="AZ139" s="162">
        <f t="shared" si="1124"/>
        <v>49194.36</v>
      </c>
      <c r="BA139" s="162">
        <f t="shared" si="1124"/>
        <v>70445.974888369674</v>
      </c>
      <c r="BB139" s="162">
        <f t="shared" si="1124"/>
        <v>81412.25</v>
      </c>
      <c r="BC139" s="162">
        <f t="shared" si="1124"/>
        <v>69322.880275779375</v>
      </c>
      <c r="BD139" s="162">
        <f t="shared" si="1124"/>
        <v>91768.750000000015</v>
      </c>
      <c r="BE139" s="162">
        <f t="shared" si="1124"/>
        <v>97285.865228856652</v>
      </c>
      <c r="BF139" s="162">
        <f t="shared" si="1124"/>
        <v>94043.750000000015</v>
      </c>
      <c r="BG139" s="162">
        <f t="shared" si="1124"/>
        <v>89876.102437470137</v>
      </c>
      <c r="BH139" s="162">
        <f t="shared" si="1124"/>
        <v>87020.874999999985</v>
      </c>
      <c r="BI139" s="162">
        <f t="shared" si="1124"/>
        <v>84220.084310236547</v>
      </c>
      <c r="BJ139" s="162">
        <f t="shared" si="1124"/>
        <v>85694.5</v>
      </c>
      <c r="BK139" s="162">
        <f t="shared" si="1124"/>
        <v>76568.298807138955</v>
      </c>
      <c r="BL139" s="162">
        <f t="shared" si="1124"/>
        <v>61893.5</v>
      </c>
      <c r="BM139" s="162">
        <f t="shared" si="1124"/>
        <v>62831.056417645756</v>
      </c>
      <c r="BN139" s="162">
        <f t="shared" si="1124"/>
        <v>29909</v>
      </c>
      <c r="BO139" s="162">
        <f t="shared" si="1124"/>
        <v>41031.784046914137</v>
      </c>
      <c r="BP139" s="162">
        <f t="shared" si="1124"/>
        <v>58546.25</v>
      </c>
      <c r="BQ139" s="162">
        <f t="shared" si="1124"/>
        <v>62739.934363957596</v>
      </c>
      <c r="BR139" s="162">
        <f t="shared" si="1124"/>
        <v>82357</v>
      </c>
      <c r="BS139" s="162">
        <f t="shared" si="1124"/>
        <v>98735.623758456888</v>
      </c>
      <c r="BT139" s="162">
        <f t="shared" si="1124"/>
        <v>105088</v>
      </c>
      <c r="BU139" s="162">
        <f t="shared" si="1124"/>
        <v>107558.34433191769</v>
      </c>
      <c r="BV139" s="162">
        <f t="shared" si="1124"/>
        <v>106899.00000000001</v>
      </c>
      <c r="BW139" s="162">
        <f t="shared" si="1124"/>
        <v>82576.445109128108</v>
      </c>
      <c r="BX139" s="162">
        <f t="shared" si="1124"/>
        <v>86693</v>
      </c>
      <c r="BY139" s="162">
        <f t="shared" si="1124"/>
        <v>93798.190738963531</v>
      </c>
      <c r="BZ139" s="162">
        <f t="shared" si="1124"/>
        <v>124075.75</v>
      </c>
      <c r="CA139" s="162">
        <f t="shared" si="1124"/>
        <v>122448.66816018333</v>
      </c>
      <c r="CB139" s="162">
        <f t="shared" si="1124"/>
        <v>124277</v>
      </c>
      <c r="CC139" s="162">
        <f t="shared" si="1124"/>
        <v>120805.51356574878</v>
      </c>
      <c r="CD139" s="162">
        <f t="shared" si="1124"/>
        <v>118819.5</v>
      </c>
      <c r="CE139" s="162">
        <f t="shared" ref="CE139:CF139" si="1125">+CE136+CE137</f>
        <v>120760.95090409325</v>
      </c>
      <c r="CF139" s="162">
        <f t="shared" si="1125"/>
        <v>206747.875</v>
      </c>
      <c r="CG139" s="162">
        <f t="shared" ref="CG139:CH139" si="1126">+CG136+CG137</f>
        <v>184912.33198012604</v>
      </c>
      <c r="CH139" s="162">
        <f t="shared" si="1126"/>
        <v>161873.625</v>
      </c>
      <c r="CI139" s="162">
        <f t="shared" ref="CI139:CJ139" si="1127">+CI136+CI137</f>
        <v>162085.94578793881</v>
      </c>
      <c r="CJ139" s="162">
        <f t="shared" si="1127"/>
        <v>177372.5</v>
      </c>
      <c r="CK139" s="162">
        <f t="shared" ref="CK139:CL139" si="1128">+CK136+CK137</f>
        <v>188195.1598724997</v>
      </c>
      <c r="CL139" s="162">
        <f t="shared" si="1128"/>
        <v>199069</v>
      </c>
      <c r="CM139" s="21">
        <f t="shared" ref="CM139:DB139" si="1129">+CM140*CM142</f>
        <v>222520.34202872129</v>
      </c>
      <c r="CN139" s="21">
        <f t="shared" si="1129"/>
        <v>244624.13238398245</v>
      </c>
      <c r="CO139" s="21">
        <f t="shared" si="1129"/>
        <v>256722.34190119867</v>
      </c>
      <c r="CP139" s="21">
        <f t="shared" si="1129"/>
        <v>255402.36005002481</v>
      </c>
      <c r="CQ139" s="21">
        <f t="shared" si="1129"/>
        <v>257165.47768978192</v>
      </c>
      <c r="CR139" s="21">
        <f t="shared" si="1129"/>
        <v>258623.42250607573</v>
      </c>
      <c r="CS139" s="21">
        <f t="shared" si="1129"/>
        <v>260726.50877137814</v>
      </c>
      <c r="CT139" s="21">
        <f t="shared" si="1129"/>
        <v>264097.01050234889</v>
      </c>
      <c r="CU139" s="21">
        <f t="shared" si="1129"/>
        <v>265149.05113062356</v>
      </c>
      <c r="CV139" s="21">
        <f t="shared" si="1129"/>
        <v>265307.32457628025</v>
      </c>
      <c r="CW139" s="21">
        <f t="shared" si="1129"/>
        <v>264575.94015317212</v>
      </c>
      <c r="CX139" s="21">
        <f t="shared" si="1129"/>
        <v>262810.88439492148</v>
      </c>
      <c r="CY139" s="21">
        <f t="shared" si="1129"/>
        <v>262198.62545405905</v>
      </c>
      <c r="CZ139" s="21">
        <f t="shared" si="1129"/>
        <v>261319.10741014831</v>
      </c>
      <c r="DA139" s="21">
        <f t="shared" si="1129"/>
        <v>260219.4768726452</v>
      </c>
      <c r="DB139" s="21">
        <f t="shared" si="1129"/>
        <v>259043.77912996203</v>
      </c>
      <c r="DE139" s="22"/>
      <c r="DF139" s="162">
        <v>202837.06048155847</v>
      </c>
    </row>
    <row r="140" spans="1:110" s="162" customFormat="1" x14ac:dyDescent="0.2">
      <c r="A140" s="49" t="s">
        <v>13</v>
      </c>
      <c r="B140" s="162">
        <f t="shared" ref="B140:AE140" si="1130">+B56</f>
        <v>263.36689999999999</v>
      </c>
      <c r="C140" s="162">
        <f t="shared" si="1130"/>
        <v>144.87899999999991</v>
      </c>
      <c r="D140" s="162">
        <f t="shared" si="1130"/>
        <v>224.46199999999999</v>
      </c>
      <c r="E140" s="162">
        <f t="shared" si="1130"/>
        <v>773.73599999999988</v>
      </c>
      <c r="F140" s="162">
        <f t="shared" si="1130"/>
        <v>880</v>
      </c>
      <c r="G140" s="162">
        <f t="shared" si="1130"/>
        <v>2299.4299999999998</v>
      </c>
      <c r="H140" s="162">
        <f t="shared" si="1130"/>
        <v>6406.9100000000017</v>
      </c>
      <c r="I140" s="162">
        <f t="shared" si="1130"/>
        <v>5378.3899999999994</v>
      </c>
      <c r="J140" s="162">
        <f t="shared" si="1130"/>
        <v>2734.1600000000003</v>
      </c>
      <c r="K140" s="162">
        <f t="shared" si="1130"/>
        <v>4670.0800000000008</v>
      </c>
      <c r="L140" s="162">
        <f t="shared" si="1130"/>
        <v>5607.71</v>
      </c>
      <c r="M140" s="162">
        <f t="shared" si="1130"/>
        <v>6069.4599999999982</v>
      </c>
      <c r="N140" s="162">
        <f t="shared" si="1130"/>
        <v>6508.3600000000006</v>
      </c>
      <c r="O140" s="162">
        <f t="shared" si="1130"/>
        <v>6728.8199999999988</v>
      </c>
      <c r="P140" s="162">
        <f t="shared" si="1130"/>
        <v>7127.64</v>
      </c>
      <c r="Q140" s="162">
        <f t="shared" si="1130"/>
        <v>6652</v>
      </c>
      <c r="R140" s="162">
        <f t="shared" si="1130"/>
        <v>9739</v>
      </c>
      <c r="S140" s="162">
        <f t="shared" si="1130"/>
        <v>12270</v>
      </c>
      <c r="T140" s="162">
        <f t="shared" si="1130"/>
        <v>10670</v>
      </c>
      <c r="U140" s="162">
        <f t="shared" si="1130"/>
        <v>8847</v>
      </c>
      <c r="V140" s="162">
        <f t="shared" si="1130"/>
        <v>11672</v>
      </c>
      <c r="W140" s="162">
        <f t="shared" si="1130"/>
        <v>16225</v>
      </c>
      <c r="X140" s="162">
        <f t="shared" si="1130"/>
        <v>17506</v>
      </c>
      <c r="Y140" s="162">
        <f t="shared" si="1130"/>
        <v>13656</v>
      </c>
      <c r="Z140" s="162">
        <f t="shared" si="1130"/>
        <v>17388</v>
      </c>
      <c r="AA140" s="162">
        <f t="shared" ref="AA140" si="1131">+AA56</f>
        <v>22064</v>
      </c>
      <c r="AB140" s="21">
        <f t="shared" si="1130"/>
        <v>28307.760988118433</v>
      </c>
      <c r="AC140" s="21">
        <f t="shared" si="1130"/>
        <v>29271.440755335218</v>
      </c>
      <c r="AD140" s="21">
        <f t="shared" si="1130"/>
        <v>29128.891757579273</v>
      </c>
      <c r="AE140" s="21">
        <f t="shared" si="1130"/>
        <v>28711.361099535741</v>
      </c>
      <c r="AL140" s="162">
        <f t="shared" ref="AL140:BQ140" si="1132">+SUM(AI56:AL56)</f>
        <v>6502.89</v>
      </c>
      <c r="AM140" s="162">
        <f t="shared" si="1132"/>
        <v>6582.6</v>
      </c>
      <c r="AN140" s="162">
        <f t="shared" si="1132"/>
        <v>6996.57</v>
      </c>
      <c r="AO140" s="162">
        <f t="shared" si="1132"/>
        <v>7321.8899999999994</v>
      </c>
      <c r="AP140" s="162">
        <f t="shared" si="1132"/>
        <v>6961.14</v>
      </c>
      <c r="AQ140" s="162">
        <f t="shared" si="1132"/>
        <v>6814.7800000000007</v>
      </c>
      <c r="AR140" s="162">
        <f t="shared" si="1132"/>
        <v>6930.93</v>
      </c>
      <c r="AS140" s="162">
        <f t="shared" si="1132"/>
        <v>7196.38</v>
      </c>
      <c r="AT140" s="162">
        <f t="shared" si="1132"/>
        <v>7446.6399999999994</v>
      </c>
      <c r="AU140" s="162">
        <f t="shared" si="1132"/>
        <v>7761.5599999999995</v>
      </c>
      <c r="AV140" s="162">
        <f t="shared" si="1132"/>
        <v>7955.7300000000005</v>
      </c>
      <c r="AW140" s="162">
        <f t="shared" si="1132"/>
        <v>7344.6</v>
      </c>
      <c r="AX140" s="162">
        <f t="shared" si="1132"/>
        <v>6652.93</v>
      </c>
      <c r="AY140" s="162">
        <f t="shared" si="1132"/>
        <v>6116.6</v>
      </c>
      <c r="AZ140" s="162">
        <f t="shared" si="1132"/>
        <v>5999.8799999999992</v>
      </c>
      <c r="BA140" s="162">
        <f t="shared" si="1132"/>
        <v>7309.8099999999995</v>
      </c>
      <c r="BB140" s="162">
        <f t="shared" si="1132"/>
        <v>9739</v>
      </c>
      <c r="BC140" s="162">
        <f t="shared" si="1132"/>
        <v>10992</v>
      </c>
      <c r="BD140" s="162">
        <f t="shared" si="1132"/>
        <v>11939</v>
      </c>
      <c r="BE140" s="162">
        <f t="shared" si="1132"/>
        <v>12395</v>
      </c>
      <c r="BF140" s="162">
        <f t="shared" si="1132"/>
        <v>12272</v>
      </c>
      <c r="BG140" s="162">
        <f t="shared" si="1132"/>
        <v>12601</v>
      </c>
      <c r="BH140" s="162">
        <f t="shared" si="1132"/>
        <v>11907</v>
      </c>
      <c r="BI140" s="162">
        <f t="shared" si="1132"/>
        <v>11501</v>
      </c>
      <c r="BJ140" s="162">
        <f t="shared" si="1132"/>
        <v>10670</v>
      </c>
      <c r="BK140" s="162">
        <f t="shared" si="1132"/>
        <v>10434</v>
      </c>
      <c r="BL140" s="162">
        <f t="shared" si="1132"/>
        <v>10221</v>
      </c>
      <c r="BM140" s="162">
        <f t="shared" si="1132"/>
        <v>9672</v>
      </c>
      <c r="BN140" s="162">
        <f t="shared" si="1132"/>
        <v>8847</v>
      </c>
      <c r="BO140" s="162">
        <f t="shared" si="1132"/>
        <v>7946</v>
      </c>
      <c r="BP140" s="162">
        <f t="shared" si="1132"/>
        <v>8781</v>
      </c>
      <c r="BQ140" s="162">
        <f t="shared" si="1132"/>
        <v>9761</v>
      </c>
      <c r="BR140" s="162">
        <f t="shared" ref="BR140:CL140" si="1133">+SUM(BO56:BR56)</f>
        <v>11672</v>
      </c>
      <c r="BS140" s="162">
        <f t="shared" si="1133"/>
        <v>13654</v>
      </c>
      <c r="BT140" s="162">
        <f t="shared" si="1133"/>
        <v>14037</v>
      </c>
      <c r="BU140" s="162">
        <f t="shared" si="1133"/>
        <v>15138</v>
      </c>
      <c r="BV140" s="162">
        <f t="shared" si="1133"/>
        <v>16225</v>
      </c>
      <c r="BW140" s="162">
        <f t="shared" si="1133"/>
        <v>17804</v>
      </c>
      <c r="BX140" s="162">
        <f t="shared" si="1133"/>
        <v>18876</v>
      </c>
      <c r="BY140" s="162">
        <f t="shared" si="1133"/>
        <v>18213</v>
      </c>
      <c r="BZ140" s="162">
        <f t="shared" si="1133"/>
        <v>17506</v>
      </c>
      <c r="CA140" s="162">
        <f t="shared" si="1133"/>
        <v>15716</v>
      </c>
      <c r="CB140" s="162">
        <f t="shared" si="1133"/>
        <v>14448</v>
      </c>
      <c r="CC140" s="162">
        <f t="shared" si="1133"/>
        <v>14262</v>
      </c>
      <c r="CD140" s="162">
        <f t="shared" si="1133"/>
        <v>13656</v>
      </c>
      <c r="CE140" s="162">
        <f t="shared" si="1133"/>
        <v>14255</v>
      </c>
      <c r="CF140" s="162">
        <f t="shared" si="1133"/>
        <v>15239</v>
      </c>
      <c r="CG140" s="162">
        <f t="shared" si="1133"/>
        <v>16217</v>
      </c>
      <c r="CH140" s="162">
        <f t="shared" si="1133"/>
        <v>17388</v>
      </c>
      <c r="CI140" s="162">
        <f t="shared" si="1133"/>
        <v>17301</v>
      </c>
      <c r="CJ140" s="162">
        <f t="shared" si="1133"/>
        <v>17623</v>
      </c>
      <c r="CK140" s="162">
        <f t="shared" si="1133"/>
        <v>19178</v>
      </c>
      <c r="CL140" s="162">
        <f t="shared" si="1133"/>
        <v>22064</v>
      </c>
      <c r="CM140" s="21">
        <f t="shared" ref="CM140" si="1134">+SUM(CJ56:CM56)</f>
        <v>24663.251568660649</v>
      </c>
      <c r="CN140" s="21">
        <f t="shared" ref="CN140" si="1135">+SUM(CK56:CN56)</f>
        <v>27113.145979133813</v>
      </c>
      <c r="CO140" s="21">
        <f t="shared" ref="CO140" si="1136">+SUM(CL56:CO56)</f>
        <v>28454.062419101156</v>
      </c>
      <c r="CP140" s="21">
        <f t="shared" ref="CP140" si="1137">+SUM(CM56:CP56)</f>
        <v>28307.760988118429</v>
      </c>
      <c r="CQ140" s="21">
        <f t="shared" ref="CQ140" si="1138">+SUM(CN56:CQ56)</f>
        <v>28503.177791355502</v>
      </c>
      <c r="CR140" s="21">
        <f t="shared" ref="CR140" si="1139">+SUM(CO56:CR56)</f>
        <v>28664.770477442773</v>
      </c>
      <c r="CS140" s="21">
        <f t="shared" ref="CS140" si="1140">+SUM(CP56:CS56)</f>
        <v>28897.868023306932</v>
      </c>
      <c r="CT140" s="21">
        <f t="shared" ref="CT140" si="1141">+SUM(CQ56:CT56)</f>
        <v>29271.440755335214</v>
      </c>
      <c r="CU140" s="21">
        <f t="shared" ref="CU140" si="1142">+SUM(CR56:CU56)</f>
        <v>29388.044668663017</v>
      </c>
      <c r="CV140" s="21">
        <f t="shared" ref="CV140" si="1143">+SUM(CS56:CV56)</f>
        <v>29405.587054996249</v>
      </c>
      <c r="CW140" s="21">
        <f t="shared" ref="CW140" si="1144">+SUM(CT56:CW56)</f>
        <v>29324.52337400394</v>
      </c>
      <c r="CX140" s="21">
        <f t="shared" ref="CX140" si="1145">+SUM(CU56:CX56)</f>
        <v>29128.891757579273</v>
      </c>
      <c r="CY140" s="21">
        <f t="shared" ref="CY140" si="1146">+SUM(CV56:CY56)</f>
        <v>29061.031461545288</v>
      </c>
      <c r="CZ140" s="21">
        <f t="shared" ref="CZ140" si="1147">+SUM(CW56:CZ56)</f>
        <v>28963.549251252141</v>
      </c>
      <c r="DA140" s="21">
        <f t="shared" ref="DA140" si="1148">+SUM(CX56:DA56)</f>
        <v>28841.670665538302</v>
      </c>
      <c r="DB140" s="21">
        <f t="shared" ref="DB140" si="1149">+SUM(CY56:DB56)</f>
        <v>28711.361099535752</v>
      </c>
      <c r="DE140" s="22"/>
      <c r="DF140" s="162">
        <v>21208.466103669231</v>
      </c>
    </row>
    <row r="141" spans="1:110" s="162" customFormat="1" x14ac:dyDescent="0.2">
      <c r="A141" s="49" t="s">
        <v>343</v>
      </c>
      <c r="B141" s="162">
        <f>+B138/B140</f>
        <v>0.19089229891835313</v>
      </c>
      <c r="C141" s="162">
        <f t="shared" ref="C141:W141" si="1150">+C138/C140</f>
        <v>0.74222370391844272</v>
      </c>
      <c r="D141" s="162">
        <f t="shared" si="1150"/>
        <v>-0.42115596403845657</v>
      </c>
      <c r="E141" s="162" t="e">
        <f t="shared" ca="1" si="1150"/>
        <v>#DIV/0!</v>
      </c>
      <c r="F141" s="162" t="e">
        <f t="shared" ca="1" si="1150"/>
        <v>#DIV/0!</v>
      </c>
      <c r="G141" s="162" t="e">
        <f t="shared" ca="1" si="1150"/>
        <v>#DIV/0!</v>
      </c>
      <c r="H141" s="162" t="e">
        <f t="shared" ca="1" si="1150"/>
        <v>#DIV/0!</v>
      </c>
      <c r="I141" s="162" t="e">
        <f t="shared" ca="1" si="1150"/>
        <v>#DIV/0!</v>
      </c>
      <c r="J141" s="162" t="e">
        <f t="shared" ca="1" si="1150"/>
        <v>#DIV/0!</v>
      </c>
      <c r="K141" s="162" t="e">
        <f t="shared" ca="1" si="1150"/>
        <v>#DIV/0!</v>
      </c>
      <c r="L141" s="162" t="e">
        <f t="shared" ca="1" si="1150"/>
        <v>#DIV/0!</v>
      </c>
      <c r="M141" s="162" t="e">
        <f t="shared" ca="1" si="1150"/>
        <v>#DIV/0!</v>
      </c>
      <c r="N141" s="162" t="e">
        <f t="shared" ca="1" si="1150"/>
        <v>#DIV/0!</v>
      </c>
      <c r="O141" s="162" t="e">
        <f t="shared" ca="1" si="1150"/>
        <v>#DIV/0!</v>
      </c>
      <c r="P141" s="162" t="e">
        <f t="shared" ca="1" si="1150"/>
        <v>#DIV/0!</v>
      </c>
      <c r="Q141" s="162" t="e">
        <f t="shared" ca="1" si="1150"/>
        <v>#DIV/0!</v>
      </c>
      <c r="R141" s="162" t="e">
        <f t="shared" ca="1" si="1150"/>
        <v>#DIV/0!</v>
      </c>
      <c r="S141" s="162" t="e">
        <f t="shared" ca="1" si="1150"/>
        <v>#DIV/0!</v>
      </c>
      <c r="T141" s="162" t="e">
        <f t="shared" ca="1" si="1150"/>
        <v>#DIV/0!</v>
      </c>
      <c r="U141" s="162" t="e">
        <f t="shared" ca="1" si="1150"/>
        <v>#DIV/0!</v>
      </c>
      <c r="V141" s="162" t="e">
        <f t="shared" ca="1" si="1150"/>
        <v>#DIV/0!</v>
      </c>
      <c r="W141" s="162" t="e">
        <f t="shared" ca="1" si="1150"/>
        <v>#DIV/0!</v>
      </c>
      <c r="X141" s="162" t="e">
        <f t="shared" ref="X141:Y141" ca="1" si="1151">+X138/X140</f>
        <v>#DIV/0!</v>
      </c>
      <c r="Y141" s="162" t="e">
        <f t="shared" ca="1" si="1151"/>
        <v>#DIV/0!</v>
      </c>
      <c r="Z141" s="162" t="e">
        <f t="shared" ref="Z141:AA141" ca="1" si="1152">+Z138/Z140</f>
        <v>#DIV/0!</v>
      </c>
      <c r="AA141" s="162" t="e">
        <f t="shared" ca="1" si="1152"/>
        <v>#DIV/0!</v>
      </c>
      <c r="AB141" s="21" t="e">
        <f t="shared" ref="AA141:AD141" ca="1" si="1153">+AB138/AB140</f>
        <v>#DIV/0!</v>
      </c>
      <c r="AC141" s="21" t="e">
        <f t="shared" ca="1" si="1153"/>
        <v>#DIV/0!</v>
      </c>
      <c r="AD141" s="21" t="e">
        <f t="shared" ca="1" si="1153"/>
        <v>#DIV/0!</v>
      </c>
      <c r="AE141" s="21" t="e">
        <f t="shared" ref="AE141" ca="1" si="1154">+AE138/AE140</f>
        <v>#DIV/0!</v>
      </c>
      <c r="AL141" s="162">
        <f t="shared" ref="AL141" si="1155">+AL138/AL140</f>
        <v>5.9845845462555864</v>
      </c>
      <c r="AM141" s="162">
        <f t="shared" ref="AM141:AO141" si="1156">+AM138/AM140</f>
        <v>4.4871118297400088</v>
      </c>
      <c r="AN141" s="162">
        <f t="shared" si="1156"/>
        <v>4.9105297309967595</v>
      </c>
      <c r="AO141" s="162">
        <f t="shared" si="1156"/>
        <v>4.6373218461554329</v>
      </c>
      <c r="AP141" s="162">
        <f t="shared" ref="AP141:CD141" si="1157">+AP138/AP140</f>
        <v>4.9381997776226312</v>
      </c>
      <c r="AQ141" s="162">
        <f t="shared" si="1157"/>
        <v>7.3953407931593071</v>
      </c>
      <c r="AR141" s="162">
        <f t="shared" si="1157"/>
        <v>6.8860051969937652</v>
      </c>
      <c r="AS141" s="162">
        <f t="shared" si="1157"/>
        <v>6.3565512000017002</v>
      </c>
      <c r="AT141" s="162">
        <f t="shared" si="1157"/>
        <v>6.6686317587529418</v>
      </c>
      <c r="AU141" s="162">
        <f t="shared" si="1157"/>
        <v>5.758746652017571</v>
      </c>
      <c r="AV141" s="162">
        <f t="shared" si="1157"/>
        <v>4.6856510967566773</v>
      </c>
      <c r="AW141" s="162">
        <f t="shared" si="1157"/>
        <v>4.4221597095272607</v>
      </c>
      <c r="AX141" s="162">
        <f t="shared" si="1157"/>
        <v>7.3864417632531829</v>
      </c>
      <c r="AY141" s="162">
        <f t="shared" si="1157"/>
        <v>7.1562656597073371</v>
      </c>
      <c r="AZ141" s="162">
        <f t="shared" si="1157"/>
        <v>12.410224871164091</v>
      </c>
      <c r="BA141" s="162">
        <f t="shared" si="1157"/>
        <v>13.038656256232336</v>
      </c>
      <c r="BB141" s="162">
        <f t="shared" si="1157"/>
        <v>11.973149193962419</v>
      </c>
      <c r="BC141" s="162">
        <f t="shared" si="1157"/>
        <v>8.899245385351108</v>
      </c>
      <c r="BD141" s="162">
        <f t="shared" si="1157"/>
        <v>9.4735740011726275</v>
      </c>
      <c r="BE141" s="162">
        <f t="shared" si="1157"/>
        <v>9.52584632745919</v>
      </c>
      <c r="BF141" s="162">
        <f t="shared" si="1157"/>
        <v>9.8821606095176016</v>
      </c>
      <c r="BG141" s="162">
        <f t="shared" si="1157"/>
        <v>9.3571127241861873</v>
      </c>
      <c r="BH141" s="162">
        <f t="shared" si="1157"/>
        <v>9.0027084908037285</v>
      </c>
      <c r="BI141" s="162">
        <f t="shared" si="1157"/>
        <v>8.7739182949514429</v>
      </c>
      <c r="BJ141" s="162">
        <f t="shared" si="1157"/>
        <v>9.5538542642924078</v>
      </c>
      <c r="BK141" s="162">
        <f t="shared" si="1157"/>
        <v>10.014907878775057</v>
      </c>
      <c r="BL141" s="162">
        <f t="shared" si="1157"/>
        <v>8.3476298796595252</v>
      </c>
      <c r="BM141" s="162">
        <f t="shared" si="1157"/>
        <v>7.6319330456622989</v>
      </c>
      <c r="BN141" s="162">
        <f t="shared" si="1157"/>
        <v>8.2804905617723517</v>
      </c>
      <c r="BO141" s="162">
        <f t="shared" si="1157"/>
        <v>7.9845719918089779</v>
      </c>
      <c r="BP141" s="162">
        <f t="shared" si="1157"/>
        <v>10.338571916638196</v>
      </c>
      <c r="BQ141" s="162">
        <f t="shared" si="1157"/>
        <v>8.6654220227392269</v>
      </c>
      <c r="BR141" s="162">
        <f t="shared" si="1157"/>
        <v>10.800601867717615</v>
      </c>
      <c r="BS141" s="162">
        <f t="shared" si="1157"/>
        <v>9.9573658824122528</v>
      </c>
      <c r="BT141" s="162">
        <f t="shared" si="1157"/>
        <v>9.1961245280330548</v>
      </c>
      <c r="BU141" s="162">
        <f t="shared" si="1157"/>
        <v>9.960370876728609</v>
      </c>
      <c r="BV141" s="162">
        <f t="shared" si="1157"/>
        <v>8.5819029275808933</v>
      </c>
      <c r="BW141" s="162">
        <f t="shared" si="1157"/>
        <v>7.2828617225976249</v>
      </c>
      <c r="BX141" s="162">
        <f t="shared" si="1157"/>
        <v>5.9155938758211484</v>
      </c>
      <c r="BY141" s="162">
        <f t="shared" si="1157"/>
        <v>6.7391116641389956</v>
      </c>
      <c r="BZ141" s="162">
        <f t="shared" si="1157"/>
        <v>9.2766194447617956</v>
      </c>
      <c r="CA141" s="162">
        <f t="shared" si="1157"/>
        <v>8.7403231203985321</v>
      </c>
      <c r="CB141" s="162">
        <f t="shared" si="1157"/>
        <v>10.063815060908084</v>
      </c>
      <c r="CC141" s="162">
        <f t="shared" si="1157"/>
        <v>9.692444156902873</v>
      </c>
      <c r="CD141" s="162">
        <f t="shared" si="1157"/>
        <v>9.9415458406561221</v>
      </c>
      <c r="CE141" s="162">
        <f t="shared" ref="CE141:CF141" si="1158">+CE138/CE140</f>
        <v>23.642060743885885</v>
      </c>
      <c r="CF141" s="162">
        <f t="shared" si="1158"/>
        <v>20.263977295098105</v>
      </c>
      <c r="CG141" s="162">
        <f t="shared" ref="CG141:CH141" si="1159">+CG138/CG140</f>
        <v>15.173534376279585</v>
      </c>
      <c r="CH141" s="162">
        <f t="shared" si="1159"/>
        <v>11.779431216931217</v>
      </c>
      <c r="CI141" s="162">
        <f t="shared" ref="CI141:CJ141" si="1160">+CI138/CI140</f>
        <v>13.322275925549901</v>
      </c>
      <c r="CJ141" s="162">
        <f t="shared" si="1160"/>
        <v>11.750226976110765</v>
      </c>
      <c r="CK141" s="162">
        <f t="shared" ref="CK141:CL141" si="1161">+CK138/CK140</f>
        <v>14.279749445849395</v>
      </c>
      <c r="CL141" s="162">
        <f t="shared" si="1161"/>
        <v>13.782745649021029</v>
      </c>
      <c r="CM141" s="21">
        <f t="shared" ref="CM141:CM142" si="1162">+CL141</f>
        <v>13.782745649021029</v>
      </c>
      <c r="CN141" s="21">
        <f t="shared" ref="CN141:CN142" si="1163">+CM141</f>
        <v>13.782745649021029</v>
      </c>
      <c r="CO141" s="21">
        <f t="shared" ref="CO141:CO142" si="1164">+CN141</f>
        <v>13.782745649021029</v>
      </c>
      <c r="CP141" s="21">
        <f t="shared" ref="CP141:CP142" si="1165">+CO141</f>
        <v>13.782745649021029</v>
      </c>
      <c r="CQ141" s="21">
        <f t="shared" ref="CQ141:CQ142" si="1166">+CP141</f>
        <v>13.782745649021029</v>
      </c>
      <c r="CR141" s="21">
        <f t="shared" ref="CR141:CR142" si="1167">+CQ141</f>
        <v>13.782745649021029</v>
      </c>
      <c r="CS141" s="21">
        <f t="shared" ref="CS141:CS142" si="1168">+CR141</f>
        <v>13.782745649021029</v>
      </c>
      <c r="CT141" s="21">
        <f t="shared" ref="CT141:CT142" si="1169">+CS141</f>
        <v>13.782745649021029</v>
      </c>
      <c r="CU141" s="21">
        <f t="shared" ref="CU141:CU142" si="1170">+CT141</f>
        <v>13.782745649021029</v>
      </c>
      <c r="CV141" s="21">
        <f t="shared" ref="CV141:CV142" si="1171">+CU141</f>
        <v>13.782745649021029</v>
      </c>
      <c r="CW141" s="21">
        <f t="shared" ref="CW141:CW142" si="1172">+CV141</f>
        <v>13.782745649021029</v>
      </c>
      <c r="CX141" s="21">
        <f t="shared" ref="CX141:CX142" si="1173">+CW141</f>
        <v>13.782745649021029</v>
      </c>
      <c r="CY141" s="21">
        <f t="shared" ref="CY141:CY142" si="1174">+CX141</f>
        <v>13.782745649021029</v>
      </c>
      <c r="CZ141" s="21">
        <f t="shared" ref="CZ141:CZ142" si="1175">+CY141</f>
        <v>13.782745649021029</v>
      </c>
      <c r="DA141" s="21">
        <f t="shared" ref="DA141:DA142" si="1176">+CZ141</f>
        <v>13.782745649021029</v>
      </c>
      <c r="DB141" s="21">
        <f t="shared" ref="DB141:DB142" si="1177">+DA141</f>
        <v>13.782745649021029</v>
      </c>
      <c r="DE141" s="22"/>
      <c r="DF141" s="162">
        <v>14.516399204763536</v>
      </c>
    </row>
    <row r="142" spans="1:110" s="162" customFormat="1" x14ac:dyDescent="0.2">
      <c r="A142" s="49" t="s">
        <v>344</v>
      </c>
      <c r="B142" s="162">
        <f>+B139/B140</f>
        <v>-0.15083361538598816</v>
      </c>
      <c r="C142" s="162">
        <f t="shared" ref="C142:W142" si="1178">+C139/C140</f>
        <v>-4.5217126015502575E-2</v>
      </c>
      <c r="D142" s="162">
        <f t="shared" si="1178"/>
        <v>-0.86446612789692712</v>
      </c>
      <c r="E142" s="162" t="e">
        <f t="shared" ca="1" si="1178"/>
        <v>#DIV/0!</v>
      </c>
      <c r="F142" s="162" t="e">
        <f t="shared" ca="1" si="1178"/>
        <v>#DIV/0!</v>
      </c>
      <c r="G142" s="162" t="e">
        <f t="shared" ca="1" si="1178"/>
        <v>#DIV/0!</v>
      </c>
      <c r="H142" s="162" t="e">
        <f t="shared" ca="1" si="1178"/>
        <v>#DIV/0!</v>
      </c>
      <c r="I142" s="162" t="e">
        <f t="shared" ca="1" si="1178"/>
        <v>#DIV/0!</v>
      </c>
      <c r="J142" s="162" t="e">
        <f t="shared" ca="1" si="1178"/>
        <v>#DIV/0!</v>
      </c>
      <c r="K142" s="162" t="e">
        <f t="shared" ca="1" si="1178"/>
        <v>#DIV/0!</v>
      </c>
      <c r="L142" s="162" t="e">
        <f t="shared" ca="1" si="1178"/>
        <v>#DIV/0!</v>
      </c>
      <c r="M142" s="162" t="e">
        <f t="shared" ca="1" si="1178"/>
        <v>#DIV/0!</v>
      </c>
      <c r="N142" s="162" t="e">
        <f t="shared" ca="1" si="1178"/>
        <v>#DIV/0!</v>
      </c>
      <c r="O142" s="162" t="e">
        <f t="shared" ca="1" si="1178"/>
        <v>#DIV/0!</v>
      </c>
      <c r="P142" s="162" t="e">
        <f t="shared" ca="1" si="1178"/>
        <v>#DIV/0!</v>
      </c>
      <c r="Q142" s="162" t="e">
        <f t="shared" ca="1" si="1178"/>
        <v>#DIV/0!</v>
      </c>
      <c r="R142" s="162" t="e">
        <f t="shared" ca="1" si="1178"/>
        <v>#DIV/0!</v>
      </c>
      <c r="S142" s="162" t="e">
        <f t="shared" ca="1" si="1178"/>
        <v>#DIV/0!</v>
      </c>
      <c r="T142" s="162" t="e">
        <f t="shared" ca="1" si="1178"/>
        <v>#DIV/0!</v>
      </c>
      <c r="U142" s="162" t="e">
        <f t="shared" ca="1" si="1178"/>
        <v>#DIV/0!</v>
      </c>
      <c r="V142" s="162" t="e">
        <f t="shared" ca="1" si="1178"/>
        <v>#DIV/0!</v>
      </c>
      <c r="W142" s="162" t="e">
        <f t="shared" ca="1" si="1178"/>
        <v>#DIV/0!</v>
      </c>
      <c r="X142" s="162" t="e">
        <f t="shared" ref="X142:Y142" ca="1" si="1179">+X139/X140</f>
        <v>#DIV/0!</v>
      </c>
      <c r="Y142" s="162" t="e">
        <f t="shared" ca="1" si="1179"/>
        <v>#DIV/0!</v>
      </c>
      <c r="Z142" s="162" t="e">
        <f t="shared" ref="Z142:AA142" ca="1" si="1180">+Z139/Z140</f>
        <v>#DIV/0!</v>
      </c>
      <c r="AA142" s="162" t="e">
        <f t="shared" ca="1" si="1180"/>
        <v>#DIV/0!</v>
      </c>
      <c r="AB142" s="21" t="e">
        <f t="shared" ref="AA142:AD142" ca="1" si="1181">+AB139/AB140</f>
        <v>#DIV/0!</v>
      </c>
      <c r="AC142" s="21" t="e">
        <f t="shared" ca="1" si="1181"/>
        <v>#DIV/0!</v>
      </c>
      <c r="AD142" s="21" t="e">
        <f t="shared" ca="1" si="1181"/>
        <v>#DIV/0!</v>
      </c>
      <c r="AE142" s="21" t="e">
        <f t="shared" ref="AE142" ca="1" si="1182">+AE139/AE140</f>
        <v>#DIV/0!</v>
      </c>
      <c r="AL142" s="162">
        <f t="shared" ref="AL142:AM142" si="1183">+AL139/AL140</f>
        <v>3.8795204901205462</v>
      </c>
      <c r="AM142" s="162">
        <f t="shared" si="1183"/>
        <v>2.6193468128773709</v>
      </c>
      <c r="AN142" s="162">
        <f t="shared" ref="AN142:AO142" si="1184">+AN139/AN140</f>
        <v>2.2988035565998768</v>
      </c>
      <c r="AO142" s="162">
        <f t="shared" si="1184"/>
        <v>3.5496074718613655</v>
      </c>
      <c r="AP142" s="162">
        <f t="shared" ref="AP142:CD142" si="1185">+AP139/AP140</f>
        <v>3.2994595712771182</v>
      </c>
      <c r="AQ142" s="162">
        <f t="shared" si="1185"/>
        <v>3.4956917949524682</v>
      </c>
      <c r="AR142" s="162">
        <f t="shared" si="1185"/>
        <v>5.3010808073375433</v>
      </c>
      <c r="AS142" s="162">
        <f t="shared" si="1185"/>
        <v>4.8388957954788712</v>
      </c>
      <c r="AT142" s="162">
        <f t="shared" si="1185"/>
        <v>4.5182995283778995</v>
      </c>
      <c r="AU142" s="162">
        <f t="shared" si="1185"/>
        <v>4.4849692155228462</v>
      </c>
      <c r="AV142" s="162">
        <f t="shared" si="1185"/>
        <v>1.8789790503197068</v>
      </c>
      <c r="AW142" s="162">
        <f t="shared" si="1185"/>
        <v>2.8545964657835592</v>
      </c>
      <c r="AX142" s="162">
        <f t="shared" si="1185"/>
        <v>3.3220671192993176</v>
      </c>
      <c r="AY142" s="162">
        <f t="shared" si="1185"/>
        <v>4.9838782222420788</v>
      </c>
      <c r="AZ142" s="162">
        <f t="shared" si="1185"/>
        <v>8.1992239844796906</v>
      </c>
      <c r="BA142" s="162">
        <f t="shared" si="1185"/>
        <v>9.6371827569211348</v>
      </c>
      <c r="BB142" s="162">
        <f t="shared" si="1185"/>
        <v>8.359405483109148</v>
      </c>
      <c r="BC142" s="162">
        <f t="shared" si="1185"/>
        <v>6.3066666917557654</v>
      </c>
      <c r="BD142" s="162">
        <f t="shared" si="1185"/>
        <v>7.6864687159728629</v>
      </c>
      <c r="BE142" s="162">
        <f t="shared" si="1185"/>
        <v>7.8487991310090077</v>
      </c>
      <c r="BF142" s="162">
        <f t="shared" si="1185"/>
        <v>7.6632781942633645</v>
      </c>
      <c r="BG142" s="162">
        <f t="shared" si="1185"/>
        <v>7.1324579348837505</v>
      </c>
      <c r="BH142" s="162">
        <f t="shared" si="1185"/>
        <v>7.3083795246493644</v>
      </c>
      <c r="BI142" s="162">
        <f t="shared" si="1185"/>
        <v>7.3228488227316362</v>
      </c>
      <c r="BJ142" s="162">
        <f t="shared" si="1185"/>
        <v>8.0313495782567941</v>
      </c>
      <c r="BK142" s="162">
        <f t="shared" si="1185"/>
        <v>7.3383456782766876</v>
      </c>
      <c r="BL142" s="162">
        <f t="shared" si="1185"/>
        <v>6.0555229429605717</v>
      </c>
      <c r="BM142" s="162">
        <f t="shared" si="1185"/>
        <v>6.4961803574902559</v>
      </c>
      <c r="BN142" s="162">
        <f t="shared" si="1185"/>
        <v>3.3806940205719451</v>
      </c>
      <c r="BO142" s="162">
        <f t="shared" si="1185"/>
        <v>5.1638288506058565</v>
      </c>
      <c r="BP142" s="162">
        <f t="shared" si="1185"/>
        <v>6.6673784307026533</v>
      </c>
      <c r="BQ142" s="162">
        <f t="shared" si="1185"/>
        <v>6.4276133965738751</v>
      </c>
      <c r="BR142" s="162">
        <f t="shared" si="1185"/>
        <v>7.0559458533241948</v>
      </c>
      <c r="BS142" s="162">
        <f t="shared" si="1185"/>
        <v>7.2312599793801731</v>
      </c>
      <c r="BT142" s="162">
        <f t="shared" si="1185"/>
        <v>7.4864999643798535</v>
      </c>
      <c r="BU142" s="162">
        <f t="shared" si="1185"/>
        <v>7.1051885540968218</v>
      </c>
      <c r="BV142" s="162">
        <f t="shared" si="1185"/>
        <v>6.5885362095531592</v>
      </c>
      <c r="BW142" s="162">
        <f t="shared" si="1185"/>
        <v>4.6380838636895136</v>
      </c>
      <c r="BX142" s="162">
        <f t="shared" si="1185"/>
        <v>4.5927632973087515</v>
      </c>
      <c r="BY142" s="162">
        <f t="shared" si="1185"/>
        <v>5.1500681238106587</v>
      </c>
      <c r="BZ142" s="162">
        <f t="shared" si="1185"/>
        <v>7.0876128184622411</v>
      </c>
      <c r="CA142" s="162">
        <f t="shared" si="1185"/>
        <v>7.7913380096833373</v>
      </c>
      <c r="CB142" s="162">
        <f t="shared" si="1185"/>
        <v>8.6016749723145072</v>
      </c>
      <c r="CC142" s="162">
        <f t="shared" si="1185"/>
        <v>8.4704468914422097</v>
      </c>
      <c r="CD142" s="162">
        <f t="shared" si="1185"/>
        <v>8.7009007029876972</v>
      </c>
      <c r="CE142" s="162">
        <f t="shared" ref="CE142:CF142" si="1186">+CE139/CE140</f>
        <v>8.4714802458150302</v>
      </c>
      <c r="CF142" s="162">
        <f t="shared" si="1186"/>
        <v>13.567023754839557</v>
      </c>
      <c r="CG142" s="162">
        <f t="shared" ref="CG142:CH142" si="1187">+CG139/CG140</f>
        <v>11.402376023933282</v>
      </c>
      <c r="CH142" s="162">
        <f t="shared" si="1187"/>
        <v>9.3095022429261558</v>
      </c>
      <c r="CI142" s="162">
        <f t="shared" ref="CI142:CJ142" si="1188">+CI139/CI140</f>
        <v>9.3685882774370732</v>
      </c>
      <c r="CJ142" s="162">
        <f t="shared" si="1188"/>
        <v>10.064830051637065</v>
      </c>
      <c r="CK142" s="162">
        <f t="shared" ref="CK142:CL142" si="1189">+CK139/CK140</f>
        <v>9.8130753922463079</v>
      </c>
      <c r="CL142" s="162">
        <f t="shared" si="1189"/>
        <v>9.0223440899202316</v>
      </c>
      <c r="CM142" s="21">
        <f t="shared" si="1162"/>
        <v>9.0223440899202316</v>
      </c>
      <c r="CN142" s="21">
        <f t="shared" si="1163"/>
        <v>9.0223440899202316</v>
      </c>
      <c r="CO142" s="21">
        <f t="shared" si="1164"/>
        <v>9.0223440899202316</v>
      </c>
      <c r="CP142" s="21">
        <f t="shared" si="1165"/>
        <v>9.0223440899202316</v>
      </c>
      <c r="CQ142" s="21">
        <f t="shared" si="1166"/>
        <v>9.0223440899202316</v>
      </c>
      <c r="CR142" s="21">
        <f t="shared" si="1167"/>
        <v>9.0223440899202316</v>
      </c>
      <c r="CS142" s="21">
        <f t="shared" si="1168"/>
        <v>9.0223440899202316</v>
      </c>
      <c r="CT142" s="21">
        <f t="shared" si="1169"/>
        <v>9.0223440899202316</v>
      </c>
      <c r="CU142" s="21">
        <f t="shared" si="1170"/>
        <v>9.0223440899202316</v>
      </c>
      <c r="CV142" s="21">
        <f t="shared" si="1171"/>
        <v>9.0223440899202316</v>
      </c>
      <c r="CW142" s="21">
        <f t="shared" si="1172"/>
        <v>9.0223440899202316</v>
      </c>
      <c r="CX142" s="21">
        <f t="shared" si="1173"/>
        <v>9.0223440899202316</v>
      </c>
      <c r="CY142" s="21">
        <f t="shared" si="1174"/>
        <v>9.0223440899202316</v>
      </c>
      <c r="CZ142" s="21">
        <f t="shared" si="1175"/>
        <v>9.0223440899202316</v>
      </c>
      <c r="DA142" s="21">
        <f t="shared" si="1176"/>
        <v>9.0223440899202316</v>
      </c>
      <c r="DB142" s="21">
        <f t="shared" si="1177"/>
        <v>9.0223440899202316</v>
      </c>
      <c r="DE142" s="22"/>
      <c r="DF142" s="162">
        <v>9.5639665542085606</v>
      </c>
    </row>
    <row r="143" spans="1:110" s="162" customFormat="1" x14ac:dyDescent="0.2">
      <c r="A143" s="49"/>
      <c r="AB143" s="21"/>
      <c r="AC143" s="21"/>
      <c r="AD143" s="21"/>
      <c r="AE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E143" s="22"/>
    </row>
    <row r="144" spans="1:110" s="162" customFormat="1" x14ac:dyDescent="0.2">
      <c r="A144" s="49" t="s">
        <v>538</v>
      </c>
      <c r="R144" s="162">
        <f>BB144</f>
        <v>834447</v>
      </c>
      <c r="S144" s="162">
        <f>BF144</f>
        <v>962555</v>
      </c>
      <c r="T144" s="162">
        <f>BJ144</f>
        <v>891679</v>
      </c>
      <c r="U144" s="162">
        <f>BN144</f>
        <v>862386.7</v>
      </c>
      <c r="V144" s="162">
        <f>BR144</f>
        <v>941735</v>
      </c>
      <c r="W144" s="162">
        <f>BV144</f>
        <v>969657.4</v>
      </c>
      <c r="X144" s="162">
        <f>BZ144</f>
        <v>1032714</v>
      </c>
      <c r="Y144" s="162">
        <f>CD144</f>
        <v>1033746</v>
      </c>
      <c r="Z144" s="162">
        <f>CH144</f>
        <v>1052688</v>
      </c>
      <c r="AA144" s="162">
        <f>CI144</f>
        <v>1039666</v>
      </c>
      <c r="AB144" s="21">
        <f>+CP144</f>
        <v>1100784.5928199999</v>
      </c>
      <c r="AC144" s="21">
        <f>+CT144</f>
        <v>1092875.7116786111</v>
      </c>
      <c r="AD144" s="21">
        <f>+CX144</f>
        <v>1098221.7105119401</v>
      </c>
      <c r="AE144" s="21">
        <f>+DB144</f>
        <v>1098221.7105119401</v>
      </c>
      <c r="BB144" s="162">
        <f t="shared" ref="BB144:CL144" si="1190">SUM(AY9:BB9)</f>
        <v>834447</v>
      </c>
      <c r="BC144" s="162">
        <f t="shared" si="1190"/>
        <v>915469</v>
      </c>
      <c r="BD144" s="162">
        <f t="shared" si="1190"/>
        <v>968508</v>
      </c>
      <c r="BE144" s="162">
        <f t="shared" si="1190"/>
        <v>966523</v>
      </c>
      <c r="BF144" s="162">
        <f t="shared" si="1190"/>
        <v>962555</v>
      </c>
      <c r="BG144" s="162">
        <f t="shared" si="1190"/>
        <v>950586</v>
      </c>
      <c r="BH144" s="162">
        <f t="shared" si="1190"/>
        <v>926601</v>
      </c>
      <c r="BI144" s="162">
        <f t="shared" si="1190"/>
        <v>922647</v>
      </c>
      <c r="BJ144" s="162">
        <f t="shared" si="1190"/>
        <v>891679</v>
      </c>
      <c r="BK144" s="162">
        <f t="shared" si="1190"/>
        <v>894693</v>
      </c>
      <c r="BL144" s="162">
        <f t="shared" si="1190"/>
        <v>897466.7</v>
      </c>
      <c r="BM144" s="162">
        <f t="shared" si="1190"/>
        <v>870441.7</v>
      </c>
      <c r="BN144" s="162">
        <f t="shared" si="1190"/>
        <v>862386.7</v>
      </c>
      <c r="BO144" s="162">
        <f t="shared" si="1190"/>
        <v>855377.7</v>
      </c>
      <c r="BP144" s="162">
        <f t="shared" si="1190"/>
        <v>881646</v>
      </c>
      <c r="BQ144" s="162">
        <f t="shared" si="1190"/>
        <v>902676</v>
      </c>
      <c r="BR144" s="162">
        <f t="shared" si="1190"/>
        <v>941735</v>
      </c>
      <c r="BS144" s="162">
        <f t="shared" si="1190"/>
        <v>969749</v>
      </c>
      <c r="BT144" s="162">
        <f t="shared" si="1190"/>
        <v>942698</v>
      </c>
      <c r="BU144" s="162">
        <f t="shared" si="1190"/>
        <v>966688</v>
      </c>
      <c r="BV144" s="162">
        <f t="shared" si="1190"/>
        <v>969657.4</v>
      </c>
      <c r="BW144" s="162">
        <f t="shared" si="1190"/>
        <v>993674.4</v>
      </c>
      <c r="BX144" s="162">
        <f t="shared" si="1190"/>
        <v>1028716.4</v>
      </c>
      <c r="BY144" s="162">
        <f t="shared" si="1190"/>
        <v>1025704.4</v>
      </c>
      <c r="BZ144" s="162">
        <f t="shared" si="1190"/>
        <v>1032714</v>
      </c>
      <c r="CA144" s="162">
        <f t="shared" si="1190"/>
        <v>1030716</v>
      </c>
      <c r="CB144" s="162">
        <f t="shared" si="1190"/>
        <v>1026703</v>
      </c>
      <c r="CC144" s="162">
        <f t="shared" si="1190"/>
        <v>1029739</v>
      </c>
      <c r="CD144" s="162">
        <f t="shared" si="1190"/>
        <v>1033746</v>
      </c>
      <c r="CE144" s="162">
        <f t="shared" si="1190"/>
        <v>1037734</v>
      </c>
      <c r="CF144" s="162">
        <f t="shared" si="1190"/>
        <v>1056737</v>
      </c>
      <c r="CG144" s="162">
        <f t="shared" si="1190"/>
        <v>1056700</v>
      </c>
      <c r="CH144" s="162">
        <f t="shared" si="1190"/>
        <v>1052688</v>
      </c>
      <c r="CI144" s="162">
        <f t="shared" si="1190"/>
        <v>1039666</v>
      </c>
      <c r="CJ144" s="162">
        <f t="shared" si="1190"/>
        <v>1025626</v>
      </c>
      <c r="CK144" s="162">
        <f>SUM(CH9:CK9)</f>
        <v>1036624</v>
      </c>
      <c r="CL144" s="162">
        <f t="shared" si="1190"/>
        <v>1048623</v>
      </c>
      <c r="CM144" s="21">
        <f t="shared" ref="CM144:DB144" si="1191">SUM(CJ9:CM9)</f>
        <v>1078834</v>
      </c>
      <c r="CN144" s="21">
        <f t="shared" si="1191"/>
        <v>1108254.2</v>
      </c>
      <c r="CO144" s="21">
        <f t="shared" si="1191"/>
        <v>1111896.5179999999</v>
      </c>
      <c r="CP144" s="21">
        <f t="shared" si="1191"/>
        <v>1100784.5928199999</v>
      </c>
      <c r="CQ144" s="21">
        <f t="shared" si="1191"/>
        <v>1093333.02795673</v>
      </c>
      <c r="CR144" s="21">
        <f t="shared" si="1191"/>
        <v>1089534.9921777043</v>
      </c>
      <c r="CS144" s="21">
        <f t="shared" si="1191"/>
        <v>1089384.3588706262</v>
      </c>
      <c r="CT144" s="21">
        <f t="shared" si="1191"/>
        <v>1092875.7116786111</v>
      </c>
      <c r="CU144" s="21">
        <f t="shared" si="1191"/>
        <v>1095526.7041698662</v>
      </c>
      <c r="CV144" s="21">
        <f t="shared" si="1191"/>
        <v>1097315.967576877</v>
      </c>
      <c r="CW144" s="21">
        <f t="shared" si="1191"/>
        <v>1098221.7105119401</v>
      </c>
      <c r="CX144" s="21">
        <f t="shared" si="1191"/>
        <v>1098221.7105119401</v>
      </c>
      <c r="CY144" s="21">
        <f t="shared" si="1191"/>
        <v>1098221.7105119401</v>
      </c>
      <c r="CZ144" s="21">
        <f t="shared" si="1191"/>
        <v>1098221.7105119401</v>
      </c>
      <c r="DA144" s="21">
        <f t="shared" si="1191"/>
        <v>1098221.7105119401</v>
      </c>
      <c r="DB144" s="21">
        <f t="shared" si="1191"/>
        <v>1098221.7105119401</v>
      </c>
      <c r="DE144" s="22"/>
      <c r="DF144" s="162">
        <v>1048623</v>
      </c>
    </row>
    <row r="145" spans="1:110" s="162" customFormat="1" x14ac:dyDescent="0.2">
      <c r="A145" s="201" t="s">
        <v>539</v>
      </c>
      <c r="S145" s="202">
        <f>S144/R144-1</f>
        <v>0.15352442995181237</v>
      </c>
      <c r="T145" s="202">
        <f t="shared" ref="T145:AE145" si="1192">T144/S144-1</f>
        <v>-7.3633194986260531E-2</v>
      </c>
      <c r="U145" s="202">
        <f t="shared" si="1192"/>
        <v>-3.2850723186258812E-2</v>
      </c>
      <c r="V145" s="202">
        <f t="shared" si="1192"/>
        <v>9.2010115647655599E-2</v>
      </c>
      <c r="W145" s="202">
        <f t="shared" si="1192"/>
        <v>2.9649954605064144E-2</v>
      </c>
      <c r="X145" s="202">
        <f t="shared" si="1192"/>
        <v>6.502977237114882E-2</v>
      </c>
      <c r="Y145" s="202">
        <f t="shared" si="1192"/>
        <v>9.9930861787478342E-4</v>
      </c>
      <c r="Z145" s="202">
        <f t="shared" si="1192"/>
        <v>1.8323650103603706E-2</v>
      </c>
      <c r="AA145" s="202">
        <f t="shared" si="1192"/>
        <v>-1.2370236955299152E-2</v>
      </c>
      <c r="AB145" s="203">
        <f t="shared" si="1192"/>
        <v>5.8786757304749804E-2</v>
      </c>
      <c r="AC145" s="203">
        <f t="shared" si="1192"/>
        <v>-7.1847672950506869E-3</v>
      </c>
      <c r="AD145" s="203">
        <f t="shared" si="1192"/>
        <v>4.8916805234127114E-3</v>
      </c>
      <c r="AE145" s="203">
        <f t="shared" si="1192"/>
        <v>0</v>
      </c>
      <c r="BB145" s="162" t="e">
        <f t="shared" ref="BB145:CL145" si="1193">BB144/AX144-1</f>
        <v>#DIV/0!</v>
      </c>
      <c r="BC145" s="162" t="e">
        <f t="shared" si="1193"/>
        <v>#DIV/0!</v>
      </c>
      <c r="BD145" s="162" t="e">
        <f t="shared" si="1193"/>
        <v>#DIV/0!</v>
      </c>
      <c r="BE145" s="162" t="e">
        <f t="shared" si="1193"/>
        <v>#DIV/0!</v>
      </c>
      <c r="BF145" s="202">
        <f t="shared" si="1193"/>
        <v>0.15352442995181237</v>
      </c>
      <c r="BG145" s="202">
        <f t="shared" si="1193"/>
        <v>3.8359573071289121E-2</v>
      </c>
      <c r="BH145" s="202">
        <f t="shared" si="1193"/>
        <v>-4.3269647746843609E-2</v>
      </c>
      <c r="BI145" s="202">
        <f t="shared" si="1193"/>
        <v>-4.5395712259304721E-2</v>
      </c>
      <c r="BJ145" s="202">
        <f t="shared" si="1193"/>
        <v>-7.3633194986260531E-2</v>
      </c>
      <c r="BK145" s="202">
        <f t="shared" si="1193"/>
        <v>-5.8798467471643856E-2</v>
      </c>
      <c r="BL145" s="202">
        <f t="shared" si="1193"/>
        <v>-3.1442120179019928E-2</v>
      </c>
      <c r="BM145" s="202">
        <f t="shared" si="1193"/>
        <v>-5.6582094777309244E-2</v>
      </c>
      <c r="BN145" s="202">
        <f t="shared" si="1193"/>
        <v>-3.2850723186258812E-2</v>
      </c>
      <c r="BO145" s="202">
        <f t="shared" si="1193"/>
        <v>-4.3942782608112574E-2</v>
      </c>
      <c r="BP145" s="202">
        <f t="shared" si="1193"/>
        <v>-1.7628174950669373E-2</v>
      </c>
      <c r="BQ145" s="202">
        <f t="shared" si="1193"/>
        <v>3.7032118291207894E-2</v>
      </c>
      <c r="BR145" s="202">
        <f t="shared" si="1193"/>
        <v>9.2010115647655599E-2</v>
      </c>
      <c r="BS145" s="202">
        <f t="shared" si="1193"/>
        <v>0.13370853600695942</v>
      </c>
      <c r="BT145" s="202">
        <f t="shared" si="1193"/>
        <v>6.9247747962334127E-2</v>
      </c>
      <c r="BU145" s="202">
        <f t="shared" si="1193"/>
        <v>7.0913594689567372E-2</v>
      </c>
      <c r="BV145" s="202">
        <f t="shared" si="1193"/>
        <v>2.9649954605064144E-2</v>
      </c>
      <c r="BW145" s="202">
        <f t="shared" si="1193"/>
        <v>2.4671744956684671E-2</v>
      </c>
      <c r="BX145" s="202">
        <f t="shared" si="1193"/>
        <v>9.1247037757585137E-2</v>
      </c>
      <c r="BY145" s="202">
        <f t="shared" si="1193"/>
        <v>6.1050100963289111E-2</v>
      </c>
      <c r="BZ145" s="202">
        <f t="shared" si="1193"/>
        <v>6.502977237114882E-2</v>
      </c>
      <c r="CA145" s="202">
        <f t="shared" si="1193"/>
        <v>3.7277401933671683E-2</v>
      </c>
      <c r="CB145" s="202">
        <f t="shared" si="1193"/>
        <v>-1.9571963662676772E-3</v>
      </c>
      <c r="CC145" s="202">
        <f t="shared" si="1193"/>
        <v>3.9334919495324083E-3</v>
      </c>
      <c r="CD145" s="202">
        <f t="shared" si="1193"/>
        <v>9.9930861787478342E-4</v>
      </c>
      <c r="CE145" s="202">
        <f t="shared" si="1193"/>
        <v>6.8088590843646823E-3</v>
      </c>
      <c r="CF145" s="202">
        <f t="shared" si="1193"/>
        <v>2.9252860856547658E-2</v>
      </c>
      <c r="CG145" s="202">
        <f t="shared" si="1193"/>
        <v>2.6182362715212237E-2</v>
      </c>
      <c r="CH145" s="202">
        <f t="shared" si="1193"/>
        <v>1.8323650103603706E-2</v>
      </c>
      <c r="CI145" s="202">
        <f t="shared" si="1193"/>
        <v>1.8617487718433079E-3</v>
      </c>
      <c r="CJ145" s="202">
        <f t="shared" si="1193"/>
        <v>-2.9440627138067499E-2</v>
      </c>
      <c r="CK145" s="202">
        <f>CK144/CG144-1</f>
        <v>-1.8998769754897338E-2</v>
      </c>
      <c r="CL145" s="202">
        <f t="shared" si="1193"/>
        <v>-3.8615430212940449E-3</v>
      </c>
      <c r="CM145" s="203">
        <f t="shared" ref="CM145:DB145" si="1194">CM144/CI144-1</f>
        <v>3.7673637495118539E-2</v>
      </c>
      <c r="CN145" s="203">
        <f t="shared" si="1194"/>
        <v>8.0563675257842471E-2</v>
      </c>
      <c r="CO145" s="203">
        <f t="shared" si="1194"/>
        <v>7.2613134559878834E-2</v>
      </c>
      <c r="CP145" s="203">
        <f t="shared" si="1194"/>
        <v>4.9742941762673354E-2</v>
      </c>
      <c r="CQ145" s="203">
        <f t="shared" si="1194"/>
        <v>1.3439535606710518E-2</v>
      </c>
      <c r="CR145" s="203">
        <f t="shared" si="1194"/>
        <v>-1.6890716788887983E-2</v>
      </c>
      <c r="CS145" s="203">
        <f t="shared" si="1194"/>
        <v>-2.0246631556924966E-2</v>
      </c>
      <c r="CT145" s="203">
        <f t="shared" si="1194"/>
        <v>-7.1847672950506869E-3</v>
      </c>
      <c r="CU145" s="203">
        <f t="shared" si="1194"/>
        <v>2.0064117309579466E-3</v>
      </c>
      <c r="CV145" s="203">
        <f t="shared" si="1194"/>
        <v>7.1415562189705017E-3</v>
      </c>
      <c r="CW145" s="203">
        <f t="shared" si="1194"/>
        <v>8.112243919561779E-3</v>
      </c>
      <c r="CX145" s="203">
        <f t="shared" si="1194"/>
        <v>4.8916805234127114E-3</v>
      </c>
      <c r="CY145" s="203">
        <f t="shared" si="1194"/>
        <v>2.4600097211833205E-3</v>
      </c>
      <c r="CZ145" s="203">
        <f t="shared" si="1194"/>
        <v>8.254167093395548E-4</v>
      </c>
      <c r="DA145" s="203">
        <f t="shared" si="1194"/>
        <v>0</v>
      </c>
      <c r="DB145" s="203">
        <f t="shared" si="1194"/>
        <v>0</v>
      </c>
      <c r="DE145" s="22"/>
      <c r="DF145" s="162">
        <v>-3.8615430212940449E-3</v>
      </c>
    </row>
    <row r="146" spans="1:110" s="162" customFormat="1" x14ac:dyDescent="0.2">
      <c r="A146" s="49" t="s">
        <v>540</v>
      </c>
      <c r="R146" s="162">
        <f>+R140*10^7/(R144)</f>
        <v>116712.02604838893</v>
      </c>
      <c r="S146" s="162">
        <f t="shared" ref="S146:AE146" si="1195">+S140*10^7/(S144)</f>
        <v>127473.23529564544</v>
      </c>
      <c r="T146" s="162">
        <f t="shared" si="1195"/>
        <v>119661.89626536006</v>
      </c>
      <c r="U146" s="162">
        <f t="shared" si="1195"/>
        <v>102587.38916080222</v>
      </c>
      <c r="V146" s="162">
        <f t="shared" si="1195"/>
        <v>123941.44849665776</v>
      </c>
      <c r="W146" s="162">
        <f t="shared" si="1195"/>
        <v>167327.14049312673</v>
      </c>
      <c r="X146" s="162">
        <f t="shared" si="1195"/>
        <v>169514.50256314914</v>
      </c>
      <c r="Y146" s="162">
        <f t="shared" si="1195"/>
        <v>132102.08310358637</v>
      </c>
      <c r="Z146" s="162">
        <f t="shared" si="1195"/>
        <v>165177.14650494733</v>
      </c>
      <c r="AA146" s="162">
        <f t="shared" ref="AA146" si="1196">+AA140*10^7/(AA144)</f>
        <v>212222.00206604812</v>
      </c>
      <c r="AB146" s="21">
        <f t="shared" si="1195"/>
        <v>257159.85827526305</v>
      </c>
      <c r="AC146" s="21">
        <f t="shared" si="1195"/>
        <v>267838.69787329721</v>
      </c>
      <c r="AD146" s="21">
        <f t="shared" si="1195"/>
        <v>265236.895963391</v>
      </c>
      <c r="AE146" s="21">
        <f t="shared" si="1195"/>
        <v>261435.01648817191</v>
      </c>
      <c r="BB146" s="162">
        <f>+BB140*10^7/(BB144)</f>
        <v>116712.02604838893</v>
      </c>
      <c r="BC146" s="162">
        <f t="shared" ref="BC146:DB146" si="1197">+BC140*10^7/(BC144)</f>
        <v>120069.60366762828</v>
      </c>
      <c r="BD146" s="162">
        <f t="shared" si="1197"/>
        <v>123272.08448458866</v>
      </c>
      <c r="BE146" s="162">
        <f t="shared" si="1197"/>
        <v>128243.197523494</v>
      </c>
      <c r="BF146" s="162">
        <f t="shared" si="1197"/>
        <v>127494.01332910846</v>
      </c>
      <c r="BG146" s="162">
        <f t="shared" si="1197"/>
        <v>132560.33646613773</v>
      </c>
      <c r="BH146" s="162">
        <f t="shared" si="1197"/>
        <v>128501.91182612581</v>
      </c>
      <c r="BI146" s="162">
        <f t="shared" si="1197"/>
        <v>124652.22343973372</v>
      </c>
      <c r="BJ146" s="162">
        <f t="shared" si="1197"/>
        <v>119661.89626536006</v>
      </c>
      <c r="BK146" s="162">
        <f t="shared" si="1197"/>
        <v>116621.00854706587</v>
      </c>
      <c r="BL146" s="162">
        <f t="shared" si="1197"/>
        <v>113887.23392188257</v>
      </c>
      <c r="BM146" s="162">
        <f t="shared" si="1197"/>
        <v>111116.00007214729</v>
      </c>
      <c r="BN146" s="162">
        <f t="shared" si="1197"/>
        <v>102587.38916080222</v>
      </c>
      <c r="BO146" s="162">
        <f t="shared" si="1197"/>
        <v>92894.63590177767</v>
      </c>
      <c r="BP146" s="162">
        <f t="shared" si="1197"/>
        <v>99597.797755561754</v>
      </c>
      <c r="BQ146" s="162">
        <f t="shared" si="1197"/>
        <v>108134.0370188196</v>
      </c>
      <c r="BR146" s="162">
        <f t="shared" si="1197"/>
        <v>123941.44849665776</v>
      </c>
      <c r="BS146" s="162">
        <f t="shared" si="1197"/>
        <v>140799.32023647355</v>
      </c>
      <c r="BT146" s="162">
        <f t="shared" si="1197"/>
        <v>148902.40564846856</v>
      </c>
      <c r="BU146" s="162">
        <f t="shared" si="1197"/>
        <v>156596.54407626865</v>
      </c>
      <c r="BV146" s="162">
        <f t="shared" si="1197"/>
        <v>167327.14049312673</v>
      </c>
      <c r="BW146" s="162">
        <f t="shared" si="1197"/>
        <v>179173.37912700578</v>
      </c>
      <c r="BX146" s="162">
        <f t="shared" si="1197"/>
        <v>183490.8046571436</v>
      </c>
      <c r="BY146" s="162">
        <f t="shared" si="1197"/>
        <v>177565.77821056437</v>
      </c>
      <c r="BZ146" s="162">
        <f t="shared" si="1197"/>
        <v>169514.50256314914</v>
      </c>
      <c r="CA146" s="162">
        <f t="shared" si="1197"/>
        <v>152476.53087756471</v>
      </c>
      <c r="CB146" s="162">
        <f t="shared" si="1197"/>
        <v>140722.29262016376</v>
      </c>
      <c r="CC146" s="162">
        <f t="shared" si="1197"/>
        <v>138501.11533116645</v>
      </c>
      <c r="CD146" s="162">
        <f t="shared" si="1197"/>
        <v>132102.08310358637</v>
      </c>
      <c r="CE146" s="162">
        <f t="shared" si="1197"/>
        <v>137366.60839868407</v>
      </c>
      <c r="CF146" s="162">
        <f t="shared" si="1197"/>
        <v>144208.06690784934</v>
      </c>
      <c r="CG146" s="162">
        <f t="shared" si="1197"/>
        <v>153468.34484716572</v>
      </c>
      <c r="CH146" s="162">
        <f t="shared" si="1197"/>
        <v>165177.14650494733</v>
      </c>
      <c r="CI146" s="162">
        <f t="shared" si="1197"/>
        <v>166409.21218929926</v>
      </c>
      <c r="CJ146" s="162">
        <f t="shared" si="1197"/>
        <v>171826.76726214038</v>
      </c>
      <c r="CK146" s="162">
        <f t="shared" si="1197"/>
        <v>185004.39889487412</v>
      </c>
      <c r="CL146" s="162">
        <f t="shared" ref="CL146" si="1198">+CL140*10^7/(CL144)</f>
        <v>210409.27006178579</v>
      </c>
      <c r="CM146" s="21">
        <f t="shared" si="1197"/>
        <v>228610.25485534058</v>
      </c>
      <c r="CN146" s="21">
        <f t="shared" si="1197"/>
        <v>244647.35598686489</v>
      </c>
      <c r="CO146" s="21">
        <f t="shared" si="1197"/>
        <v>255905.67070290219</v>
      </c>
      <c r="CP146" s="21">
        <f t="shared" si="1197"/>
        <v>257159.85827526299</v>
      </c>
      <c r="CQ146" s="21">
        <f t="shared" si="1197"/>
        <v>260699.86968767899</v>
      </c>
      <c r="CR146" s="21">
        <f t="shared" si="1197"/>
        <v>263091.78395591647</v>
      </c>
      <c r="CS146" s="21">
        <f t="shared" si="1197"/>
        <v>265267.88078053179</v>
      </c>
      <c r="CT146" s="21">
        <f t="shared" si="1197"/>
        <v>267838.69787329715</v>
      </c>
      <c r="CU146" s="21">
        <f t="shared" si="1197"/>
        <v>268254.93670582655</v>
      </c>
      <c r="CV146" s="21">
        <f t="shared" si="1197"/>
        <v>267977.39141562354</v>
      </c>
      <c r="CW146" s="21">
        <f t="shared" si="1197"/>
        <v>267018.24498018902</v>
      </c>
      <c r="CX146" s="21">
        <f t="shared" si="1197"/>
        <v>265236.895963391</v>
      </c>
      <c r="CY146" s="21">
        <f t="shared" si="1197"/>
        <v>264618.98525024042</v>
      </c>
      <c r="CZ146" s="21">
        <f t="shared" si="1197"/>
        <v>263731.34836089407</v>
      </c>
      <c r="DA146" s="21">
        <f t="shared" si="1197"/>
        <v>262621.56711593008</v>
      </c>
      <c r="DB146" s="21">
        <f t="shared" si="1197"/>
        <v>261435.01648817203</v>
      </c>
      <c r="DE146" s="22"/>
      <c r="DF146" s="162">
        <v>202250.62871660481</v>
      </c>
    </row>
    <row r="147" spans="1:110" s="162" customFormat="1" x14ac:dyDescent="0.2">
      <c r="A147" s="49"/>
      <c r="AB147" s="21"/>
      <c r="AC147" s="21"/>
      <c r="AD147" s="21"/>
      <c r="AE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E147" s="22"/>
    </row>
    <row r="148" spans="1:110" s="10" customFormat="1" x14ac:dyDescent="0.2">
      <c r="A148" s="149" t="s">
        <v>490</v>
      </c>
      <c r="AB148" s="20"/>
      <c r="AC148" s="20"/>
      <c r="AD148" s="20"/>
      <c r="AE148" s="20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E148" s="126"/>
    </row>
    <row r="149" spans="1:110" x14ac:dyDescent="0.2">
      <c r="A149" s="152" t="s">
        <v>491</v>
      </c>
      <c r="AA149" s="2"/>
      <c r="CL149" s="2"/>
    </row>
    <row r="150" spans="1:110" s="23" customFormat="1" outlineLevel="1" x14ac:dyDescent="0.2">
      <c r="A150" s="23" t="s">
        <v>41</v>
      </c>
      <c r="B150" s="23">
        <f>'Annual Raw'!C41</f>
        <v>422.53190000000001</v>
      </c>
      <c r="C150" s="23">
        <f>'Annual Raw'!D41</f>
        <v>422.53199999999998</v>
      </c>
      <c r="D150" s="23">
        <f>'Annual Raw'!E41</f>
        <v>422.53199999999998</v>
      </c>
      <c r="E150" s="23">
        <f>'Annual Raw'!F41</f>
        <v>422.53199999999998</v>
      </c>
      <c r="F150" s="23">
        <f>'Annual Raw'!G41</f>
        <v>422.53</v>
      </c>
      <c r="G150" s="23">
        <f>'Annual Raw'!H41</f>
        <v>422.53</v>
      </c>
      <c r="H150" s="23">
        <f>'Annual Raw'!I41</f>
        <v>422.53</v>
      </c>
      <c r="I150" s="23">
        <f>'Annual Raw'!J41</f>
        <v>422.53</v>
      </c>
      <c r="J150" s="23">
        <f>'Annual Raw'!K41</f>
        <v>422.53</v>
      </c>
      <c r="K150" s="23">
        <f>'Annual Raw'!L41</f>
        <v>422.53</v>
      </c>
      <c r="L150" s="23">
        <f>'Annual Raw'!M41</f>
        <v>845.06</v>
      </c>
      <c r="M150" s="23">
        <f>'Annual Raw'!N41</f>
        <v>845.06</v>
      </c>
      <c r="N150" s="23">
        <f>'Annual Raw'!O41</f>
        <v>845.06</v>
      </c>
      <c r="O150" s="23">
        <f>'Annual Raw'!P41</f>
        <v>845.06</v>
      </c>
      <c r="P150" s="23">
        <f>'Annual Raw'!Q41</f>
        <v>845.06</v>
      </c>
      <c r="Q150" s="23">
        <f>'Annual Raw'!R41</f>
        <v>845</v>
      </c>
      <c r="R150" s="23">
        <f>'Annual Raw'!S41</f>
        <v>845</v>
      </c>
      <c r="S150" s="23">
        <f>'Annual Raw'!T41</f>
        <v>845</v>
      </c>
      <c r="T150" s="23">
        <f>'Annual Raw'!U41</f>
        <v>845</v>
      </c>
      <c r="U150" s="23">
        <f>'Annual Raw'!V41</f>
        <v>845</v>
      </c>
      <c r="V150" s="23">
        <f>'Annual Raw'!W41</f>
        <v>845</v>
      </c>
      <c r="W150" s="23">
        <f>'Annual Raw'!X41</f>
        <v>845</v>
      </c>
      <c r="X150" s="23">
        <f>'Annual Raw'!Y41</f>
        <v>845</v>
      </c>
      <c r="Y150" s="23">
        <f>'Annual Raw'!Z41</f>
        <v>845</v>
      </c>
      <c r="Z150" s="23">
        <f>'Annual Raw'!AA41</f>
        <v>845</v>
      </c>
      <c r="AA150" s="23">
        <f>'Annual Raw'!AB41</f>
        <v>845</v>
      </c>
      <c r="AB150" s="24">
        <f>+CP150</f>
        <v>845</v>
      </c>
      <c r="AC150" s="24">
        <f>+CT150</f>
        <v>845</v>
      </c>
      <c r="AD150" s="24">
        <f>+CX150</f>
        <v>845</v>
      </c>
      <c r="AE150" s="24">
        <f>+DB150</f>
        <v>845</v>
      </c>
      <c r="AJ150" s="23">
        <f>+'QTR Raw'!D56</f>
        <v>845.06</v>
      </c>
      <c r="AK150" s="23">
        <f t="shared" ref="AK150:CE150" si="1199">+AJ150</f>
        <v>845.06</v>
      </c>
      <c r="AL150" s="23">
        <f>+'QTR Raw'!F56</f>
        <v>845.06</v>
      </c>
      <c r="AM150" s="23">
        <f t="shared" si="1199"/>
        <v>845.06</v>
      </c>
      <c r="AN150" s="23">
        <f>+'QTR Raw'!H56</f>
        <v>845.06</v>
      </c>
      <c r="AO150" s="23">
        <f t="shared" si="1199"/>
        <v>845.06</v>
      </c>
      <c r="AP150" s="23">
        <f>+'QTR Raw'!J56</f>
        <v>845.06</v>
      </c>
      <c r="AQ150" s="23">
        <f t="shared" si="1199"/>
        <v>845.06</v>
      </c>
      <c r="AR150" s="23">
        <f>+'QTR Raw'!L56</f>
        <v>845.06</v>
      </c>
      <c r="AS150" s="23">
        <f t="shared" si="1199"/>
        <v>845.06</v>
      </c>
      <c r="AT150" s="23">
        <f>+'QTR Raw'!N56</f>
        <v>845.06</v>
      </c>
      <c r="AU150" s="23">
        <f t="shared" si="1199"/>
        <v>845.06</v>
      </c>
      <c r="AV150" s="23">
        <f>+'QTR Raw'!P56</f>
        <v>845.06</v>
      </c>
      <c r="AW150" s="23">
        <f t="shared" si="1199"/>
        <v>845.06</v>
      </c>
      <c r="AX150" s="23">
        <f>+'QTR Raw'!R56</f>
        <v>845.06</v>
      </c>
      <c r="AY150" s="23">
        <f t="shared" si="1199"/>
        <v>845.06</v>
      </c>
      <c r="AZ150" s="23">
        <f>+'QTR Raw'!T56</f>
        <v>845.06</v>
      </c>
      <c r="BA150" s="23">
        <f t="shared" si="1199"/>
        <v>845.06</v>
      </c>
      <c r="BB150" s="23">
        <f>+'QTR Raw'!V56</f>
        <v>845</v>
      </c>
      <c r="BC150" s="23">
        <f t="shared" si="1199"/>
        <v>845</v>
      </c>
      <c r="BD150" s="23">
        <f>+'QTR Raw'!X56</f>
        <v>845</v>
      </c>
      <c r="BE150" s="23">
        <f t="shared" si="1199"/>
        <v>845</v>
      </c>
      <c r="BF150" s="23">
        <f>+'QTR Raw'!Z56</f>
        <v>845</v>
      </c>
      <c r="BG150" s="23">
        <f t="shared" si="1199"/>
        <v>845</v>
      </c>
      <c r="BH150" s="23">
        <f>+'QTR Raw'!AB56</f>
        <v>845</v>
      </c>
      <c r="BI150" s="23">
        <f t="shared" si="1199"/>
        <v>845</v>
      </c>
      <c r="BJ150" s="23">
        <f>+'QTR Raw'!AD56</f>
        <v>845</v>
      </c>
      <c r="BK150" s="23">
        <f t="shared" si="1199"/>
        <v>845</v>
      </c>
      <c r="BL150" s="23">
        <f>+'QTR Raw'!AF56</f>
        <v>845</v>
      </c>
      <c r="BM150" s="23">
        <f t="shared" si="1199"/>
        <v>845</v>
      </c>
      <c r="BN150" s="23">
        <f>+'QTR Raw'!AH56</f>
        <v>845</v>
      </c>
      <c r="BO150" s="23">
        <f t="shared" si="1199"/>
        <v>845</v>
      </c>
      <c r="BP150" s="23">
        <f>+'QTR Raw'!AJ56</f>
        <v>845</v>
      </c>
      <c r="BQ150" s="23">
        <f t="shared" si="1199"/>
        <v>845</v>
      </c>
      <c r="BR150" s="23">
        <f>+'QTR Raw'!AL56</f>
        <v>845</v>
      </c>
      <c r="BS150" s="23">
        <f t="shared" si="1199"/>
        <v>845</v>
      </c>
      <c r="BT150" s="23">
        <f>+'QTR Raw'!AN56</f>
        <v>845</v>
      </c>
      <c r="BU150" s="23">
        <f t="shared" si="1199"/>
        <v>845</v>
      </c>
      <c r="BV150" s="23">
        <f>+'QTR Raw'!AP56</f>
        <v>845</v>
      </c>
      <c r="BW150" s="23">
        <f t="shared" si="1199"/>
        <v>845</v>
      </c>
      <c r="BX150" s="23">
        <f>+'QTR Raw'!AR56</f>
        <v>845</v>
      </c>
      <c r="BY150" s="23">
        <f t="shared" si="1199"/>
        <v>845</v>
      </c>
      <c r="BZ150" s="23">
        <f>+'QTR Raw'!AT56</f>
        <v>845</v>
      </c>
      <c r="CA150" s="23">
        <f t="shared" si="1199"/>
        <v>845</v>
      </c>
      <c r="CB150" s="23">
        <f>+'QTR Raw'!AV56</f>
        <v>845</v>
      </c>
      <c r="CC150" s="23">
        <f t="shared" si="1199"/>
        <v>845</v>
      </c>
      <c r="CD150" s="23">
        <f>+'QTR Raw'!AX56</f>
        <v>845</v>
      </c>
      <c r="CE150" s="23">
        <f t="shared" si="1199"/>
        <v>845</v>
      </c>
      <c r="CF150" s="23">
        <f>+'QTR Raw'!AZ56</f>
        <v>845</v>
      </c>
      <c r="CG150" s="23">
        <f t="shared" ref="CG150:CG151" si="1200">+CF150</f>
        <v>845</v>
      </c>
      <c r="CH150" s="23">
        <f>Z150</f>
        <v>845</v>
      </c>
      <c r="CI150" s="23">
        <f>CH150</f>
        <v>845</v>
      </c>
      <c r="CJ150" s="23">
        <f>+'QTR Raw'!BD56</f>
        <v>845</v>
      </c>
      <c r="CK150" s="23">
        <f t="shared" ref="CK150:DB150" si="1201">CJ150</f>
        <v>845</v>
      </c>
      <c r="CL150" s="23">
        <f>+'QTR Raw'!BF56</f>
        <v>845</v>
      </c>
      <c r="CM150" s="24">
        <f t="shared" si="1201"/>
        <v>845</v>
      </c>
      <c r="CN150" s="24">
        <f t="shared" si="1201"/>
        <v>845</v>
      </c>
      <c r="CO150" s="24">
        <f t="shared" si="1201"/>
        <v>845</v>
      </c>
      <c r="CP150" s="24">
        <f t="shared" si="1201"/>
        <v>845</v>
      </c>
      <c r="CQ150" s="24">
        <f t="shared" si="1201"/>
        <v>845</v>
      </c>
      <c r="CR150" s="24">
        <f t="shared" si="1201"/>
        <v>845</v>
      </c>
      <c r="CS150" s="24">
        <f t="shared" si="1201"/>
        <v>845</v>
      </c>
      <c r="CT150" s="24">
        <f t="shared" si="1201"/>
        <v>845</v>
      </c>
      <c r="CU150" s="24">
        <f t="shared" si="1201"/>
        <v>845</v>
      </c>
      <c r="CV150" s="24">
        <f t="shared" si="1201"/>
        <v>845</v>
      </c>
      <c r="CW150" s="24">
        <f t="shared" si="1201"/>
        <v>845</v>
      </c>
      <c r="CX150" s="24">
        <f t="shared" si="1201"/>
        <v>845</v>
      </c>
      <c r="CY150" s="24">
        <f t="shared" si="1201"/>
        <v>845</v>
      </c>
      <c r="CZ150" s="24">
        <f t="shared" si="1201"/>
        <v>845</v>
      </c>
      <c r="DA150" s="24">
        <f t="shared" si="1201"/>
        <v>845</v>
      </c>
      <c r="DB150" s="24">
        <f t="shared" si="1201"/>
        <v>845</v>
      </c>
      <c r="DE150" s="123"/>
      <c r="DF150" s="23">
        <v>845</v>
      </c>
    </row>
    <row r="151" spans="1:110" s="23" customFormat="1" outlineLevel="1" x14ac:dyDescent="0.2">
      <c r="A151" s="23" t="s">
        <v>42</v>
      </c>
      <c r="B151" s="23">
        <f>'Annual Raw'!C42</f>
        <v>0</v>
      </c>
      <c r="C151" s="23">
        <f>'Annual Raw'!D42</f>
        <v>0</v>
      </c>
      <c r="D151" s="23">
        <f>'Annual Raw'!E42</f>
        <v>0</v>
      </c>
      <c r="E151" s="23">
        <f>'Annual Raw'!F42</f>
        <v>0</v>
      </c>
      <c r="F151" s="23">
        <f>'Annual Raw'!G42</f>
        <v>0</v>
      </c>
      <c r="G151" s="23">
        <f>'Annual Raw'!H42</f>
        <v>0</v>
      </c>
      <c r="H151" s="23">
        <f>'Annual Raw'!I42</f>
        <v>0</v>
      </c>
      <c r="I151" s="23">
        <f>'Annual Raw'!J42</f>
        <v>0</v>
      </c>
      <c r="J151" s="23">
        <f>'Annual Raw'!K42</f>
        <v>0</v>
      </c>
      <c r="K151" s="23">
        <f>'Annual Raw'!L42</f>
        <v>0</v>
      </c>
      <c r="L151" s="23">
        <f>'Annual Raw'!M42</f>
        <v>0</v>
      </c>
      <c r="M151" s="23">
        <f>'Annual Raw'!N42</f>
        <v>0</v>
      </c>
      <c r="N151" s="23">
        <f>'Annual Raw'!O42</f>
        <v>0</v>
      </c>
      <c r="O151" s="23">
        <f>'Annual Raw'!P42</f>
        <v>0</v>
      </c>
      <c r="P151" s="23">
        <f>'Annual Raw'!Q42</f>
        <v>0</v>
      </c>
      <c r="Q151" s="23">
        <f>'Annual Raw'!R42</f>
        <v>0</v>
      </c>
      <c r="R151" s="23">
        <f>'Annual Raw'!S42</f>
        <v>0</v>
      </c>
      <c r="S151" s="23">
        <f>'Annual Raw'!T42</f>
        <v>0</v>
      </c>
      <c r="T151" s="23">
        <f>'Annual Raw'!U42</f>
        <v>0</v>
      </c>
      <c r="U151" s="23">
        <f>'Annual Raw'!V42</f>
        <v>0</v>
      </c>
      <c r="V151" s="23">
        <f>'Annual Raw'!W42</f>
        <v>0</v>
      </c>
      <c r="W151" s="23">
        <f>'Annual Raw'!X42</f>
        <v>0</v>
      </c>
      <c r="X151" s="23">
        <f>'Annual Raw'!Y42</f>
        <v>0</v>
      </c>
      <c r="Y151" s="23">
        <f>'Annual Raw'!Z42</f>
        <v>0</v>
      </c>
      <c r="Z151" s="23">
        <f>'Annual Raw'!AA42</f>
        <v>0</v>
      </c>
      <c r="AA151" s="23">
        <f>'Annual Raw'!AB42</f>
        <v>0</v>
      </c>
      <c r="AB151" s="24">
        <f t="shared" ref="AB151:AB152" si="1202">+CP151</f>
        <v>0</v>
      </c>
      <c r="AC151" s="24">
        <f t="shared" ref="AC151:AC152" si="1203">+CT151</f>
        <v>0</v>
      </c>
      <c r="AD151" s="24">
        <f t="shared" ref="AD151:AD152" si="1204">+CX151</f>
        <v>0</v>
      </c>
      <c r="AE151" s="24">
        <f t="shared" ref="AE151:AE152" si="1205">+DB151</f>
        <v>0</v>
      </c>
      <c r="AJ151" s="23">
        <f>+'QTR Raw'!D57</f>
        <v>0</v>
      </c>
      <c r="AK151" s="23">
        <f t="shared" ref="AK151:CE151" si="1206">+AJ151</f>
        <v>0</v>
      </c>
      <c r="AL151" s="23">
        <f>+'QTR Raw'!F57</f>
        <v>0</v>
      </c>
      <c r="AM151" s="23">
        <f t="shared" si="1206"/>
        <v>0</v>
      </c>
      <c r="AN151" s="23">
        <f>+'QTR Raw'!H57</f>
        <v>0</v>
      </c>
      <c r="AO151" s="23">
        <f t="shared" si="1206"/>
        <v>0</v>
      </c>
      <c r="AP151" s="23">
        <f>+'QTR Raw'!J57</f>
        <v>0</v>
      </c>
      <c r="AQ151" s="23">
        <f t="shared" si="1206"/>
        <v>0</v>
      </c>
      <c r="AR151" s="23">
        <f>+'QTR Raw'!L57</f>
        <v>0</v>
      </c>
      <c r="AS151" s="23">
        <f t="shared" si="1206"/>
        <v>0</v>
      </c>
      <c r="AT151" s="23">
        <f>+'QTR Raw'!N57</f>
        <v>0</v>
      </c>
      <c r="AU151" s="23">
        <f t="shared" si="1206"/>
        <v>0</v>
      </c>
      <c r="AV151" s="23">
        <f>+'QTR Raw'!P57</f>
        <v>0</v>
      </c>
      <c r="AW151" s="23">
        <f t="shared" si="1206"/>
        <v>0</v>
      </c>
      <c r="AX151" s="23">
        <f>+'QTR Raw'!R57</f>
        <v>0</v>
      </c>
      <c r="AY151" s="23">
        <f t="shared" si="1206"/>
        <v>0</v>
      </c>
      <c r="AZ151" s="23">
        <f>+'QTR Raw'!T57</f>
        <v>0</v>
      </c>
      <c r="BA151" s="23">
        <f t="shared" si="1206"/>
        <v>0</v>
      </c>
      <c r="BB151" s="23">
        <f>+'QTR Raw'!V57</f>
        <v>0</v>
      </c>
      <c r="BC151" s="23">
        <f t="shared" si="1206"/>
        <v>0</v>
      </c>
      <c r="BD151" s="23">
        <f>+'QTR Raw'!X57</f>
        <v>0</v>
      </c>
      <c r="BE151" s="23">
        <f t="shared" si="1206"/>
        <v>0</v>
      </c>
      <c r="BF151" s="23">
        <f>+'QTR Raw'!Z57</f>
        <v>0</v>
      </c>
      <c r="BG151" s="23">
        <f t="shared" si="1206"/>
        <v>0</v>
      </c>
      <c r="BH151" s="23">
        <f>+'QTR Raw'!AB57</f>
        <v>0</v>
      </c>
      <c r="BI151" s="23">
        <f t="shared" si="1206"/>
        <v>0</v>
      </c>
      <c r="BJ151" s="23">
        <f>+'QTR Raw'!AD57</f>
        <v>0</v>
      </c>
      <c r="BK151" s="23">
        <f t="shared" si="1206"/>
        <v>0</v>
      </c>
      <c r="BL151" s="23">
        <f>+'QTR Raw'!AF57</f>
        <v>0</v>
      </c>
      <c r="BM151" s="23">
        <f t="shared" si="1206"/>
        <v>0</v>
      </c>
      <c r="BN151" s="23">
        <f>+'QTR Raw'!AH57</f>
        <v>0</v>
      </c>
      <c r="BO151" s="23">
        <f t="shared" si="1206"/>
        <v>0</v>
      </c>
      <c r="BP151" s="23">
        <f>+'QTR Raw'!AJ57</f>
        <v>0</v>
      </c>
      <c r="BQ151" s="23">
        <f t="shared" si="1206"/>
        <v>0</v>
      </c>
      <c r="BR151" s="23">
        <f>+'QTR Raw'!AL57</f>
        <v>0</v>
      </c>
      <c r="BS151" s="23">
        <f t="shared" si="1206"/>
        <v>0</v>
      </c>
      <c r="BT151" s="23">
        <f>+'QTR Raw'!AN57</f>
        <v>0</v>
      </c>
      <c r="BU151" s="23">
        <f t="shared" si="1206"/>
        <v>0</v>
      </c>
      <c r="BV151" s="23">
        <f>+'QTR Raw'!AP57</f>
        <v>0</v>
      </c>
      <c r="BW151" s="23">
        <f t="shared" si="1206"/>
        <v>0</v>
      </c>
      <c r="BX151" s="23">
        <f>+'QTR Raw'!AR57</f>
        <v>0</v>
      </c>
      <c r="BY151" s="23">
        <f t="shared" si="1206"/>
        <v>0</v>
      </c>
      <c r="BZ151" s="23">
        <f>+'QTR Raw'!AT57</f>
        <v>0</v>
      </c>
      <c r="CA151" s="23">
        <f t="shared" si="1206"/>
        <v>0</v>
      </c>
      <c r="CB151" s="23">
        <f>+'QTR Raw'!AV57</f>
        <v>0</v>
      </c>
      <c r="CC151" s="23">
        <f t="shared" si="1206"/>
        <v>0</v>
      </c>
      <c r="CD151" s="23">
        <f>+'QTR Raw'!AX57</f>
        <v>0</v>
      </c>
      <c r="CE151" s="23">
        <f t="shared" si="1206"/>
        <v>0</v>
      </c>
      <c r="CF151" s="23">
        <f>+'QTR Raw'!AZ57</f>
        <v>0</v>
      </c>
      <c r="CG151" s="23">
        <f t="shared" si="1200"/>
        <v>0</v>
      </c>
      <c r="CH151" s="23">
        <f t="shared" ref="CH151:CH152" si="1207">Z151</f>
        <v>0</v>
      </c>
      <c r="CI151" s="23">
        <f>CH151</f>
        <v>0</v>
      </c>
      <c r="CJ151" s="23">
        <f>+'QTR Raw'!BD57</f>
        <v>0</v>
      </c>
      <c r="CK151" s="23">
        <f t="shared" ref="CK151:DB151" si="1208">CJ151</f>
        <v>0</v>
      </c>
      <c r="CL151" s="23">
        <f>+'QTR Raw'!BF57</f>
        <v>0</v>
      </c>
      <c r="CM151" s="24">
        <f t="shared" si="1208"/>
        <v>0</v>
      </c>
      <c r="CN151" s="24">
        <f t="shared" si="1208"/>
        <v>0</v>
      </c>
      <c r="CO151" s="24">
        <f t="shared" si="1208"/>
        <v>0</v>
      </c>
      <c r="CP151" s="24">
        <f t="shared" si="1208"/>
        <v>0</v>
      </c>
      <c r="CQ151" s="24">
        <f t="shared" si="1208"/>
        <v>0</v>
      </c>
      <c r="CR151" s="24">
        <f t="shared" si="1208"/>
        <v>0</v>
      </c>
      <c r="CS151" s="24">
        <f t="shared" si="1208"/>
        <v>0</v>
      </c>
      <c r="CT151" s="24">
        <f t="shared" si="1208"/>
        <v>0</v>
      </c>
      <c r="CU151" s="24">
        <f t="shared" si="1208"/>
        <v>0</v>
      </c>
      <c r="CV151" s="24">
        <f t="shared" si="1208"/>
        <v>0</v>
      </c>
      <c r="CW151" s="24">
        <f t="shared" si="1208"/>
        <v>0</v>
      </c>
      <c r="CX151" s="24">
        <f t="shared" si="1208"/>
        <v>0</v>
      </c>
      <c r="CY151" s="24">
        <f t="shared" si="1208"/>
        <v>0</v>
      </c>
      <c r="CZ151" s="24">
        <f t="shared" si="1208"/>
        <v>0</v>
      </c>
      <c r="DA151" s="24">
        <f t="shared" si="1208"/>
        <v>0</v>
      </c>
      <c r="DB151" s="24">
        <f t="shared" si="1208"/>
        <v>0</v>
      </c>
      <c r="DE151" s="123"/>
      <c r="DF151" s="23">
        <v>0</v>
      </c>
    </row>
    <row r="152" spans="1:110" s="23" customFormat="1" outlineLevel="1" x14ac:dyDescent="0.2">
      <c r="A152" s="23" t="s">
        <v>43</v>
      </c>
      <c r="B152" s="23">
        <f>'Annual Raw'!C43</f>
        <v>737.72640000000001</v>
      </c>
      <c r="C152" s="23">
        <f>'Annual Raw'!D43</f>
        <v>644.74300000000005</v>
      </c>
      <c r="D152" s="23">
        <f>'Annual Raw'!E43</f>
        <v>747.20500000000004</v>
      </c>
      <c r="E152" s="23">
        <f>'Annual Raw'!F43</f>
        <v>1084.3420000000001</v>
      </c>
      <c r="F152" s="23">
        <f>'Annual Raw'!G43</f>
        <v>1655.22</v>
      </c>
      <c r="G152" s="23">
        <f>'Annual Raw'!H43</f>
        <v>3007.25</v>
      </c>
      <c r="H152" s="23">
        <f>'Annual Raw'!I43</f>
        <v>7204.53</v>
      </c>
      <c r="I152" s="23">
        <f>'Annual Raw'!J43</f>
        <v>11425.66</v>
      </c>
      <c r="J152" s="23">
        <f>'Annual Raw'!K43</f>
        <v>13935.05</v>
      </c>
      <c r="K152" s="23">
        <f>'Annual Raw'!L43</f>
        <v>17701.439999999999</v>
      </c>
      <c r="L152" s="23">
        <f>'Annual Raw'!M43</f>
        <v>21688.13</v>
      </c>
      <c r="M152" s="23">
        <f>'Annual Raw'!N43</f>
        <v>26036.2</v>
      </c>
      <c r="N152" s="23">
        <f>'Annual Raw'!O43</f>
        <v>31430.68</v>
      </c>
      <c r="O152" s="23">
        <f>'Annual Raw'!P43</f>
        <v>36572.550000000003</v>
      </c>
      <c r="P152" s="23">
        <f>'Annual Raw'!Q43</f>
        <v>42508.01</v>
      </c>
      <c r="Q152" s="23">
        <f>'Annual Raw'!R43</f>
        <v>36540</v>
      </c>
      <c r="R152" s="23">
        <f>'Annual Raw'!S43</f>
        <v>29960</v>
      </c>
      <c r="S152" s="23">
        <f>'Annual Raw'!T43</f>
        <v>35087</v>
      </c>
      <c r="T152" s="23">
        <f>'Annual Raw'!U43</f>
        <v>32760</v>
      </c>
      <c r="U152" s="23">
        <f>'Annual Raw'!V43</f>
        <v>39465</v>
      </c>
      <c r="V152" s="23">
        <f>'Annual Raw'!W43</f>
        <v>31468</v>
      </c>
      <c r="W152" s="23">
        <f>'Annual Raw'!X43</f>
        <v>33436</v>
      </c>
      <c r="X152" s="23">
        <f>'Annual Raw'!Y43</f>
        <v>12087</v>
      </c>
      <c r="Y152" s="23">
        <f>'Annual Raw'!Z43</f>
        <v>14350</v>
      </c>
      <c r="Z152" s="23">
        <f>'Annual Raw'!AA43</f>
        <v>12481</v>
      </c>
      <c r="AA152" s="23">
        <f>'Annual Raw'!AB43</f>
        <v>21784</v>
      </c>
      <c r="AB152" s="24">
        <f t="shared" si="1202"/>
        <v>39506.77756585936</v>
      </c>
      <c r="AC152" s="24">
        <f t="shared" si="1203"/>
        <v>57576.097894021303</v>
      </c>
      <c r="AD152" s="24">
        <f t="shared" si="1204"/>
        <v>75485.292898383937</v>
      </c>
      <c r="AE152" s="24">
        <f t="shared" si="1205"/>
        <v>94507.696000745505</v>
      </c>
      <c r="AJ152" s="23">
        <f>+'QTR Raw'!D58</f>
        <v>28357.59</v>
      </c>
      <c r="AK152" s="23">
        <f>+AJ152+AK76</f>
        <v>29970.13</v>
      </c>
      <c r="AL152" s="23">
        <f>+'QTR Raw'!F58</f>
        <v>31430.68</v>
      </c>
      <c r="AM152" s="23">
        <f>+AL152+AM76</f>
        <v>33091.129999999997</v>
      </c>
      <c r="AN152" s="23">
        <f>+'QTR Raw'!H58</f>
        <v>33921.03</v>
      </c>
      <c r="AO152" s="23">
        <f>+AN152+AO76</f>
        <v>35643.75</v>
      </c>
      <c r="AP152" s="23">
        <f>+'QTR Raw'!J58</f>
        <v>36572.550000000003</v>
      </c>
      <c r="AQ152" s="23">
        <f>+AP152+AQ76</f>
        <v>38190.22</v>
      </c>
      <c r="AR152" s="23">
        <f>+'QTR Raw'!L58</f>
        <v>39433.32</v>
      </c>
      <c r="AS152" s="23">
        <f>+AR152+AS76</f>
        <v>41812.69</v>
      </c>
      <c r="AT152" s="23">
        <f>+'QTR Raw'!N58</f>
        <v>42508.01</v>
      </c>
      <c r="AU152" s="23">
        <f>+AT152+AU76</f>
        <v>44448.15</v>
      </c>
      <c r="AV152" s="23">
        <f>+'QTR Raw'!P58</f>
        <v>44784.28</v>
      </c>
      <c r="AW152" s="23">
        <f>+AV152+AW76</f>
        <v>46623.86</v>
      </c>
      <c r="AX152" s="23">
        <f>+'QTR Raw'!R58</f>
        <v>36540.129999999997</v>
      </c>
      <c r="AY152" s="23">
        <f>+AX152+AY76</f>
        <v>37577.129999999997</v>
      </c>
      <c r="AZ152" s="23">
        <f>+'QTR Raw'!T58</f>
        <v>39552.79</v>
      </c>
      <c r="BA152" s="23">
        <f>+AZ152+BA76</f>
        <v>41872.79</v>
      </c>
      <c r="BB152" s="23">
        <f>+'QTR Raw'!V58</f>
        <v>29960</v>
      </c>
      <c r="BC152" s="23">
        <f>+BB152+BC76</f>
        <v>31849</v>
      </c>
      <c r="BD152" s="23">
        <f>+'QTR Raw'!X58</f>
        <v>34334</v>
      </c>
      <c r="BE152" s="23">
        <f>+BD152+BE76</f>
        <v>36632</v>
      </c>
      <c r="BF152" s="23">
        <f>+'QTR Raw'!Z58</f>
        <v>35087</v>
      </c>
      <c r="BG152" s="23">
        <f>+BF152+BG76</f>
        <v>37005</v>
      </c>
      <c r="BH152" s="23">
        <f>+'QTR Raw'!AB58</f>
        <v>38731</v>
      </c>
      <c r="BI152" s="23">
        <f>+BH152+BI76</f>
        <v>40942</v>
      </c>
      <c r="BJ152" s="23">
        <f>+'QTR Raw'!AD58</f>
        <v>32760</v>
      </c>
      <c r="BK152" s="23">
        <f>+BJ152+BK76</f>
        <v>34525</v>
      </c>
      <c r="BL152" s="23">
        <f>+'QTR Raw'!AF58</f>
        <v>36557</v>
      </c>
      <c r="BM152" s="23">
        <f>+BL152+BM76</f>
        <v>38177</v>
      </c>
      <c r="BN152" s="23">
        <f>+'QTR Raw'!AH58</f>
        <v>39465</v>
      </c>
      <c r="BO152" s="23">
        <f>+BN152+BO76</f>
        <v>40824</v>
      </c>
      <c r="BP152" s="23">
        <f>+'QTR Raw'!AJ58</f>
        <v>35796</v>
      </c>
      <c r="BQ152" s="23">
        <f>+BP152+BQ76</f>
        <v>37996</v>
      </c>
      <c r="BR152" s="23">
        <f>+'QTR Raw'!AL58</f>
        <v>31468</v>
      </c>
      <c r="BS152" s="23">
        <f>+BR152+BS76</f>
        <v>33451</v>
      </c>
      <c r="BT152" s="23">
        <f>+'QTR Raw'!AN58</f>
        <v>35485</v>
      </c>
      <c r="BU152" s="23">
        <f>+BT152+BU76</f>
        <v>38186</v>
      </c>
      <c r="BV152" s="23">
        <f>+'QTR Raw'!AP58</f>
        <v>33436</v>
      </c>
      <c r="BW152" s="23">
        <f>+BV152+BW76</f>
        <v>36528</v>
      </c>
      <c r="BX152" s="23">
        <f>+'QTR Raw'!AR58</f>
        <v>30431</v>
      </c>
      <c r="BY152" s="23">
        <f>+BX152+BY76</f>
        <v>32587</v>
      </c>
      <c r="BZ152" s="23">
        <f>+'QTR Raw'!AT58</f>
        <v>12087</v>
      </c>
      <c r="CA152" s="23">
        <f>+BZ152+CA76</f>
        <v>14051</v>
      </c>
      <c r="CB152" s="23">
        <f>+'QTR Raw'!AV58</f>
        <v>12810</v>
      </c>
      <c r="CC152" s="23">
        <f>+CB152+CC76</f>
        <v>14838</v>
      </c>
      <c r="CD152" s="23">
        <f>+'QTR Raw'!AX58</f>
        <v>14350</v>
      </c>
      <c r="CE152" s="23">
        <f>+CD152+CE76</f>
        <v>16695</v>
      </c>
      <c r="CF152" s="23">
        <f>+'QTR Raw'!AZ58</f>
        <v>6775</v>
      </c>
      <c r="CG152" s="23">
        <f>+CF152+CG76</f>
        <v>9453</v>
      </c>
      <c r="CH152" s="23">
        <f t="shared" si="1207"/>
        <v>12481</v>
      </c>
      <c r="CI152" s="23">
        <f>CH152+CI76</f>
        <v>14715</v>
      </c>
      <c r="CJ152" s="23">
        <f>+'QTR Raw'!BD58</f>
        <v>12852</v>
      </c>
      <c r="CK152" s="23">
        <f t="shared" ref="CK152:DB152" si="1209">CJ152+CK76</f>
        <v>16768</v>
      </c>
      <c r="CL152" s="23">
        <f>+'QTR Raw'!BF58</f>
        <v>21784</v>
      </c>
      <c r="CM152" s="24">
        <f t="shared" si="1209"/>
        <v>25906.038359114653</v>
      </c>
      <c r="CN152" s="24">
        <f t="shared" si="1209"/>
        <v>30243.023052401455</v>
      </c>
      <c r="CO152" s="24">
        <f t="shared" si="1209"/>
        <v>34857.967177691316</v>
      </c>
      <c r="CP152" s="24">
        <f t="shared" si="1209"/>
        <v>39506.77756585936</v>
      </c>
      <c r="CQ152" s="24">
        <f t="shared" si="1209"/>
        <v>43632.731624920794</v>
      </c>
      <c r="CR152" s="24">
        <f t="shared" si="1209"/>
        <v>47982.70673338473</v>
      </c>
      <c r="CS152" s="24">
        <f t="shared" si="1209"/>
        <v>52694.236621196738</v>
      </c>
      <c r="CT152" s="24">
        <f t="shared" si="1209"/>
        <v>57576.097894021303</v>
      </c>
      <c r="CU152" s="24">
        <f t="shared" si="1209"/>
        <v>61535.886951779023</v>
      </c>
      <c r="CV152" s="24">
        <f t="shared" si="1209"/>
        <v>65809.689083135789</v>
      </c>
      <c r="CW152" s="24">
        <f t="shared" si="1209"/>
        <v>70529.172818800609</v>
      </c>
      <c r="CX152" s="24">
        <f t="shared" si="1209"/>
        <v>75485.292898383937</v>
      </c>
      <c r="CY152" s="24">
        <f t="shared" si="1209"/>
        <v>79760.823276872849</v>
      </c>
      <c r="CZ152" s="24">
        <f t="shared" si="1209"/>
        <v>84321.473657516384</v>
      </c>
      <c r="DA152" s="24">
        <f t="shared" si="1209"/>
        <v>89302.768312439584</v>
      </c>
      <c r="DB152" s="24">
        <f t="shared" si="1209"/>
        <v>94507.696000745505</v>
      </c>
      <c r="DE152" s="123"/>
      <c r="DF152" s="23">
        <v>21193.492265678531</v>
      </c>
    </row>
    <row r="153" spans="1:110" s="22" customFormat="1" x14ac:dyDescent="0.2">
      <c r="A153" s="22" t="s">
        <v>44</v>
      </c>
      <c r="B153" s="22">
        <f>B150+B151+B152</f>
        <v>1160.2583</v>
      </c>
      <c r="C153" s="22">
        <f t="shared" ref="C153:V153" si="1210">C150+C151+C152</f>
        <v>1067.2750000000001</v>
      </c>
      <c r="D153" s="22">
        <f t="shared" si="1210"/>
        <v>1169.7370000000001</v>
      </c>
      <c r="E153" s="22">
        <f t="shared" si="1210"/>
        <v>1506.874</v>
      </c>
      <c r="F153" s="22">
        <f t="shared" si="1210"/>
        <v>2077.75</v>
      </c>
      <c r="G153" s="22">
        <f t="shared" si="1210"/>
        <v>3429.7799999999997</v>
      </c>
      <c r="H153" s="22">
        <f t="shared" si="1210"/>
        <v>7627.0599999999995</v>
      </c>
      <c r="I153" s="22">
        <f t="shared" si="1210"/>
        <v>11848.19</v>
      </c>
      <c r="J153" s="22">
        <f t="shared" si="1210"/>
        <v>14357.58</v>
      </c>
      <c r="K153" s="22">
        <f t="shared" si="1210"/>
        <v>18123.969999999998</v>
      </c>
      <c r="L153" s="22">
        <f t="shared" si="1210"/>
        <v>22533.190000000002</v>
      </c>
      <c r="M153" s="22">
        <f>M150+M151+M152</f>
        <v>26881.260000000002</v>
      </c>
      <c r="N153" s="22">
        <f t="shared" si="1210"/>
        <v>32275.74</v>
      </c>
      <c r="O153" s="22">
        <f t="shared" si="1210"/>
        <v>37417.61</v>
      </c>
      <c r="P153" s="22">
        <f t="shared" si="1210"/>
        <v>43353.07</v>
      </c>
      <c r="Q153" s="22">
        <f t="shared" si="1210"/>
        <v>37385</v>
      </c>
      <c r="R153" s="22">
        <f t="shared" si="1210"/>
        <v>30805</v>
      </c>
      <c r="S153" s="22">
        <f t="shared" si="1210"/>
        <v>35932</v>
      </c>
      <c r="T153" s="22">
        <f t="shared" si="1210"/>
        <v>33605</v>
      </c>
      <c r="U153" s="22">
        <f t="shared" si="1210"/>
        <v>40310</v>
      </c>
      <c r="V153" s="22">
        <f t="shared" si="1210"/>
        <v>32313</v>
      </c>
      <c r="W153" s="22">
        <f t="shared" ref="W153" si="1211">W150+W151+W152</f>
        <v>34281</v>
      </c>
      <c r="X153" s="22">
        <f t="shared" ref="X153:Y153" si="1212">X150+X151+X152</f>
        <v>12932</v>
      </c>
      <c r="Y153" s="22">
        <f t="shared" si="1212"/>
        <v>15195</v>
      </c>
      <c r="Z153" s="22">
        <f t="shared" ref="Z153:AA153" si="1213">Z150+Z151+Z152</f>
        <v>13326</v>
      </c>
      <c r="AA153" s="22">
        <f t="shared" si="1213"/>
        <v>22629</v>
      </c>
      <c r="AB153" s="21">
        <f t="shared" ref="AA153:AD153" si="1214">AB150+AB151+AB152</f>
        <v>40351.77756585936</v>
      </c>
      <c r="AC153" s="21">
        <f t="shared" si="1214"/>
        <v>58421.097894021303</v>
      </c>
      <c r="AD153" s="21">
        <f t="shared" si="1214"/>
        <v>76330.292898383937</v>
      </c>
      <c r="AE153" s="21">
        <f t="shared" ref="AE153" si="1215">AE150+AE151+AE152</f>
        <v>95352.696000745505</v>
      </c>
      <c r="AJ153" s="22">
        <f t="shared" ref="AJ153" si="1216">AJ150+AJ151+AJ152</f>
        <v>29202.65</v>
      </c>
      <c r="AK153" s="22">
        <f t="shared" ref="AK153" si="1217">AK150+AK151+AK152</f>
        <v>30815.190000000002</v>
      </c>
      <c r="AL153" s="22">
        <f t="shared" ref="AL153:AM153" si="1218">AL150+AL151+AL152</f>
        <v>32275.74</v>
      </c>
      <c r="AM153" s="22">
        <f t="shared" si="1218"/>
        <v>33936.189999999995</v>
      </c>
      <c r="AN153" s="22">
        <f t="shared" ref="AN153:AO153" si="1219">AN150+AN151+AN152</f>
        <v>34766.089999999997</v>
      </c>
      <c r="AO153" s="22">
        <f t="shared" si="1219"/>
        <v>36488.81</v>
      </c>
      <c r="AP153" s="22">
        <f t="shared" ref="AP153:CE153" si="1220">AP150+AP151+AP152</f>
        <v>37417.61</v>
      </c>
      <c r="AQ153" s="22">
        <f t="shared" si="1220"/>
        <v>39035.279999999999</v>
      </c>
      <c r="AR153" s="22">
        <f t="shared" si="1220"/>
        <v>40278.379999999997</v>
      </c>
      <c r="AS153" s="22">
        <f t="shared" si="1220"/>
        <v>42657.75</v>
      </c>
      <c r="AT153" s="22">
        <f t="shared" si="1220"/>
        <v>43353.07</v>
      </c>
      <c r="AU153" s="22">
        <f t="shared" si="1220"/>
        <v>45293.21</v>
      </c>
      <c r="AV153" s="22">
        <f t="shared" si="1220"/>
        <v>45629.34</v>
      </c>
      <c r="AW153" s="22">
        <f t="shared" si="1220"/>
        <v>47468.92</v>
      </c>
      <c r="AX153" s="22">
        <f t="shared" si="1220"/>
        <v>37385.189999999995</v>
      </c>
      <c r="AY153" s="22">
        <f t="shared" si="1220"/>
        <v>38422.189999999995</v>
      </c>
      <c r="AZ153" s="22">
        <f t="shared" si="1220"/>
        <v>40397.85</v>
      </c>
      <c r="BA153" s="22">
        <f t="shared" si="1220"/>
        <v>42717.85</v>
      </c>
      <c r="BB153" s="22">
        <f t="shared" si="1220"/>
        <v>30805</v>
      </c>
      <c r="BC153" s="22">
        <f t="shared" si="1220"/>
        <v>32694</v>
      </c>
      <c r="BD153" s="22">
        <f t="shared" si="1220"/>
        <v>35179</v>
      </c>
      <c r="BE153" s="22">
        <f t="shared" si="1220"/>
        <v>37477</v>
      </c>
      <c r="BF153" s="22">
        <f t="shared" si="1220"/>
        <v>35932</v>
      </c>
      <c r="BG153" s="22">
        <f t="shared" si="1220"/>
        <v>37850</v>
      </c>
      <c r="BH153" s="22">
        <f t="shared" si="1220"/>
        <v>39576</v>
      </c>
      <c r="BI153" s="22">
        <f t="shared" si="1220"/>
        <v>41787</v>
      </c>
      <c r="BJ153" s="22">
        <f t="shared" si="1220"/>
        <v>33605</v>
      </c>
      <c r="BK153" s="22">
        <f t="shared" si="1220"/>
        <v>35370</v>
      </c>
      <c r="BL153" s="22">
        <f t="shared" si="1220"/>
        <v>37402</v>
      </c>
      <c r="BM153" s="22">
        <f t="shared" si="1220"/>
        <v>39022</v>
      </c>
      <c r="BN153" s="22">
        <f t="shared" si="1220"/>
        <v>40310</v>
      </c>
      <c r="BO153" s="22">
        <f t="shared" si="1220"/>
        <v>41669</v>
      </c>
      <c r="BP153" s="22">
        <f t="shared" si="1220"/>
        <v>36641</v>
      </c>
      <c r="BQ153" s="22">
        <f t="shared" si="1220"/>
        <v>38841</v>
      </c>
      <c r="BR153" s="22">
        <f t="shared" si="1220"/>
        <v>32313</v>
      </c>
      <c r="BS153" s="22">
        <f t="shared" si="1220"/>
        <v>34296</v>
      </c>
      <c r="BT153" s="22">
        <f t="shared" si="1220"/>
        <v>36330</v>
      </c>
      <c r="BU153" s="22">
        <f t="shared" si="1220"/>
        <v>39031</v>
      </c>
      <c r="BV153" s="22">
        <f t="shared" si="1220"/>
        <v>34281</v>
      </c>
      <c r="BW153" s="22">
        <f t="shared" si="1220"/>
        <v>37373</v>
      </c>
      <c r="BX153" s="22">
        <f t="shared" si="1220"/>
        <v>31276</v>
      </c>
      <c r="BY153" s="22">
        <f t="shared" si="1220"/>
        <v>33432</v>
      </c>
      <c r="BZ153" s="22">
        <f t="shared" si="1220"/>
        <v>12932</v>
      </c>
      <c r="CA153" s="22">
        <f t="shared" si="1220"/>
        <v>14896</v>
      </c>
      <c r="CB153" s="22">
        <f t="shared" si="1220"/>
        <v>13655</v>
      </c>
      <c r="CC153" s="22">
        <f t="shared" si="1220"/>
        <v>15683</v>
      </c>
      <c r="CD153" s="22">
        <f t="shared" si="1220"/>
        <v>15195</v>
      </c>
      <c r="CE153" s="22">
        <f t="shared" si="1220"/>
        <v>17540</v>
      </c>
      <c r="CF153" s="22">
        <f t="shared" ref="CF153:CG153" si="1221">CF150+CF151+CF152</f>
        <v>7620</v>
      </c>
      <c r="CG153" s="22">
        <f t="shared" si="1221"/>
        <v>10298</v>
      </c>
      <c r="CH153" s="22">
        <f t="shared" ref="CH153:CI153" si="1222">CH150+CH151+CH152</f>
        <v>13326</v>
      </c>
      <c r="CI153" s="22">
        <f t="shared" si="1222"/>
        <v>15560</v>
      </c>
      <c r="CJ153" s="22">
        <f t="shared" ref="CJ153:DB153" si="1223">CJ150+CJ151+CJ152</f>
        <v>13697</v>
      </c>
      <c r="CK153" s="22">
        <f t="shared" si="1223"/>
        <v>17613</v>
      </c>
      <c r="CL153" s="22">
        <f t="shared" ref="CL153" si="1224">CL150+CL151+CL152</f>
        <v>22629</v>
      </c>
      <c r="CM153" s="21">
        <f t="shared" si="1223"/>
        <v>26751.038359114653</v>
      </c>
      <c r="CN153" s="21">
        <f t="shared" si="1223"/>
        <v>31088.023052401455</v>
      </c>
      <c r="CO153" s="21">
        <f t="shared" si="1223"/>
        <v>35702.967177691316</v>
      </c>
      <c r="CP153" s="21">
        <f t="shared" si="1223"/>
        <v>40351.77756585936</v>
      </c>
      <c r="CQ153" s="21">
        <f t="shared" si="1223"/>
        <v>44477.731624920794</v>
      </c>
      <c r="CR153" s="21">
        <f t="shared" si="1223"/>
        <v>48827.70673338473</v>
      </c>
      <c r="CS153" s="21">
        <f t="shared" si="1223"/>
        <v>53539.236621196738</v>
      </c>
      <c r="CT153" s="21">
        <f t="shared" si="1223"/>
        <v>58421.097894021303</v>
      </c>
      <c r="CU153" s="21">
        <f t="shared" si="1223"/>
        <v>62380.886951779023</v>
      </c>
      <c r="CV153" s="21">
        <f t="shared" si="1223"/>
        <v>66654.689083135789</v>
      </c>
      <c r="CW153" s="21">
        <f t="shared" si="1223"/>
        <v>71374.172818800609</v>
      </c>
      <c r="CX153" s="21">
        <f t="shared" si="1223"/>
        <v>76330.292898383937</v>
      </c>
      <c r="CY153" s="21">
        <f t="shared" si="1223"/>
        <v>80605.823276872849</v>
      </c>
      <c r="CZ153" s="21">
        <f t="shared" si="1223"/>
        <v>85166.473657516384</v>
      </c>
      <c r="DA153" s="21">
        <f t="shared" si="1223"/>
        <v>90147.768312439584</v>
      </c>
      <c r="DB153" s="21">
        <f t="shared" si="1223"/>
        <v>95352.696000745505</v>
      </c>
      <c r="DE153" s="126"/>
      <c r="DF153" s="22">
        <v>22038.492265678531</v>
      </c>
    </row>
    <row r="154" spans="1:110" s="22" customFormat="1" x14ac:dyDescent="0.2">
      <c r="AB154" s="21"/>
      <c r="AC154" s="21"/>
      <c r="AD154" s="21"/>
      <c r="AE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E154" s="126"/>
    </row>
    <row r="155" spans="1:110" s="23" customFormat="1" x14ac:dyDescent="0.2">
      <c r="A155" s="23" t="s">
        <v>23</v>
      </c>
      <c r="B155" s="23">
        <f>'Annual Raw'!C45</f>
        <v>0</v>
      </c>
      <c r="C155" s="23">
        <f>'Annual Raw'!D45</f>
        <v>0</v>
      </c>
      <c r="D155" s="23">
        <f>'Annual Raw'!E45</f>
        <v>0</v>
      </c>
      <c r="E155" s="23">
        <f>'Annual Raw'!F45</f>
        <v>0</v>
      </c>
      <c r="F155" s="23">
        <f>'Annual Raw'!G45</f>
        <v>0</v>
      </c>
      <c r="G155" s="23">
        <f>'Annual Raw'!H45</f>
        <v>0</v>
      </c>
      <c r="H155" s="23">
        <f>'Annual Raw'!I45</f>
        <v>0</v>
      </c>
      <c r="I155" s="23">
        <f>'Annual Raw'!J45</f>
        <v>0</v>
      </c>
      <c r="J155" s="23">
        <f>'Annual Raw'!K45</f>
        <v>0</v>
      </c>
      <c r="K155" s="23">
        <f>'Annual Raw'!L45</f>
        <v>0</v>
      </c>
      <c r="L155" s="23">
        <f>'Annual Raw'!M45</f>
        <v>0</v>
      </c>
      <c r="M155" s="23">
        <f>'Annual Raw'!N45</f>
        <v>0</v>
      </c>
      <c r="N155" s="23">
        <f>'Annual Raw'!O45</f>
        <v>0</v>
      </c>
      <c r="O155" s="23">
        <f>'Annual Raw'!P45</f>
        <v>0</v>
      </c>
      <c r="P155" s="23">
        <f>'Annual Raw'!Q45</f>
        <v>0</v>
      </c>
      <c r="Q155" s="23">
        <f>'Annual Raw'!R45</f>
        <v>0</v>
      </c>
      <c r="R155" s="23">
        <f>'Annual Raw'!S45</f>
        <v>0</v>
      </c>
      <c r="S155" s="23">
        <f>'Annual Raw'!T45</f>
        <v>0</v>
      </c>
      <c r="T155" s="23">
        <f>'Annual Raw'!U45</f>
        <v>0</v>
      </c>
      <c r="U155" s="23">
        <f>'Annual Raw'!V45</f>
        <v>0</v>
      </c>
      <c r="V155" s="23">
        <f>'Annual Raw'!W45</f>
        <v>0</v>
      </c>
      <c r="W155" s="23">
        <f>'Annual Raw'!X45</f>
        <v>0</v>
      </c>
      <c r="X155" s="23">
        <f>'Annual Raw'!Y45</f>
        <v>0</v>
      </c>
      <c r="Y155" s="23">
        <f>'Annual Raw'!Z45</f>
        <v>0</v>
      </c>
      <c r="Z155" s="23">
        <f>'Annual Raw'!AA45</f>
        <v>0</v>
      </c>
      <c r="AA155" s="23">
        <f>'Annual Raw'!AB45</f>
        <v>0</v>
      </c>
      <c r="AB155" s="24">
        <f>+CP155</f>
        <v>0</v>
      </c>
      <c r="AC155" s="24">
        <f>+CT155</f>
        <v>0</v>
      </c>
      <c r="AD155" s="24">
        <f>+CX155</f>
        <v>0</v>
      </c>
      <c r="AE155" s="24">
        <f>+DB155</f>
        <v>0</v>
      </c>
      <c r="AJ155" s="23">
        <f>+'QTR Raw'!D60</f>
        <v>0</v>
      </c>
      <c r="AK155" s="23">
        <f t="shared" ref="AK155:CE155" si="1225">+AJ155</f>
        <v>0</v>
      </c>
      <c r="AL155" s="23">
        <f>+'QTR Raw'!F60</f>
        <v>0</v>
      </c>
      <c r="AM155" s="23">
        <f t="shared" si="1225"/>
        <v>0</v>
      </c>
      <c r="AN155" s="23">
        <f>+'QTR Raw'!H60</f>
        <v>0</v>
      </c>
      <c r="AO155" s="23">
        <f t="shared" si="1225"/>
        <v>0</v>
      </c>
      <c r="AP155" s="23">
        <f>+'QTR Raw'!J60</f>
        <v>0</v>
      </c>
      <c r="AQ155" s="23">
        <f t="shared" si="1225"/>
        <v>0</v>
      </c>
      <c r="AR155" s="23">
        <f>+'QTR Raw'!L60</f>
        <v>0</v>
      </c>
      <c r="AS155" s="23">
        <f t="shared" si="1225"/>
        <v>0</v>
      </c>
      <c r="AT155" s="23">
        <f>+'QTR Raw'!N60</f>
        <v>0</v>
      </c>
      <c r="AU155" s="23">
        <f t="shared" si="1225"/>
        <v>0</v>
      </c>
      <c r="AV155" s="23">
        <f>+'QTR Raw'!P60</f>
        <v>0</v>
      </c>
      <c r="AW155" s="23">
        <f t="shared" si="1225"/>
        <v>0</v>
      </c>
      <c r="AX155" s="23">
        <f>+'QTR Raw'!R60</f>
        <v>0</v>
      </c>
      <c r="AY155" s="23">
        <f t="shared" si="1225"/>
        <v>0</v>
      </c>
      <c r="AZ155" s="23">
        <f>+'QTR Raw'!T60</f>
        <v>0</v>
      </c>
      <c r="BA155" s="23">
        <f t="shared" si="1225"/>
        <v>0</v>
      </c>
      <c r="BB155" s="23">
        <f>+'QTR Raw'!V60</f>
        <v>0</v>
      </c>
      <c r="BC155" s="23">
        <f t="shared" si="1225"/>
        <v>0</v>
      </c>
      <c r="BD155" s="23">
        <f>+'QTR Raw'!X60</f>
        <v>0</v>
      </c>
      <c r="BE155" s="23">
        <f t="shared" si="1225"/>
        <v>0</v>
      </c>
      <c r="BF155" s="23">
        <f>+'QTR Raw'!Z60</f>
        <v>0</v>
      </c>
      <c r="BG155" s="23">
        <f t="shared" si="1225"/>
        <v>0</v>
      </c>
      <c r="BH155" s="22">
        <f>+'QTR Raw'!AB60</f>
        <v>0</v>
      </c>
      <c r="BI155" s="23">
        <f t="shared" si="1225"/>
        <v>0</v>
      </c>
      <c r="BJ155" s="23">
        <f>+'QTR Raw'!AD60</f>
        <v>0</v>
      </c>
      <c r="BK155" s="23">
        <f t="shared" si="1225"/>
        <v>0</v>
      </c>
      <c r="BL155" s="23">
        <f>+'QTR Raw'!AF60</f>
        <v>0</v>
      </c>
      <c r="BM155" s="23">
        <f t="shared" si="1225"/>
        <v>0</v>
      </c>
      <c r="BN155" s="23">
        <f>+'QTR Raw'!AH60</f>
        <v>0</v>
      </c>
      <c r="BO155" s="23">
        <f t="shared" si="1225"/>
        <v>0</v>
      </c>
      <c r="BP155" s="23">
        <f>+'QTR Raw'!AJ60</f>
        <v>0</v>
      </c>
      <c r="BQ155" s="23">
        <f t="shared" si="1225"/>
        <v>0</v>
      </c>
      <c r="BR155" s="23">
        <f>+'QTR Raw'!AL60</f>
        <v>0</v>
      </c>
      <c r="BS155" s="23">
        <f t="shared" si="1225"/>
        <v>0</v>
      </c>
      <c r="BT155" s="23">
        <f>+'QTR Raw'!AN60</f>
        <v>0</v>
      </c>
      <c r="BU155" s="23">
        <f t="shared" si="1225"/>
        <v>0</v>
      </c>
      <c r="BV155" s="23">
        <f>+'QTR Raw'!AP60</f>
        <v>0</v>
      </c>
      <c r="BW155" s="23">
        <f t="shared" si="1225"/>
        <v>0</v>
      </c>
      <c r="BX155" s="23">
        <f>+'QTR Raw'!AR60</f>
        <v>0</v>
      </c>
      <c r="BY155" s="23">
        <f t="shared" si="1225"/>
        <v>0</v>
      </c>
      <c r="BZ155" s="23">
        <f>+'QTR Raw'!AT60</f>
        <v>0</v>
      </c>
      <c r="CA155" s="23">
        <f t="shared" si="1225"/>
        <v>0</v>
      </c>
      <c r="CB155" s="23">
        <f>+'QTR Raw'!AV60</f>
        <v>0</v>
      </c>
      <c r="CC155" s="23">
        <f t="shared" si="1225"/>
        <v>0</v>
      </c>
      <c r="CD155" s="23">
        <f>+'QTR Raw'!AX60</f>
        <v>0</v>
      </c>
      <c r="CE155" s="23">
        <f t="shared" si="1225"/>
        <v>0</v>
      </c>
      <c r="CF155" s="23">
        <f>+'QTR Raw'!AZ60</f>
        <v>0</v>
      </c>
      <c r="CG155" s="23">
        <f t="shared" ref="CG155:CI155" si="1226">+CF155</f>
        <v>0</v>
      </c>
      <c r="CH155" s="23">
        <f t="shared" ref="CH155:CH160" si="1227">Z155</f>
        <v>0</v>
      </c>
      <c r="CI155" s="23">
        <f t="shared" si="1226"/>
        <v>0</v>
      </c>
      <c r="CJ155" s="23">
        <f>+'QTR Raw'!BD60</f>
        <v>0</v>
      </c>
      <c r="CK155" s="23">
        <f t="shared" ref="CK155" si="1228">+CJ155</f>
        <v>0</v>
      </c>
      <c r="CL155" s="23">
        <f>+'QTR Raw'!BF60</f>
        <v>0</v>
      </c>
      <c r="CM155" s="24">
        <f t="shared" ref="CM155" si="1229">+CL155</f>
        <v>0</v>
      </c>
      <c r="CN155" s="24">
        <f t="shared" ref="CN155" si="1230">+CM155</f>
        <v>0</v>
      </c>
      <c r="CO155" s="24">
        <f t="shared" ref="CO155" si="1231">+CN155</f>
        <v>0</v>
      </c>
      <c r="CP155" s="24">
        <f t="shared" ref="CP155" si="1232">+CO155</f>
        <v>0</v>
      </c>
      <c r="CQ155" s="24">
        <f t="shared" ref="CQ155" si="1233">+CP155</f>
        <v>0</v>
      </c>
      <c r="CR155" s="24">
        <f t="shared" ref="CR155" si="1234">+CQ155</f>
        <v>0</v>
      </c>
      <c r="CS155" s="24">
        <f t="shared" ref="CS155" si="1235">+CR155</f>
        <v>0</v>
      </c>
      <c r="CT155" s="24">
        <f t="shared" ref="CT155" si="1236">+CS155</f>
        <v>0</v>
      </c>
      <c r="CU155" s="24">
        <f t="shared" ref="CU155" si="1237">+CT155</f>
        <v>0</v>
      </c>
      <c r="CV155" s="24">
        <f t="shared" ref="CV155" si="1238">+CU155</f>
        <v>0</v>
      </c>
      <c r="CW155" s="24">
        <f t="shared" ref="CW155" si="1239">+CV155</f>
        <v>0</v>
      </c>
      <c r="CX155" s="24">
        <f t="shared" ref="CX155" si="1240">+CW155</f>
        <v>0</v>
      </c>
      <c r="CY155" s="24">
        <f t="shared" ref="CY155" si="1241">+CX155</f>
        <v>0</v>
      </c>
      <c r="CZ155" s="24">
        <f t="shared" ref="CZ155" si="1242">+CY155</f>
        <v>0</v>
      </c>
      <c r="DA155" s="24">
        <f t="shared" ref="DA155" si="1243">+CZ155</f>
        <v>0</v>
      </c>
      <c r="DB155" s="24">
        <f t="shared" ref="DB155" si="1244">+DA155</f>
        <v>0</v>
      </c>
      <c r="DE155" s="123"/>
      <c r="DF155" s="23">
        <v>0</v>
      </c>
    </row>
    <row r="156" spans="1:110" s="23" customFormat="1" x14ac:dyDescent="0.2">
      <c r="AB156" s="24"/>
      <c r="AC156" s="24"/>
      <c r="AD156" s="24"/>
      <c r="AE156" s="24"/>
      <c r="BH156" s="22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</row>
    <row r="157" spans="1:110" s="23" customFormat="1" outlineLevel="1" x14ac:dyDescent="0.2">
      <c r="A157" s="23" t="s">
        <v>45</v>
      </c>
      <c r="B157" s="23">
        <f>'Annual Raw'!C47</f>
        <v>0</v>
      </c>
      <c r="C157" s="23">
        <f>'Annual Raw'!D47</f>
        <v>0</v>
      </c>
      <c r="D157" s="23">
        <f>'Annual Raw'!E47</f>
        <v>0</v>
      </c>
      <c r="E157" s="23">
        <f>'Annual Raw'!F47</f>
        <v>607.38800000000003</v>
      </c>
      <c r="F157" s="23">
        <f>'Annual Raw'!G47</f>
        <v>570.92999999999995</v>
      </c>
      <c r="G157" s="23">
        <f>'Annual Raw'!H47</f>
        <v>0</v>
      </c>
      <c r="H157" s="23">
        <f>'Annual Raw'!I47</f>
        <v>0</v>
      </c>
      <c r="I157" s="23">
        <f>'Annual Raw'!J47</f>
        <v>0</v>
      </c>
      <c r="J157" s="23">
        <f>'Annual Raw'!K47</f>
        <v>8.3000000000000007</v>
      </c>
      <c r="K157" s="23">
        <f>'Annual Raw'!L47</f>
        <v>0</v>
      </c>
      <c r="L157" s="23">
        <f>'Annual Raw'!M47</f>
        <v>0</v>
      </c>
      <c r="M157" s="23">
        <f>'Annual Raw'!N47</f>
        <v>0</v>
      </c>
      <c r="N157" s="23">
        <f>'Annual Raw'!O47</f>
        <v>0</v>
      </c>
      <c r="O157" s="23">
        <f>'Annual Raw'!P47</f>
        <v>0</v>
      </c>
      <c r="P157" s="23">
        <f>'Annual Raw'!Q47</f>
        <v>0</v>
      </c>
      <c r="Q157" s="23">
        <f>'Annual Raw'!R47</f>
        <v>0</v>
      </c>
      <c r="R157" s="23">
        <f>'Annual Raw'!S47</f>
        <v>0</v>
      </c>
      <c r="S157" s="23">
        <f>'Annual Raw'!T47</f>
        <v>0</v>
      </c>
      <c r="T157" s="23">
        <f>'Annual Raw'!U47</f>
        <v>0</v>
      </c>
      <c r="U157" s="23">
        <f>'Annual Raw'!V47</f>
        <v>0</v>
      </c>
      <c r="V157" s="23">
        <f>'Annual Raw'!W47</f>
        <v>0</v>
      </c>
      <c r="W157" s="23">
        <f>'Annual Raw'!X47</f>
        <v>0</v>
      </c>
      <c r="X157" s="23">
        <f>'Annual Raw'!Y47</f>
        <v>0</v>
      </c>
      <c r="Y157" s="23">
        <f>'Annual Raw'!Z47</f>
        <v>0</v>
      </c>
      <c r="Z157" s="23">
        <f>'Annual Raw'!AA47</f>
        <v>0</v>
      </c>
      <c r="AA157" s="23">
        <f>'Annual Raw'!AB47</f>
        <v>0</v>
      </c>
      <c r="AB157" s="24">
        <f t="shared" ref="AB157:AB160" si="1245">+CP157</f>
        <v>0</v>
      </c>
      <c r="AC157" s="24">
        <f t="shared" ref="AC157:AC160" si="1246">+CT157</f>
        <v>0</v>
      </c>
      <c r="AD157" s="24">
        <f t="shared" ref="AD157:AD160" si="1247">+CX157</f>
        <v>0</v>
      </c>
      <c r="AE157" s="24">
        <f t="shared" ref="AE157:AE160" si="1248">+DB157</f>
        <v>0</v>
      </c>
      <c r="AJ157" s="23">
        <f>+'QTR Raw'!D62</f>
        <v>0</v>
      </c>
      <c r="AK157" s="23">
        <f t="shared" ref="AK157:CC160" si="1249">+AJ157</f>
        <v>0</v>
      </c>
      <c r="AL157" s="23">
        <f>+'QTR Raw'!F62</f>
        <v>0</v>
      </c>
      <c r="AM157" s="23">
        <f t="shared" si="1249"/>
        <v>0</v>
      </c>
      <c r="AN157" s="23">
        <f>+'QTR Raw'!H62</f>
        <v>0</v>
      </c>
      <c r="AO157" s="23">
        <f t="shared" si="1249"/>
        <v>0</v>
      </c>
      <c r="AP157" s="23">
        <f>+'QTR Raw'!J62</f>
        <v>0</v>
      </c>
      <c r="AQ157" s="23">
        <f t="shared" si="1249"/>
        <v>0</v>
      </c>
      <c r="AR157" s="23">
        <f>+'QTR Raw'!L62</f>
        <v>0</v>
      </c>
      <c r="AS157" s="23">
        <f t="shared" si="1249"/>
        <v>0</v>
      </c>
      <c r="AT157" s="23">
        <f>+'QTR Raw'!N62</f>
        <v>0</v>
      </c>
      <c r="AU157" s="23">
        <f t="shared" si="1249"/>
        <v>0</v>
      </c>
      <c r="AV157" s="23">
        <f>+'QTR Raw'!P62</f>
        <v>0</v>
      </c>
      <c r="AW157" s="23">
        <f t="shared" si="1249"/>
        <v>0</v>
      </c>
      <c r="AX157" s="23">
        <f>+'QTR Raw'!R62</f>
        <v>0</v>
      </c>
      <c r="AY157" s="23">
        <f t="shared" si="1249"/>
        <v>0</v>
      </c>
      <c r="AZ157" s="23">
        <f>+'QTR Raw'!T62</f>
        <v>0</v>
      </c>
      <c r="BA157" s="23">
        <f t="shared" si="1249"/>
        <v>0</v>
      </c>
      <c r="BB157" s="23">
        <f>+'QTR Raw'!V62</f>
        <v>0</v>
      </c>
      <c r="BC157" s="23">
        <f t="shared" si="1249"/>
        <v>0</v>
      </c>
      <c r="BD157" s="23">
        <f>+'QTR Raw'!X62</f>
        <v>0</v>
      </c>
      <c r="BE157" s="23">
        <f t="shared" si="1249"/>
        <v>0</v>
      </c>
      <c r="BF157" s="23">
        <f>+'QTR Raw'!Z62</f>
        <v>0</v>
      </c>
      <c r="BG157" s="23">
        <f t="shared" si="1249"/>
        <v>0</v>
      </c>
      <c r="BH157" s="22">
        <f>+'QTR Raw'!AB62</f>
        <v>0</v>
      </c>
      <c r="BI157" s="23">
        <f t="shared" si="1249"/>
        <v>0</v>
      </c>
      <c r="BJ157" s="23">
        <f>+'QTR Raw'!AD62</f>
        <v>0</v>
      </c>
      <c r="BK157" s="23">
        <f t="shared" si="1249"/>
        <v>0</v>
      </c>
      <c r="BL157" s="23">
        <f>+'QTR Raw'!AF62</f>
        <v>0</v>
      </c>
      <c r="BM157" s="23">
        <f t="shared" si="1249"/>
        <v>0</v>
      </c>
      <c r="BN157" s="23">
        <f>+'QTR Raw'!AH62</f>
        <v>0</v>
      </c>
      <c r="BO157" s="23">
        <f t="shared" si="1249"/>
        <v>0</v>
      </c>
      <c r="BP157" s="23">
        <f>+'QTR Raw'!AJ62</f>
        <v>0</v>
      </c>
      <c r="BQ157" s="23">
        <f t="shared" si="1249"/>
        <v>0</v>
      </c>
      <c r="BR157" s="23">
        <f>+'QTR Raw'!AL62</f>
        <v>0</v>
      </c>
      <c r="BS157" s="23">
        <f t="shared" si="1249"/>
        <v>0</v>
      </c>
      <c r="BT157" s="23">
        <f>+'QTR Raw'!AN62</f>
        <v>0</v>
      </c>
      <c r="BU157" s="23">
        <f t="shared" si="1249"/>
        <v>0</v>
      </c>
      <c r="BV157" s="23">
        <f>+'QTR Raw'!AP62</f>
        <v>0</v>
      </c>
      <c r="BW157" s="23">
        <f t="shared" si="1249"/>
        <v>0</v>
      </c>
      <c r="BX157" s="23">
        <f>+'QTR Raw'!AR62</f>
        <v>0</v>
      </c>
      <c r="BY157" s="23">
        <f t="shared" si="1249"/>
        <v>0</v>
      </c>
      <c r="BZ157" s="23">
        <f>+'QTR Raw'!AT62</f>
        <v>0</v>
      </c>
      <c r="CA157" s="23">
        <f t="shared" si="1249"/>
        <v>0</v>
      </c>
      <c r="CB157" s="23">
        <f>+'QTR Raw'!AV62</f>
        <v>0</v>
      </c>
      <c r="CC157" s="23">
        <f t="shared" si="1249"/>
        <v>0</v>
      </c>
      <c r="CD157" s="23">
        <f>+'QTR Raw'!AX62</f>
        <v>0</v>
      </c>
      <c r="CE157" s="23">
        <f t="shared" ref="CE157:CE160" si="1250">+CD157</f>
        <v>0</v>
      </c>
      <c r="CF157" s="23">
        <f>+'QTR Raw'!AZ62</f>
        <v>0</v>
      </c>
      <c r="CG157" s="23">
        <f t="shared" ref="CG157:CI160" si="1251">+CF157</f>
        <v>0</v>
      </c>
      <c r="CH157" s="23">
        <f t="shared" si="1227"/>
        <v>0</v>
      </c>
      <c r="CI157" s="23">
        <f t="shared" si="1251"/>
        <v>0</v>
      </c>
      <c r="CJ157" s="23">
        <f>+'QTR Raw'!BD62</f>
        <v>0</v>
      </c>
      <c r="CK157" s="23">
        <f t="shared" ref="CK157:CK160" si="1252">+CJ157</f>
        <v>0</v>
      </c>
      <c r="CL157" s="23">
        <f>+'QTR Raw'!BF62</f>
        <v>0</v>
      </c>
      <c r="CM157" s="24">
        <f t="shared" ref="CM157:CM160" si="1253">+CL157</f>
        <v>0</v>
      </c>
      <c r="CN157" s="24">
        <f t="shared" ref="CN157:CN160" si="1254">+CM157</f>
        <v>0</v>
      </c>
      <c r="CO157" s="24">
        <f t="shared" ref="CO157:CO160" si="1255">+CN157</f>
        <v>0</v>
      </c>
      <c r="CP157" s="24">
        <f t="shared" ref="CP157:CP160" si="1256">+CO157</f>
        <v>0</v>
      </c>
      <c r="CQ157" s="24">
        <f t="shared" ref="CQ157:CQ160" si="1257">+CP157</f>
        <v>0</v>
      </c>
      <c r="CR157" s="24">
        <f t="shared" ref="CR157:CR160" si="1258">+CQ157</f>
        <v>0</v>
      </c>
      <c r="CS157" s="24">
        <f t="shared" ref="CS157:CS160" si="1259">+CR157</f>
        <v>0</v>
      </c>
      <c r="CT157" s="24">
        <f t="shared" ref="CT157:CT160" si="1260">+CS157</f>
        <v>0</v>
      </c>
      <c r="CU157" s="24">
        <f t="shared" ref="CU157:CU160" si="1261">+CT157</f>
        <v>0</v>
      </c>
      <c r="CV157" s="24">
        <f t="shared" ref="CV157:CV160" si="1262">+CU157</f>
        <v>0</v>
      </c>
      <c r="CW157" s="24">
        <f t="shared" ref="CW157:CW160" si="1263">+CV157</f>
        <v>0</v>
      </c>
      <c r="CX157" s="24">
        <f t="shared" ref="CX157:CX160" si="1264">+CW157</f>
        <v>0</v>
      </c>
      <c r="CY157" s="24">
        <f t="shared" ref="CY157:CY160" si="1265">+CX157</f>
        <v>0</v>
      </c>
      <c r="CZ157" s="24">
        <f t="shared" ref="CZ157:CZ160" si="1266">+CY157</f>
        <v>0</v>
      </c>
      <c r="DA157" s="24">
        <f t="shared" ref="DA157:DA160" si="1267">+CZ157</f>
        <v>0</v>
      </c>
      <c r="DB157" s="24">
        <f t="shared" ref="DB157:DB160" si="1268">+DA157</f>
        <v>0</v>
      </c>
      <c r="DE157" s="123"/>
      <c r="DF157" s="23">
        <v>0</v>
      </c>
    </row>
    <row r="158" spans="1:110" s="23" customFormat="1" outlineLevel="1" x14ac:dyDescent="0.2">
      <c r="A158" s="23" t="s">
        <v>46</v>
      </c>
      <c r="B158" s="23">
        <f>'Annual Raw'!C48</f>
        <v>5.6623999999999999</v>
      </c>
      <c r="C158" s="23">
        <f>'Annual Raw'!D48</f>
        <v>3.7629999999999999</v>
      </c>
      <c r="D158" s="23">
        <f>'Annual Raw'!E48</f>
        <v>0.75800000000000001</v>
      </c>
      <c r="E158" s="23">
        <f>'Annual Raw'!F48</f>
        <v>0.40799999999999997</v>
      </c>
      <c r="F158" s="23">
        <f>'Annual Raw'!G48</f>
        <v>0.39</v>
      </c>
      <c r="G158" s="23">
        <f>'Annual Raw'!H48</f>
        <v>558.02</v>
      </c>
      <c r="H158" s="23">
        <f>'Annual Raw'!I48</f>
        <v>0.39</v>
      </c>
      <c r="I158" s="23">
        <f>'Annual Raw'!J48</f>
        <v>0.39</v>
      </c>
      <c r="J158" s="23">
        <f>'Annual Raw'!K48</f>
        <v>0.39</v>
      </c>
      <c r="K158" s="23">
        <f>'Annual Raw'!L48</f>
        <v>60.47</v>
      </c>
      <c r="L158" s="23">
        <f>'Annual Raw'!M48</f>
        <v>0</v>
      </c>
      <c r="M158" s="23">
        <f>'Annual Raw'!N48</f>
        <v>0</v>
      </c>
      <c r="N158" s="23">
        <f>'Annual Raw'!O48</f>
        <v>0</v>
      </c>
      <c r="O158" s="23">
        <f>'Annual Raw'!P48</f>
        <v>0</v>
      </c>
      <c r="P158" s="23">
        <f>'Annual Raw'!Q48</f>
        <v>0</v>
      </c>
      <c r="Q158" s="23">
        <f>'Annual Raw'!R48</f>
        <v>0</v>
      </c>
      <c r="R158" s="23">
        <f>'Annual Raw'!S48</f>
        <v>0</v>
      </c>
      <c r="S158" s="23">
        <f>'Annual Raw'!T48</f>
        <v>0</v>
      </c>
      <c r="T158" s="23">
        <f>'Annual Raw'!U48</f>
        <v>0</v>
      </c>
      <c r="U158" s="23">
        <f>'Annual Raw'!V48</f>
        <v>0</v>
      </c>
      <c r="V158" s="23">
        <f>'Annual Raw'!W48</f>
        <v>4312</v>
      </c>
      <c r="W158" s="23">
        <f>'Annual Raw'!X48</f>
        <v>2111</v>
      </c>
      <c r="X158" s="23">
        <f>'Annual Raw'!Y48</f>
        <v>1500</v>
      </c>
      <c r="Y158" s="23">
        <f>'Annual Raw'!Z48</f>
        <v>4246</v>
      </c>
      <c r="Z158" s="23">
        <f>'Annual Raw'!AA48</f>
        <v>5990</v>
      </c>
      <c r="AA158" s="23">
        <f>'Annual Raw'!AB48</f>
        <v>4614</v>
      </c>
      <c r="AB158" s="24">
        <f t="shared" si="1245"/>
        <v>4614</v>
      </c>
      <c r="AC158" s="24">
        <f t="shared" si="1246"/>
        <v>4614</v>
      </c>
      <c r="AD158" s="24">
        <f t="shared" si="1247"/>
        <v>4614</v>
      </c>
      <c r="AE158" s="24">
        <f t="shared" si="1248"/>
        <v>4614</v>
      </c>
      <c r="AJ158" s="23">
        <f>+'QTR Raw'!D63</f>
        <v>0</v>
      </c>
      <c r="AK158" s="23">
        <f t="shared" si="1249"/>
        <v>0</v>
      </c>
      <c r="AL158" s="23">
        <f>+'QTR Raw'!F63</f>
        <v>0</v>
      </c>
      <c r="AM158" s="23">
        <f t="shared" si="1249"/>
        <v>0</v>
      </c>
      <c r="AN158" s="23">
        <f>+'QTR Raw'!H63</f>
        <v>0</v>
      </c>
      <c r="AO158" s="23">
        <f t="shared" si="1249"/>
        <v>0</v>
      </c>
      <c r="AP158" s="23">
        <f>+'QTR Raw'!J63</f>
        <v>0</v>
      </c>
      <c r="AQ158" s="23">
        <f t="shared" si="1249"/>
        <v>0</v>
      </c>
      <c r="AR158" s="23">
        <f>+'QTR Raw'!L63</f>
        <v>0</v>
      </c>
      <c r="AS158" s="23">
        <f t="shared" si="1249"/>
        <v>0</v>
      </c>
      <c r="AT158" s="23">
        <f>+'QTR Raw'!N63</f>
        <v>0</v>
      </c>
      <c r="AU158" s="23">
        <f t="shared" si="1249"/>
        <v>0</v>
      </c>
      <c r="AV158" s="23">
        <f>+'QTR Raw'!P63</f>
        <v>0</v>
      </c>
      <c r="AW158" s="23">
        <f t="shared" si="1249"/>
        <v>0</v>
      </c>
      <c r="AX158" s="23">
        <f>+'QTR Raw'!R63</f>
        <v>0</v>
      </c>
      <c r="AY158" s="23">
        <f t="shared" si="1249"/>
        <v>0</v>
      </c>
      <c r="AZ158" s="23">
        <f>+'QTR Raw'!T63</f>
        <v>0</v>
      </c>
      <c r="BA158" s="23">
        <f t="shared" si="1249"/>
        <v>0</v>
      </c>
      <c r="BB158" s="23">
        <f>+'QTR Raw'!V63</f>
        <v>0</v>
      </c>
      <c r="BC158" s="23">
        <f t="shared" si="1249"/>
        <v>0</v>
      </c>
      <c r="BD158" s="23">
        <f>+'QTR Raw'!X63</f>
        <v>0</v>
      </c>
      <c r="BE158" s="23">
        <f t="shared" si="1249"/>
        <v>0</v>
      </c>
      <c r="BF158" s="23">
        <f>+'QTR Raw'!Z63</f>
        <v>0</v>
      </c>
      <c r="BG158" s="23">
        <f t="shared" si="1249"/>
        <v>0</v>
      </c>
      <c r="BH158" s="23">
        <f>+'QTR Raw'!AB63</f>
        <v>0</v>
      </c>
      <c r="BI158" s="23">
        <f t="shared" si="1249"/>
        <v>0</v>
      </c>
      <c r="BJ158" s="23">
        <f>+'QTR Raw'!AD63</f>
        <v>0</v>
      </c>
      <c r="BK158" s="23">
        <f t="shared" si="1249"/>
        <v>0</v>
      </c>
      <c r="BL158" s="23">
        <f>+'QTR Raw'!AF63</f>
        <v>0</v>
      </c>
      <c r="BM158" s="23">
        <f t="shared" si="1249"/>
        <v>0</v>
      </c>
      <c r="BN158" s="23">
        <f>+'QTR Raw'!AH63</f>
        <v>0</v>
      </c>
      <c r="BO158" s="23">
        <f t="shared" si="1249"/>
        <v>0</v>
      </c>
      <c r="BP158" s="23">
        <f>+'QTR Raw'!AJ63</f>
        <v>4316</v>
      </c>
      <c r="BQ158" s="23">
        <f t="shared" si="1249"/>
        <v>4316</v>
      </c>
      <c r="BR158" s="23">
        <f>+'QTR Raw'!AL63</f>
        <v>4312</v>
      </c>
      <c r="BS158" s="23">
        <f t="shared" si="1249"/>
        <v>4312</v>
      </c>
      <c r="BT158" s="23">
        <f>+'QTR Raw'!AN63</f>
        <v>2111</v>
      </c>
      <c r="BU158" s="23">
        <f t="shared" si="1249"/>
        <v>2111</v>
      </c>
      <c r="BV158" s="23">
        <f>+'QTR Raw'!AP63</f>
        <v>2111</v>
      </c>
      <c r="BW158" s="23">
        <f t="shared" si="1249"/>
        <v>2111</v>
      </c>
      <c r="BX158" s="23">
        <f>+'QTR Raw'!AR63</f>
        <v>0</v>
      </c>
      <c r="BY158" s="23">
        <f t="shared" si="1249"/>
        <v>0</v>
      </c>
      <c r="BZ158" s="23">
        <f>+'QTR Raw'!AT63</f>
        <v>1500</v>
      </c>
      <c r="CA158" s="23">
        <f t="shared" si="1249"/>
        <v>1500</v>
      </c>
      <c r="CB158" s="23">
        <f>+'QTR Raw'!AV63</f>
        <v>4197</v>
      </c>
      <c r="CC158" s="23">
        <f t="shared" si="1249"/>
        <v>4197</v>
      </c>
      <c r="CD158" s="23">
        <f>+'QTR Raw'!AX63</f>
        <v>4246</v>
      </c>
      <c r="CE158" s="23">
        <f t="shared" si="1250"/>
        <v>4246</v>
      </c>
      <c r="CF158" s="23">
        <f>+'QTR Raw'!AZ63</f>
        <v>4248</v>
      </c>
      <c r="CG158" s="23">
        <f t="shared" si="1251"/>
        <v>4248</v>
      </c>
      <c r="CH158" s="23">
        <f t="shared" si="1227"/>
        <v>5990</v>
      </c>
      <c r="CI158" s="23">
        <f t="shared" si="1251"/>
        <v>5990</v>
      </c>
      <c r="CJ158" s="23">
        <f>+'QTR Raw'!BD63</f>
        <v>4773</v>
      </c>
      <c r="CK158" s="23">
        <f t="shared" si="1252"/>
        <v>4773</v>
      </c>
      <c r="CL158" s="23">
        <f>+'QTR Raw'!BF63</f>
        <v>4614</v>
      </c>
      <c r="CM158" s="24">
        <f t="shared" si="1253"/>
        <v>4614</v>
      </c>
      <c r="CN158" s="24">
        <f t="shared" si="1254"/>
        <v>4614</v>
      </c>
      <c r="CO158" s="24">
        <f t="shared" si="1255"/>
        <v>4614</v>
      </c>
      <c r="CP158" s="24">
        <f t="shared" si="1256"/>
        <v>4614</v>
      </c>
      <c r="CQ158" s="24">
        <f t="shared" si="1257"/>
        <v>4614</v>
      </c>
      <c r="CR158" s="24">
        <f t="shared" si="1258"/>
        <v>4614</v>
      </c>
      <c r="CS158" s="24">
        <f t="shared" si="1259"/>
        <v>4614</v>
      </c>
      <c r="CT158" s="24">
        <f t="shared" si="1260"/>
        <v>4614</v>
      </c>
      <c r="CU158" s="24">
        <f t="shared" si="1261"/>
        <v>4614</v>
      </c>
      <c r="CV158" s="24">
        <f t="shared" si="1262"/>
        <v>4614</v>
      </c>
      <c r="CW158" s="24">
        <f t="shared" si="1263"/>
        <v>4614</v>
      </c>
      <c r="CX158" s="24">
        <f t="shared" si="1264"/>
        <v>4614</v>
      </c>
      <c r="CY158" s="24">
        <f t="shared" si="1265"/>
        <v>4614</v>
      </c>
      <c r="CZ158" s="24">
        <f t="shared" si="1266"/>
        <v>4614</v>
      </c>
      <c r="DA158" s="24">
        <f t="shared" si="1267"/>
        <v>4614</v>
      </c>
      <c r="DB158" s="24">
        <f t="shared" si="1268"/>
        <v>4614</v>
      </c>
      <c r="DE158" s="123"/>
      <c r="DF158" s="23">
        <v>4773</v>
      </c>
    </row>
    <row r="159" spans="1:110" s="23" customFormat="1" outlineLevel="1" x14ac:dyDescent="0.2">
      <c r="A159" s="23" t="s">
        <v>47</v>
      </c>
      <c r="B159" s="23">
        <f>'Annual Raw'!C87+'Annual Raw'!C88+'Annual Raw'!C89+'Annual Raw'!C90</f>
        <v>0</v>
      </c>
      <c r="C159" s="23">
        <f>'Annual Raw'!D87+'Annual Raw'!D88+'Annual Raw'!D89+'Annual Raw'!D90</f>
        <v>0</v>
      </c>
      <c r="D159" s="23">
        <f>'Annual Raw'!E87+'Annual Raw'!E88+'Annual Raw'!E89+'Annual Raw'!E90</f>
        <v>0</v>
      </c>
      <c r="E159" s="23">
        <f>'Annual Raw'!F87+'Annual Raw'!F88+'Annual Raw'!F89+'Annual Raw'!F90</f>
        <v>0</v>
      </c>
      <c r="F159" s="23">
        <f>'Annual Raw'!G87+'Annual Raw'!G88+'Annual Raw'!G89+'Annual Raw'!G90</f>
        <v>0</v>
      </c>
      <c r="G159" s="23">
        <f>'Annual Raw'!H87+'Annual Raw'!H88+'Annual Raw'!H89+'Annual Raw'!H90</f>
        <v>0</v>
      </c>
      <c r="H159" s="23">
        <f>'Annual Raw'!I87+'Annual Raw'!I88+'Annual Raw'!I89+'Annual Raw'!I90</f>
        <v>0</v>
      </c>
      <c r="I159" s="23">
        <f>'Annual Raw'!J87+'Annual Raw'!J88+'Annual Raw'!J89+'Annual Raw'!J90</f>
        <v>0</v>
      </c>
      <c r="J159" s="23">
        <f>'Annual Raw'!K87+'Annual Raw'!K88+'Annual Raw'!K89+'Annual Raw'!K90</f>
        <v>0</v>
      </c>
      <c r="K159" s="23">
        <f>'Annual Raw'!L87+'Annual Raw'!L88+'Annual Raw'!L89+'Annual Raw'!L90</f>
        <v>0</v>
      </c>
      <c r="L159" s="23">
        <f>'Annual Raw'!M87+'Annual Raw'!M88+'Annual Raw'!M89+'Annual Raw'!M90</f>
        <v>0</v>
      </c>
      <c r="M159" s="23">
        <f>'Annual Raw'!N87+'Annual Raw'!N88+'Annual Raw'!N89+'Annual Raw'!N90</f>
        <v>0</v>
      </c>
      <c r="N159" s="23">
        <f>'Annual Raw'!O87+'Annual Raw'!O88+'Annual Raw'!O89+'Annual Raw'!O90</f>
        <v>0</v>
      </c>
      <c r="O159" s="23">
        <f>'Annual Raw'!P87+'Annual Raw'!P88+'Annual Raw'!P89+'Annual Raw'!P90</f>
        <v>0</v>
      </c>
      <c r="P159" s="23">
        <f>'Annual Raw'!Q87+'Annual Raw'!Q88+'Annual Raw'!Q89+'Annual Raw'!Q90</f>
        <v>0</v>
      </c>
      <c r="Q159" s="23">
        <f>'Annual Raw'!R87+'Annual Raw'!R88+'Annual Raw'!R89+'Annual Raw'!R90</f>
        <v>0</v>
      </c>
      <c r="R159" s="23">
        <f>'Annual Raw'!S87+'Annual Raw'!S88+'Annual Raw'!S89+'Annual Raw'!S90</f>
        <v>0</v>
      </c>
      <c r="S159" s="23">
        <f>'Annual Raw'!T87+'Annual Raw'!T88+'Annual Raw'!T89+'Annual Raw'!T90</f>
        <v>0</v>
      </c>
      <c r="T159" s="23">
        <f>'Annual Raw'!U87+'Annual Raw'!U88+'Annual Raw'!U89+'Annual Raw'!U90</f>
        <v>0</v>
      </c>
      <c r="U159" s="23">
        <f>'Annual Raw'!V87+'Annual Raw'!V88+'Annual Raw'!V89+'Annual Raw'!V90</f>
        <v>0</v>
      </c>
      <c r="V159" s="23">
        <f>'Annual Raw'!W87+'Annual Raw'!W88+'Annual Raw'!W89+'Annual Raw'!W90</f>
        <v>704</v>
      </c>
      <c r="W159" s="23">
        <f>'Annual Raw'!X87+'Annual Raw'!X88+'Annual Raw'!X89+'Annual Raw'!X90</f>
        <v>703</v>
      </c>
      <c r="X159" s="23">
        <f>'Annual Raw'!Y87+'Annual Raw'!Y88+'Annual Raw'!Y89+'Annual Raw'!Y90</f>
        <v>2111</v>
      </c>
      <c r="Y159" s="23">
        <f>'Annual Raw'!Z87+'Annual Raw'!Z88+'Annual Raw'!Z89+'Annual Raw'!Z90</f>
        <v>2698</v>
      </c>
      <c r="Z159" s="23">
        <f>'Annual Raw'!AA87+'Annual Raw'!AA88+'Annual Raw'!AA89+'Annual Raw'!AA90</f>
        <v>2722</v>
      </c>
      <c r="AA159" s="23">
        <f>'Annual Raw'!AB87+'Annual Raw'!AB88+'Annual Raw'!AB89+'Annual Raw'!AB90</f>
        <v>3638</v>
      </c>
      <c r="AB159" s="24">
        <f t="shared" si="1245"/>
        <v>0</v>
      </c>
      <c r="AC159" s="24">
        <f t="shared" si="1246"/>
        <v>0</v>
      </c>
      <c r="AD159" s="24">
        <f t="shared" si="1247"/>
        <v>0</v>
      </c>
      <c r="AE159" s="24">
        <f t="shared" si="1248"/>
        <v>0</v>
      </c>
      <c r="AJ159" s="23">
        <f>+'QTR Raw'!D90</f>
        <v>0</v>
      </c>
      <c r="AK159" s="23">
        <f t="shared" si="1249"/>
        <v>0</v>
      </c>
      <c r="AL159" s="23">
        <f>+'QTR Raw'!F90</f>
        <v>0</v>
      </c>
      <c r="AM159" s="23">
        <f t="shared" si="1249"/>
        <v>0</v>
      </c>
      <c r="AN159" s="23">
        <f>+'QTR Raw'!H90</f>
        <v>0</v>
      </c>
      <c r="AO159" s="23">
        <f t="shared" si="1249"/>
        <v>0</v>
      </c>
      <c r="AP159" s="23">
        <f>+'QTR Raw'!J90</f>
        <v>0</v>
      </c>
      <c r="AQ159" s="23">
        <f t="shared" si="1249"/>
        <v>0</v>
      </c>
      <c r="AR159" s="23">
        <f>+'QTR Raw'!L90</f>
        <v>0</v>
      </c>
      <c r="AS159" s="23">
        <f t="shared" si="1249"/>
        <v>0</v>
      </c>
      <c r="AT159" s="23">
        <f>+'QTR Raw'!N90</f>
        <v>0</v>
      </c>
      <c r="AU159" s="23">
        <f t="shared" si="1249"/>
        <v>0</v>
      </c>
      <c r="AV159" s="23">
        <f>+'QTR Raw'!P90</f>
        <v>0</v>
      </c>
      <c r="AW159" s="23">
        <f t="shared" si="1249"/>
        <v>0</v>
      </c>
      <c r="AX159" s="23">
        <f>+'QTR Raw'!R90</f>
        <v>0</v>
      </c>
      <c r="AY159" s="23">
        <f t="shared" si="1249"/>
        <v>0</v>
      </c>
      <c r="AZ159" s="23">
        <f>+'QTR Raw'!T90</f>
        <v>0</v>
      </c>
      <c r="BA159" s="23">
        <f t="shared" si="1249"/>
        <v>0</v>
      </c>
      <c r="BB159" s="23">
        <f>+'QTR Raw'!V90</f>
        <v>0</v>
      </c>
      <c r="BC159" s="23">
        <f t="shared" si="1249"/>
        <v>0</v>
      </c>
      <c r="BD159" s="23">
        <f>+'QTR Raw'!X90</f>
        <v>0</v>
      </c>
      <c r="BE159" s="23">
        <f t="shared" si="1249"/>
        <v>0</v>
      </c>
      <c r="BF159" s="23">
        <f>+'QTR Raw'!Z90</f>
        <v>0</v>
      </c>
      <c r="BG159" s="23">
        <f t="shared" si="1249"/>
        <v>0</v>
      </c>
      <c r="BH159" s="22">
        <f>+'QTR Raw'!AB90</f>
        <v>0</v>
      </c>
      <c r="BI159" s="23">
        <f t="shared" si="1249"/>
        <v>0</v>
      </c>
      <c r="BJ159" s="23">
        <f>+'QTR Raw'!AD90</f>
        <v>0</v>
      </c>
      <c r="BK159" s="23">
        <f t="shared" si="1249"/>
        <v>0</v>
      </c>
      <c r="BL159" s="23">
        <f>+'QTR Raw'!AF90</f>
        <v>0</v>
      </c>
      <c r="BM159" s="23">
        <f t="shared" si="1249"/>
        <v>0</v>
      </c>
      <c r="BN159" s="23">
        <f>+'QTR Raw'!AH90</f>
        <v>0</v>
      </c>
      <c r="BO159" s="23">
        <f t="shared" si="1249"/>
        <v>0</v>
      </c>
      <c r="BP159" s="23">
        <f>+'QTR Raw'!AJ90</f>
        <v>0</v>
      </c>
      <c r="BQ159" s="23">
        <f t="shared" si="1249"/>
        <v>0</v>
      </c>
      <c r="BR159" s="23">
        <f>+'QTR Raw'!AL90</f>
        <v>0</v>
      </c>
      <c r="BS159" s="23">
        <f t="shared" si="1249"/>
        <v>0</v>
      </c>
      <c r="BT159" s="23">
        <f>+'QTR Raw'!AN90</f>
        <v>0</v>
      </c>
      <c r="BU159" s="23">
        <f t="shared" si="1249"/>
        <v>0</v>
      </c>
      <c r="BV159" s="23">
        <f>+'QTR Raw'!AP90</f>
        <v>0</v>
      </c>
      <c r="BW159" s="23">
        <f t="shared" si="1249"/>
        <v>0</v>
      </c>
      <c r="BX159" s="23">
        <f>+'QTR Raw'!AR90</f>
        <v>0</v>
      </c>
      <c r="BY159" s="23">
        <f t="shared" si="1249"/>
        <v>0</v>
      </c>
      <c r="BZ159" s="23">
        <f>+'QTR Raw'!AT90</f>
        <v>0</v>
      </c>
      <c r="CA159" s="23">
        <f t="shared" si="1249"/>
        <v>0</v>
      </c>
      <c r="CB159" s="23">
        <f>+'QTR Raw'!AV90</f>
        <v>0</v>
      </c>
      <c r="CC159" s="23">
        <f t="shared" si="1249"/>
        <v>0</v>
      </c>
      <c r="CD159" s="23">
        <f>+'QTR Raw'!AX90</f>
        <v>0</v>
      </c>
      <c r="CE159" s="23">
        <f t="shared" si="1250"/>
        <v>0</v>
      </c>
      <c r="CF159" s="23">
        <f>+'QTR Raw'!AZ90</f>
        <v>0</v>
      </c>
      <c r="CG159" s="23">
        <f t="shared" si="1251"/>
        <v>0</v>
      </c>
      <c r="CH159" s="23">
        <f>+Z159</f>
        <v>2722</v>
      </c>
      <c r="CI159" s="23">
        <f t="shared" si="1251"/>
        <v>2722</v>
      </c>
      <c r="CJ159" s="23">
        <f>+'QTR Raw'!BD90</f>
        <v>0</v>
      </c>
      <c r="CK159" s="23">
        <f t="shared" si="1252"/>
        <v>0</v>
      </c>
      <c r="CL159" s="23">
        <f>+'QTR Raw'!BF90</f>
        <v>0</v>
      </c>
      <c r="CM159" s="24">
        <f t="shared" si="1253"/>
        <v>0</v>
      </c>
      <c r="CN159" s="24">
        <f t="shared" si="1254"/>
        <v>0</v>
      </c>
      <c r="CO159" s="24">
        <f t="shared" si="1255"/>
        <v>0</v>
      </c>
      <c r="CP159" s="24">
        <f t="shared" si="1256"/>
        <v>0</v>
      </c>
      <c r="CQ159" s="24">
        <f t="shared" si="1257"/>
        <v>0</v>
      </c>
      <c r="CR159" s="24">
        <f t="shared" si="1258"/>
        <v>0</v>
      </c>
      <c r="CS159" s="24">
        <f t="shared" si="1259"/>
        <v>0</v>
      </c>
      <c r="CT159" s="24">
        <f t="shared" si="1260"/>
        <v>0</v>
      </c>
      <c r="CU159" s="24">
        <f t="shared" si="1261"/>
        <v>0</v>
      </c>
      <c r="CV159" s="24">
        <f t="shared" si="1262"/>
        <v>0</v>
      </c>
      <c r="CW159" s="24">
        <f t="shared" si="1263"/>
        <v>0</v>
      </c>
      <c r="CX159" s="24">
        <f t="shared" si="1264"/>
        <v>0</v>
      </c>
      <c r="CY159" s="24">
        <f t="shared" si="1265"/>
        <v>0</v>
      </c>
      <c r="CZ159" s="24">
        <f t="shared" si="1266"/>
        <v>0</v>
      </c>
      <c r="DA159" s="24">
        <f t="shared" si="1267"/>
        <v>0</v>
      </c>
      <c r="DB159" s="24">
        <f t="shared" si="1268"/>
        <v>0</v>
      </c>
      <c r="DE159" s="123"/>
      <c r="DF159" s="23">
        <v>0</v>
      </c>
    </row>
    <row r="160" spans="1:110" s="23" customFormat="1" outlineLevel="1" x14ac:dyDescent="0.2">
      <c r="A160" s="23" t="s">
        <v>48</v>
      </c>
      <c r="B160" s="23">
        <f>'Annual Raw'!C56</f>
        <v>0</v>
      </c>
      <c r="C160" s="23">
        <f>'Annual Raw'!D56</f>
        <v>0</v>
      </c>
      <c r="D160" s="23">
        <f>'Annual Raw'!E56</f>
        <v>0</v>
      </c>
      <c r="E160" s="23">
        <f>'Annual Raw'!F56</f>
        <v>0</v>
      </c>
      <c r="F160" s="23">
        <f>'Annual Raw'!G56</f>
        <v>0</v>
      </c>
      <c r="G160" s="23">
        <f>'Annual Raw'!H56</f>
        <v>0</v>
      </c>
      <c r="H160" s="23">
        <f>'Annual Raw'!I56</f>
        <v>0</v>
      </c>
      <c r="I160" s="23">
        <f>'Annual Raw'!J56</f>
        <v>0</v>
      </c>
      <c r="J160" s="23">
        <f>'Annual Raw'!K56</f>
        <v>0</v>
      </c>
      <c r="K160" s="23">
        <f>'Annual Raw'!L56</f>
        <v>0</v>
      </c>
      <c r="L160" s="23">
        <f>'Annual Raw'!M56</f>
        <v>0.39</v>
      </c>
      <c r="M160" s="23">
        <f>'Annual Raw'!N56</f>
        <v>0.39</v>
      </c>
      <c r="N160" s="23">
        <f>'Annual Raw'!O56</f>
        <v>0</v>
      </c>
      <c r="O160" s="23">
        <f>'Annual Raw'!P56</f>
        <v>0</v>
      </c>
      <c r="P160" s="23">
        <f>'Annual Raw'!Q56</f>
        <v>0</v>
      </c>
      <c r="Q160" s="23">
        <f>'Annual Raw'!R56</f>
        <v>0</v>
      </c>
      <c r="R160" s="23">
        <f>'Annual Raw'!S56</f>
        <v>7908</v>
      </c>
      <c r="S160" s="23">
        <f>'Annual Raw'!T56</f>
        <v>0</v>
      </c>
      <c r="T160" s="23">
        <f>'Annual Raw'!U56</f>
        <v>2538</v>
      </c>
      <c r="U160" s="23">
        <f>'Annual Raw'!V56</f>
        <v>611</v>
      </c>
      <c r="V160" s="23">
        <f>'Annual Raw'!W56</f>
        <v>2161</v>
      </c>
      <c r="W160" s="23">
        <f>'Annual Raw'!X56</f>
        <v>289</v>
      </c>
      <c r="X160" s="23">
        <f>'Annual Raw'!Y56</f>
        <v>8537</v>
      </c>
      <c r="Y160" s="23">
        <f>'Annual Raw'!Z56</f>
        <v>1911</v>
      </c>
      <c r="Z160" s="23">
        <f>'Annual Raw'!AA56</f>
        <v>2508</v>
      </c>
      <c r="AA160" s="23">
        <f>'Annual Raw'!AB56</f>
        <v>105</v>
      </c>
      <c r="AB160" s="24">
        <f t="shared" si="1245"/>
        <v>3638</v>
      </c>
      <c r="AC160" s="24">
        <f t="shared" si="1246"/>
        <v>3638</v>
      </c>
      <c r="AD160" s="24">
        <f t="shared" si="1247"/>
        <v>3638</v>
      </c>
      <c r="AE160" s="24">
        <f t="shared" si="1248"/>
        <v>3638</v>
      </c>
      <c r="AJ160" s="23">
        <f>+'QTR Raw'!D88</f>
        <v>0.39</v>
      </c>
      <c r="AK160" s="23">
        <f t="shared" si="1249"/>
        <v>0.39</v>
      </c>
      <c r="AL160" s="23">
        <f>+'QTR Raw'!F88</f>
        <v>0</v>
      </c>
      <c r="AM160" s="23">
        <f t="shared" si="1249"/>
        <v>0</v>
      </c>
      <c r="AN160" s="23">
        <f>+'QTR Raw'!H88</f>
        <v>0.39</v>
      </c>
      <c r="AO160" s="23">
        <f t="shared" si="1249"/>
        <v>0.39</v>
      </c>
      <c r="AP160" s="23">
        <f>+'QTR Raw'!J88</f>
        <v>0</v>
      </c>
      <c r="AQ160" s="23">
        <f t="shared" si="1249"/>
        <v>0</v>
      </c>
      <c r="AR160" s="23">
        <f>+'QTR Raw'!L88</f>
        <v>0</v>
      </c>
      <c r="AS160" s="23">
        <f t="shared" si="1249"/>
        <v>0</v>
      </c>
      <c r="AT160" s="23">
        <f>+'QTR Raw'!N88</f>
        <v>0</v>
      </c>
      <c r="AU160" s="23">
        <f t="shared" si="1249"/>
        <v>0</v>
      </c>
      <c r="AV160" s="23">
        <f>+'QTR Raw'!P88</f>
        <v>0</v>
      </c>
      <c r="AW160" s="23">
        <f t="shared" si="1249"/>
        <v>0</v>
      </c>
      <c r="AX160" s="23">
        <f>+'QTR Raw'!R88</f>
        <v>0</v>
      </c>
      <c r="AY160" s="23">
        <f t="shared" si="1249"/>
        <v>0</v>
      </c>
      <c r="AZ160" s="23">
        <f>+'QTR Raw'!T88</f>
        <v>1928.02</v>
      </c>
      <c r="BA160" s="23">
        <f t="shared" si="1249"/>
        <v>1928.02</v>
      </c>
      <c r="BB160" s="23">
        <f>+'QTR Raw'!V88</f>
        <v>7908</v>
      </c>
      <c r="BC160" s="23">
        <f t="shared" si="1249"/>
        <v>7908</v>
      </c>
      <c r="BD160" s="23">
        <f>+'QTR Raw'!X88</f>
        <v>593</v>
      </c>
      <c r="BE160" s="23">
        <f t="shared" si="1249"/>
        <v>593</v>
      </c>
      <c r="BF160" s="23">
        <f>+'QTR Raw'!Z88</f>
        <v>0</v>
      </c>
      <c r="BG160" s="23">
        <f t="shared" si="1249"/>
        <v>0</v>
      </c>
      <c r="BH160" s="23">
        <f>+'QTR Raw'!AB88</f>
        <v>0</v>
      </c>
      <c r="BI160" s="23">
        <f t="shared" si="1249"/>
        <v>0</v>
      </c>
      <c r="BJ160" s="23">
        <f>+'QTR Raw'!AD88</f>
        <v>2538</v>
      </c>
      <c r="BK160" s="23">
        <f t="shared" si="1249"/>
        <v>2538</v>
      </c>
      <c r="BL160" s="23">
        <f>+'QTR Raw'!AF88</f>
        <v>0</v>
      </c>
      <c r="BM160" s="23">
        <f t="shared" si="1249"/>
        <v>0</v>
      </c>
      <c r="BN160" s="23">
        <f>+'QTR Raw'!AH88</f>
        <v>611</v>
      </c>
      <c r="BO160" s="23">
        <f t="shared" si="1249"/>
        <v>611</v>
      </c>
      <c r="BP160" s="23">
        <f>+'QTR Raw'!AJ88</f>
        <v>4778</v>
      </c>
      <c r="BQ160" s="23">
        <f t="shared" si="1249"/>
        <v>4778</v>
      </c>
      <c r="BR160" s="23">
        <f>+'QTR Raw'!AL88</f>
        <v>2865</v>
      </c>
      <c r="BS160" s="23">
        <f t="shared" si="1249"/>
        <v>2865</v>
      </c>
      <c r="BT160" s="23">
        <f>+'QTR Raw'!AN88</f>
        <v>2448</v>
      </c>
      <c r="BU160" s="23">
        <f t="shared" si="1249"/>
        <v>2448</v>
      </c>
      <c r="BV160" s="23">
        <f>+'QTR Raw'!AP88</f>
        <v>712</v>
      </c>
      <c r="BW160" s="23">
        <f t="shared" si="1249"/>
        <v>712</v>
      </c>
      <c r="BX160" s="23">
        <f>+'QTR Raw'!AR88</f>
        <v>2111</v>
      </c>
      <c r="BY160" s="23">
        <f t="shared" si="1249"/>
        <v>2111</v>
      </c>
      <c r="BZ160" s="23">
        <f>+'QTR Raw'!AT88</f>
        <v>10341</v>
      </c>
      <c r="CA160" s="23">
        <f t="shared" si="1249"/>
        <v>10341</v>
      </c>
      <c r="CB160" s="23">
        <f>+'QTR Raw'!AV88</f>
        <v>7127</v>
      </c>
      <c r="CC160" s="23">
        <f t="shared" si="1249"/>
        <v>7127</v>
      </c>
      <c r="CD160" s="23">
        <f>+'QTR Raw'!AX88</f>
        <v>4210</v>
      </c>
      <c r="CE160" s="23">
        <f t="shared" si="1250"/>
        <v>4210</v>
      </c>
      <c r="CF160" s="23">
        <f>+'QTR Raw'!AZ88</f>
        <v>9421</v>
      </c>
      <c r="CG160" s="23">
        <f t="shared" si="1251"/>
        <v>9421</v>
      </c>
      <c r="CH160" s="23">
        <f t="shared" si="1227"/>
        <v>2508</v>
      </c>
      <c r="CI160" s="23">
        <f t="shared" si="1251"/>
        <v>2508</v>
      </c>
      <c r="CJ160" s="23">
        <f>+'QTR Raw'!BD88</f>
        <v>5928</v>
      </c>
      <c r="CK160" s="23">
        <f t="shared" si="1252"/>
        <v>5928</v>
      </c>
      <c r="CL160" s="23">
        <f>+'QTR Raw'!BF88</f>
        <v>3638</v>
      </c>
      <c r="CM160" s="24">
        <f t="shared" si="1253"/>
        <v>3638</v>
      </c>
      <c r="CN160" s="24">
        <f t="shared" si="1254"/>
        <v>3638</v>
      </c>
      <c r="CO160" s="24">
        <f t="shared" si="1255"/>
        <v>3638</v>
      </c>
      <c r="CP160" s="24">
        <f t="shared" si="1256"/>
        <v>3638</v>
      </c>
      <c r="CQ160" s="24">
        <f t="shared" si="1257"/>
        <v>3638</v>
      </c>
      <c r="CR160" s="24">
        <f t="shared" si="1258"/>
        <v>3638</v>
      </c>
      <c r="CS160" s="24">
        <f t="shared" si="1259"/>
        <v>3638</v>
      </c>
      <c r="CT160" s="24">
        <f t="shared" si="1260"/>
        <v>3638</v>
      </c>
      <c r="CU160" s="24">
        <f t="shared" si="1261"/>
        <v>3638</v>
      </c>
      <c r="CV160" s="24">
        <f t="shared" si="1262"/>
        <v>3638</v>
      </c>
      <c r="CW160" s="24">
        <f t="shared" si="1263"/>
        <v>3638</v>
      </c>
      <c r="CX160" s="24">
        <f t="shared" si="1264"/>
        <v>3638</v>
      </c>
      <c r="CY160" s="24">
        <f t="shared" si="1265"/>
        <v>3638</v>
      </c>
      <c r="CZ160" s="24">
        <f t="shared" si="1266"/>
        <v>3638</v>
      </c>
      <c r="DA160" s="24">
        <f t="shared" si="1267"/>
        <v>3638</v>
      </c>
      <c r="DB160" s="24">
        <f t="shared" si="1268"/>
        <v>3638</v>
      </c>
      <c r="DE160" s="123"/>
      <c r="DF160" s="23">
        <v>5928</v>
      </c>
    </row>
    <row r="161" spans="1:110" s="22" customFormat="1" x14ac:dyDescent="0.2">
      <c r="A161" s="22" t="s">
        <v>49</v>
      </c>
      <c r="B161" s="22">
        <f>SUM(B157:B160)</f>
        <v>5.6623999999999999</v>
      </c>
      <c r="C161" s="22">
        <f t="shared" ref="C161:V161" si="1269">SUM(C157:C160)</f>
        <v>3.7629999999999999</v>
      </c>
      <c r="D161" s="22">
        <f t="shared" si="1269"/>
        <v>0.75800000000000001</v>
      </c>
      <c r="E161" s="22">
        <f t="shared" si="1269"/>
        <v>607.79600000000005</v>
      </c>
      <c r="F161" s="22">
        <f t="shared" si="1269"/>
        <v>571.31999999999994</v>
      </c>
      <c r="G161" s="22">
        <f t="shared" si="1269"/>
        <v>558.02</v>
      </c>
      <c r="H161" s="22">
        <f t="shared" si="1269"/>
        <v>0.39</v>
      </c>
      <c r="I161" s="22">
        <f t="shared" si="1269"/>
        <v>0.39</v>
      </c>
      <c r="J161" s="22">
        <f t="shared" si="1269"/>
        <v>8.6900000000000013</v>
      </c>
      <c r="K161" s="22">
        <f t="shared" si="1269"/>
        <v>60.47</v>
      </c>
      <c r="L161" s="22">
        <f t="shared" si="1269"/>
        <v>0.39</v>
      </c>
      <c r="M161" s="22">
        <f t="shared" si="1269"/>
        <v>0.39</v>
      </c>
      <c r="N161" s="22">
        <f t="shared" si="1269"/>
        <v>0</v>
      </c>
      <c r="O161" s="22">
        <f t="shared" si="1269"/>
        <v>0</v>
      </c>
      <c r="P161" s="22">
        <f t="shared" si="1269"/>
        <v>0</v>
      </c>
      <c r="Q161" s="22">
        <f t="shared" si="1269"/>
        <v>0</v>
      </c>
      <c r="R161" s="22">
        <f t="shared" si="1269"/>
        <v>7908</v>
      </c>
      <c r="S161" s="22">
        <f t="shared" si="1269"/>
        <v>0</v>
      </c>
      <c r="T161" s="22">
        <f t="shared" si="1269"/>
        <v>2538</v>
      </c>
      <c r="U161" s="22">
        <f t="shared" si="1269"/>
        <v>611</v>
      </c>
      <c r="V161" s="22">
        <f t="shared" si="1269"/>
        <v>7177</v>
      </c>
      <c r="W161" s="22">
        <f t="shared" ref="W161" si="1270">SUM(W157:W160)</f>
        <v>3103</v>
      </c>
      <c r="X161" s="22">
        <f t="shared" ref="X161:Y161" si="1271">SUM(X157:X160)</f>
        <v>12148</v>
      </c>
      <c r="Y161" s="22">
        <f t="shared" si="1271"/>
        <v>8855</v>
      </c>
      <c r="Z161" s="22">
        <f t="shared" ref="Z161:AA161" si="1272">SUM(Z157:Z160)</f>
        <v>11220</v>
      </c>
      <c r="AA161" s="22">
        <f t="shared" si="1272"/>
        <v>8357</v>
      </c>
      <c r="AB161" s="21">
        <f t="shared" ref="AA161:AD161" si="1273">SUM(AB157:AB160)</f>
        <v>8252</v>
      </c>
      <c r="AC161" s="21">
        <f t="shared" si="1273"/>
        <v>8252</v>
      </c>
      <c r="AD161" s="21">
        <f t="shared" si="1273"/>
        <v>8252</v>
      </c>
      <c r="AE161" s="21">
        <f t="shared" ref="AE161" si="1274">SUM(AE157:AE160)</f>
        <v>8252</v>
      </c>
      <c r="AJ161" s="22">
        <f t="shared" ref="AJ161" si="1275">SUM(AJ157:AJ160)</f>
        <v>0.39</v>
      </c>
      <c r="AK161" s="22">
        <f t="shared" ref="AK161" si="1276">SUM(AK157:AK160)</f>
        <v>0.39</v>
      </c>
      <c r="AL161" s="22">
        <f t="shared" ref="AL161:AM161" si="1277">SUM(AL157:AL160)</f>
        <v>0</v>
      </c>
      <c r="AM161" s="22">
        <f t="shared" si="1277"/>
        <v>0</v>
      </c>
      <c r="AN161" s="22">
        <f t="shared" ref="AN161:AO161" si="1278">SUM(AN157:AN160)</f>
        <v>0.39</v>
      </c>
      <c r="AO161" s="22">
        <f t="shared" si="1278"/>
        <v>0.39</v>
      </c>
      <c r="AP161" s="22">
        <f t="shared" ref="AP161:CE161" si="1279">SUM(AP157:AP160)</f>
        <v>0</v>
      </c>
      <c r="AQ161" s="22">
        <f t="shared" si="1279"/>
        <v>0</v>
      </c>
      <c r="AR161" s="22">
        <f t="shared" si="1279"/>
        <v>0</v>
      </c>
      <c r="AS161" s="22">
        <f t="shared" si="1279"/>
        <v>0</v>
      </c>
      <c r="AT161" s="22">
        <f t="shared" si="1279"/>
        <v>0</v>
      </c>
      <c r="AU161" s="22">
        <f t="shared" si="1279"/>
        <v>0</v>
      </c>
      <c r="AV161" s="22">
        <f t="shared" si="1279"/>
        <v>0</v>
      </c>
      <c r="AW161" s="22">
        <f t="shared" si="1279"/>
        <v>0</v>
      </c>
      <c r="AX161" s="22">
        <f t="shared" si="1279"/>
        <v>0</v>
      </c>
      <c r="AY161" s="22">
        <f t="shared" si="1279"/>
        <v>0</v>
      </c>
      <c r="AZ161" s="22">
        <f t="shared" si="1279"/>
        <v>1928.02</v>
      </c>
      <c r="BA161" s="22">
        <f t="shared" si="1279"/>
        <v>1928.02</v>
      </c>
      <c r="BB161" s="22">
        <f t="shared" si="1279"/>
        <v>7908</v>
      </c>
      <c r="BC161" s="22">
        <f t="shared" si="1279"/>
        <v>7908</v>
      </c>
      <c r="BD161" s="22">
        <f t="shared" si="1279"/>
        <v>593</v>
      </c>
      <c r="BE161" s="22">
        <f t="shared" si="1279"/>
        <v>593</v>
      </c>
      <c r="BF161" s="22">
        <f t="shared" si="1279"/>
        <v>0</v>
      </c>
      <c r="BG161" s="22">
        <f t="shared" si="1279"/>
        <v>0</v>
      </c>
      <c r="BH161" s="22">
        <f t="shared" ref="BH161" si="1280">SUM(BH157:BH160)</f>
        <v>0</v>
      </c>
      <c r="BI161" s="22">
        <f t="shared" si="1279"/>
        <v>0</v>
      </c>
      <c r="BJ161" s="22">
        <f t="shared" si="1279"/>
        <v>2538</v>
      </c>
      <c r="BK161" s="22">
        <f t="shared" si="1279"/>
        <v>2538</v>
      </c>
      <c r="BL161" s="22">
        <f t="shared" si="1279"/>
        <v>0</v>
      </c>
      <c r="BM161" s="22">
        <f t="shared" si="1279"/>
        <v>0</v>
      </c>
      <c r="BN161" s="22">
        <f t="shared" si="1279"/>
        <v>611</v>
      </c>
      <c r="BO161" s="22">
        <f t="shared" si="1279"/>
        <v>611</v>
      </c>
      <c r="BP161" s="22">
        <f t="shared" si="1279"/>
        <v>9094</v>
      </c>
      <c r="BQ161" s="22">
        <f t="shared" si="1279"/>
        <v>9094</v>
      </c>
      <c r="BR161" s="22">
        <f t="shared" si="1279"/>
        <v>7177</v>
      </c>
      <c r="BS161" s="22">
        <f t="shared" si="1279"/>
        <v>7177</v>
      </c>
      <c r="BT161" s="22">
        <f t="shared" si="1279"/>
        <v>4559</v>
      </c>
      <c r="BU161" s="22">
        <f t="shared" si="1279"/>
        <v>4559</v>
      </c>
      <c r="BV161" s="22">
        <f t="shared" si="1279"/>
        <v>2823</v>
      </c>
      <c r="BW161" s="22">
        <f t="shared" si="1279"/>
        <v>2823</v>
      </c>
      <c r="BX161" s="22">
        <f t="shared" si="1279"/>
        <v>2111</v>
      </c>
      <c r="BY161" s="22">
        <f t="shared" si="1279"/>
        <v>2111</v>
      </c>
      <c r="BZ161" s="22">
        <f t="shared" si="1279"/>
        <v>11841</v>
      </c>
      <c r="CA161" s="22">
        <f t="shared" si="1279"/>
        <v>11841</v>
      </c>
      <c r="CB161" s="22">
        <f t="shared" si="1279"/>
        <v>11324</v>
      </c>
      <c r="CC161" s="22">
        <f t="shared" si="1279"/>
        <v>11324</v>
      </c>
      <c r="CD161" s="22">
        <f t="shared" si="1279"/>
        <v>8456</v>
      </c>
      <c r="CE161" s="22">
        <f t="shared" si="1279"/>
        <v>8456</v>
      </c>
      <c r="CF161" s="22">
        <f t="shared" ref="CF161:CG161" si="1281">SUM(CF157:CF160)</f>
        <v>13669</v>
      </c>
      <c r="CG161" s="22">
        <f t="shared" si="1281"/>
        <v>13669</v>
      </c>
      <c r="CH161" s="22">
        <f t="shared" ref="CH161:CI161" si="1282">SUM(CH157:CH160)</f>
        <v>11220</v>
      </c>
      <c r="CI161" s="22">
        <f t="shared" si="1282"/>
        <v>11220</v>
      </c>
      <c r="CJ161" s="22">
        <f t="shared" ref="CJ161:DB161" si="1283">SUM(CJ157:CJ160)</f>
        <v>10701</v>
      </c>
      <c r="CK161" s="22">
        <f t="shared" si="1283"/>
        <v>10701</v>
      </c>
      <c r="CL161" s="22">
        <f t="shared" ref="CL161" si="1284">SUM(CL157:CL160)</f>
        <v>8252</v>
      </c>
      <c r="CM161" s="21">
        <f t="shared" si="1283"/>
        <v>8252</v>
      </c>
      <c r="CN161" s="21">
        <f t="shared" si="1283"/>
        <v>8252</v>
      </c>
      <c r="CO161" s="21">
        <f t="shared" si="1283"/>
        <v>8252</v>
      </c>
      <c r="CP161" s="21">
        <f t="shared" si="1283"/>
        <v>8252</v>
      </c>
      <c r="CQ161" s="21">
        <f t="shared" si="1283"/>
        <v>8252</v>
      </c>
      <c r="CR161" s="21">
        <f t="shared" si="1283"/>
        <v>8252</v>
      </c>
      <c r="CS161" s="21">
        <f t="shared" si="1283"/>
        <v>8252</v>
      </c>
      <c r="CT161" s="21">
        <f t="shared" si="1283"/>
        <v>8252</v>
      </c>
      <c r="CU161" s="21">
        <f t="shared" si="1283"/>
        <v>8252</v>
      </c>
      <c r="CV161" s="21">
        <f t="shared" si="1283"/>
        <v>8252</v>
      </c>
      <c r="CW161" s="21">
        <f t="shared" si="1283"/>
        <v>8252</v>
      </c>
      <c r="CX161" s="21">
        <f t="shared" si="1283"/>
        <v>8252</v>
      </c>
      <c r="CY161" s="21">
        <f t="shared" si="1283"/>
        <v>8252</v>
      </c>
      <c r="CZ161" s="21">
        <f t="shared" si="1283"/>
        <v>8252</v>
      </c>
      <c r="DA161" s="21">
        <f t="shared" si="1283"/>
        <v>8252</v>
      </c>
      <c r="DB161" s="21">
        <f t="shared" si="1283"/>
        <v>8252</v>
      </c>
      <c r="DE161" s="126"/>
      <c r="DF161" s="22">
        <v>10701</v>
      </c>
    </row>
    <row r="162" spans="1:110" s="26" customFormat="1" x14ac:dyDescent="0.2">
      <c r="A162" s="26" t="s">
        <v>437</v>
      </c>
      <c r="B162" s="26">
        <f>B161+B153+B155</f>
        <v>1165.9206999999999</v>
      </c>
      <c r="C162" s="26">
        <f t="shared" ref="C162:V162" si="1285">C161+C153+C155</f>
        <v>1071.038</v>
      </c>
      <c r="D162" s="26">
        <f>D161+D153+D155</f>
        <v>1170.4950000000001</v>
      </c>
      <c r="E162" s="26">
        <f t="shared" si="1285"/>
        <v>2114.67</v>
      </c>
      <c r="F162" s="26">
        <f t="shared" si="1285"/>
        <v>2649.0699999999997</v>
      </c>
      <c r="G162" s="26">
        <f t="shared" si="1285"/>
        <v>3987.7999999999997</v>
      </c>
      <c r="H162" s="26">
        <f t="shared" si="1285"/>
        <v>7627.45</v>
      </c>
      <c r="I162" s="26">
        <f t="shared" si="1285"/>
        <v>11848.58</v>
      </c>
      <c r="J162" s="26">
        <f t="shared" si="1285"/>
        <v>14366.27</v>
      </c>
      <c r="K162" s="26">
        <f t="shared" si="1285"/>
        <v>18184.439999999999</v>
      </c>
      <c r="L162" s="26">
        <f t="shared" si="1285"/>
        <v>22533.58</v>
      </c>
      <c r="M162" s="26">
        <f t="shared" si="1285"/>
        <v>26881.65</v>
      </c>
      <c r="N162" s="26">
        <f t="shared" si="1285"/>
        <v>32275.74</v>
      </c>
      <c r="O162" s="26">
        <f t="shared" si="1285"/>
        <v>37417.61</v>
      </c>
      <c r="P162" s="26">
        <f t="shared" si="1285"/>
        <v>43353.07</v>
      </c>
      <c r="Q162" s="26">
        <f t="shared" si="1285"/>
        <v>37385</v>
      </c>
      <c r="R162" s="26">
        <f t="shared" si="1285"/>
        <v>38713</v>
      </c>
      <c r="S162" s="26">
        <f t="shared" si="1285"/>
        <v>35932</v>
      </c>
      <c r="T162" s="26">
        <f t="shared" si="1285"/>
        <v>36143</v>
      </c>
      <c r="U162" s="26">
        <f t="shared" si="1285"/>
        <v>40921</v>
      </c>
      <c r="V162" s="26">
        <f t="shared" si="1285"/>
        <v>39490</v>
      </c>
      <c r="W162" s="26">
        <f t="shared" ref="W162" si="1286">W161+W153+W155</f>
        <v>37384</v>
      </c>
      <c r="X162" s="26">
        <f t="shared" ref="X162:Y162" si="1287">X161+X153+X155</f>
        <v>25080</v>
      </c>
      <c r="Y162" s="26">
        <f t="shared" si="1287"/>
        <v>24050</v>
      </c>
      <c r="Z162" s="26">
        <f t="shared" ref="Z162:AA162" si="1288">Z161+Z153+Z155</f>
        <v>24546</v>
      </c>
      <c r="AA162" s="26">
        <f t="shared" si="1288"/>
        <v>30986</v>
      </c>
      <c r="AB162" s="27">
        <f t="shared" ref="AA162:AD162" si="1289">AB161+AB153+AB155</f>
        <v>48603.77756585936</v>
      </c>
      <c r="AC162" s="27">
        <f t="shared" si="1289"/>
        <v>66673.09789402131</v>
      </c>
      <c r="AD162" s="27">
        <f t="shared" si="1289"/>
        <v>84582.292898383937</v>
      </c>
      <c r="AE162" s="27">
        <f t="shared" ref="AE162" si="1290">AE161+AE153+AE155</f>
        <v>103604.69600074551</v>
      </c>
      <c r="AJ162" s="26">
        <f t="shared" ref="AJ162" si="1291">AJ161+AJ153+AJ155</f>
        <v>29203.040000000001</v>
      </c>
      <c r="AK162" s="26">
        <f t="shared" ref="AK162" si="1292">AK161+AK153+AK155</f>
        <v>30815.58</v>
      </c>
      <c r="AL162" s="26">
        <f t="shared" ref="AL162" si="1293">AL161+AL153+AL155</f>
        <v>32275.74</v>
      </c>
      <c r="AM162" s="26">
        <f t="shared" ref="AM162:AO162" si="1294">AM161+AM153+AM155</f>
        <v>33936.189999999995</v>
      </c>
      <c r="AN162" s="26">
        <f t="shared" si="1294"/>
        <v>34766.479999999996</v>
      </c>
      <c r="AO162" s="26">
        <f t="shared" si="1294"/>
        <v>36489.199999999997</v>
      </c>
      <c r="AP162" s="26">
        <f t="shared" ref="AP162:CE162" si="1295">AP161+AP153+AP155</f>
        <v>37417.61</v>
      </c>
      <c r="AQ162" s="26">
        <f t="shared" si="1295"/>
        <v>39035.279999999999</v>
      </c>
      <c r="AR162" s="26">
        <f t="shared" si="1295"/>
        <v>40278.379999999997</v>
      </c>
      <c r="AS162" s="26">
        <f t="shared" si="1295"/>
        <v>42657.75</v>
      </c>
      <c r="AT162" s="26">
        <f t="shared" si="1295"/>
        <v>43353.07</v>
      </c>
      <c r="AU162" s="26">
        <f t="shared" si="1295"/>
        <v>45293.21</v>
      </c>
      <c r="AV162" s="26">
        <f t="shared" si="1295"/>
        <v>45629.34</v>
      </c>
      <c r="AW162" s="26">
        <f t="shared" si="1295"/>
        <v>47468.92</v>
      </c>
      <c r="AX162" s="26">
        <f t="shared" si="1295"/>
        <v>37385.189999999995</v>
      </c>
      <c r="AY162" s="26">
        <f t="shared" si="1295"/>
        <v>38422.189999999995</v>
      </c>
      <c r="AZ162" s="26">
        <f t="shared" si="1295"/>
        <v>42325.869999999995</v>
      </c>
      <c r="BA162" s="26">
        <f t="shared" si="1295"/>
        <v>44645.869999999995</v>
      </c>
      <c r="BB162" s="26">
        <f t="shared" si="1295"/>
        <v>38713</v>
      </c>
      <c r="BC162" s="26">
        <f t="shared" si="1295"/>
        <v>40602</v>
      </c>
      <c r="BD162" s="26">
        <f t="shared" si="1295"/>
        <v>35772</v>
      </c>
      <c r="BE162" s="26">
        <f t="shared" si="1295"/>
        <v>38070</v>
      </c>
      <c r="BF162" s="26">
        <f t="shared" si="1295"/>
        <v>35932</v>
      </c>
      <c r="BG162" s="26">
        <f t="shared" si="1295"/>
        <v>37850</v>
      </c>
      <c r="BH162" s="26">
        <f t="shared" ref="BH162" si="1296">BH161+BH153+BH155</f>
        <v>39576</v>
      </c>
      <c r="BI162" s="26">
        <f t="shared" si="1295"/>
        <v>41787</v>
      </c>
      <c r="BJ162" s="26">
        <f t="shared" si="1295"/>
        <v>36143</v>
      </c>
      <c r="BK162" s="26">
        <f t="shared" si="1295"/>
        <v>37908</v>
      </c>
      <c r="BL162" s="26">
        <f t="shared" si="1295"/>
        <v>37402</v>
      </c>
      <c r="BM162" s="26">
        <f t="shared" si="1295"/>
        <v>39022</v>
      </c>
      <c r="BN162" s="26">
        <f t="shared" si="1295"/>
        <v>40921</v>
      </c>
      <c r="BO162" s="26">
        <f t="shared" si="1295"/>
        <v>42280</v>
      </c>
      <c r="BP162" s="26">
        <f t="shared" si="1295"/>
        <v>45735</v>
      </c>
      <c r="BQ162" s="26">
        <f t="shared" si="1295"/>
        <v>47935</v>
      </c>
      <c r="BR162" s="26">
        <f t="shared" si="1295"/>
        <v>39490</v>
      </c>
      <c r="BS162" s="26">
        <f t="shared" si="1295"/>
        <v>41473</v>
      </c>
      <c r="BT162" s="26">
        <f t="shared" si="1295"/>
        <v>40889</v>
      </c>
      <c r="BU162" s="26">
        <f t="shared" si="1295"/>
        <v>43590</v>
      </c>
      <c r="BV162" s="26">
        <f t="shared" si="1295"/>
        <v>37104</v>
      </c>
      <c r="BW162" s="26">
        <f t="shared" si="1295"/>
        <v>40196</v>
      </c>
      <c r="BX162" s="26">
        <f t="shared" si="1295"/>
        <v>33387</v>
      </c>
      <c r="BY162" s="26">
        <f t="shared" si="1295"/>
        <v>35543</v>
      </c>
      <c r="BZ162" s="26">
        <f t="shared" si="1295"/>
        <v>24773</v>
      </c>
      <c r="CA162" s="26">
        <f t="shared" si="1295"/>
        <v>26737</v>
      </c>
      <c r="CB162" s="26">
        <f t="shared" si="1295"/>
        <v>24979</v>
      </c>
      <c r="CC162" s="26">
        <f t="shared" si="1295"/>
        <v>27007</v>
      </c>
      <c r="CD162" s="26">
        <f t="shared" si="1295"/>
        <v>23651</v>
      </c>
      <c r="CE162" s="26">
        <f t="shared" si="1295"/>
        <v>25996</v>
      </c>
      <c r="CF162" s="26">
        <f t="shared" ref="CF162:CG162" si="1297">CF161+CF153+CF155</f>
        <v>21289</v>
      </c>
      <c r="CG162" s="26">
        <f t="shared" si="1297"/>
        <v>23967</v>
      </c>
      <c r="CH162" s="26">
        <f t="shared" ref="CH162:CI162" si="1298">CH161+CH153+CH155</f>
        <v>24546</v>
      </c>
      <c r="CI162" s="26">
        <f t="shared" si="1298"/>
        <v>26780</v>
      </c>
      <c r="CJ162" s="26">
        <f t="shared" ref="CJ162:DB162" si="1299">CJ161+CJ153+CJ155</f>
        <v>24398</v>
      </c>
      <c r="CK162" s="26">
        <f t="shared" si="1299"/>
        <v>28314</v>
      </c>
      <c r="CL162" s="26">
        <f t="shared" ref="CL162" si="1300">CL161+CL153+CL155</f>
        <v>30881</v>
      </c>
      <c r="CM162" s="27">
        <f t="shared" si="1299"/>
        <v>35003.038359114653</v>
      </c>
      <c r="CN162" s="27">
        <f t="shared" si="1299"/>
        <v>39340.023052401455</v>
      </c>
      <c r="CO162" s="27">
        <f t="shared" si="1299"/>
        <v>43954.967177691316</v>
      </c>
      <c r="CP162" s="27">
        <f t="shared" si="1299"/>
        <v>48603.77756585936</v>
      </c>
      <c r="CQ162" s="27">
        <f t="shared" si="1299"/>
        <v>52729.731624920794</v>
      </c>
      <c r="CR162" s="27">
        <f t="shared" si="1299"/>
        <v>57079.70673338473</v>
      </c>
      <c r="CS162" s="27">
        <f t="shared" si="1299"/>
        <v>61791.236621196738</v>
      </c>
      <c r="CT162" s="27">
        <f t="shared" si="1299"/>
        <v>66673.09789402131</v>
      </c>
      <c r="CU162" s="27">
        <f t="shared" si="1299"/>
        <v>70632.886951779015</v>
      </c>
      <c r="CV162" s="27">
        <f t="shared" si="1299"/>
        <v>74906.689083135789</v>
      </c>
      <c r="CW162" s="27">
        <f t="shared" si="1299"/>
        <v>79626.172818800609</v>
      </c>
      <c r="CX162" s="27">
        <f t="shared" si="1299"/>
        <v>84582.292898383937</v>
      </c>
      <c r="CY162" s="27">
        <f t="shared" si="1299"/>
        <v>88857.823276872849</v>
      </c>
      <c r="CZ162" s="27">
        <f t="shared" si="1299"/>
        <v>93418.473657516384</v>
      </c>
      <c r="DA162" s="27">
        <f t="shared" si="1299"/>
        <v>98399.768312439584</v>
      </c>
      <c r="DB162" s="27">
        <f t="shared" si="1299"/>
        <v>103604.69600074551</v>
      </c>
      <c r="DE162" s="121"/>
      <c r="DF162" s="26">
        <v>32739.492265678531</v>
      </c>
    </row>
    <row r="163" spans="1:110" s="23" customFormat="1" x14ac:dyDescent="0.2">
      <c r="AB163" s="24"/>
      <c r="AC163" s="24"/>
      <c r="AD163" s="24"/>
      <c r="AE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</row>
    <row r="164" spans="1:110" s="23" customFormat="1" outlineLevel="1" x14ac:dyDescent="0.2">
      <c r="A164" s="23" t="s">
        <v>50</v>
      </c>
      <c r="B164" s="23">
        <f>'Annual Raw'!C62</f>
        <v>1396.8424</v>
      </c>
      <c r="C164" s="23">
        <f>'Annual Raw'!D62</f>
        <v>1527.335</v>
      </c>
      <c r="D164" s="23">
        <f>'Annual Raw'!E62</f>
        <v>1548.2149999999999</v>
      </c>
      <c r="E164" s="23">
        <f>'Annual Raw'!F62-E168</f>
        <v>1599.748</v>
      </c>
      <c r="F164" s="23">
        <f>'Annual Raw'!G62-F168</f>
        <v>2398.81</v>
      </c>
      <c r="G164" s="23">
        <f>'Annual Raw'!H62-G168</f>
        <v>2989.96</v>
      </c>
      <c r="H164" s="23">
        <f>'Annual Raw'!I62-H168</f>
        <v>3499.79</v>
      </c>
      <c r="I164" s="23">
        <f>'Annual Raw'!J62-I168</f>
        <v>5181.8</v>
      </c>
      <c r="J164" s="23">
        <f>'Annual Raw'!K62-J168</f>
        <v>5855.51</v>
      </c>
      <c r="K164" s="23">
        <f>'Annual Raw'!L62-K168</f>
        <v>8240.66</v>
      </c>
      <c r="L164" s="23">
        <f>'Annual Raw'!M62-L168</f>
        <v>9802.33</v>
      </c>
      <c r="M164" s="23">
        <f>'Annual Raw'!N62-M168</f>
        <v>11657.9</v>
      </c>
      <c r="N164" s="23">
        <f>'Annual Raw'!O62-N168</f>
        <v>12264.8</v>
      </c>
      <c r="O164" s="23">
        <f>'Annual Raw'!P62-O168</f>
        <v>13584.11</v>
      </c>
      <c r="P164" s="23">
        <f>'Annual Raw'!Q62-P168</f>
        <v>14550.51</v>
      </c>
      <c r="Q164" s="23">
        <f>'Annual Raw'!R62-Q168</f>
        <v>16524</v>
      </c>
      <c r="R164" s="23">
        <f>'Annual Raw'!S62-R168</f>
        <v>17904</v>
      </c>
      <c r="S164" s="23">
        <f>'Annual Raw'!T62-S168</f>
        <v>20657</v>
      </c>
      <c r="T164" s="23">
        <f>'Annual Raw'!U62-T168</f>
        <v>25841</v>
      </c>
      <c r="U164" s="23">
        <f>'Annual Raw'!V62-U168</f>
        <v>29611</v>
      </c>
      <c r="V164" s="23">
        <f>'Annual Raw'!W62-V168</f>
        <v>32292</v>
      </c>
      <c r="W164" s="23">
        <f>'Annual Raw'!X62-W168</f>
        <v>35364</v>
      </c>
      <c r="X164" s="23">
        <f>'Annual Raw'!Y62-X168</f>
        <v>38091</v>
      </c>
      <c r="Y164" s="23">
        <f>'Annual Raw'!Z62-Y168</f>
        <v>41879</v>
      </c>
      <c r="Z164" s="23">
        <f>'Annual Raw'!AA62-Z168</f>
        <v>45754</v>
      </c>
      <c r="AA164" s="23">
        <f>'Annual Raw'!AB62-AA168</f>
        <v>50453</v>
      </c>
      <c r="AB164" s="24">
        <f t="shared" ref="AB164:AB170" si="1301">+CP164</f>
        <v>66938</v>
      </c>
      <c r="AC164" s="24">
        <f t="shared" ref="AC164:AC170" si="1302">+CT164</f>
        <v>82938</v>
      </c>
      <c r="AD164" s="24">
        <f t="shared" ref="AD164:AD170" si="1303">+CX164</f>
        <v>82938</v>
      </c>
      <c r="AE164" s="24">
        <f t="shared" ref="AE164:AE170" si="1304">+DB164</f>
        <v>82938</v>
      </c>
      <c r="AJ164" s="23">
        <f>+'QTR Raw'!D68</f>
        <v>9148.69</v>
      </c>
      <c r="AL164" s="23">
        <f>+'QTR Raw'!F68</f>
        <v>9565.59</v>
      </c>
      <c r="AN164" s="23">
        <f>+'QTR Raw'!H68</f>
        <v>9967.7000000000007</v>
      </c>
      <c r="AP164" s="23">
        <f>+'QTR Raw'!J68</f>
        <v>10688.19</v>
      </c>
      <c r="AR164" s="23">
        <f>+'QTR Raw'!L68</f>
        <v>10963.83</v>
      </c>
      <c r="AT164" s="23">
        <f>+'QTR Raw'!N68</f>
        <v>11450.88</v>
      </c>
      <c r="AV164" s="23">
        <f>+'QTR Raw'!P68</f>
        <v>11912.61</v>
      </c>
      <c r="AX164" s="23">
        <f>+'QTR Raw'!R68</f>
        <v>10385.26</v>
      </c>
      <c r="AZ164" s="23">
        <f>+'QTR Raw'!T68</f>
        <v>10279.58</v>
      </c>
      <c r="BB164" s="23">
        <f>+'QTR Raw'!V68</f>
        <v>9993</v>
      </c>
      <c r="BD164" s="23">
        <f>+'QTR Raw'!X68</f>
        <v>9938</v>
      </c>
      <c r="BF164" s="23">
        <f>+'QTR Raw'!Z68</f>
        <v>11302</v>
      </c>
      <c r="BH164" s="23">
        <f>+'QTR Raw'!AB68</f>
        <v>11696</v>
      </c>
      <c r="BJ164" s="23">
        <f>+'QTR Raw'!AD68</f>
        <v>14778</v>
      </c>
      <c r="BL164" s="23">
        <f>+'QTR Raw'!AF68</f>
        <v>14956</v>
      </c>
      <c r="BN164" s="23">
        <f>+'QTR Raw'!AH68</f>
        <v>16469</v>
      </c>
      <c r="BP164" s="23">
        <f>+'QTR Raw'!AJ68</f>
        <v>16285</v>
      </c>
      <c r="BR164" s="23">
        <f>+'QTR Raw'!AL68</f>
        <v>16808</v>
      </c>
      <c r="BT164" s="23">
        <f>+'QTR Raw'!AN68</f>
        <v>16766</v>
      </c>
      <c r="BV164" s="23">
        <f>+'QTR Raw'!AP68</f>
        <v>17396</v>
      </c>
      <c r="BX164" s="23">
        <f>+'QTR Raw'!AR68</f>
        <v>17324</v>
      </c>
      <c r="BZ164" s="23">
        <f>+'QTR Raw'!AT68</f>
        <v>17622</v>
      </c>
      <c r="CB164" s="23">
        <f>+'QTR Raw'!AV68</f>
        <v>18551</v>
      </c>
      <c r="CD164" s="23">
        <f>+'QTR Raw'!AX68</f>
        <v>18151</v>
      </c>
      <c r="CF164" s="23">
        <f>+'QTR Raw'!AZ68</f>
        <v>17783</v>
      </c>
      <c r="CH164" s="23">
        <f t="shared" ref="CH164:CH170" si="1305">Z164</f>
        <v>45754</v>
      </c>
      <c r="CI164" s="23">
        <f>CH164</f>
        <v>45754</v>
      </c>
      <c r="CJ164" s="23">
        <f>+CJ165+CJ167</f>
        <v>48145</v>
      </c>
      <c r="CK164" s="23">
        <f>+CJ164</f>
        <v>48145</v>
      </c>
      <c r="CL164" s="23">
        <f>+CL165+CL167</f>
        <v>50938</v>
      </c>
      <c r="CM164" s="24">
        <f>+CL164+4000</f>
        <v>54938</v>
      </c>
      <c r="CN164" s="24">
        <f t="shared" ref="CN164:CT164" si="1306">+CM164+4000</f>
        <v>58938</v>
      </c>
      <c r="CO164" s="24">
        <f t="shared" si="1306"/>
        <v>62938</v>
      </c>
      <c r="CP164" s="24">
        <f t="shared" si="1306"/>
        <v>66938</v>
      </c>
      <c r="CQ164" s="24">
        <f t="shared" si="1306"/>
        <v>70938</v>
      </c>
      <c r="CR164" s="24">
        <f t="shared" si="1306"/>
        <v>74938</v>
      </c>
      <c r="CS164" s="24">
        <f t="shared" si="1306"/>
        <v>78938</v>
      </c>
      <c r="CT164" s="24">
        <f t="shared" si="1306"/>
        <v>82938</v>
      </c>
      <c r="CU164" s="24">
        <f>+CT164</f>
        <v>82938</v>
      </c>
      <c r="CV164" s="24">
        <f t="shared" ref="CV164:DB164" si="1307">+CU164</f>
        <v>82938</v>
      </c>
      <c r="CW164" s="24">
        <f t="shared" si="1307"/>
        <v>82938</v>
      </c>
      <c r="CX164" s="24">
        <f t="shared" si="1307"/>
        <v>82938</v>
      </c>
      <c r="CY164" s="24">
        <f t="shared" si="1307"/>
        <v>82938</v>
      </c>
      <c r="CZ164" s="24">
        <f t="shared" si="1307"/>
        <v>82938</v>
      </c>
      <c r="DA164" s="24">
        <f t="shared" si="1307"/>
        <v>82938</v>
      </c>
      <c r="DB164" s="24">
        <f t="shared" si="1307"/>
        <v>82938</v>
      </c>
      <c r="DE164" s="123"/>
      <c r="DF164" s="23">
        <v>52645</v>
      </c>
    </row>
    <row r="165" spans="1:110" s="23" customFormat="1" outlineLevel="1" x14ac:dyDescent="0.2">
      <c r="A165" s="23" t="s">
        <v>51</v>
      </c>
      <c r="B165" s="23">
        <f>'Annual Raw'!C63</f>
        <v>780.41200000000003</v>
      </c>
      <c r="C165" s="23">
        <f>'Annual Raw'!D63</f>
        <v>842.59</v>
      </c>
      <c r="D165" s="23">
        <f>'Annual Raw'!E63</f>
        <v>892.96500000000003</v>
      </c>
      <c r="E165" s="23">
        <f>'Annual Raw'!F63</f>
        <v>959.71</v>
      </c>
      <c r="F165" s="23">
        <f>'Annual Raw'!G63</f>
        <v>1010.93</v>
      </c>
      <c r="G165" s="23">
        <f>'Annual Raw'!H63</f>
        <v>1129.6600000000001</v>
      </c>
      <c r="H165" s="23">
        <f>'Annual Raw'!I63</f>
        <v>1264.19</v>
      </c>
      <c r="I165" s="23">
        <f>'Annual Raw'!J63</f>
        <v>1484.64</v>
      </c>
      <c r="J165" s="23">
        <f>'Annual Raw'!K63</f>
        <v>1750.59</v>
      </c>
      <c r="K165" s="23">
        <f>'Annual Raw'!L63</f>
        <v>2076.5700000000002</v>
      </c>
      <c r="L165" s="23">
        <f>'Annual Raw'!M63</f>
        <v>2548.12</v>
      </c>
      <c r="M165" s="23">
        <f>'Annual Raw'!N63</f>
        <v>3145.08</v>
      </c>
      <c r="N165" s="23">
        <f>'Annual Raw'!O63</f>
        <v>3781.06</v>
      </c>
      <c r="O165" s="23">
        <f>'Annual Raw'!P63</f>
        <v>4436.8599999999997</v>
      </c>
      <c r="P165" s="23">
        <f>'Annual Raw'!Q63</f>
        <v>5104.34</v>
      </c>
      <c r="Q165" s="23">
        <f>'Annual Raw'!R63</f>
        <v>6139</v>
      </c>
      <c r="R165" s="23">
        <f>'Annual Raw'!S63</f>
        <v>7911</v>
      </c>
      <c r="S165" s="23">
        <f>'Annual Raw'!T63</f>
        <v>9355</v>
      </c>
      <c r="T165" s="23">
        <f>'Annual Raw'!U63</f>
        <v>11063</v>
      </c>
      <c r="U165" s="23">
        <f>'Annual Raw'!V63</f>
        <v>13142</v>
      </c>
      <c r="V165" s="23">
        <f>'Annual Raw'!W63</f>
        <v>15484</v>
      </c>
      <c r="W165" s="23">
        <f>'Annual Raw'!X63</f>
        <v>17968</v>
      </c>
      <c r="X165" s="23">
        <f>'Annual Raw'!Y63</f>
        <v>20527</v>
      </c>
      <c r="Y165" s="23">
        <f>'Annual Raw'!Z63</f>
        <v>23837</v>
      </c>
      <c r="Z165" s="23">
        <f>'Annual Raw'!AA63</f>
        <v>27211</v>
      </c>
      <c r="AA165" s="23">
        <f>'Annual Raw'!AB63</f>
        <v>30564</v>
      </c>
      <c r="AB165" s="24">
        <f t="shared" si="1301"/>
        <v>35859.688893749997</v>
      </c>
      <c r="AC165" s="24">
        <f t="shared" si="1302"/>
        <v>41476.399371296764</v>
      </c>
      <c r="AD165" s="24">
        <f t="shared" si="1303"/>
        <v>47722.732133917074</v>
      </c>
      <c r="AE165" s="24">
        <f t="shared" si="1304"/>
        <v>53028.033378463937</v>
      </c>
      <c r="AJ165" s="23">
        <f>+'QTR Raw'!D69</f>
        <v>0</v>
      </c>
      <c r="AL165" s="23">
        <f>+'QTR Raw'!F69</f>
        <v>0</v>
      </c>
      <c r="AN165" s="23">
        <f>+'QTR Raw'!H69</f>
        <v>0</v>
      </c>
      <c r="AP165" s="23">
        <f>+'QTR Raw'!J69</f>
        <v>0</v>
      </c>
      <c r="AR165" s="23">
        <f>+'QTR Raw'!L69</f>
        <v>0</v>
      </c>
      <c r="AT165" s="23">
        <f>+'QTR Raw'!N69</f>
        <v>0</v>
      </c>
      <c r="AV165" s="23">
        <f>+'QTR Raw'!P69</f>
        <v>0</v>
      </c>
      <c r="AX165" s="23">
        <f>+'QTR Raw'!R69</f>
        <v>0</v>
      </c>
      <c r="AZ165" s="23">
        <f>+'QTR Raw'!T69</f>
        <v>0</v>
      </c>
      <c r="BB165" s="23">
        <f>+'QTR Raw'!V69</f>
        <v>0</v>
      </c>
      <c r="BD165" s="23">
        <f>+'QTR Raw'!X69</f>
        <v>0</v>
      </c>
      <c r="BF165" s="23">
        <f>+'QTR Raw'!Z69</f>
        <v>0</v>
      </c>
      <c r="BH165" s="23">
        <f>+'QTR Raw'!AB69</f>
        <v>0</v>
      </c>
      <c r="BJ165" s="23">
        <f>+'QTR Raw'!AD69</f>
        <v>0</v>
      </c>
      <c r="BL165" s="23">
        <f>+'QTR Raw'!AF69</f>
        <v>0</v>
      </c>
      <c r="BN165" s="23">
        <f>+'QTR Raw'!AH69</f>
        <v>0</v>
      </c>
      <c r="BP165" s="23">
        <f>+'QTR Raw'!AJ69</f>
        <v>0</v>
      </c>
      <c r="BR165" s="23">
        <f>+'QTR Raw'!AL69</f>
        <v>0</v>
      </c>
      <c r="BT165" s="23">
        <f>+'QTR Raw'!AN69</f>
        <v>0</v>
      </c>
      <c r="BV165" s="23">
        <f>+'QTR Raw'!AP69</f>
        <v>0</v>
      </c>
      <c r="BX165" s="23">
        <f>+'QTR Raw'!AR69</f>
        <v>0</v>
      </c>
      <c r="BZ165" s="23">
        <f>+'QTR Raw'!AT69</f>
        <v>0</v>
      </c>
      <c r="CB165" s="23">
        <f>+'QTR Raw'!AV69</f>
        <v>0</v>
      </c>
      <c r="CD165" s="23">
        <f>+'QTR Raw'!AX69</f>
        <v>0</v>
      </c>
      <c r="CF165" s="23">
        <f>+'QTR Raw'!AZ69</f>
        <v>0</v>
      </c>
      <c r="CH165" s="23">
        <f t="shared" si="1305"/>
        <v>27211</v>
      </c>
      <c r="CI165" s="23">
        <f t="shared" ref="CI165:DB165" si="1308">CH165+CI60</f>
        <v>28124</v>
      </c>
      <c r="CJ165" s="23">
        <f t="shared" si="1308"/>
        <v>29006</v>
      </c>
      <c r="CK165" s="23">
        <f t="shared" si="1308"/>
        <v>29953</v>
      </c>
      <c r="CL165" s="23">
        <f t="shared" si="1308"/>
        <v>31001</v>
      </c>
      <c r="CM165" s="24">
        <f t="shared" si="1308"/>
        <v>31997.85</v>
      </c>
      <c r="CN165" s="24">
        <f t="shared" si="1308"/>
        <v>33144.857499999998</v>
      </c>
      <c r="CO165" s="24">
        <f t="shared" si="1308"/>
        <v>34434.514624999996</v>
      </c>
      <c r="CP165" s="24">
        <f t="shared" si="1308"/>
        <v>35859.688893749997</v>
      </c>
      <c r="CQ165" s="24">
        <f t="shared" si="1308"/>
        <v>37102.821337999994</v>
      </c>
      <c r="CR165" s="24">
        <f t="shared" si="1308"/>
        <v>38456.228484479994</v>
      </c>
      <c r="CS165" s="24">
        <f t="shared" si="1308"/>
        <v>39915.499345100798</v>
      </c>
      <c r="CT165" s="24">
        <f t="shared" si="1308"/>
        <v>41476.399371296764</v>
      </c>
      <c r="CU165" s="24">
        <f t="shared" si="1308"/>
        <v>43134.863396444896</v>
      </c>
      <c r="CV165" s="24">
        <f t="shared" si="1308"/>
        <v>44726.988860587102</v>
      </c>
      <c r="CW165" s="24">
        <f t="shared" si="1308"/>
        <v>46255.42930616362</v>
      </c>
      <c r="CX165" s="24">
        <f t="shared" si="1308"/>
        <v>47722.732133917074</v>
      </c>
      <c r="CY165" s="24">
        <f t="shared" si="1308"/>
        <v>49131.342848560394</v>
      </c>
      <c r="CZ165" s="24">
        <f t="shared" si="1308"/>
        <v>50483.609134617982</v>
      </c>
      <c r="DA165" s="24">
        <f t="shared" si="1308"/>
        <v>51781.784769233265</v>
      </c>
      <c r="DB165" s="24">
        <f t="shared" si="1308"/>
        <v>53028.033378463937</v>
      </c>
      <c r="DE165" s="123"/>
      <c r="DF165" s="23">
        <v>30853.142327185327</v>
      </c>
    </row>
    <row r="166" spans="1:110" s="23" customFormat="1" outlineLevel="1" x14ac:dyDescent="0.2">
      <c r="A166" s="23" t="s">
        <v>52</v>
      </c>
      <c r="B166" s="23">
        <f>'Annual Raw'!C64</f>
        <v>0</v>
      </c>
      <c r="C166" s="23">
        <f>'Annual Raw'!D64</f>
        <v>0</v>
      </c>
      <c r="D166" s="23">
        <f>'Annual Raw'!E64</f>
        <v>0</v>
      </c>
      <c r="E166" s="23">
        <f>'Annual Raw'!F64</f>
        <v>0</v>
      </c>
      <c r="F166" s="23">
        <f>'Annual Raw'!G64</f>
        <v>0</v>
      </c>
      <c r="G166" s="23">
        <f>'Annual Raw'!H64</f>
        <v>0</v>
      </c>
      <c r="H166" s="23">
        <f>'Annual Raw'!I64</f>
        <v>0</v>
      </c>
      <c r="I166" s="23">
        <f>'Annual Raw'!J64</f>
        <v>0</v>
      </c>
      <c r="J166" s="23">
        <f>'Annual Raw'!K64</f>
        <v>0</v>
      </c>
      <c r="K166" s="23">
        <f>'Annual Raw'!L64</f>
        <v>0</v>
      </c>
      <c r="L166" s="23">
        <f>'Annual Raw'!M64</f>
        <v>0</v>
      </c>
      <c r="M166" s="23">
        <f>'Annual Raw'!N64</f>
        <v>0</v>
      </c>
      <c r="N166" s="23">
        <f>'Annual Raw'!O64</f>
        <v>0</v>
      </c>
      <c r="O166" s="23">
        <f>'Annual Raw'!P64</f>
        <v>0</v>
      </c>
      <c r="P166" s="23">
        <f>'Annual Raw'!Q64</f>
        <v>0</v>
      </c>
      <c r="Q166" s="23">
        <f>'Annual Raw'!R64</f>
        <v>0</v>
      </c>
      <c r="R166" s="23">
        <f>'Annual Raw'!S64</f>
        <v>0</v>
      </c>
      <c r="S166" s="23">
        <f>'Annual Raw'!T64</f>
        <v>0</v>
      </c>
      <c r="T166" s="23">
        <f>'Annual Raw'!U64</f>
        <v>0</v>
      </c>
      <c r="U166" s="23">
        <f>'Annual Raw'!V64</f>
        <v>0</v>
      </c>
      <c r="V166" s="23">
        <f>'Annual Raw'!W64</f>
        <v>0</v>
      </c>
      <c r="W166" s="23">
        <f>'Annual Raw'!X64</f>
        <v>0</v>
      </c>
      <c r="X166" s="23">
        <f>'Annual Raw'!Y64</f>
        <v>0</v>
      </c>
      <c r="Y166" s="23">
        <f>'Annual Raw'!Z64</f>
        <v>0</v>
      </c>
      <c r="Z166" s="23">
        <f>'Annual Raw'!AA64</f>
        <v>0</v>
      </c>
      <c r="AA166" s="23">
        <f>'Annual Raw'!AB64</f>
        <v>0</v>
      </c>
      <c r="AB166" s="24">
        <f t="shared" si="1301"/>
        <v>0</v>
      </c>
      <c r="AC166" s="24">
        <f t="shared" si="1302"/>
        <v>0</v>
      </c>
      <c r="AD166" s="24">
        <f t="shared" si="1303"/>
        <v>0</v>
      </c>
      <c r="AE166" s="24">
        <f t="shared" si="1304"/>
        <v>0</v>
      </c>
      <c r="AJ166" s="23">
        <f>+'QTR Raw'!D70</f>
        <v>0</v>
      </c>
      <c r="AL166" s="23">
        <f>+'QTR Raw'!F70</f>
        <v>0</v>
      </c>
      <c r="AN166" s="23">
        <f>+'QTR Raw'!H70</f>
        <v>0</v>
      </c>
      <c r="AP166" s="23">
        <f>+'QTR Raw'!J70</f>
        <v>0</v>
      </c>
      <c r="AR166" s="23">
        <f>+'QTR Raw'!L70</f>
        <v>0</v>
      </c>
      <c r="AT166" s="23">
        <f>+'QTR Raw'!N70</f>
        <v>0</v>
      </c>
      <c r="AV166" s="23">
        <f>+'QTR Raw'!P70</f>
        <v>0</v>
      </c>
      <c r="AX166" s="23">
        <f>+'QTR Raw'!R70</f>
        <v>0</v>
      </c>
      <c r="AZ166" s="23">
        <f>+'QTR Raw'!T70</f>
        <v>0</v>
      </c>
      <c r="BB166" s="23">
        <f>+'QTR Raw'!V70</f>
        <v>0</v>
      </c>
      <c r="BD166" s="23">
        <f>+'QTR Raw'!X70</f>
        <v>0</v>
      </c>
      <c r="BF166" s="23">
        <f>+'QTR Raw'!Z70</f>
        <v>0</v>
      </c>
      <c r="BH166" s="23">
        <f>+'QTR Raw'!AB70</f>
        <v>0</v>
      </c>
      <c r="BJ166" s="23">
        <f>+'QTR Raw'!AD70</f>
        <v>0</v>
      </c>
      <c r="BL166" s="23">
        <f>+'QTR Raw'!AF70</f>
        <v>0</v>
      </c>
      <c r="BN166" s="23">
        <f>+'QTR Raw'!AH70</f>
        <v>0</v>
      </c>
      <c r="BP166" s="23">
        <f>+'QTR Raw'!AJ70</f>
        <v>0</v>
      </c>
      <c r="BR166" s="23">
        <f>+'QTR Raw'!AL70</f>
        <v>0</v>
      </c>
      <c r="BT166" s="23">
        <f>+'QTR Raw'!AN70</f>
        <v>0</v>
      </c>
      <c r="BV166" s="23">
        <f>+'QTR Raw'!AP70</f>
        <v>0</v>
      </c>
      <c r="BX166" s="23">
        <f>+'QTR Raw'!AR70</f>
        <v>0</v>
      </c>
      <c r="BZ166" s="23">
        <f>+'QTR Raw'!AT70</f>
        <v>0</v>
      </c>
      <c r="CB166" s="23">
        <f>+'QTR Raw'!AV70</f>
        <v>0</v>
      </c>
      <c r="CD166" s="23">
        <f>+'QTR Raw'!AX70</f>
        <v>0</v>
      </c>
      <c r="CF166" s="23">
        <f>+'QTR Raw'!AZ70</f>
        <v>0</v>
      </c>
      <c r="CH166" s="23">
        <f t="shared" si="1305"/>
        <v>0</v>
      </c>
      <c r="CI166" s="23">
        <f>CH166</f>
        <v>0</v>
      </c>
      <c r="CJ166" s="23">
        <f>+'QTR Raw'!BD70</f>
        <v>0</v>
      </c>
      <c r="CK166" s="23">
        <f t="shared" ref="CK166:DB166" si="1309">CJ166</f>
        <v>0</v>
      </c>
      <c r="CL166" s="23">
        <f>+'QTR Raw'!BF70</f>
        <v>0</v>
      </c>
      <c r="CM166" s="24">
        <f t="shared" si="1309"/>
        <v>0</v>
      </c>
      <c r="CN166" s="24">
        <f t="shared" si="1309"/>
        <v>0</v>
      </c>
      <c r="CO166" s="24">
        <f t="shared" si="1309"/>
        <v>0</v>
      </c>
      <c r="CP166" s="24">
        <f t="shared" si="1309"/>
        <v>0</v>
      </c>
      <c r="CQ166" s="24">
        <f t="shared" si="1309"/>
        <v>0</v>
      </c>
      <c r="CR166" s="24">
        <f t="shared" si="1309"/>
        <v>0</v>
      </c>
      <c r="CS166" s="24">
        <f t="shared" si="1309"/>
        <v>0</v>
      </c>
      <c r="CT166" s="24">
        <f t="shared" si="1309"/>
        <v>0</v>
      </c>
      <c r="CU166" s="24">
        <f t="shared" si="1309"/>
        <v>0</v>
      </c>
      <c r="CV166" s="24">
        <f t="shared" si="1309"/>
        <v>0</v>
      </c>
      <c r="CW166" s="24">
        <f t="shared" si="1309"/>
        <v>0</v>
      </c>
      <c r="CX166" s="24">
        <f t="shared" si="1309"/>
        <v>0</v>
      </c>
      <c r="CY166" s="24">
        <f t="shared" si="1309"/>
        <v>0</v>
      </c>
      <c r="CZ166" s="24">
        <f t="shared" si="1309"/>
        <v>0</v>
      </c>
      <c r="DA166" s="24">
        <f t="shared" si="1309"/>
        <v>0</v>
      </c>
      <c r="DB166" s="24">
        <f t="shared" si="1309"/>
        <v>0</v>
      </c>
      <c r="DE166" s="123"/>
      <c r="DF166" s="23">
        <v>0</v>
      </c>
    </row>
    <row r="167" spans="1:110" s="22" customFormat="1" outlineLevel="1" x14ac:dyDescent="0.2">
      <c r="A167" s="22" t="s">
        <v>53</v>
      </c>
      <c r="B167" s="22">
        <f>+B164-B165-B166</f>
        <v>616.43039999999996</v>
      </c>
      <c r="C167" s="22">
        <f t="shared" ref="C167:W167" si="1310">+C164-C165-C166</f>
        <v>684.745</v>
      </c>
      <c r="D167" s="22">
        <f t="shared" si="1310"/>
        <v>655.24999999999989</v>
      </c>
      <c r="E167" s="22">
        <f t="shared" si="1310"/>
        <v>640.03800000000001</v>
      </c>
      <c r="F167" s="22">
        <f t="shared" si="1310"/>
        <v>1387.88</v>
      </c>
      <c r="G167" s="22">
        <f t="shared" si="1310"/>
        <v>1860.3</v>
      </c>
      <c r="H167" s="22">
        <f t="shared" si="1310"/>
        <v>2235.6</v>
      </c>
      <c r="I167" s="22">
        <f t="shared" si="1310"/>
        <v>3697.16</v>
      </c>
      <c r="J167" s="22">
        <f t="shared" si="1310"/>
        <v>4104.92</v>
      </c>
      <c r="K167" s="22">
        <f t="shared" si="1310"/>
        <v>6164.09</v>
      </c>
      <c r="L167" s="22">
        <f t="shared" si="1310"/>
        <v>7254.21</v>
      </c>
      <c r="M167" s="22">
        <f t="shared" si="1310"/>
        <v>8512.82</v>
      </c>
      <c r="N167" s="22">
        <f t="shared" si="1310"/>
        <v>8483.74</v>
      </c>
      <c r="O167" s="22">
        <f t="shared" si="1310"/>
        <v>9147.25</v>
      </c>
      <c r="P167" s="22">
        <f t="shared" si="1310"/>
        <v>9446.17</v>
      </c>
      <c r="Q167" s="22">
        <f t="shared" si="1310"/>
        <v>10385</v>
      </c>
      <c r="R167" s="22">
        <f t="shared" si="1310"/>
        <v>9993</v>
      </c>
      <c r="S167" s="22">
        <f t="shared" si="1310"/>
        <v>11302</v>
      </c>
      <c r="T167" s="22">
        <f t="shared" si="1310"/>
        <v>14778</v>
      </c>
      <c r="U167" s="22">
        <f t="shared" si="1310"/>
        <v>16469</v>
      </c>
      <c r="V167" s="22">
        <f t="shared" si="1310"/>
        <v>16808</v>
      </c>
      <c r="W167" s="22">
        <f t="shared" si="1310"/>
        <v>17396</v>
      </c>
      <c r="X167" s="22">
        <f t="shared" ref="X167:Y167" si="1311">+X164-X165-X166</f>
        <v>17564</v>
      </c>
      <c r="Y167" s="22">
        <f t="shared" si="1311"/>
        <v>18042</v>
      </c>
      <c r="Z167" s="22">
        <f t="shared" ref="Z167:AE167" si="1312">+Z164-Z165-Z166</f>
        <v>18543</v>
      </c>
      <c r="AA167" s="22">
        <f t="shared" ref="AA167" si="1313">+AA164-AA165-AA166</f>
        <v>19889</v>
      </c>
      <c r="AB167" s="21">
        <f t="shared" si="1312"/>
        <v>31078.311106250003</v>
      </c>
      <c r="AC167" s="21">
        <f t="shared" si="1312"/>
        <v>41461.600628703236</v>
      </c>
      <c r="AD167" s="21">
        <f t="shared" si="1312"/>
        <v>35215.267866082926</v>
      </c>
      <c r="AE167" s="21">
        <f t="shared" si="1312"/>
        <v>29909.966621536063</v>
      </c>
      <c r="AJ167" s="22">
        <f t="shared" ref="AJ167:AL167" si="1314">+AJ164-AJ165-AJ166</f>
        <v>9148.69</v>
      </c>
      <c r="AK167" s="22">
        <f t="shared" ref="AK167:CE167" si="1315">+AJ167</f>
        <v>9148.69</v>
      </c>
      <c r="AL167" s="22">
        <f t="shared" si="1314"/>
        <v>9565.59</v>
      </c>
      <c r="AM167" s="22">
        <f t="shared" si="1315"/>
        <v>9565.59</v>
      </c>
      <c r="AN167" s="22">
        <f t="shared" ref="AN167" si="1316">+AN164-AN165-AN166</f>
        <v>9967.7000000000007</v>
      </c>
      <c r="AO167" s="22">
        <f t="shared" si="1315"/>
        <v>9967.7000000000007</v>
      </c>
      <c r="AP167" s="22">
        <f t="shared" ref="AP167:CD167" si="1317">+AP164-AP165-AP166</f>
        <v>10688.19</v>
      </c>
      <c r="AQ167" s="22">
        <f t="shared" si="1315"/>
        <v>10688.19</v>
      </c>
      <c r="AR167" s="22">
        <f t="shared" si="1317"/>
        <v>10963.83</v>
      </c>
      <c r="AS167" s="22">
        <f t="shared" si="1315"/>
        <v>10963.83</v>
      </c>
      <c r="AT167" s="22">
        <f t="shared" si="1317"/>
        <v>11450.88</v>
      </c>
      <c r="AU167" s="22">
        <f t="shared" si="1315"/>
        <v>11450.88</v>
      </c>
      <c r="AV167" s="22">
        <f t="shared" si="1317"/>
        <v>11912.61</v>
      </c>
      <c r="AW167" s="22">
        <f t="shared" si="1315"/>
        <v>11912.61</v>
      </c>
      <c r="AX167" s="22">
        <f t="shared" si="1317"/>
        <v>10385.26</v>
      </c>
      <c r="AY167" s="22">
        <f t="shared" si="1315"/>
        <v>10385.26</v>
      </c>
      <c r="AZ167" s="22">
        <f t="shared" si="1317"/>
        <v>10279.58</v>
      </c>
      <c r="BA167" s="22">
        <f t="shared" si="1315"/>
        <v>10279.58</v>
      </c>
      <c r="BB167" s="22">
        <f t="shared" si="1317"/>
        <v>9993</v>
      </c>
      <c r="BC167" s="22">
        <f t="shared" si="1315"/>
        <v>9993</v>
      </c>
      <c r="BD167" s="22">
        <f t="shared" si="1317"/>
        <v>9938</v>
      </c>
      <c r="BE167" s="22">
        <f t="shared" si="1315"/>
        <v>9938</v>
      </c>
      <c r="BF167" s="22">
        <f t="shared" si="1317"/>
        <v>11302</v>
      </c>
      <c r="BG167" s="22">
        <f t="shared" si="1315"/>
        <v>11302</v>
      </c>
      <c r="BH167" s="22">
        <f t="shared" si="1317"/>
        <v>11696</v>
      </c>
      <c r="BI167" s="22">
        <f t="shared" si="1315"/>
        <v>11696</v>
      </c>
      <c r="BJ167" s="22">
        <f t="shared" si="1317"/>
        <v>14778</v>
      </c>
      <c r="BK167" s="22">
        <f t="shared" si="1315"/>
        <v>14778</v>
      </c>
      <c r="BL167" s="22">
        <f t="shared" si="1317"/>
        <v>14956</v>
      </c>
      <c r="BM167" s="22">
        <f t="shared" si="1315"/>
        <v>14956</v>
      </c>
      <c r="BN167" s="22">
        <f t="shared" si="1317"/>
        <v>16469</v>
      </c>
      <c r="BO167" s="22">
        <f t="shared" si="1315"/>
        <v>16469</v>
      </c>
      <c r="BP167" s="22">
        <f t="shared" si="1317"/>
        <v>16285</v>
      </c>
      <c r="BQ167" s="22">
        <f t="shared" si="1315"/>
        <v>16285</v>
      </c>
      <c r="BR167" s="22">
        <f t="shared" si="1317"/>
        <v>16808</v>
      </c>
      <c r="BS167" s="22">
        <f t="shared" si="1315"/>
        <v>16808</v>
      </c>
      <c r="BT167" s="22">
        <f t="shared" si="1317"/>
        <v>16766</v>
      </c>
      <c r="BU167" s="22">
        <f t="shared" si="1315"/>
        <v>16766</v>
      </c>
      <c r="BV167" s="22">
        <f t="shared" si="1317"/>
        <v>17396</v>
      </c>
      <c r="BW167" s="22">
        <f t="shared" si="1315"/>
        <v>17396</v>
      </c>
      <c r="BX167" s="22">
        <f t="shared" si="1317"/>
        <v>17324</v>
      </c>
      <c r="BY167" s="22">
        <f t="shared" si="1315"/>
        <v>17324</v>
      </c>
      <c r="BZ167" s="22">
        <f t="shared" si="1317"/>
        <v>17622</v>
      </c>
      <c r="CA167" s="22">
        <f t="shared" si="1315"/>
        <v>17622</v>
      </c>
      <c r="CB167" s="22">
        <f t="shared" si="1317"/>
        <v>18551</v>
      </c>
      <c r="CC167" s="22">
        <f t="shared" si="1315"/>
        <v>18551</v>
      </c>
      <c r="CD167" s="22">
        <f t="shared" si="1317"/>
        <v>18151</v>
      </c>
      <c r="CE167" s="22">
        <f t="shared" si="1315"/>
        <v>18151</v>
      </c>
      <c r="CF167" s="22">
        <f t="shared" ref="CF167:CI167" si="1318">+CF164-CF165-CF166</f>
        <v>17783</v>
      </c>
      <c r="CG167" s="22">
        <f t="shared" ref="CG167:CI170" si="1319">+CF167</f>
        <v>17783</v>
      </c>
      <c r="CH167" s="22">
        <f t="shared" si="1318"/>
        <v>18543</v>
      </c>
      <c r="CI167" s="22">
        <f t="shared" si="1318"/>
        <v>17630</v>
      </c>
      <c r="CJ167" s="23">
        <f>+'QTR Raw'!BD68</f>
        <v>19139</v>
      </c>
      <c r="CK167" s="23">
        <f t="shared" ref="CK167:DB167" si="1320">+CK164-CK165-CK166</f>
        <v>18192</v>
      </c>
      <c r="CL167" s="23">
        <f>+'QTR Raw'!BF68</f>
        <v>19937</v>
      </c>
      <c r="CM167" s="21">
        <f t="shared" si="1320"/>
        <v>22940.15</v>
      </c>
      <c r="CN167" s="21">
        <f t="shared" si="1320"/>
        <v>25793.142500000002</v>
      </c>
      <c r="CO167" s="21">
        <f t="shared" si="1320"/>
        <v>28503.485375000004</v>
      </c>
      <c r="CP167" s="21">
        <f t="shared" si="1320"/>
        <v>31078.311106250003</v>
      </c>
      <c r="CQ167" s="21">
        <f t="shared" si="1320"/>
        <v>33835.178662000006</v>
      </c>
      <c r="CR167" s="21">
        <f t="shared" si="1320"/>
        <v>36481.771515520006</v>
      </c>
      <c r="CS167" s="21">
        <f t="shared" si="1320"/>
        <v>39022.500654899202</v>
      </c>
      <c r="CT167" s="21">
        <f t="shared" si="1320"/>
        <v>41461.600628703236</v>
      </c>
      <c r="CU167" s="21">
        <f t="shared" si="1320"/>
        <v>39803.136603555104</v>
      </c>
      <c r="CV167" s="21">
        <f t="shared" si="1320"/>
        <v>38211.011139412898</v>
      </c>
      <c r="CW167" s="21">
        <f t="shared" si="1320"/>
        <v>36682.57069383638</v>
      </c>
      <c r="CX167" s="21">
        <f t="shared" si="1320"/>
        <v>35215.267866082926</v>
      </c>
      <c r="CY167" s="21">
        <f t="shared" si="1320"/>
        <v>33806.657151439606</v>
      </c>
      <c r="CZ167" s="21">
        <f t="shared" si="1320"/>
        <v>32454.390865382018</v>
      </c>
      <c r="DA167" s="21">
        <f t="shared" si="1320"/>
        <v>31156.215230766735</v>
      </c>
      <c r="DB167" s="21">
        <f t="shared" si="1320"/>
        <v>29909.966621536063</v>
      </c>
      <c r="DE167" s="126"/>
      <c r="DF167" s="22">
        <v>21791.857672814673</v>
      </c>
    </row>
    <row r="168" spans="1:110" s="23" customFormat="1" outlineLevel="1" x14ac:dyDescent="0.2">
      <c r="A168" s="23" t="s">
        <v>54</v>
      </c>
      <c r="B168" s="23">
        <f>'Annual Raw'!C86</f>
        <v>0</v>
      </c>
      <c r="C168" s="23">
        <f>'Annual Raw'!D86</f>
        <v>0</v>
      </c>
      <c r="D168" s="23">
        <f>'Annual Raw'!E86</f>
        <v>0</v>
      </c>
      <c r="E168" s="23">
        <f>'Annual Raw'!F86</f>
        <v>0</v>
      </c>
      <c r="F168" s="23">
        <f>'Annual Raw'!G86</f>
        <v>0</v>
      </c>
      <c r="G168" s="23">
        <f>'Annual Raw'!H86</f>
        <v>0</v>
      </c>
      <c r="H168" s="23">
        <f>'Annual Raw'!I86</f>
        <v>0</v>
      </c>
      <c r="I168" s="23">
        <f>'Annual Raw'!J86</f>
        <v>0</v>
      </c>
      <c r="J168" s="23">
        <f>'Annual Raw'!K86</f>
        <v>0</v>
      </c>
      <c r="K168" s="23">
        <f>'Annual Raw'!L86</f>
        <v>0</v>
      </c>
      <c r="L168" s="23">
        <f>'Annual Raw'!M86</f>
        <v>0</v>
      </c>
      <c r="M168" s="23">
        <f>'Annual Raw'!N86</f>
        <v>0</v>
      </c>
      <c r="N168" s="23">
        <f>'Annual Raw'!O86</f>
        <v>0</v>
      </c>
      <c r="O168" s="23">
        <f>'Annual Raw'!P86</f>
        <v>0</v>
      </c>
      <c r="P168" s="23">
        <f>'Annual Raw'!Q86</f>
        <v>0</v>
      </c>
      <c r="Q168" s="23">
        <f>'Annual Raw'!R86</f>
        <v>0</v>
      </c>
      <c r="R168" s="23">
        <f>'Annual Raw'!S86</f>
        <v>0</v>
      </c>
      <c r="S168" s="23">
        <f>'Annual Raw'!T86</f>
        <v>0</v>
      </c>
      <c r="T168" s="23">
        <f>'Annual Raw'!U86</f>
        <v>0</v>
      </c>
      <c r="U168" s="23">
        <f>'Annual Raw'!V86</f>
        <v>0</v>
      </c>
      <c r="V168" s="23">
        <f>'Annual Raw'!W86</f>
        <v>0</v>
      </c>
      <c r="W168" s="23">
        <f>'Annual Raw'!X86</f>
        <v>0</v>
      </c>
      <c r="X168" s="23">
        <f>'Annual Raw'!Y86</f>
        <v>0</v>
      </c>
      <c r="Y168" s="23">
        <f>'Annual Raw'!Z86</f>
        <v>0</v>
      </c>
      <c r="Z168" s="23">
        <f>'Annual Raw'!AA86</f>
        <v>0</v>
      </c>
      <c r="AA168" s="23">
        <f>'Annual Raw'!AB86</f>
        <v>0</v>
      </c>
      <c r="AB168" s="24">
        <f t="shared" si="1301"/>
        <v>0</v>
      </c>
      <c r="AC168" s="24">
        <f t="shared" si="1302"/>
        <v>0</v>
      </c>
      <c r="AD168" s="24">
        <f t="shared" si="1303"/>
        <v>0</v>
      </c>
      <c r="AE168" s="24">
        <f t="shared" si="1304"/>
        <v>0</v>
      </c>
      <c r="AJ168" s="23">
        <f>+'QTR Raw'!D72</f>
        <v>0</v>
      </c>
      <c r="AK168" s="23">
        <f>+AJ168</f>
        <v>0</v>
      </c>
      <c r="AL168" s="23">
        <f>+'QTR Raw'!F72</f>
        <v>0</v>
      </c>
      <c r="AM168" s="23">
        <f t="shared" ref="AK168:CE170" si="1321">+AL168</f>
        <v>0</v>
      </c>
      <c r="AN168" s="23">
        <f>+'QTR Raw'!H72</f>
        <v>0</v>
      </c>
      <c r="AO168" s="23">
        <f t="shared" si="1321"/>
        <v>0</v>
      </c>
      <c r="AP168" s="23">
        <f>+'QTR Raw'!J72</f>
        <v>0</v>
      </c>
      <c r="AQ168" s="23">
        <f t="shared" si="1321"/>
        <v>0</v>
      </c>
      <c r="AR168" s="23">
        <f>+'QTR Raw'!L72</f>
        <v>0</v>
      </c>
      <c r="AS168" s="23">
        <f t="shared" si="1321"/>
        <v>0</v>
      </c>
      <c r="AT168" s="23">
        <f>+'QTR Raw'!N72</f>
        <v>0</v>
      </c>
      <c r="AU168" s="23">
        <f t="shared" si="1321"/>
        <v>0</v>
      </c>
      <c r="AV168" s="23">
        <f>+'QTR Raw'!P72</f>
        <v>0</v>
      </c>
      <c r="AW168" s="23">
        <f t="shared" si="1321"/>
        <v>0</v>
      </c>
      <c r="AX168" s="23">
        <f>+'QTR Raw'!R72</f>
        <v>0</v>
      </c>
      <c r="AY168" s="23">
        <f t="shared" si="1321"/>
        <v>0</v>
      </c>
      <c r="AZ168" s="23">
        <f>+'QTR Raw'!T72</f>
        <v>0</v>
      </c>
      <c r="BA168" s="23">
        <f t="shared" si="1321"/>
        <v>0</v>
      </c>
      <c r="BB168" s="23">
        <f>+'QTR Raw'!V72</f>
        <v>0</v>
      </c>
      <c r="BC168" s="23">
        <f t="shared" si="1321"/>
        <v>0</v>
      </c>
      <c r="BD168" s="23">
        <f>+'QTR Raw'!X72</f>
        <v>0</v>
      </c>
      <c r="BE168" s="23">
        <f t="shared" si="1321"/>
        <v>0</v>
      </c>
      <c r="BF168" s="23">
        <f>+'QTR Raw'!Z72</f>
        <v>0</v>
      </c>
      <c r="BG168" s="23">
        <f t="shared" si="1321"/>
        <v>0</v>
      </c>
      <c r="BH168" s="23">
        <f>+'QTR Raw'!AB72</f>
        <v>0</v>
      </c>
      <c r="BI168" s="23">
        <f t="shared" si="1321"/>
        <v>0</v>
      </c>
      <c r="BJ168" s="23">
        <f>+'QTR Raw'!AD72</f>
        <v>0</v>
      </c>
      <c r="BK168" s="23">
        <f t="shared" si="1321"/>
        <v>0</v>
      </c>
      <c r="BL168" s="23">
        <f>+'QTR Raw'!AF72</f>
        <v>0</v>
      </c>
      <c r="BM168" s="23">
        <f t="shared" si="1321"/>
        <v>0</v>
      </c>
      <c r="BN168" s="23">
        <f>+'QTR Raw'!AH72</f>
        <v>0</v>
      </c>
      <c r="BO168" s="23">
        <f t="shared" si="1321"/>
        <v>0</v>
      </c>
      <c r="BP168" s="23">
        <f>+'QTR Raw'!AJ72</f>
        <v>0</v>
      </c>
      <c r="BQ168" s="23">
        <f t="shared" si="1321"/>
        <v>0</v>
      </c>
      <c r="BR168" s="23">
        <f>+'QTR Raw'!AL72</f>
        <v>0</v>
      </c>
      <c r="BS168" s="23">
        <f t="shared" si="1321"/>
        <v>0</v>
      </c>
      <c r="BT168" s="23">
        <f>+'QTR Raw'!AN72</f>
        <v>0</v>
      </c>
      <c r="BU168" s="23">
        <f t="shared" si="1321"/>
        <v>0</v>
      </c>
      <c r="BV168" s="23">
        <f>+'QTR Raw'!AP72</f>
        <v>0</v>
      </c>
      <c r="BW168" s="23">
        <f t="shared" si="1321"/>
        <v>0</v>
      </c>
      <c r="BX168" s="23">
        <f>+'QTR Raw'!AR72</f>
        <v>0</v>
      </c>
      <c r="BY168" s="23">
        <f t="shared" si="1321"/>
        <v>0</v>
      </c>
      <c r="BZ168" s="23">
        <f>+'QTR Raw'!AT72</f>
        <v>0</v>
      </c>
      <c r="CA168" s="23">
        <f t="shared" si="1321"/>
        <v>0</v>
      </c>
      <c r="CB168" s="23">
        <f>+'QTR Raw'!AV72</f>
        <v>0</v>
      </c>
      <c r="CC168" s="23">
        <f t="shared" si="1321"/>
        <v>0</v>
      </c>
      <c r="CD168" s="23">
        <f>+'QTR Raw'!AX72</f>
        <v>0</v>
      </c>
      <c r="CE168" s="23">
        <f t="shared" si="1321"/>
        <v>0</v>
      </c>
      <c r="CF168" s="23">
        <f>+'QTR Raw'!AZ72</f>
        <v>0</v>
      </c>
      <c r="CG168" s="23">
        <f t="shared" si="1319"/>
        <v>0</v>
      </c>
      <c r="CH168" s="23">
        <f t="shared" si="1305"/>
        <v>0</v>
      </c>
      <c r="CI168" s="23">
        <f t="shared" si="1319"/>
        <v>0</v>
      </c>
      <c r="CJ168" s="23">
        <f>+'QTR Raw'!BD72</f>
        <v>0</v>
      </c>
      <c r="CK168" s="23">
        <f t="shared" ref="CK168:CK170" si="1322">+CJ168</f>
        <v>0</v>
      </c>
      <c r="CL168" s="23">
        <f>+'QTR Raw'!BF72</f>
        <v>0</v>
      </c>
      <c r="CM168" s="24">
        <f t="shared" ref="CM168:CM170" si="1323">+CL168</f>
        <v>0</v>
      </c>
      <c r="CN168" s="24">
        <f t="shared" ref="CN168:CN170" si="1324">+CM168</f>
        <v>0</v>
      </c>
      <c r="CO168" s="24">
        <f t="shared" ref="CO168:CO170" si="1325">+CN168</f>
        <v>0</v>
      </c>
      <c r="CP168" s="24">
        <f t="shared" ref="CP168:CP170" si="1326">+CO168</f>
        <v>0</v>
      </c>
      <c r="CQ168" s="24">
        <f t="shared" ref="CQ168:CQ170" si="1327">+CP168</f>
        <v>0</v>
      </c>
      <c r="CR168" s="24">
        <f t="shared" ref="CR168:CR170" si="1328">+CQ168</f>
        <v>0</v>
      </c>
      <c r="CS168" s="24">
        <f t="shared" ref="CS168:CS170" si="1329">+CR168</f>
        <v>0</v>
      </c>
      <c r="CT168" s="24">
        <f t="shared" ref="CT168:CT170" si="1330">+CS168</f>
        <v>0</v>
      </c>
      <c r="CU168" s="24">
        <f t="shared" ref="CU168:CU170" si="1331">+CT168</f>
        <v>0</v>
      </c>
      <c r="CV168" s="24">
        <f t="shared" ref="CV168:CV170" si="1332">+CU168</f>
        <v>0</v>
      </c>
      <c r="CW168" s="24">
        <f t="shared" ref="CW168:CW170" si="1333">+CV168</f>
        <v>0</v>
      </c>
      <c r="CX168" s="24">
        <f t="shared" ref="CX168:CX170" si="1334">+CW168</f>
        <v>0</v>
      </c>
      <c r="CY168" s="24">
        <f t="shared" ref="CY168:CY170" si="1335">+CX168</f>
        <v>0</v>
      </c>
      <c r="CZ168" s="24">
        <f t="shared" ref="CZ168:CZ170" si="1336">+CY168</f>
        <v>0</v>
      </c>
      <c r="DA168" s="24">
        <f t="shared" ref="DA168:DA170" si="1337">+CZ168</f>
        <v>0</v>
      </c>
      <c r="DB168" s="24">
        <f t="shared" ref="DB168:DB170" si="1338">+DA168</f>
        <v>0</v>
      </c>
      <c r="DE168" s="123"/>
      <c r="DF168" s="23">
        <v>0</v>
      </c>
    </row>
    <row r="169" spans="1:110" s="23" customFormat="1" outlineLevel="1" x14ac:dyDescent="0.2">
      <c r="A169" s="23" t="s">
        <v>55</v>
      </c>
      <c r="B169" s="23">
        <f>'Annual Raw'!C68</f>
        <v>0</v>
      </c>
      <c r="C169" s="23">
        <f>'Annual Raw'!D68</f>
        <v>0</v>
      </c>
      <c r="D169" s="23">
        <f>'Annual Raw'!E68</f>
        <v>0</v>
      </c>
      <c r="E169" s="23">
        <f>'Annual Raw'!F68</f>
        <v>0</v>
      </c>
      <c r="F169" s="23">
        <f>'Annual Raw'!G68</f>
        <v>0</v>
      </c>
      <c r="G169" s="23">
        <f>'Annual Raw'!H68</f>
        <v>0</v>
      </c>
      <c r="H169" s="23">
        <f>'Annual Raw'!I68</f>
        <v>0</v>
      </c>
      <c r="I169" s="23">
        <f>'Annual Raw'!J68</f>
        <v>0</v>
      </c>
      <c r="J169" s="23">
        <f>'Annual Raw'!K68</f>
        <v>0</v>
      </c>
      <c r="K169" s="23">
        <f>'Annual Raw'!L68</f>
        <v>0</v>
      </c>
      <c r="L169" s="23">
        <f>'Annual Raw'!M68</f>
        <v>0</v>
      </c>
      <c r="M169" s="23">
        <f>'Annual Raw'!N68</f>
        <v>0</v>
      </c>
      <c r="N169" s="23">
        <f>'Annual Raw'!O68</f>
        <v>0</v>
      </c>
      <c r="O169" s="23">
        <f>'Annual Raw'!P68</f>
        <v>0</v>
      </c>
      <c r="P169" s="23">
        <f>'Annual Raw'!Q68</f>
        <v>0</v>
      </c>
      <c r="Q169" s="23">
        <f>'Annual Raw'!R68</f>
        <v>0</v>
      </c>
      <c r="R169" s="23">
        <f>'Annual Raw'!S68</f>
        <v>0</v>
      </c>
      <c r="S169" s="23">
        <f>'Annual Raw'!T68</f>
        <v>0</v>
      </c>
      <c r="T169" s="23">
        <f>'Annual Raw'!U68</f>
        <v>0</v>
      </c>
      <c r="U169" s="23">
        <f>'Annual Raw'!V68</f>
        <v>0</v>
      </c>
      <c r="V169" s="23">
        <f>'Annual Raw'!W68</f>
        <v>0</v>
      </c>
      <c r="W169" s="23">
        <f>'Annual Raw'!X68</f>
        <v>0</v>
      </c>
      <c r="X169" s="23">
        <f>'Annual Raw'!Y68</f>
        <v>58</v>
      </c>
      <c r="Y169" s="23">
        <f>'Annual Raw'!Z68</f>
        <v>109</v>
      </c>
      <c r="Z169" s="23">
        <f>'Annual Raw'!AA68</f>
        <v>65</v>
      </c>
      <c r="AA169" s="23">
        <f>'Annual Raw'!AB68</f>
        <v>48</v>
      </c>
      <c r="AB169" s="24">
        <f t="shared" si="1301"/>
        <v>0</v>
      </c>
      <c r="AC169" s="24">
        <f t="shared" si="1302"/>
        <v>0</v>
      </c>
      <c r="AD169" s="24">
        <f t="shared" si="1303"/>
        <v>0</v>
      </c>
      <c r="AE169" s="24">
        <f t="shared" si="1304"/>
        <v>0</v>
      </c>
      <c r="AK169" s="23">
        <f t="shared" si="1321"/>
        <v>0</v>
      </c>
      <c r="AM169" s="23">
        <f t="shared" si="1321"/>
        <v>0</v>
      </c>
      <c r="AO169" s="23">
        <f t="shared" si="1321"/>
        <v>0</v>
      </c>
      <c r="AQ169" s="23">
        <f t="shared" si="1321"/>
        <v>0</v>
      </c>
      <c r="AS169" s="23">
        <f t="shared" si="1321"/>
        <v>0</v>
      </c>
      <c r="AU169" s="23">
        <f t="shared" si="1321"/>
        <v>0</v>
      </c>
      <c r="AW169" s="23">
        <f t="shared" si="1321"/>
        <v>0</v>
      </c>
      <c r="AY169" s="23">
        <f t="shared" si="1321"/>
        <v>0</v>
      </c>
      <c r="BA169" s="23">
        <f t="shared" si="1321"/>
        <v>0</v>
      </c>
      <c r="BC169" s="23">
        <f t="shared" si="1321"/>
        <v>0</v>
      </c>
      <c r="BE169" s="23">
        <f t="shared" si="1321"/>
        <v>0</v>
      </c>
      <c r="BG169" s="23">
        <f t="shared" si="1321"/>
        <v>0</v>
      </c>
      <c r="BI169" s="23">
        <f t="shared" si="1321"/>
        <v>0</v>
      </c>
      <c r="BK169" s="23">
        <f t="shared" si="1321"/>
        <v>0</v>
      </c>
      <c r="BM169" s="23">
        <f t="shared" si="1321"/>
        <v>0</v>
      </c>
      <c r="BO169" s="23">
        <f t="shared" si="1321"/>
        <v>0</v>
      </c>
      <c r="BQ169" s="23">
        <f t="shared" si="1321"/>
        <v>0</v>
      </c>
      <c r="BS169" s="23">
        <f t="shared" si="1321"/>
        <v>0</v>
      </c>
      <c r="BU169" s="23">
        <f t="shared" si="1321"/>
        <v>0</v>
      </c>
      <c r="BW169" s="23">
        <f t="shared" si="1321"/>
        <v>0</v>
      </c>
      <c r="BY169" s="23">
        <f t="shared" si="1321"/>
        <v>0</v>
      </c>
      <c r="CA169" s="23">
        <f t="shared" si="1321"/>
        <v>0</v>
      </c>
      <c r="CC169" s="23">
        <f t="shared" si="1321"/>
        <v>0</v>
      </c>
      <c r="CE169" s="23">
        <f t="shared" si="1321"/>
        <v>0</v>
      </c>
      <c r="CG169" s="23">
        <f t="shared" si="1319"/>
        <v>0</v>
      </c>
      <c r="CH169" s="23">
        <f t="shared" si="1305"/>
        <v>65</v>
      </c>
      <c r="CI169" s="23">
        <f t="shared" si="1319"/>
        <v>65</v>
      </c>
      <c r="CK169" s="23">
        <f t="shared" si="1322"/>
        <v>0</v>
      </c>
      <c r="CM169" s="24">
        <f t="shared" si="1323"/>
        <v>0</v>
      </c>
      <c r="CN169" s="24">
        <f t="shared" si="1324"/>
        <v>0</v>
      </c>
      <c r="CO169" s="24">
        <f t="shared" si="1325"/>
        <v>0</v>
      </c>
      <c r="CP169" s="24">
        <f t="shared" si="1326"/>
        <v>0</v>
      </c>
      <c r="CQ169" s="24">
        <f t="shared" si="1327"/>
        <v>0</v>
      </c>
      <c r="CR169" s="24">
        <f t="shared" si="1328"/>
        <v>0</v>
      </c>
      <c r="CS169" s="24">
        <f t="shared" si="1329"/>
        <v>0</v>
      </c>
      <c r="CT169" s="24">
        <f t="shared" si="1330"/>
        <v>0</v>
      </c>
      <c r="CU169" s="24">
        <f t="shared" si="1331"/>
        <v>0</v>
      </c>
      <c r="CV169" s="24">
        <f t="shared" si="1332"/>
        <v>0</v>
      </c>
      <c r="CW169" s="24">
        <f t="shared" si="1333"/>
        <v>0</v>
      </c>
      <c r="CX169" s="24">
        <f t="shared" si="1334"/>
        <v>0</v>
      </c>
      <c r="CY169" s="24">
        <f t="shared" si="1335"/>
        <v>0</v>
      </c>
      <c r="CZ169" s="24">
        <f t="shared" si="1336"/>
        <v>0</v>
      </c>
      <c r="DA169" s="24">
        <f t="shared" si="1337"/>
        <v>0</v>
      </c>
      <c r="DB169" s="24">
        <f t="shared" si="1338"/>
        <v>0</v>
      </c>
      <c r="DE169" s="123"/>
      <c r="DF169" s="23">
        <v>0</v>
      </c>
    </row>
    <row r="170" spans="1:110" s="23" customFormat="1" outlineLevel="1" x14ac:dyDescent="0.2">
      <c r="A170" s="23" t="s">
        <v>56</v>
      </c>
      <c r="B170" s="23">
        <f>'Annual Raw'!C67+'Annual Raw'!C66+'Annual Raw'!C69+'Annual Raw'!C70</f>
        <v>47.812100000000001</v>
      </c>
      <c r="C170" s="23">
        <f>'Annual Raw'!D67+'Annual Raw'!D66+'Annual Raw'!D69+'Annual Raw'!D70</f>
        <v>7.4660000000000002</v>
      </c>
      <c r="D170" s="23">
        <f>'Annual Raw'!E67+'Annual Raw'!E66+'Annual Raw'!E69+'Annual Raw'!E70</f>
        <v>4.8689999999999998</v>
      </c>
      <c r="E170" s="23">
        <f>'Annual Raw'!F67+'Annual Raw'!F66+'Annual Raw'!F69+'Annual Raw'!F70</f>
        <v>251.83199999999999</v>
      </c>
      <c r="F170" s="23">
        <f>'Annual Raw'!G67+'Annual Raw'!G66+'Annual Raw'!G69+'Annual Raw'!G70</f>
        <v>456.26</v>
      </c>
      <c r="G170" s="23">
        <f>'Annual Raw'!H67+'Annual Raw'!H66+'Annual Raw'!H69+'Annual Raw'!H70</f>
        <v>57.8</v>
      </c>
      <c r="H170" s="23">
        <f>'Annual Raw'!I67+'Annual Raw'!I66+'Annual Raw'!I69+'Annual Raw'!I70</f>
        <v>634.99</v>
      </c>
      <c r="I170" s="23">
        <f>'Annual Raw'!J67+'Annual Raw'!J66+'Annual Raw'!J69+'Annual Raw'!J70</f>
        <v>465.46</v>
      </c>
      <c r="J170" s="23">
        <f>'Annual Raw'!K67+'Annual Raw'!K66+'Annual Raw'!K69+'Annual Raw'!K70</f>
        <v>1108.3900000000001</v>
      </c>
      <c r="K170" s="23">
        <f>'Annual Raw'!L67+'Annual Raw'!L66+'Annual Raw'!L69+'Annual Raw'!L70</f>
        <v>1112.96</v>
      </c>
      <c r="L170" s="23">
        <f>'Annual Raw'!M67+'Annual Raw'!M66+'Annual Raw'!M69+'Annual Raw'!M70</f>
        <v>594.82000000000005</v>
      </c>
      <c r="M170" s="23">
        <f>'Annual Raw'!N67+'Annual Raw'!N66+'Annual Raw'!N69+'Annual Raw'!N70</f>
        <v>444.96</v>
      </c>
      <c r="N170" s="23">
        <f>'Annual Raw'!O67+'Annual Raw'!O66+'Annual Raw'!O69+'Annual Raw'!O70</f>
        <v>1081.8499999999999</v>
      </c>
      <c r="O170" s="23">
        <f>'Annual Raw'!P67+'Annual Raw'!P66+'Annual Raw'!P69+'Annual Raw'!P70</f>
        <v>1540.94</v>
      </c>
      <c r="P170" s="23">
        <f>'Annual Raw'!Q67+'Annual Raw'!Q66+'Annual Raw'!Q69+'Annual Raw'!Q70</f>
        <v>2004.71</v>
      </c>
      <c r="Q170" s="23">
        <f>'Annual Raw'!R67+'Annual Raw'!R66+'Annual Raw'!R69+'Annual Raw'!R70</f>
        <v>2428</v>
      </c>
      <c r="R170" s="23">
        <f>'Annual Raw'!S67+'Annual Raw'!S66+'Annual Raw'!S69+'Annual Raw'!S70</f>
        <v>3071</v>
      </c>
      <c r="S170" s="23">
        <f>'Annual Raw'!T67+'Annual Raw'!T66+'Annual Raw'!T69+'Annual Raw'!T70</f>
        <v>3220</v>
      </c>
      <c r="T170" s="23">
        <f>'Annual Raw'!U67+'Annual Raw'!U66+'Annual Raw'!U69+'Annual Raw'!U70</f>
        <v>2254</v>
      </c>
      <c r="U170" s="23">
        <f>'Annual Raw'!V67+'Annual Raw'!V66+'Annual Raw'!V69+'Annual Raw'!V70</f>
        <v>2489</v>
      </c>
      <c r="V170" s="23">
        <f>'Annual Raw'!W67+'Annual Raw'!W66+'Annual Raw'!W69+'Annual Raw'!W70</f>
        <v>1922</v>
      </c>
      <c r="W170" s="23">
        <f>'Annual Raw'!X67+'Annual Raw'!X66+'Annual Raw'!X69+'Annual Raw'!X70</f>
        <v>2075</v>
      </c>
      <c r="X170" s="23">
        <f>'Annual Raw'!Y67+'Annual Raw'!Y66+'Annual Raw'!Y69+'Annual Raw'!Y70</f>
        <v>2237</v>
      </c>
      <c r="Y170" s="23">
        <f>'Annual Raw'!Z67+'Annual Raw'!Z66+'Annual Raw'!Z69+'Annual Raw'!Z70</f>
        <v>1696</v>
      </c>
      <c r="Z170" s="23">
        <f>'Annual Raw'!AA67+'Annual Raw'!AA66+'Annual Raw'!AA69+'Annual Raw'!AA70</f>
        <v>2606</v>
      </c>
      <c r="AA170" s="23">
        <f>'Annual Raw'!AB67+'Annual Raw'!AB66+'Annual Raw'!AB69+'Annual Raw'!AB70</f>
        <v>3409</v>
      </c>
      <c r="AB170" s="24">
        <f t="shared" si="1301"/>
        <v>3409</v>
      </c>
      <c r="AC170" s="24">
        <f t="shared" si="1302"/>
        <v>3409</v>
      </c>
      <c r="AD170" s="24">
        <f t="shared" si="1303"/>
        <v>3409</v>
      </c>
      <c r="AE170" s="24">
        <f t="shared" si="1304"/>
        <v>3409</v>
      </c>
      <c r="AJ170" s="23">
        <f>+'QTR Raw'!D74+'QTR Raw'!D75</f>
        <v>0</v>
      </c>
      <c r="AK170" s="23">
        <f t="shared" si="1321"/>
        <v>0</v>
      </c>
      <c r="AL170" s="23">
        <f>+'QTR Raw'!F74+'QTR Raw'!F75</f>
        <v>0</v>
      </c>
      <c r="AM170" s="23">
        <f t="shared" si="1321"/>
        <v>0</v>
      </c>
      <c r="AN170" s="23">
        <f>+'QTR Raw'!H74+'QTR Raw'!H75</f>
        <v>0</v>
      </c>
      <c r="AO170" s="23">
        <f t="shared" si="1321"/>
        <v>0</v>
      </c>
      <c r="AP170" s="23">
        <f>+'QTR Raw'!J74+'QTR Raw'!J75</f>
        <v>0</v>
      </c>
      <c r="AQ170" s="23">
        <f t="shared" si="1321"/>
        <v>0</v>
      </c>
      <c r="AR170" s="23">
        <f>+'QTR Raw'!L74+'QTR Raw'!L75</f>
        <v>0</v>
      </c>
      <c r="AS170" s="23">
        <f t="shared" si="1321"/>
        <v>0</v>
      </c>
      <c r="AT170" s="23">
        <f>+'QTR Raw'!N74+'QTR Raw'!N75</f>
        <v>0</v>
      </c>
      <c r="AU170" s="23">
        <f t="shared" si="1321"/>
        <v>0</v>
      </c>
      <c r="AV170" s="23">
        <f>+'QTR Raw'!P74+'QTR Raw'!P75</f>
        <v>0</v>
      </c>
      <c r="AW170" s="23">
        <f t="shared" si="1321"/>
        <v>0</v>
      </c>
      <c r="AX170" s="23">
        <f>+'QTR Raw'!R74+'QTR Raw'!R75</f>
        <v>2428.2199999999998</v>
      </c>
      <c r="AY170" s="23">
        <f t="shared" si="1321"/>
        <v>2428.2199999999998</v>
      </c>
      <c r="AZ170" s="23">
        <f>+'QTR Raw'!T74+'QTR Raw'!T75</f>
        <v>2856.12</v>
      </c>
      <c r="BA170" s="23">
        <f t="shared" si="1321"/>
        <v>2856.12</v>
      </c>
      <c r="BB170" s="23">
        <f>+'QTR Raw'!V74+'QTR Raw'!V75</f>
        <v>3071</v>
      </c>
      <c r="BC170" s="23">
        <f t="shared" si="1321"/>
        <v>3071</v>
      </c>
      <c r="BD170" s="23">
        <f>+'QTR Raw'!X74+'QTR Raw'!X75</f>
        <v>3332</v>
      </c>
      <c r="BE170" s="23">
        <f t="shared" si="1321"/>
        <v>3332</v>
      </c>
      <c r="BF170" s="23">
        <f>+'QTR Raw'!Z74+'QTR Raw'!Z75</f>
        <v>3220</v>
      </c>
      <c r="BG170" s="23">
        <f t="shared" si="1321"/>
        <v>3220</v>
      </c>
      <c r="BH170" s="23">
        <f>+'QTR Raw'!AB74+'QTR Raw'!AB75</f>
        <v>4201</v>
      </c>
      <c r="BI170" s="23">
        <f t="shared" si="1321"/>
        <v>4201</v>
      </c>
      <c r="BJ170" s="23">
        <f>+'QTR Raw'!AD74+'QTR Raw'!AD75</f>
        <v>2254</v>
      </c>
      <c r="BK170" s="23">
        <f t="shared" si="1321"/>
        <v>2254</v>
      </c>
      <c r="BL170" s="23">
        <f>+'QTR Raw'!AF74+'QTR Raw'!AF75</f>
        <v>2920</v>
      </c>
      <c r="BM170" s="23">
        <f t="shared" si="1321"/>
        <v>2920</v>
      </c>
      <c r="BN170" s="23">
        <f>+'QTR Raw'!AH74+'QTR Raw'!AH75</f>
        <v>2489</v>
      </c>
      <c r="BO170" s="23">
        <f t="shared" si="1321"/>
        <v>2489</v>
      </c>
      <c r="BP170" s="23">
        <f>+'QTR Raw'!AJ74+'QTR Raw'!AJ75</f>
        <v>2522</v>
      </c>
      <c r="BQ170" s="23">
        <f t="shared" si="1321"/>
        <v>2522</v>
      </c>
      <c r="BR170" s="23">
        <f>+'QTR Raw'!AL74+'QTR Raw'!AL75</f>
        <v>1922</v>
      </c>
      <c r="BS170" s="23">
        <f t="shared" si="1321"/>
        <v>1922</v>
      </c>
      <c r="BT170" s="23">
        <f>+'QTR Raw'!AN74+'QTR Raw'!AN75</f>
        <v>2023</v>
      </c>
      <c r="BU170" s="23">
        <f t="shared" si="1321"/>
        <v>2023</v>
      </c>
      <c r="BV170" s="23">
        <f>+'QTR Raw'!AP74+'QTR Raw'!AP75</f>
        <v>2075</v>
      </c>
      <c r="BW170" s="23">
        <f t="shared" si="1321"/>
        <v>2075</v>
      </c>
      <c r="BX170" s="23">
        <f>+'QTR Raw'!AR74+'QTR Raw'!AR75</f>
        <v>2477</v>
      </c>
      <c r="BY170" s="23">
        <f t="shared" si="1321"/>
        <v>2477</v>
      </c>
      <c r="BZ170" s="23">
        <f>+'QTR Raw'!AT74+'QTR Raw'!AT75</f>
        <v>2237</v>
      </c>
      <c r="CA170" s="23">
        <f t="shared" si="1321"/>
        <v>2237</v>
      </c>
      <c r="CB170" s="23">
        <f>+'QTR Raw'!AV74+'QTR Raw'!AV75</f>
        <v>1459</v>
      </c>
      <c r="CC170" s="23">
        <f t="shared" si="1321"/>
        <v>1459</v>
      </c>
      <c r="CD170" s="23">
        <f>+'QTR Raw'!AX74+'QTR Raw'!AX75</f>
        <v>1696</v>
      </c>
      <c r="CE170" s="23">
        <f t="shared" si="1321"/>
        <v>1696</v>
      </c>
      <c r="CF170" s="23">
        <f>+'QTR Raw'!AZ74+'QTR Raw'!AZ75</f>
        <v>2620</v>
      </c>
      <c r="CG170" s="23">
        <f t="shared" si="1319"/>
        <v>2620</v>
      </c>
      <c r="CH170" s="23">
        <f t="shared" si="1305"/>
        <v>2606</v>
      </c>
      <c r="CI170" s="23">
        <f t="shared" si="1319"/>
        <v>2606</v>
      </c>
      <c r="CJ170" s="23">
        <f>+'QTR Raw'!BD74+'QTR Raw'!BD75</f>
        <v>2996</v>
      </c>
      <c r="CK170" s="23">
        <f t="shared" si="1322"/>
        <v>2996</v>
      </c>
      <c r="CL170" s="23">
        <f>+'QTR Raw'!BF74+'QTR Raw'!BF75</f>
        <v>3409</v>
      </c>
      <c r="CM170" s="24">
        <f t="shared" si="1323"/>
        <v>3409</v>
      </c>
      <c r="CN170" s="24">
        <f t="shared" si="1324"/>
        <v>3409</v>
      </c>
      <c r="CO170" s="24">
        <f t="shared" si="1325"/>
        <v>3409</v>
      </c>
      <c r="CP170" s="24">
        <f t="shared" si="1326"/>
        <v>3409</v>
      </c>
      <c r="CQ170" s="24">
        <f t="shared" si="1327"/>
        <v>3409</v>
      </c>
      <c r="CR170" s="24">
        <f t="shared" si="1328"/>
        <v>3409</v>
      </c>
      <c r="CS170" s="24">
        <f t="shared" si="1329"/>
        <v>3409</v>
      </c>
      <c r="CT170" s="24">
        <f t="shared" si="1330"/>
        <v>3409</v>
      </c>
      <c r="CU170" s="24">
        <f t="shared" si="1331"/>
        <v>3409</v>
      </c>
      <c r="CV170" s="24">
        <f t="shared" si="1332"/>
        <v>3409</v>
      </c>
      <c r="CW170" s="24">
        <f t="shared" si="1333"/>
        <v>3409</v>
      </c>
      <c r="CX170" s="24">
        <f t="shared" si="1334"/>
        <v>3409</v>
      </c>
      <c r="CY170" s="24">
        <f t="shared" si="1335"/>
        <v>3409</v>
      </c>
      <c r="CZ170" s="24">
        <f t="shared" si="1336"/>
        <v>3409</v>
      </c>
      <c r="DA170" s="24">
        <f t="shared" si="1337"/>
        <v>3409</v>
      </c>
      <c r="DB170" s="24">
        <f t="shared" si="1338"/>
        <v>3409</v>
      </c>
      <c r="DE170" s="123"/>
      <c r="DF170" s="23">
        <v>2996</v>
      </c>
    </row>
    <row r="171" spans="1:110" s="22" customFormat="1" x14ac:dyDescent="0.2">
      <c r="A171" s="22" t="s">
        <v>57</v>
      </c>
      <c r="B171" s="22">
        <f>B167+B170+B169</f>
        <v>664.24249999999995</v>
      </c>
      <c r="C171" s="22">
        <f t="shared" ref="C171:D171" si="1339">C167+C170+C169</f>
        <v>692.21100000000001</v>
      </c>
      <c r="D171" s="22">
        <f t="shared" si="1339"/>
        <v>660.11899999999991</v>
      </c>
      <c r="E171" s="22">
        <f t="shared" ref="E171:Y171" si="1340">E167+E170+E169+E168</f>
        <v>891.87</v>
      </c>
      <c r="F171" s="22">
        <f t="shared" si="1340"/>
        <v>1844.14</v>
      </c>
      <c r="G171" s="22">
        <f t="shared" si="1340"/>
        <v>1918.1</v>
      </c>
      <c r="H171" s="22">
        <f t="shared" si="1340"/>
        <v>2870.59</v>
      </c>
      <c r="I171" s="22">
        <f t="shared" si="1340"/>
        <v>4162.62</v>
      </c>
      <c r="J171" s="22">
        <f t="shared" si="1340"/>
        <v>5213.3100000000004</v>
      </c>
      <c r="K171" s="22">
        <f t="shared" si="1340"/>
        <v>7277.05</v>
      </c>
      <c r="L171" s="22">
        <f t="shared" si="1340"/>
        <v>7849.03</v>
      </c>
      <c r="M171" s="22">
        <f t="shared" si="1340"/>
        <v>8957.7799999999988</v>
      </c>
      <c r="N171" s="22">
        <f t="shared" si="1340"/>
        <v>9565.59</v>
      </c>
      <c r="O171" s="22">
        <f t="shared" si="1340"/>
        <v>10688.19</v>
      </c>
      <c r="P171" s="22">
        <f t="shared" si="1340"/>
        <v>11450.880000000001</v>
      </c>
      <c r="Q171" s="22">
        <f t="shared" si="1340"/>
        <v>12813</v>
      </c>
      <c r="R171" s="22">
        <f t="shared" si="1340"/>
        <v>13064</v>
      </c>
      <c r="S171" s="22">
        <f t="shared" si="1340"/>
        <v>14522</v>
      </c>
      <c r="T171" s="22">
        <f t="shared" si="1340"/>
        <v>17032</v>
      </c>
      <c r="U171" s="22">
        <f t="shared" si="1340"/>
        <v>18958</v>
      </c>
      <c r="V171" s="22">
        <f t="shared" si="1340"/>
        <v>18730</v>
      </c>
      <c r="W171" s="22">
        <f t="shared" si="1340"/>
        <v>19471</v>
      </c>
      <c r="X171" s="22">
        <f t="shared" si="1340"/>
        <v>19859</v>
      </c>
      <c r="Y171" s="22">
        <f t="shared" si="1340"/>
        <v>19847</v>
      </c>
      <c r="Z171" s="22">
        <f>Z167+Z170+Z169+Z168</f>
        <v>21214</v>
      </c>
      <c r="AA171" s="22">
        <f>AA167+AA170+AA169+AA168</f>
        <v>23346</v>
      </c>
      <c r="AB171" s="161">
        <f t="shared" ref="AB171:AE171" si="1341">AB167+AB170+AB169+AB168</f>
        <v>34487.311106250003</v>
      </c>
      <c r="AC171" s="161">
        <f t="shared" si="1341"/>
        <v>44870.600628703236</v>
      </c>
      <c r="AD171" s="161">
        <f t="shared" si="1341"/>
        <v>38624.267866082926</v>
      </c>
      <c r="AE171" s="161">
        <f t="shared" si="1341"/>
        <v>33318.966621536063</v>
      </c>
      <c r="AJ171" s="22">
        <f t="shared" ref="AJ171" si="1342">AJ167+AJ170+AJ168+AJ169</f>
        <v>9148.69</v>
      </c>
      <c r="AK171" s="22">
        <f t="shared" ref="AK171" si="1343">AK167+AK170+AK168+AK169</f>
        <v>9148.69</v>
      </c>
      <c r="AL171" s="22">
        <f t="shared" ref="AL171:AM171" si="1344">AL167+AL170+AL168+AL169</f>
        <v>9565.59</v>
      </c>
      <c r="AM171" s="22">
        <f t="shared" si="1344"/>
        <v>9565.59</v>
      </c>
      <c r="AN171" s="22">
        <f t="shared" ref="AN171:AO171" si="1345">AN167+AN170+AN168+AN169</f>
        <v>9967.7000000000007</v>
      </c>
      <c r="AO171" s="22">
        <f t="shared" si="1345"/>
        <v>9967.7000000000007</v>
      </c>
      <c r="AP171" s="22">
        <f t="shared" ref="AP171:CE171" si="1346">AP167+AP170+AP168+AP169</f>
        <v>10688.19</v>
      </c>
      <c r="AQ171" s="22">
        <f t="shared" si="1346"/>
        <v>10688.19</v>
      </c>
      <c r="AR171" s="22">
        <f t="shared" si="1346"/>
        <v>10963.83</v>
      </c>
      <c r="AS171" s="22">
        <f t="shared" si="1346"/>
        <v>10963.83</v>
      </c>
      <c r="AT171" s="22">
        <f t="shared" si="1346"/>
        <v>11450.88</v>
      </c>
      <c r="AU171" s="22">
        <f t="shared" si="1346"/>
        <v>11450.88</v>
      </c>
      <c r="AV171" s="22">
        <f t="shared" si="1346"/>
        <v>11912.61</v>
      </c>
      <c r="AW171" s="22">
        <f t="shared" si="1346"/>
        <v>11912.61</v>
      </c>
      <c r="AX171" s="22">
        <f t="shared" si="1346"/>
        <v>12813.48</v>
      </c>
      <c r="AY171" s="22">
        <f t="shared" si="1346"/>
        <v>12813.48</v>
      </c>
      <c r="AZ171" s="22">
        <f t="shared" si="1346"/>
        <v>13135.7</v>
      </c>
      <c r="BA171" s="22">
        <f t="shared" si="1346"/>
        <v>13135.7</v>
      </c>
      <c r="BB171" s="22">
        <f t="shared" si="1346"/>
        <v>13064</v>
      </c>
      <c r="BC171" s="22">
        <f t="shared" si="1346"/>
        <v>13064</v>
      </c>
      <c r="BD171" s="22">
        <f t="shared" si="1346"/>
        <v>13270</v>
      </c>
      <c r="BE171" s="22">
        <f t="shared" si="1346"/>
        <v>13270</v>
      </c>
      <c r="BF171" s="22">
        <f t="shared" si="1346"/>
        <v>14522</v>
      </c>
      <c r="BG171" s="22">
        <f t="shared" si="1346"/>
        <v>14522</v>
      </c>
      <c r="BH171" s="22">
        <f t="shared" si="1346"/>
        <v>15897</v>
      </c>
      <c r="BI171" s="22">
        <f t="shared" si="1346"/>
        <v>15897</v>
      </c>
      <c r="BJ171" s="22">
        <f t="shared" si="1346"/>
        <v>17032</v>
      </c>
      <c r="BK171" s="22">
        <f t="shared" si="1346"/>
        <v>17032</v>
      </c>
      <c r="BL171" s="22">
        <f t="shared" si="1346"/>
        <v>17876</v>
      </c>
      <c r="BM171" s="22">
        <f t="shared" si="1346"/>
        <v>17876</v>
      </c>
      <c r="BN171" s="22">
        <f t="shared" si="1346"/>
        <v>18958</v>
      </c>
      <c r="BO171" s="22">
        <f t="shared" si="1346"/>
        <v>18958</v>
      </c>
      <c r="BP171" s="22">
        <f t="shared" si="1346"/>
        <v>18807</v>
      </c>
      <c r="BQ171" s="22">
        <f t="shared" si="1346"/>
        <v>18807</v>
      </c>
      <c r="BR171" s="22">
        <f t="shared" si="1346"/>
        <v>18730</v>
      </c>
      <c r="BS171" s="22">
        <f t="shared" si="1346"/>
        <v>18730</v>
      </c>
      <c r="BT171" s="22">
        <f t="shared" si="1346"/>
        <v>18789</v>
      </c>
      <c r="BU171" s="22">
        <f t="shared" si="1346"/>
        <v>18789</v>
      </c>
      <c r="BV171" s="22">
        <f t="shared" si="1346"/>
        <v>19471</v>
      </c>
      <c r="BW171" s="22">
        <f t="shared" si="1346"/>
        <v>19471</v>
      </c>
      <c r="BX171" s="22">
        <f t="shared" si="1346"/>
        <v>19801</v>
      </c>
      <c r="BY171" s="22">
        <f t="shared" si="1346"/>
        <v>19801</v>
      </c>
      <c r="BZ171" s="22">
        <f t="shared" si="1346"/>
        <v>19859</v>
      </c>
      <c r="CA171" s="22">
        <f t="shared" si="1346"/>
        <v>19859</v>
      </c>
      <c r="CB171" s="22">
        <f t="shared" si="1346"/>
        <v>20010</v>
      </c>
      <c r="CC171" s="22">
        <f t="shared" si="1346"/>
        <v>20010</v>
      </c>
      <c r="CD171" s="22">
        <f t="shared" si="1346"/>
        <v>19847</v>
      </c>
      <c r="CE171" s="22">
        <f t="shared" si="1346"/>
        <v>19847</v>
      </c>
      <c r="CF171" s="22">
        <f t="shared" ref="CF171:CG171" si="1347">CF167+CF170+CF168+CF169</f>
        <v>20403</v>
      </c>
      <c r="CG171" s="22">
        <f t="shared" si="1347"/>
        <v>20403</v>
      </c>
      <c r="CH171" s="22">
        <f t="shared" ref="CH171:CJ171" si="1348">CH167+CH170+CH168+CH169</f>
        <v>21214</v>
      </c>
      <c r="CI171" s="22">
        <f t="shared" si="1348"/>
        <v>20301</v>
      </c>
      <c r="CJ171" s="22">
        <f t="shared" si="1348"/>
        <v>22135</v>
      </c>
      <c r="CK171" s="22">
        <f t="shared" ref="CK171:DB171" si="1349">CK167+CK170+CK168+CK169</f>
        <v>21188</v>
      </c>
      <c r="CL171" s="22">
        <f t="shared" si="1349"/>
        <v>23346</v>
      </c>
      <c r="CM171" s="21">
        <f t="shared" si="1349"/>
        <v>26349.15</v>
      </c>
      <c r="CN171" s="21">
        <f t="shared" si="1349"/>
        <v>29202.142500000002</v>
      </c>
      <c r="CO171" s="21">
        <f t="shared" si="1349"/>
        <v>31912.485375000004</v>
      </c>
      <c r="CP171" s="21">
        <f t="shared" si="1349"/>
        <v>34487.311106250003</v>
      </c>
      <c r="CQ171" s="21">
        <f t="shared" si="1349"/>
        <v>37244.178662000006</v>
      </c>
      <c r="CR171" s="21">
        <f t="shared" si="1349"/>
        <v>39890.771515520006</v>
      </c>
      <c r="CS171" s="21">
        <f t="shared" si="1349"/>
        <v>42431.500654899202</v>
      </c>
      <c r="CT171" s="21">
        <f t="shared" si="1349"/>
        <v>44870.600628703236</v>
      </c>
      <c r="CU171" s="21">
        <f t="shared" si="1349"/>
        <v>43212.136603555104</v>
      </c>
      <c r="CV171" s="21">
        <f t="shared" si="1349"/>
        <v>41620.011139412898</v>
      </c>
      <c r="CW171" s="21">
        <f t="shared" si="1349"/>
        <v>40091.57069383638</v>
      </c>
      <c r="CX171" s="21">
        <f t="shared" si="1349"/>
        <v>38624.267866082926</v>
      </c>
      <c r="CY171" s="21">
        <f t="shared" si="1349"/>
        <v>37215.657151439606</v>
      </c>
      <c r="CZ171" s="21">
        <f t="shared" si="1349"/>
        <v>35863.390865382018</v>
      </c>
      <c r="DA171" s="21">
        <f t="shared" si="1349"/>
        <v>34565.215230766735</v>
      </c>
      <c r="DB171" s="21">
        <f t="shared" si="1349"/>
        <v>33318.966621536063</v>
      </c>
      <c r="DE171" s="126"/>
      <c r="DF171" s="22">
        <v>24787.857672814673</v>
      </c>
    </row>
    <row r="172" spans="1:110" s="23" customFormat="1" x14ac:dyDescent="0.2">
      <c r="AB172" s="24"/>
      <c r="AC172" s="24"/>
      <c r="AD172" s="24"/>
      <c r="AE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0" s="23" customFormat="1" x14ac:dyDescent="0.2">
      <c r="A173" s="23" t="s">
        <v>58</v>
      </c>
      <c r="B173" s="23">
        <f>'Annual Raw'!C71</f>
        <v>83.043199999999999</v>
      </c>
      <c r="C173" s="23">
        <f>'Annual Raw'!D71</f>
        <v>0</v>
      </c>
      <c r="D173" s="23">
        <f>'Annual Raw'!E71</f>
        <v>0</v>
      </c>
      <c r="E173" s="23">
        <f>'Annual Raw'!F71</f>
        <v>0</v>
      </c>
      <c r="F173" s="23">
        <f>'Annual Raw'!G71</f>
        <v>0</v>
      </c>
      <c r="G173" s="23">
        <f>'Annual Raw'!H71</f>
        <v>0</v>
      </c>
      <c r="H173" s="23">
        <f>'Annual Raw'!I71</f>
        <v>1.00000000002183E-2</v>
      </c>
      <c r="I173" s="23">
        <f>'Annual Raw'!J71</f>
        <v>1.3899999999994199</v>
      </c>
      <c r="J173" s="23">
        <f>'Annual Raw'!K71</f>
        <v>1.80999999999949</v>
      </c>
      <c r="K173" s="23">
        <f>'Annual Raw'!L71</f>
        <v>2.0799999999999299</v>
      </c>
      <c r="L173" s="23">
        <f>'Annual Raw'!M71</f>
        <v>2.08</v>
      </c>
      <c r="M173" s="23">
        <f>'Annual Raw'!N71</f>
        <v>2.59</v>
      </c>
      <c r="N173" s="23">
        <f>'Annual Raw'!O71</f>
        <v>2.7</v>
      </c>
      <c r="O173" s="23">
        <f>'Annual Raw'!P71</f>
        <v>2.81</v>
      </c>
      <c r="P173" s="23">
        <f>'Annual Raw'!Q71</f>
        <v>0</v>
      </c>
      <c r="Q173" s="23">
        <f>'Annual Raw'!R71</f>
        <v>0</v>
      </c>
      <c r="R173" s="23">
        <f>'Annual Raw'!S71</f>
        <v>0</v>
      </c>
      <c r="S173" s="23">
        <f>'Annual Raw'!T71</f>
        <v>0</v>
      </c>
      <c r="T173" s="23">
        <f>'Annual Raw'!U71</f>
        <v>0</v>
      </c>
      <c r="U173" s="23">
        <f>'Annual Raw'!V71</f>
        <v>0</v>
      </c>
      <c r="V173" s="23">
        <f>'Annual Raw'!W71</f>
        <v>0</v>
      </c>
      <c r="W173" s="23">
        <f>'Annual Raw'!X71</f>
        <v>0</v>
      </c>
      <c r="X173" s="23">
        <f>'Annual Raw'!Y71</f>
        <v>257</v>
      </c>
      <c r="Y173" s="23">
        <f>'Annual Raw'!Z71</f>
        <v>578</v>
      </c>
      <c r="Z173" s="23">
        <f>'Annual Raw'!AA71</f>
        <v>823</v>
      </c>
      <c r="AA173" s="23">
        <f>'Annual Raw'!AB71</f>
        <v>1114</v>
      </c>
      <c r="AB173" s="24">
        <f>+CP173</f>
        <v>1114</v>
      </c>
      <c r="AC173" s="24">
        <f>+CT173</f>
        <v>1114</v>
      </c>
      <c r="AD173" s="24">
        <f>+CX173</f>
        <v>1114</v>
      </c>
      <c r="AE173" s="24">
        <f>+DB173</f>
        <v>1114</v>
      </c>
      <c r="AJ173" s="23">
        <f>+'QTR Raw'!D77</f>
        <v>2.7</v>
      </c>
      <c r="AK173" s="23">
        <f t="shared" ref="AK173:CE173" si="1350">+AJ173</f>
        <v>2.7</v>
      </c>
      <c r="AL173" s="23">
        <f>+'QTR Raw'!F77</f>
        <v>2.7</v>
      </c>
      <c r="AM173" s="23">
        <f t="shared" si="1350"/>
        <v>2.7</v>
      </c>
      <c r="AN173" s="23">
        <f>+'QTR Raw'!H77</f>
        <v>2.81</v>
      </c>
      <c r="AO173" s="23">
        <f t="shared" si="1350"/>
        <v>2.81</v>
      </c>
      <c r="AP173" s="23">
        <f>+'QTR Raw'!J77</f>
        <v>2.81</v>
      </c>
      <c r="AQ173" s="23">
        <f t="shared" si="1350"/>
        <v>2.81</v>
      </c>
      <c r="AR173" s="23">
        <f>+'QTR Raw'!L77</f>
        <v>0</v>
      </c>
      <c r="AS173" s="23">
        <f t="shared" si="1350"/>
        <v>0</v>
      </c>
      <c r="AT173" s="23">
        <f>+'QTR Raw'!N77</f>
        <v>0</v>
      </c>
      <c r="AU173" s="23">
        <f t="shared" si="1350"/>
        <v>0</v>
      </c>
      <c r="AV173" s="23">
        <f>+'QTR Raw'!P77</f>
        <v>0</v>
      </c>
      <c r="AW173" s="23">
        <f t="shared" si="1350"/>
        <v>0</v>
      </c>
      <c r="AX173" s="23">
        <f>+'QTR Raw'!R77</f>
        <v>0</v>
      </c>
      <c r="AY173" s="23">
        <f t="shared" si="1350"/>
        <v>0</v>
      </c>
      <c r="AZ173" s="23">
        <f>+'QTR Raw'!T77</f>
        <v>0</v>
      </c>
      <c r="BA173" s="23">
        <f t="shared" si="1350"/>
        <v>0</v>
      </c>
      <c r="BB173" s="23">
        <f>+'QTR Raw'!V77</f>
        <v>0</v>
      </c>
      <c r="BC173" s="23">
        <f t="shared" si="1350"/>
        <v>0</v>
      </c>
      <c r="BD173" s="23">
        <f>+'QTR Raw'!X77</f>
        <v>0</v>
      </c>
      <c r="BE173" s="23">
        <f t="shared" si="1350"/>
        <v>0</v>
      </c>
      <c r="BF173" s="23">
        <f>+'QTR Raw'!Z77</f>
        <v>0</v>
      </c>
      <c r="BG173" s="23">
        <f t="shared" si="1350"/>
        <v>0</v>
      </c>
      <c r="BH173" s="23">
        <f>+'QTR Raw'!AB77</f>
        <v>0</v>
      </c>
      <c r="BI173" s="23">
        <f t="shared" si="1350"/>
        <v>0</v>
      </c>
      <c r="BJ173" s="23">
        <f>+'QTR Raw'!AD77</f>
        <v>0</v>
      </c>
      <c r="BK173" s="23">
        <f t="shared" si="1350"/>
        <v>0</v>
      </c>
      <c r="BL173" s="23">
        <f>+'QTR Raw'!AF77</f>
        <v>0</v>
      </c>
      <c r="BM173" s="23">
        <f t="shared" si="1350"/>
        <v>0</v>
      </c>
      <c r="BN173" s="23">
        <f>+'QTR Raw'!AH77</f>
        <v>0</v>
      </c>
      <c r="BO173" s="23">
        <f t="shared" si="1350"/>
        <v>0</v>
      </c>
      <c r="BP173" s="23">
        <f>+'QTR Raw'!AJ77</f>
        <v>0</v>
      </c>
      <c r="BQ173" s="23">
        <f t="shared" si="1350"/>
        <v>0</v>
      </c>
      <c r="BR173" s="23">
        <f>+'QTR Raw'!AL77</f>
        <v>0</v>
      </c>
      <c r="BS173" s="23">
        <f t="shared" si="1350"/>
        <v>0</v>
      </c>
      <c r="BT173" s="23">
        <f>+'QTR Raw'!AN77</f>
        <v>0</v>
      </c>
      <c r="BU173" s="23">
        <f t="shared" si="1350"/>
        <v>0</v>
      </c>
      <c r="BV173" s="23">
        <f>+'QTR Raw'!AP77</f>
        <v>0</v>
      </c>
      <c r="BW173" s="23">
        <f t="shared" si="1350"/>
        <v>0</v>
      </c>
      <c r="BX173" s="23">
        <f>+'QTR Raw'!AR77</f>
        <v>105</v>
      </c>
      <c r="BY173" s="23">
        <f t="shared" si="1350"/>
        <v>105</v>
      </c>
      <c r="BZ173" s="23">
        <f>+'QTR Raw'!AT77</f>
        <v>257</v>
      </c>
      <c r="CA173" s="23">
        <f t="shared" si="1350"/>
        <v>257</v>
      </c>
      <c r="CB173" s="23">
        <f>+'QTR Raw'!AV77</f>
        <v>398</v>
      </c>
      <c r="CC173" s="23">
        <f t="shared" si="1350"/>
        <v>398</v>
      </c>
      <c r="CD173" s="23">
        <f>+'QTR Raw'!AX77</f>
        <v>578</v>
      </c>
      <c r="CE173" s="23">
        <f t="shared" si="1350"/>
        <v>578</v>
      </c>
      <c r="CF173" s="23">
        <f>+'QTR Raw'!AZ77</f>
        <v>815</v>
      </c>
      <c r="CG173" s="23">
        <f t="shared" ref="CG173:CI176" si="1351">+CF173</f>
        <v>815</v>
      </c>
      <c r="CH173" s="23">
        <f t="shared" ref="CH173:CH188" si="1352">Z173</f>
        <v>823</v>
      </c>
      <c r="CI173" s="23">
        <f t="shared" si="1351"/>
        <v>823</v>
      </c>
      <c r="CJ173" s="23">
        <f>+'QTR Raw'!BD77</f>
        <v>881</v>
      </c>
      <c r="CK173" s="23">
        <f t="shared" ref="CK173" si="1353">+CJ173</f>
        <v>881</v>
      </c>
      <c r="CL173" s="23">
        <f>+'QTR Raw'!BF77</f>
        <v>1114</v>
      </c>
      <c r="CM173" s="24">
        <f t="shared" ref="CM173" si="1354">+CL173</f>
        <v>1114</v>
      </c>
      <c r="CN173" s="24">
        <f t="shared" ref="CN173" si="1355">+CM173</f>
        <v>1114</v>
      </c>
      <c r="CO173" s="24">
        <f t="shared" ref="CO173" si="1356">+CN173</f>
        <v>1114</v>
      </c>
      <c r="CP173" s="24">
        <f t="shared" ref="CP173" si="1357">+CO173</f>
        <v>1114</v>
      </c>
      <c r="CQ173" s="24">
        <f t="shared" ref="CQ173" si="1358">+CP173</f>
        <v>1114</v>
      </c>
      <c r="CR173" s="24">
        <f t="shared" ref="CR173" si="1359">+CQ173</f>
        <v>1114</v>
      </c>
      <c r="CS173" s="24">
        <f t="shared" ref="CS173" si="1360">+CR173</f>
        <v>1114</v>
      </c>
      <c r="CT173" s="24">
        <f t="shared" ref="CT173" si="1361">+CS173</f>
        <v>1114</v>
      </c>
      <c r="CU173" s="24">
        <f t="shared" ref="CU173" si="1362">+CT173</f>
        <v>1114</v>
      </c>
      <c r="CV173" s="24">
        <f t="shared" ref="CV173" si="1363">+CU173</f>
        <v>1114</v>
      </c>
      <c r="CW173" s="24">
        <f t="shared" ref="CW173" si="1364">+CV173</f>
        <v>1114</v>
      </c>
      <c r="CX173" s="24">
        <f t="shared" ref="CX173" si="1365">+CW173</f>
        <v>1114</v>
      </c>
      <c r="CY173" s="24">
        <f t="shared" ref="CY173" si="1366">+CX173</f>
        <v>1114</v>
      </c>
      <c r="CZ173" s="24">
        <f t="shared" ref="CZ173" si="1367">+CY173</f>
        <v>1114</v>
      </c>
      <c r="DA173" s="24">
        <f t="shared" ref="DA173" si="1368">+CZ173</f>
        <v>1114</v>
      </c>
      <c r="DB173" s="24">
        <f t="shared" ref="DB173" si="1369">+DA173</f>
        <v>1114</v>
      </c>
      <c r="DE173" s="123"/>
      <c r="DF173" s="23">
        <v>881</v>
      </c>
    </row>
    <row r="174" spans="1:110" s="23" customFormat="1" x14ac:dyDescent="0.2">
      <c r="AB174" s="24"/>
      <c r="AC174" s="24"/>
      <c r="AD174" s="24"/>
      <c r="AE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</row>
    <row r="175" spans="1:110" s="23" customFormat="1" outlineLevel="1" x14ac:dyDescent="0.2">
      <c r="A175" s="23" t="s">
        <v>59</v>
      </c>
      <c r="B175" s="23">
        <f>'Annual Raw'!C72</f>
        <v>0</v>
      </c>
      <c r="C175" s="23">
        <f>'Annual Raw'!D72</f>
        <v>0</v>
      </c>
      <c r="D175" s="23">
        <f>'Annual Raw'!E72</f>
        <v>0</v>
      </c>
      <c r="E175" s="23">
        <f>'Annual Raw'!F72+'Annual Raw'!F61</f>
        <v>0</v>
      </c>
      <c r="F175" s="23">
        <f>'Annual Raw'!G72+'Annual Raw'!G61</f>
        <v>0</v>
      </c>
      <c r="G175" s="23">
        <f>'Annual Raw'!H72+'Annual Raw'!H61</f>
        <v>0</v>
      </c>
      <c r="H175" s="23">
        <f>'Annual Raw'!I72+'Annual Raw'!I61</f>
        <v>0</v>
      </c>
      <c r="I175" s="23">
        <f>'Annual Raw'!J72+'Annual Raw'!J61</f>
        <v>0</v>
      </c>
      <c r="J175" s="23">
        <f>'Annual Raw'!K72+'Annual Raw'!K61</f>
        <v>0</v>
      </c>
      <c r="K175" s="23">
        <f>'Annual Raw'!L72+'Annual Raw'!L61</f>
        <v>0</v>
      </c>
      <c r="L175" s="23">
        <f>'Annual Raw'!M72+'Annual Raw'!M61</f>
        <v>672.1</v>
      </c>
      <c r="M175" s="23">
        <f>'Annual Raw'!N72+'Annual Raw'!N61</f>
        <v>794.16</v>
      </c>
      <c r="N175" s="23">
        <f>'Annual Raw'!O72+'Annual Raw'!O61</f>
        <v>1878.99</v>
      </c>
      <c r="O175" s="23">
        <f>'Annual Raw'!P72+'Annual Raw'!P61</f>
        <v>2918.65</v>
      </c>
      <c r="P175" s="23">
        <f>'Annual Raw'!Q72+'Annual Raw'!Q61</f>
        <v>4316.6499999999996</v>
      </c>
      <c r="Q175" s="23">
        <f>'Annual Raw'!R72+'Annual Raw'!R61</f>
        <v>640</v>
      </c>
      <c r="R175" s="23">
        <f>'Annual Raw'!S72+'Annual Raw'!S61</f>
        <v>980</v>
      </c>
      <c r="S175" s="23">
        <f>'Annual Raw'!T72+'Annual Raw'!T61</f>
        <v>1708</v>
      </c>
      <c r="T175" s="23">
        <f>'Annual Raw'!U72+'Annual Raw'!U61</f>
        <v>1536</v>
      </c>
      <c r="U175" s="23">
        <f>'Annual Raw'!V72+'Annual Raw'!V61</f>
        <v>1115</v>
      </c>
      <c r="V175" s="23">
        <f>'Annual Raw'!W72+'Annual Raw'!W61</f>
        <v>1119</v>
      </c>
      <c r="W175" s="23">
        <f>'Annual Raw'!X72+'Annual Raw'!X61</f>
        <v>1103</v>
      </c>
      <c r="X175" s="23">
        <f>'Annual Raw'!Y72+'Annual Raw'!Y61</f>
        <v>431</v>
      </c>
      <c r="Y175" s="23">
        <f>'Annual Raw'!Z72+'Annual Raw'!Z61</f>
        <v>744</v>
      </c>
      <c r="Z175" s="23">
        <f>'Annual Raw'!AA72+'Annual Raw'!AA61</f>
        <v>650</v>
      </c>
      <c r="AA175" s="23">
        <f>'Annual Raw'!AB72+'Annual Raw'!AB61</f>
        <v>1125</v>
      </c>
      <c r="AB175" s="24">
        <f t="shared" ref="AB175:AB180" si="1370">+CP175</f>
        <v>0</v>
      </c>
      <c r="AC175" s="24">
        <f t="shared" ref="AC175:AC180" si="1371">+CT175</f>
        <v>0</v>
      </c>
      <c r="AD175" s="24">
        <f t="shared" ref="AD175:AD180" si="1372">+CX175</f>
        <v>0</v>
      </c>
      <c r="AE175" s="24">
        <f t="shared" ref="AE175:AE180" si="1373">+DB175</f>
        <v>0</v>
      </c>
      <c r="AJ175" s="23">
        <f>+'QTR Raw'!D78</f>
        <v>1094.53</v>
      </c>
      <c r="AK175" s="23">
        <f t="shared" ref="AK175:CE180" si="1374">+AJ175</f>
        <v>1094.53</v>
      </c>
      <c r="AL175" s="23">
        <f>+'QTR Raw'!F78</f>
        <v>1898.29</v>
      </c>
      <c r="AM175" s="23">
        <f t="shared" si="1374"/>
        <v>1898.29</v>
      </c>
      <c r="AN175" s="23">
        <f>+'QTR Raw'!H78</f>
        <v>2125.59</v>
      </c>
      <c r="AO175" s="23">
        <f t="shared" si="1374"/>
        <v>2125.59</v>
      </c>
      <c r="AP175" s="23">
        <f>+'QTR Raw'!J78</f>
        <v>2939.36</v>
      </c>
      <c r="AQ175" s="23">
        <f t="shared" si="1374"/>
        <v>2939.36</v>
      </c>
      <c r="AR175" s="23">
        <f>+'QTR Raw'!L78</f>
        <v>3285.33</v>
      </c>
      <c r="AS175" s="23">
        <f t="shared" si="1374"/>
        <v>3285.33</v>
      </c>
      <c r="AT175" s="23">
        <f>+'QTR Raw'!N78</f>
        <v>4337.32</v>
      </c>
      <c r="AU175" s="23">
        <f t="shared" si="1374"/>
        <v>4337.32</v>
      </c>
      <c r="AV175" s="23">
        <f>+'QTR Raw'!P78</f>
        <v>4896.5200000000004</v>
      </c>
      <c r="AW175" s="23">
        <f t="shared" si="1374"/>
        <v>4896.5200000000004</v>
      </c>
      <c r="AX175" s="23">
        <f>+'QTR Raw'!R78</f>
        <v>19.05</v>
      </c>
      <c r="AY175" s="23">
        <f t="shared" si="1374"/>
        <v>19.05</v>
      </c>
      <c r="AZ175" s="23">
        <f>+'QTR Raw'!T78</f>
        <v>2.65</v>
      </c>
      <c r="BA175" s="23">
        <f t="shared" si="1374"/>
        <v>2.65</v>
      </c>
      <c r="BB175" s="23">
        <f>+'QTR Raw'!V78</f>
        <v>19</v>
      </c>
      <c r="BC175" s="23">
        <f t="shared" si="1374"/>
        <v>19</v>
      </c>
      <c r="BD175" s="23">
        <f>+'QTR Raw'!X78</f>
        <v>0</v>
      </c>
      <c r="BE175" s="23">
        <f t="shared" si="1374"/>
        <v>0</v>
      </c>
      <c r="BF175" s="23">
        <f>+'QTR Raw'!Z78</f>
        <v>15</v>
      </c>
      <c r="BG175" s="23">
        <f t="shared" si="1374"/>
        <v>15</v>
      </c>
      <c r="BH175" s="23">
        <f>+'QTR Raw'!AB78</f>
        <v>14</v>
      </c>
      <c r="BI175" s="23">
        <f t="shared" si="1374"/>
        <v>14</v>
      </c>
      <c r="BJ175" s="23">
        <f>+'QTR Raw'!AD78</f>
        <v>13</v>
      </c>
      <c r="BK175" s="23">
        <f t="shared" si="1374"/>
        <v>13</v>
      </c>
      <c r="BL175" s="23">
        <f>+'QTR Raw'!AF78</f>
        <v>13</v>
      </c>
      <c r="BM175" s="23">
        <f t="shared" si="1374"/>
        <v>13</v>
      </c>
      <c r="BN175" s="23">
        <f>+'QTR Raw'!AH78</f>
        <v>13</v>
      </c>
      <c r="BO175" s="23">
        <f t="shared" si="1374"/>
        <v>13</v>
      </c>
      <c r="BP175" s="23">
        <f>+'QTR Raw'!AJ78</f>
        <v>12</v>
      </c>
      <c r="BQ175" s="23">
        <f t="shared" si="1374"/>
        <v>12</v>
      </c>
      <c r="BR175" s="23">
        <f>+'QTR Raw'!AL78</f>
        <v>1</v>
      </c>
      <c r="BS175" s="23">
        <f t="shared" si="1374"/>
        <v>1</v>
      </c>
      <c r="BT175" s="23">
        <f>+'QTR Raw'!AN78</f>
        <v>2</v>
      </c>
      <c r="BU175" s="23">
        <f t="shared" si="1374"/>
        <v>2</v>
      </c>
      <c r="BV175" s="23">
        <f>+'QTR Raw'!AP78</f>
        <v>2</v>
      </c>
      <c r="BW175" s="23">
        <f t="shared" si="1374"/>
        <v>2</v>
      </c>
      <c r="BX175" s="23">
        <f>+'QTR Raw'!AR78</f>
        <v>1</v>
      </c>
      <c r="BY175" s="23">
        <f t="shared" si="1374"/>
        <v>1</v>
      </c>
      <c r="BZ175" s="23">
        <f>+'QTR Raw'!AT78</f>
        <v>0</v>
      </c>
      <c r="CA175" s="23">
        <f t="shared" si="1374"/>
        <v>0</v>
      </c>
      <c r="CB175" s="23">
        <f>+'QTR Raw'!AV78</f>
        <v>0</v>
      </c>
      <c r="CC175" s="23">
        <f t="shared" si="1374"/>
        <v>0</v>
      </c>
      <c r="CD175" s="23">
        <f>+'QTR Raw'!AX78</f>
        <v>0</v>
      </c>
      <c r="CE175" s="23">
        <f t="shared" si="1374"/>
        <v>0</v>
      </c>
      <c r="CF175" s="23">
        <f>+'QTR Raw'!AZ78</f>
        <v>0</v>
      </c>
      <c r="CG175" s="23">
        <f t="shared" si="1351"/>
        <v>0</v>
      </c>
      <c r="CH175" s="23">
        <f t="shared" si="1352"/>
        <v>650</v>
      </c>
      <c r="CJ175" s="23">
        <f>+'QTR Raw'!BD78</f>
        <v>1</v>
      </c>
      <c r="CL175" s="23">
        <f>+'QTR Raw'!BF78</f>
        <v>1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1</v>
      </c>
    </row>
    <row r="176" spans="1:110" s="23" customFormat="1" outlineLevel="1" x14ac:dyDescent="0.2">
      <c r="A176" s="23" t="s">
        <v>60</v>
      </c>
      <c r="B176" s="23">
        <f>'Annual Raw'!C73+'Annual Raw'!C81</f>
        <v>0</v>
      </c>
      <c r="C176" s="23">
        <f>'Annual Raw'!D73+'Annual Raw'!D81</f>
        <v>0</v>
      </c>
      <c r="D176" s="23">
        <f>'Annual Raw'!E73+'Annual Raw'!E81</f>
        <v>0</v>
      </c>
      <c r="E176" s="23">
        <f>'Annual Raw'!F73+'Annual Raw'!F81</f>
        <v>0</v>
      </c>
      <c r="F176" s="23">
        <f>'Annual Raw'!G73+'Annual Raw'!G81</f>
        <v>0</v>
      </c>
      <c r="G176" s="23">
        <f>'Annual Raw'!H73+'Annual Raw'!H81</f>
        <v>0</v>
      </c>
      <c r="H176" s="23">
        <f>'Annual Raw'!I73+'Annual Raw'!I81</f>
        <v>0</v>
      </c>
      <c r="I176" s="23">
        <f>'Annual Raw'!J73+'Annual Raw'!J81</f>
        <v>0</v>
      </c>
      <c r="J176" s="23">
        <f>'Annual Raw'!K73+'Annual Raw'!K81</f>
        <v>0</v>
      </c>
      <c r="K176" s="23">
        <f>'Annual Raw'!L73+'Annual Raw'!L81</f>
        <v>0</v>
      </c>
      <c r="L176" s="23">
        <f>'Annual Raw'!M73+'Annual Raw'!M81</f>
        <v>74.400000000000006</v>
      </c>
      <c r="M176" s="23">
        <f>'Annual Raw'!N73+'Annual Raw'!N81</f>
        <v>96.25</v>
      </c>
      <c r="N176" s="23">
        <f>'Annual Raw'!O73+'Annual Raw'!O81</f>
        <v>258.49</v>
      </c>
      <c r="O176" s="23">
        <f>'Annual Raw'!P73+'Annual Raw'!P81</f>
        <v>20.71</v>
      </c>
      <c r="P176" s="23">
        <f>'Annual Raw'!Q73+'Annual Raw'!Q81</f>
        <v>20.67</v>
      </c>
      <c r="Q176" s="23">
        <f>'Annual Raw'!R73+'Annual Raw'!R81</f>
        <v>331</v>
      </c>
      <c r="R176" s="23">
        <f>'Annual Raw'!S73+'Annual Raw'!S81</f>
        <v>354</v>
      </c>
      <c r="S176" s="23">
        <f>'Annual Raw'!T73+'Annual Raw'!T81</f>
        <v>351</v>
      </c>
      <c r="T176" s="23">
        <f>'Annual Raw'!U73+'Annual Raw'!U81</f>
        <v>393</v>
      </c>
      <c r="U176" s="23">
        <f>'Annual Raw'!V73+'Annual Raw'!V81</f>
        <v>267</v>
      </c>
      <c r="V176" s="23">
        <f>'Annual Raw'!W73+'Annual Raw'!W81</f>
        <v>252</v>
      </c>
      <c r="W176" s="23">
        <f>'Annual Raw'!X73+'Annual Raw'!X81</f>
        <v>114</v>
      </c>
      <c r="X176" s="23">
        <f>'Annual Raw'!Y73+'Annual Raw'!Y81</f>
        <v>116</v>
      </c>
      <c r="Y176" s="23">
        <f>'Annual Raw'!Z73+'Annual Raw'!Z81</f>
        <v>101</v>
      </c>
      <c r="Z176" s="23">
        <f>'Annual Raw'!AA73+'Annual Raw'!AA81</f>
        <v>177</v>
      </c>
      <c r="AA176" s="23">
        <f>'Annual Raw'!AB73+'Annual Raw'!AB81</f>
        <v>185</v>
      </c>
      <c r="AB176" s="24">
        <f t="shared" si="1370"/>
        <v>0</v>
      </c>
      <c r="AC176" s="24">
        <f t="shared" si="1371"/>
        <v>0</v>
      </c>
      <c r="AD176" s="24">
        <f t="shared" si="1372"/>
        <v>0</v>
      </c>
      <c r="AE176" s="24">
        <f t="shared" si="1373"/>
        <v>0</v>
      </c>
      <c r="AJ176" s="23">
        <f>+'QTR Raw'!D79+'QTR Raw'!D76</f>
        <v>307.16000000000003</v>
      </c>
      <c r="AK176" s="23">
        <f t="shared" si="1374"/>
        <v>307.16000000000003</v>
      </c>
      <c r="AL176" s="23">
        <f>+'QTR Raw'!F79+'QTR Raw'!F76</f>
        <v>239.19</v>
      </c>
      <c r="AM176" s="23">
        <f t="shared" si="1374"/>
        <v>239.19</v>
      </c>
      <c r="AN176" s="23">
        <f>+'QTR Raw'!H79+'QTR Raw'!H76</f>
        <v>0</v>
      </c>
      <c r="AO176" s="23">
        <f t="shared" si="1374"/>
        <v>0</v>
      </c>
      <c r="AP176" s="23">
        <f>+'QTR Raw'!J79+'QTR Raw'!J76</f>
        <v>0</v>
      </c>
      <c r="AQ176" s="23">
        <f t="shared" si="1374"/>
        <v>0</v>
      </c>
      <c r="AR176" s="23">
        <f>+'QTR Raw'!L79+'QTR Raw'!L76</f>
        <v>0</v>
      </c>
      <c r="AS176" s="23">
        <f t="shared" si="1374"/>
        <v>0</v>
      </c>
      <c r="AT176" s="23">
        <f>+'QTR Raw'!N79+'QTR Raw'!N76</f>
        <v>0</v>
      </c>
      <c r="AU176" s="23">
        <f t="shared" si="1374"/>
        <v>0</v>
      </c>
      <c r="AV176" s="23">
        <f>+'QTR Raw'!P79+'QTR Raw'!P76</f>
        <v>0</v>
      </c>
      <c r="AW176" s="23">
        <f t="shared" si="1374"/>
        <v>0</v>
      </c>
      <c r="AX176" s="23">
        <f>+'QTR Raw'!R79+'QTR Raw'!R76</f>
        <v>951.8</v>
      </c>
      <c r="AY176" s="23">
        <f t="shared" si="1374"/>
        <v>951.8</v>
      </c>
      <c r="AZ176" s="23">
        <f>+'QTR Raw'!T79+'QTR Raw'!T76</f>
        <v>986.9</v>
      </c>
      <c r="BA176" s="23">
        <f t="shared" si="1374"/>
        <v>986.9</v>
      </c>
      <c r="BB176" s="23">
        <f>+'QTR Raw'!V79+'QTR Raw'!V76</f>
        <v>1315</v>
      </c>
      <c r="BC176" s="23">
        <f t="shared" si="1374"/>
        <v>1315</v>
      </c>
      <c r="BD176" s="23">
        <f>+'QTR Raw'!X79+'QTR Raw'!X76</f>
        <v>1565</v>
      </c>
      <c r="BE176" s="23">
        <f t="shared" si="1374"/>
        <v>1565</v>
      </c>
      <c r="BF176" s="23">
        <f>+'QTR Raw'!Z79+'QTR Raw'!Z76</f>
        <v>2044</v>
      </c>
      <c r="BG176" s="23">
        <f t="shared" si="1374"/>
        <v>2044</v>
      </c>
      <c r="BH176" s="23">
        <f>+'QTR Raw'!AB79+'QTR Raw'!AB76</f>
        <v>1873</v>
      </c>
      <c r="BI176" s="23">
        <f t="shared" si="1374"/>
        <v>1873</v>
      </c>
      <c r="BJ176" s="23">
        <f>+'QTR Raw'!AD79+'QTR Raw'!AD76</f>
        <v>1916</v>
      </c>
      <c r="BK176" s="23">
        <f t="shared" si="1374"/>
        <v>1916</v>
      </c>
      <c r="BL176" s="23">
        <f>+'QTR Raw'!AF79+'QTR Raw'!AF76</f>
        <v>1254</v>
      </c>
      <c r="BM176" s="23">
        <f t="shared" si="1374"/>
        <v>1254</v>
      </c>
      <c r="BN176" s="23">
        <f>+'QTR Raw'!AH79+'QTR Raw'!AH76</f>
        <v>1369</v>
      </c>
      <c r="BO176" s="23">
        <f t="shared" si="1374"/>
        <v>1369</v>
      </c>
      <c r="BP176" s="23">
        <f>+'QTR Raw'!AJ79+'QTR Raw'!AJ76</f>
        <v>1358</v>
      </c>
      <c r="BQ176" s="23">
        <f t="shared" si="1374"/>
        <v>1358</v>
      </c>
      <c r="BR176" s="23">
        <f>+'QTR Raw'!AL79+'QTR Raw'!AL76</f>
        <v>1370</v>
      </c>
      <c r="BS176" s="23">
        <f t="shared" si="1374"/>
        <v>1370</v>
      </c>
      <c r="BT176" s="23">
        <f>+'QTR Raw'!AN79+'QTR Raw'!AN76</f>
        <v>1205</v>
      </c>
      <c r="BU176" s="23">
        <f t="shared" si="1374"/>
        <v>1205</v>
      </c>
      <c r="BV176" s="23">
        <f>+'QTR Raw'!AP79+'QTR Raw'!AP76</f>
        <v>1215</v>
      </c>
      <c r="BW176" s="23">
        <f t="shared" si="1374"/>
        <v>1215</v>
      </c>
      <c r="BX176" s="23">
        <f>+'QTR Raw'!AR79+'QTR Raw'!AR76</f>
        <v>1288</v>
      </c>
      <c r="BY176" s="23">
        <f t="shared" si="1374"/>
        <v>1288</v>
      </c>
      <c r="BZ176" s="23">
        <f>+'QTR Raw'!AT79+'QTR Raw'!AT76</f>
        <v>547</v>
      </c>
      <c r="CA176" s="23">
        <f t="shared" si="1374"/>
        <v>547</v>
      </c>
      <c r="CB176" s="23">
        <f>+'QTR Raw'!AV79+'QTR Raw'!AV76</f>
        <v>861</v>
      </c>
      <c r="CC176" s="23">
        <f t="shared" si="1374"/>
        <v>861</v>
      </c>
      <c r="CD176" s="23">
        <f>+'QTR Raw'!AX79+'QTR Raw'!AX76</f>
        <v>845</v>
      </c>
      <c r="CE176" s="23">
        <f t="shared" si="1374"/>
        <v>845</v>
      </c>
      <c r="CF176" s="23">
        <f>+'QTR Raw'!AZ79+'QTR Raw'!AZ76</f>
        <v>866</v>
      </c>
      <c r="CG176" s="23">
        <f t="shared" si="1351"/>
        <v>866</v>
      </c>
      <c r="CH176" s="23">
        <f t="shared" si="1352"/>
        <v>177</v>
      </c>
      <c r="CJ176" s="23">
        <f>+'QTR Raw'!BD79+'QTR Raw'!BD76</f>
        <v>1260</v>
      </c>
      <c r="CL176" s="23">
        <f>+'QTR Raw'!BF79+'QTR Raw'!BF76</f>
        <v>1309</v>
      </c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  <c r="DF176" s="23">
        <v>1309</v>
      </c>
    </row>
    <row r="177" spans="1:110" s="23" customFormat="1" outlineLevel="1" x14ac:dyDescent="0.2">
      <c r="A177" s="23" t="s">
        <v>61</v>
      </c>
      <c r="B177" s="23">
        <f>'Annual Raw'!C76</f>
        <v>455.64319999999998</v>
      </c>
      <c r="C177" s="23">
        <f>'Annual Raw'!D76</f>
        <v>442.76299999999998</v>
      </c>
      <c r="D177" s="23">
        <f>'Annual Raw'!E76</f>
        <v>306.17700000000002</v>
      </c>
      <c r="E177" s="23">
        <f>'Annual Raw'!F76</f>
        <v>322.58199999999999</v>
      </c>
      <c r="F177" s="23">
        <f>'Annual Raw'!G76</f>
        <v>334.31</v>
      </c>
      <c r="G177" s="23">
        <f>'Annual Raw'!H76</f>
        <v>383.1</v>
      </c>
      <c r="H177" s="23">
        <f>'Annual Raw'!I76</f>
        <v>499.28</v>
      </c>
      <c r="I177" s="23">
        <f>'Annual Raw'!J76</f>
        <v>518.1</v>
      </c>
      <c r="J177" s="23">
        <f>'Annual Raw'!K76</f>
        <v>545.66</v>
      </c>
      <c r="K177" s="23">
        <f>'Annual Raw'!L76</f>
        <v>451.74</v>
      </c>
      <c r="L177" s="23">
        <f>'Annual Raw'!M76</f>
        <v>762.38</v>
      </c>
      <c r="M177" s="23">
        <f>'Annual Raw'!N76</f>
        <v>797.94</v>
      </c>
      <c r="N177" s="23">
        <f>'Annual Raw'!O76</f>
        <v>1111.0899999999999</v>
      </c>
      <c r="O177" s="23">
        <f>'Annual Raw'!P76</f>
        <v>1198.24</v>
      </c>
      <c r="P177" s="23">
        <f>'Annual Raw'!Q76</f>
        <v>1211.75</v>
      </c>
      <c r="Q177" s="23">
        <f>'Annual Raw'!R76</f>
        <v>1058</v>
      </c>
      <c r="R177" s="23">
        <f>'Annual Raw'!S76</f>
        <v>1936</v>
      </c>
      <c r="S177" s="23">
        <f>'Annual Raw'!T76</f>
        <v>1379</v>
      </c>
      <c r="T177" s="23">
        <f>'Annual Raw'!U76</f>
        <v>1544</v>
      </c>
      <c r="U177" s="23">
        <f>'Annual Raw'!V76</f>
        <v>1835</v>
      </c>
      <c r="V177" s="23">
        <f>'Annual Raw'!W76</f>
        <v>1425</v>
      </c>
      <c r="W177" s="23">
        <f>'Annual Raw'!X76</f>
        <v>1953</v>
      </c>
      <c r="X177" s="23">
        <f>'Annual Raw'!Y76</f>
        <v>1862</v>
      </c>
      <c r="Y177" s="23">
        <f>'Annual Raw'!Z76</f>
        <v>1926</v>
      </c>
      <c r="Z177" s="23">
        <f>'Annual Raw'!AA76</f>
        <v>1889</v>
      </c>
      <c r="AA177" s="23">
        <f>'Annual Raw'!AB76</f>
        <v>2054</v>
      </c>
      <c r="AB177" s="24">
        <f t="shared" si="1370"/>
        <v>2358.9463758315906</v>
      </c>
      <c r="AC177" s="24">
        <f t="shared" si="1371"/>
        <v>2360.3798996983851</v>
      </c>
      <c r="AD177" s="24">
        <f t="shared" si="1372"/>
        <v>2322.5409931975664</v>
      </c>
      <c r="AE177" s="24">
        <f t="shared" si="1373"/>
        <v>2285.837253891772</v>
      </c>
      <c r="AJ177" s="23">
        <f>+'QTR Raw'!D81</f>
        <v>1703.21</v>
      </c>
      <c r="AK177" s="23">
        <f>+AK212*AK38/90</f>
        <v>1888.993545259749</v>
      </c>
      <c r="AL177" s="23">
        <f>+'QTR Raw'!F81</f>
        <v>1111.0899999999999</v>
      </c>
      <c r="AM177" s="23">
        <f>+AM212*AM38/90</f>
        <v>848.2904159748249</v>
      </c>
      <c r="AN177" s="23">
        <f>+'QTR Raw'!H81</f>
        <v>1142.8399999999999</v>
      </c>
      <c r="AO177" s="23">
        <f>+AO212*AO38/90</f>
        <v>1107.8207311337321</v>
      </c>
      <c r="AP177" s="23">
        <f>+'QTR Raw'!J81</f>
        <v>1198.24</v>
      </c>
      <c r="AQ177" s="23">
        <f>+AQ212*AQ38/90</f>
        <v>989.19898140929229</v>
      </c>
      <c r="AR177" s="23">
        <f>+'QTR Raw'!L81</f>
        <v>1136.1199999999999</v>
      </c>
      <c r="AS177" s="23">
        <f>+AS212*AS38/90</f>
        <v>1151.286672242122</v>
      </c>
      <c r="AT177" s="23">
        <f>+'QTR Raw'!N81</f>
        <v>1211.75</v>
      </c>
      <c r="AU177" s="23">
        <f>+AU212*AU38/90</f>
        <v>1066.2141749966065</v>
      </c>
      <c r="AV177" s="23">
        <f>+'QTR Raw'!P81</f>
        <v>1335.31</v>
      </c>
      <c r="AW177" s="23">
        <f>+AW212*AW38/90</f>
        <v>1051.1734558546816</v>
      </c>
      <c r="AX177" s="23">
        <f>+'QTR Raw'!R81</f>
        <v>1058.22</v>
      </c>
      <c r="AY177" s="23">
        <f>+AY212*AY38/90</f>
        <v>859.17809583650637</v>
      </c>
      <c r="AZ177" s="23">
        <f>+'QTR Raw'!T81</f>
        <v>1275.56</v>
      </c>
      <c r="BA177" s="23">
        <f>+BA212*BA38/90</f>
        <v>1651.4064693665628</v>
      </c>
      <c r="BB177" s="23">
        <f>+'QTR Raw'!V81</f>
        <v>1936</v>
      </c>
      <c r="BC177" s="23">
        <f>+BC212*BC38/90</f>
        <v>1416.328697042366</v>
      </c>
      <c r="BD177" s="23">
        <f>+'QTR Raw'!X81</f>
        <v>1653</v>
      </c>
      <c r="BE177" s="23">
        <f>+BE212*BE38/90</f>
        <v>1843.8624976455076</v>
      </c>
      <c r="BF177" s="23">
        <f>+'QTR Raw'!Z81</f>
        <v>1379</v>
      </c>
      <c r="BG177" s="23">
        <f>+BG212*BG38/90</f>
        <v>1166.5588657001751</v>
      </c>
      <c r="BH177" s="23">
        <f>+'QTR Raw'!AB81</f>
        <v>1470</v>
      </c>
      <c r="BI177" s="23">
        <f>+BI212*BI38/90</f>
        <v>1704.7938036424532</v>
      </c>
      <c r="BJ177" s="23">
        <f>+'QTR Raw'!AD81</f>
        <v>1544</v>
      </c>
      <c r="BK177" s="23">
        <f>+BK212*BK38/90</f>
        <v>1402.2815516299399</v>
      </c>
      <c r="BL177" s="23">
        <f>+'QTR Raw'!AF81</f>
        <v>1630</v>
      </c>
      <c r="BM177" s="23">
        <f>+BM212*BM38/90</f>
        <v>1688.1755708268674</v>
      </c>
      <c r="BN177" s="23">
        <f>+'QTR Raw'!AH81</f>
        <v>1835</v>
      </c>
      <c r="BO177" s="23">
        <f>+BO212*BO38/90</f>
        <v>1667.0040992940103</v>
      </c>
      <c r="BP177" s="23">
        <f>+'QTR Raw'!AJ81</f>
        <v>1508</v>
      </c>
      <c r="BQ177" s="23">
        <f>+BQ212*BQ38/90</f>
        <v>1607.3787985865722</v>
      </c>
      <c r="BR177" s="23">
        <f>+'QTR Raw'!AL81</f>
        <v>1425</v>
      </c>
      <c r="BS177" s="23">
        <f>+BS212*BS38/90</f>
        <v>1339.6682021016268</v>
      </c>
      <c r="BT177" s="23">
        <f>+'QTR Raw'!AN81</f>
        <v>1733</v>
      </c>
      <c r="BU177" s="23">
        <f>+BU212*BU38/90</f>
        <v>2261.7886311662851</v>
      </c>
      <c r="BV177" s="23">
        <f>+'QTR Raw'!AP81</f>
        <v>1953</v>
      </c>
      <c r="BW177" s="23">
        <f>+BW212*BW38/90</f>
        <v>2083.9844265090369</v>
      </c>
      <c r="BX177" s="23">
        <f>+'QTR Raw'!AR81</f>
        <v>2540</v>
      </c>
      <c r="BY177" s="23">
        <f>+BY212*BY38/90</f>
        <v>2396.7898272552784</v>
      </c>
      <c r="BZ177" s="23">
        <f>+'QTR Raw'!AT81</f>
        <v>1862</v>
      </c>
      <c r="CA177" s="23">
        <f>+CA212*CA38/90</f>
        <v>1593.4991185803267</v>
      </c>
      <c r="CB177" s="23">
        <f>+'QTR Raw'!AV81</f>
        <v>1788</v>
      </c>
      <c r="CC177" s="23">
        <f>+CC212*CC38/90</f>
        <v>1924.6473273450156</v>
      </c>
      <c r="CD177" s="23">
        <f>+'QTR Raw'!AX81</f>
        <v>1926</v>
      </c>
      <c r="CE177" s="23">
        <f>+CE212*CE38/90</f>
        <v>2074.232348655451</v>
      </c>
      <c r="CF177" s="23">
        <f>+'QTR Raw'!AZ81</f>
        <v>1703</v>
      </c>
      <c r="CG177" s="23">
        <f>+CG212*CG38/90</f>
        <v>1777.7074648570042</v>
      </c>
      <c r="CH177" s="23">
        <f t="shared" si="1352"/>
        <v>1889</v>
      </c>
      <c r="CI177" s="23">
        <f>+CI212*CI38/90</f>
        <v>1615.4307252118413</v>
      </c>
      <c r="CJ177" s="23">
        <f>+'QTR Raw'!BD81</f>
        <v>2255</v>
      </c>
      <c r="CK177" s="23">
        <f t="shared" ref="CK177:DB177" si="1375">+CK212*CK38/90</f>
        <v>2896.2334775997192</v>
      </c>
      <c r="CL177" s="23">
        <f>+'QTR Raw'!BF81</f>
        <v>2054</v>
      </c>
      <c r="CM177" s="24">
        <f t="shared" si="1375"/>
        <v>1725.1571035337561</v>
      </c>
      <c r="CN177" s="24">
        <f t="shared" si="1375"/>
        <v>1788.0084857499501</v>
      </c>
      <c r="CO177" s="24">
        <f t="shared" si="1375"/>
        <v>2312.4671929311048</v>
      </c>
      <c r="CP177" s="24">
        <f t="shared" si="1375"/>
        <v>2358.9463758315906</v>
      </c>
      <c r="CQ177" s="24">
        <f t="shared" si="1375"/>
        <v>2045.8110243548788</v>
      </c>
      <c r="CR177" s="24">
        <f t="shared" si="1375"/>
        <v>2140.5042450713499</v>
      </c>
      <c r="CS177" s="24">
        <f t="shared" si="1375"/>
        <v>2291.1458980333045</v>
      </c>
      <c r="CT177" s="24">
        <f t="shared" si="1375"/>
        <v>2360.3798996983851</v>
      </c>
      <c r="CU177" s="24">
        <f t="shared" si="1375"/>
        <v>2045.5008435810951</v>
      </c>
      <c r="CV177" s="24">
        <f t="shared" si="1375"/>
        <v>2128.032925336965</v>
      </c>
      <c r="CW177" s="24">
        <f t="shared" si="1375"/>
        <v>2265.6020908636669</v>
      </c>
      <c r="CX177" s="24">
        <f t="shared" si="1375"/>
        <v>2322.5409931975664</v>
      </c>
      <c r="CY177" s="24">
        <f t="shared" si="1375"/>
        <v>2016.2650158321601</v>
      </c>
      <c r="CZ177" s="24">
        <f t="shared" si="1375"/>
        <v>2096.4718863094813</v>
      </c>
      <c r="DA177" s="24">
        <f t="shared" si="1375"/>
        <v>2230.660554113681</v>
      </c>
      <c r="DB177" s="24">
        <f t="shared" si="1375"/>
        <v>2285.837253891772</v>
      </c>
      <c r="DE177" s="123"/>
      <c r="DF177" s="23">
        <v>4132.1588645259471</v>
      </c>
    </row>
    <row r="178" spans="1:110" s="23" customFormat="1" outlineLevel="1" x14ac:dyDescent="0.2">
      <c r="A178" s="23" t="s">
        <v>62</v>
      </c>
      <c r="B178" s="23">
        <f>'Annual Raw'!C77</f>
        <v>88.887500000000003</v>
      </c>
      <c r="C178" s="23">
        <f>'Annual Raw'!D77</f>
        <v>55.122</v>
      </c>
      <c r="D178" s="23">
        <f>'Annual Raw'!E77</f>
        <v>62.268999999999998</v>
      </c>
      <c r="E178" s="23">
        <f>'Annual Raw'!F77</f>
        <v>272.73</v>
      </c>
      <c r="F178" s="23">
        <f>'Annual Raw'!G77</f>
        <v>260.85000000000002</v>
      </c>
      <c r="G178" s="23">
        <f>'Annual Raw'!H77</f>
        <v>689.85</v>
      </c>
      <c r="H178" s="23">
        <f>'Annual Raw'!I77</f>
        <v>556.62</v>
      </c>
      <c r="I178" s="23">
        <f>'Annual Raw'!J77</f>
        <v>443.66</v>
      </c>
      <c r="J178" s="23">
        <f>'Annual Raw'!K77</f>
        <v>164.94</v>
      </c>
      <c r="K178" s="23">
        <f>'Annual Raw'!L77</f>
        <v>151.83000000000001</v>
      </c>
      <c r="L178" s="23">
        <f>'Annual Raw'!M77</f>
        <v>208.89</v>
      </c>
      <c r="M178" s="23">
        <f>'Annual Raw'!N77</f>
        <v>332.45</v>
      </c>
      <c r="N178" s="23">
        <f>'Annual Raw'!O77</f>
        <v>402.87</v>
      </c>
      <c r="O178" s="23">
        <f>'Annual Raw'!P77</f>
        <v>399.51</v>
      </c>
      <c r="P178" s="23">
        <f>'Annual Raw'!Q77</f>
        <v>658.82</v>
      </c>
      <c r="Q178" s="23">
        <f>'Annual Raw'!R77</f>
        <v>107</v>
      </c>
      <c r="R178" s="23">
        <f>'Annual Raw'!S77</f>
        <v>136</v>
      </c>
      <c r="S178" s="23">
        <f>'Annual Raw'!T77</f>
        <v>184</v>
      </c>
      <c r="T178" s="23">
        <f>'Annual Raw'!U77</f>
        <v>196</v>
      </c>
      <c r="U178" s="23">
        <f>'Annual Raw'!V77</f>
        <v>379</v>
      </c>
      <c r="V178" s="23">
        <f>'Annual Raw'!W77</f>
        <v>406</v>
      </c>
      <c r="W178" s="23">
        <f>'Annual Raw'!X77</f>
        <v>716</v>
      </c>
      <c r="X178" s="23">
        <f>'Annual Raw'!Y77</f>
        <v>380</v>
      </c>
      <c r="Y178" s="23">
        <f>'Annual Raw'!Z77</f>
        <v>155</v>
      </c>
      <c r="Z178" s="23">
        <f>'Annual Raw'!AA77</f>
        <v>117</v>
      </c>
      <c r="AA178" s="23">
        <f>'Annual Raw'!AB77</f>
        <v>399</v>
      </c>
      <c r="AB178" s="24">
        <f t="shared" si="1370"/>
        <v>375.66638442211882</v>
      </c>
      <c r="AC178" s="24">
        <f t="shared" si="1371"/>
        <v>375.89467563447488</v>
      </c>
      <c r="AD178" s="24">
        <f t="shared" si="1372"/>
        <v>369.86876281963271</v>
      </c>
      <c r="AE178" s="24">
        <f t="shared" si="1373"/>
        <v>364.02362738923568</v>
      </c>
      <c r="AJ178" s="23">
        <f>+'QTR Raw'!D82</f>
        <v>591.07000000000005</v>
      </c>
      <c r="AK178" s="23">
        <f>+AK213*AK38/90</f>
        <v>655.543012779798</v>
      </c>
      <c r="AL178" s="23">
        <f>+'QTR Raw'!F82</f>
        <v>402.87</v>
      </c>
      <c r="AM178" s="23">
        <f>+AM213*AM38/90</f>
        <v>307.58152794443089</v>
      </c>
      <c r="AN178" s="23">
        <f>+'QTR Raw'!H82</f>
        <v>471.06</v>
      </c>
      <c r="AO178" s="23">
        <f>+AO213*AO38/90</f>
        <v>456.62562879130581</v>
      </c>
      <c r="AP178" s="23">
        <f>+'QTR Raw'!J82</f>
        <v>399.51</v>
      </c>
      <c r="AQ178" s="23">
        <f>+AQ213*AQ38/90</f>
        <v>329.81279632029168</v>
      </c>
      <c r="AR178" s="23">
        <f>+'QTR Raw'!L82</f>
        <v>713.58</v>
      </c>
      <c r="AS178" s="23">
        <f>+AS213*AS38/90</f>
        <v>723.10596026699079</v>
      </c>
      <c r="AT178" s="23">
        <f>+'QTR Raw'!N82</f>
        <v>658.82</v>
      </c>
      <c r="AU178" s="23">
        <f>+AU213*AU38/90</f>
        <v>579.69318982567722</v>
      </c>
      <c r="AV178" s="23">
        <f>+'QTR Raw'!P82</f>
        <v>301.51</v>
      </c>
      <c r="AW178" s="23">
        <f>+AW213*AW38/90</f>
        <v>237.35260626726753</v>
      </c>
      <c r="AX178" s="23">
        <f>+'QTR Raw'!R82</f>
        <v>106.79</v>
      </c>
      <c r="AY178" s="23">
        <f>+AY213*AY38/90</f>
        <v>86.703737270492439</v>
      </c>
      <c r="AZ178" s="23">
        <f>+'QTR Raw'!T82</f>
        <v>472.92</v>
      </c>
      <c r="BA178" s="23">
        <f>+BA213*BA38/90</f>
        <v>612.26688473520255</v>
      </c>
      <c r="BB178" s="23">
        <f>+'QTR Raw'!V82</f>
        <v>136</v>
      </c>
      <c r="BC178" s="23">
        <f>+BC213*BC38/90</f>
        <v>99.494164668265384</v>
      </c>
      <c r="BD178" s="23">
        <f>+'QTR Raw'!X82</f>
        <v>362</v>
      </c>
      <c r="BE178" s="23">
        <f>+BE213*BE38/90</f>
        <v>403.79807873422487</v>
      </c>
      <c r="BF178" s="23">
        <f>+'QTR Raw'!Z82</f>
        <v>184</v>
      </c>
      <c r="BG178" s="23">
        <f>+BG213*BG38/90</f>
        <v>155.65397482873985</v>
      </c>
      <c r="BH178" s="23">
        <f>+'QTR Raw'!AB82</f>
        <v>215</v>
      </c>
      <c r="BI178" s="23">
        <f>+BI213*BI38/90</f>
        <v>249.34059032865815</v>
      </c>
      <c r="BJ178" s="23">
        <f>+'QTR Raw'!AD82</f>
        <v>196</v>
      </c>
      <c r="BK178" s="23">
        <f>+BK213*BK38/90</f>
        <v>178.00983427426698</v>
      </c>
      <c r="BL178" s="23">
        <f>+'QTR Raw'!AF82</f>
        <v>302</v>
      </c>
      <c r="BM178" s="23">
        <f>+BM213*BM38/90</f>
        <v>312.77854134338287</v>
      </c>
      <c r="BN178" s="23">
        <f>+'QTR Raw'!AH82</f>
        <v>379</v>
      </c>
      <c r="BO178" s="23">
        <f>+BO213*BO38/90</f>
        <v>344.3022090639945</v>
      </c>
      <c r="BP178" s="23">
        <f>+'QTR Raw'!AJ82</f>
        <v>506</v>
      </c>
      <c r="BQ178" s="23">
        <f>+BQ213*BQ38/90</f>
        <v>539.34593639575974</v>
      </c>
      <c r="BR178" s="23">
        <f>+'QTR Raw'!AL82</f>
        <v>406</v>
      </c>
      <c r="BS178" s="23">
        <f>+BS213*BS38/90</f>
        <v>381.68792284439326</v>
      </c>
      <c r="BT178" s="23">
        <f>+'QTR Raw'!AN82</f>
        <v>455</v>
      </c>
      <c r="BU178" s="23">
        <f>+BU213*BU38/90</f>
        <v>593.83371447239449</v>
      </c>
      <c r="BV178" s="23">
        <f>+'QTR Raw'!AP82</f>
        <v>716</v>
      </c>
      <c r="BW178" s="23">
        <f>+BW213*BW38/90</f>
        <v>764.02091622143905</v>
      </c>
      <c r="BX178" s="23">
        <f>+'QTR Raw'!AR82</f>
        <v>371</v>
      </c>
      <c r="BY178" s="23">
        <f>+BY213*BY38/90</f>
        <v>350.08229366602689</v>
      </c>
      <c r="BZ178" s="23">
        <f>+'QTR Raw'!AT82</f>
        <v>380</v>
      </c>
      <c r="CA178" s="23">
        <f>+CA213*CA38/90</f>
        <v>325.20390175108707</v>
      </c>
      <c r="CB178" s="23">
        <f>+'QTR Raw'!AV82</f>
        <v>216</v>
      </c>
      <c r="CC178" s="23">
        <f>+CC213*CC38/90</f>
        <v>232.50773082020322</v>
      </c>
      <c r="CD178" s="23">
        <f>+'QTR Raw'!AX82</f>
        <v>155</v>
      </c>
      <c r="CE178" s="23">
        <f>+CE213*CE38/90</f>
        <v>166.92939462180422</v>
      </c>
      <c r="CF178" s="23">
        <f>+'QTR Raw'!AZ82</f>
        <v>270</v>
      </c>
      <c r="CG178" s="23">
        <f>+CG213*CG38/90</f>
        <v>281.84440135724674</v>
      </c>
      <c r="CH178" s="23">
        <f t="shared" si="1352"/>
        <v>117</v>
      </c>
      <c r="CI178" s="23">
        <f>+CI213*CI38/90</f>
        <v>100.05579399141631</v>
      </c>
      <c r="CJ178" s="23">
        <f>+'QTR Raw'!BD82</f>
        <v>175</v>
      </c>
      <c r="CK178" s="23">
        <f t="shared" ref="CK178:DB178" si="1376">+CK213*CK38/90</f>
        <v>224.76313019066555</v>
      </c>
      <c r="CL178" s="23">
        <f>+'QTR Raw'!BF82</f>
        <v>399</v>
      </c>
      <c r="CM178" s="24">
        <f t="shared" si="1376"/>
        <v>335.12058632423009</v>
      </c>
      <c r="CN178" s="24">
        <f t="shared" si="1376"/>
        <v>347.3297886145229</v>
      </c>
      <c r="CO178" s="24">
        <f t="shared" si="1376"/>
        <v>368.26449230197062</v>
      </c>
      <c r="CP178" s="24">
        <f t="shared" si="1376"/>
        <v>375.66638442211882</v>
      </c>
      <c r="CQ178" s="24">
        <f t="shared" si="1376"/>
        <v>325.79902561768802</v>
      </c>
      <c r="CR178" s="24">
        <f t="shared" si="1376"/>
        <v>340.87908857304103</v>
      </c>
      <c r="CS178" s="24">
        <f t="shared" si="1376"/>
        <v>364.86903836223001</v>
      </c>
      <c r="CT178" s="24">
        <f t="shared" si="1376"/>
        <v>375.89467563447488</v>
      </c>
      <c r="CU178" s="24">
        <f t="shared" si="1376"/>
        <v>325.74962878060921</v>
      </c>
      <c r="CV178" s="24">
        <f t="shared" si="1376"/>
        <v>338.8930088377877</v>
      </c>
      <c r="CW178" s="24">
        <f t="shared" si="1376"/>
        <v>360.80114187161536</v>
      </c>
      <c r="CX178" s="24">
        <f t="shared" si="1376"/>
        <v>369.86876281963271</v>
      </c>
      <c r="CY178" s="24">
        <f t="shared" si="1376"/>
        <v>321.0937714798435</v>
      </c>
      <c r="CZ178" s="24">
        <f t="shared" si="1376"/>
        <v>333.86685752653523</v>
      </c>
      <c r="DA178" s="24">
        <f t="shared" si="1376"/>
        <v>355.23664031638504</v>
      </c>
      <c r="DB178" s="24">
        <f t="shared" si="1376"/>
        <v>364.02362738923568</v>
      </c>
      <c r="DE178" s="123"/>
      <c r="DF178" s="23">
        <v>983.78327918942284</v>
      </c>
    </row>
    <row r="179" spans="1:110" s="23" customFormat="1" outlineLevel="1" x14ac:dyDescent="0.2">
      <c r="A179" s="23" t="s">
        <v>63</v>
      </c>
      <c r="B179" s="23">
        <f>'Annual Raw'!C79</f>
        <v>37.2502</v>
      </c>
      <c r="C179" s="23">
        <f>'Annual Raw'!D79</f>
        <v>34.96</v>
      </c>
      <c r="D179" s="23">
        <f>'Annual Raw'!E79</f>
        <v>37.284999999999997</v>
      </c>
      <c r="E179" s="23">
        <f>'Annual Raw'!F79</f>
        <v>35.502000000000002</v>
      </c>
      <c r="F179" s="23">
        <f>'Annual Raw'!G79</f>
        <v>19.63</v>
      </c>
      <c r="G179" s="23">
        <f>'Annual Raw'!H79</f>
        <v>26.02</v>
      </c>
      <c r="H179" s="23">
        <f>'Annual Raw'!I79</f>
        <v>41.98</v>
      </c>
      <c r="I179" s="23">
        <f>'Annual Raw'!J79</f>
        <v>44.92</v>
      </c>
      <c r="J179" s="23">
        <f>'Annual Raw'!K79</f>
        <v>86.85</v>
      </c>
      <c r="K179" s="23">
        <f>'Annual Raw'!L79</f>
        <v>66.09</v>
      </c>
      <c r="L179" s="23">
        <f>'Annual Raw'!M79</f>
        <v>246.68</v>
      </c>
      <c r="M179" s="23">
        <f>'Annual Raw'!N79</f>
        <v>337.96</v>
      </c>
      <c r="N179" s="23">
        <f>'Annual Raw'!O79</f>
        <v>415.64</v>
      </c>
      <c r="O179" s="23">
        <f>'Annual Raw'!P79</f>
        <v>659.4</v>
      </c>
      <c r="P179" s="23">
        <f>'Annual Raw'!Q79</f>
        <v>193.6</v>
      </c>
      <c r="Q179" s="23">
        <f>'Annual Raw'!R79</f>
        <v>90</v>
      </c>
      <c r="R179" s="23">
        <f>'Annual Raw'!S79</f>
        <v>91</v>
      </c>
      <c r="S179" s="23">
        <f>'Annual Raw'!T79</f>
        <v>112</v>
      </c>
      <c r="T179" s="23">
        <f>'Annual Raw'!U79</f>
        <v>48</v>
      </c>
      <c r="U179" s="23">
        <f>'Annual Raw'!V79</f>
        <v>68</v>
      </c>
      <c r="V179" s="23">
        <f>'Annual Raw'!W79</f>
        <v>126</v>
      </c>
      <c r="W179" s="23">
        <f>'Annual Raw'!X79</f>
        <v>160</v>
      </c>
      <c r="X179" s="23">
        <f>'Annual Raw'!Y79</f>
        <v>224</v>
      </c>
      <c r="Y179" s="23">
        <f>'Annual Raw'!Z79</f>
        <v>248</v>
      </c>
      <c r="Z179" s="23">
        <f>'Annual Raw'!AA79</f>
        <v>105</v>
      </c>
      <c r="AA179" s="23">
        <f>'Annual Raw'!AB79</f>
        <v>149</v>
      </c>
      <c r="AB179" s="24">
        <f t="shared" si="1370"/>
        <v>1679.671252654286</v>
      </c>
      <c r="AC179" s="24">
        <f t="shared" si="1371"/>
        <v>1680.6919832879785</v>
      </c>
      <c r="AD179" s="24">
        <f t="shared" si="1372"/>
        <v>1653.7490548125934</v>
      </c>
      <c r="AE179" s="24">
        <f t="shared" si="1373"/>
        <v>1627.6144141914701</v>
      </c>
      <c r="AJ179" s="23">
        <f>+'QTR Raw'!D84</f>
        <v>216.77</v>
      </c>
      <c r="AK179" s="23">
        <f t="shared" si="1374"/>
        <v>216.77</v>
      </c>
      <c r="AL179" s="23">
        <f>+'QTR Raw'!F84</f>
        <v>393.08</v>
      </c>
      <c r="AM179" s="23">
        <f t="shared" si="1374"/>
        <v>393.08</v>
      </c>
      <c r="AN179" s="23">
        <f>+'QTR Raw'!H84</f>
        <v>765.02</v>
      </c>
      <c r="AO179" s="23">
        <f t="shared" si="1374"/>
        <v>765.02</v>
      </c>
      <c r="AP179" s="23">
        <f>+'QTR Raw'!J84</f>
        <v>629.73</v>
      </c>
      <c r="AQ179" s="23">
        <f t="shared" si="1374"/>
        <v>629.73</v>
      </c>
      <c r="AR179" s="23">
        <f>+'QTR Raw'!L84</f>
        <v>138.81</v>
      </c>
      <c r="AS179" s="23">
        <f t="shared" si="1374"/>
        <v>138.81</v>
      </c>
      <c r="AT179" s="23">
        <f>+'QTR Raw'!N84</f>
        <v>183.99</v>
      </c>
      <c r="AU179" s="23">
        <f t="shared" si="1374"/>
        <v>183.99</v>
      </c>
      <c r="AV179" s="23">
        <f>+'QTR Raw'!P84</f>
        <v>346.28</v>
      </c>
      <c r="AW179" s="23">
        <f t="shared" si="1374"/>
        <v>346.28</v>
      </c>
      <c r="AX179" s="23">
        <f>+'QTR Raw'!R84</f>
        <v>472.05</v>
      </c>
      <c r="AY179" s="23">
        <f t="shared" si="1374"/>
        <v>472.05</v>
      </c>
      <c r="AZ179" s="23">
        <f>+'QTR Raw'!T84</f>
        <v>527.48</v>
      </c>
      <c r="BA179" s="23">
        <f t="shared" si="1374"/>
        <v>527.48</v>
      </c>
      <c r="BB179" s="23">
        <f>+'QTR Raw'!V84</f>
        <v>413</v>
      </c>
      <c r="BC179" s="23">
        <f t="shared" si="1374"/>
        <v>413</v>
      </c>
      <c r="BD179" s="23">
        <f>+'QTR Raw'!X84</f>
        <v>853</v>
      </c>
      <c r="BE179" s="23">
        <f t="shared" si="1374"/>
        <v>853</v>
      </c>
      <c r="BF179" s="23">
        <f>+'QTR Raw'!Z84</f>
        <v>393</v>
      </c>
      <c r="BG179" s="23">
        <f t="shared" si="1374"/>
        <v>393</v>
      </c>
      <c r="BH179" s="23">
        <f>+'QTR Raw'!AB84</f>
        <v>323</v>
      </c>
      <c r="BI179" s="23">
        <f t="shared" si="1374"/>
        <v>323</v>
      </c>
      <c r="BJ179" s="23">
        <f>+'QTR Raw'!AD84</f>
        <v>318</v>
      </c>
      <c r="BK179" s="23">
        <f t="shared" si="1374"/>
        <v>318</v>
      </c>
      <c r="BL179" s="23">
        <f>+'QTR Raw'!AF84</f>
        <v>202</v>
      </c>
      <c r="BM179" s="23">
        <f t="shared" si="1374"/>
        <v>202</v>
      </c>
      <c r="BN179" s="23">
        <f>+'QTR Raw'!AH84</f>
        <v>350</v>
      </c>
      <c r="BO179" s="23">
        <f t="shared" si="1374"/>
        <v>350</v>
      </c>
      <c r="BP179" s="23">
        <f>+'QTR Raw'!AJ84</f>
        <v>328</v>
      </c>
      <c r="BQ179" s="23">
        <f t="shared" si="1374"/>
        <v>328</v>
      </c>
      <c r="BR179" s="23">
        <f>+'QTR Raw'!AL84</f>
        <v>402</v>
      </c>
      <c r="BS179" s="23">
        <f t="shared" si="1374"/>
        <v>402</v>
      </c>
      <c r="BT179" s="23">
        <f>+'QTR Raw'!AN84</f>
        <v>377</v>
      </c>
      <c r="BU179" s="23">
        <f t="shared" si="1374"/>
        <v>377</v>
      </c>
      <c r="BV179" s="23">
        <f>+'QTR Raw'!AP84</f>
        <v>496</v>
      </c>
      <c r="BW179" s="23">
        <f t="shared" si="1374"/>
        <v>496</v>
      </c>
      <c r="BX179" s="23">
        <f>+'QTR Raw'!AR84</f>
        <v>607</v>
      </c>
      <c r="BY179" s="23">
        <f t="shared" si="1374"/>
        <v>607</v>
      </c>
      <c r="BZ179" s="23">
        <f>+'QTR Raw'!AT84</f>
        <v>1297</v>
      </c>
      <c r="CA179" s="23">
        <f t="shared" si="1374"/>
        <v>1297</v>
      </c>
      <c r="CB179" s="23">
        <f>+'QTR Raw'!AV84</f>
        <v>820</v>
      </c>
      <c r="CC179" s="23">
        <f t="shared" si="1374"/>
        <v>820</v>
      </c>
      <c r="CD179" s="23">
        <f>+'QTR Raw'!AX84</f>
        <v>494</v>
      </c>
      <c r="CE179" s="23">
        <f t="shared" si="1374"/>
        <v>494</v>
      </c>
      <c r="CF179" s="23">
        <f>+'QTR Raw'!AZ84</f>
        <v>650</v>
      </c>
      <c r="CG179" s="23">
        <f t="shared" ref="CG179:CG180" si="1377">+CF179</f>
        <v>650</v>
      </c>
      <c r="CH179" s="23">
        <f t="shared" si="1352"/>
        <v>105</v>
      </c>
      <c r="CI179" s="23">
        <f>CI38/90*CI214</f>
        <v>958.65423131946739</v>
      </c>
      <c r="CJ179" s="23">
        <f>+'QTR Raw'!BD84</f>
        <v>897</v>
      </c>
      <c r="CK179" s="23">
        <f t="shared" ref="CK179:DB179" si="1378">CK38/90*CK214</f>
        <v>2772.9348461808399</v>
      </c>
      <c r="CL179" s="23">
        <f>+'QTR Raw'!BF84</f>
        <v>473</v>
      </c>
      <c r="CM179" s="24">
        <f t="shared" si="1378"/>
        <v>1498.3837744421719</v>
      </c>
      <c r="CN179" s="24">
        <f t="shared" si="1378"/>
        <v>1552.9732904468899</v>
      </c>
      <c r="CO179" s="24">
        <f t="shared" si="1378"/>
        <v>1646.5760758564304</v>
      </c>
      <c r="CP179" s="24">
        <f t="shared" si="1378"/>
        <v>1679.671252654286</v>
      </c>
      <c r="CQ179" s="24">
        <f t="shared" si="1378"/>
        <v>1456.7054177993871</v>
      </c>
      <c r="CR179" s="24">
        <f t="shared" si="1378"/>
        <v>1524.1310626924944</v>
      </c>
      <c r="CS179" s="24">
        <f t="shared" si="1378"/>
        <v>1631.3943970882667</v>
      </c>
      <c r="CT179" s="24">
        <f t="shared" si="1378"/>
        <v>1680.6919832879785</v>
      </c>
      <c r="CU179" s="24">
        <f t="shared" si="1378"/>
        <v>1456.4845557508945</v>
      </c>
      <c r="CV179" s="24">
        <f t="shared" si="1378"/>
        <v>1515.2509467834921</v>
      </c>
      <c r="CW179" s="24">
        <f t="shared" si="1378"/>
        <v>1613.2061080174485</v>
      </c>
      <c r="CX179" s="24">
        <f t="shared" si="1378"/>
        <v>1653.7490548125934</v>
      </c>
      <c r="CY179" s="24">
        <f t="shared" si="1378"/>
        <v>1435.6673892732854</v>
      </c>
      <c r="CZ179" s="24">
        <f t="shared" si="1378"/>
        <v>1492.7781298930799</v>
      </c>
      <c r="DA179" s="24">
        <f t="shared" si="1378"/>
        <v>1588.3262313895514</v>
      </c>
      <c r="DB179" s="24">
        <f t="shared" si="1378"/>
        <v>1627.6144141914701</v>
      </c>
      <c r="DE179" s="123"/>
      <c r="DF179" s="23">
        <v>3986.8492221257998</v>
      </c>
    </row>
    <row r="180" spans="1:110" s="23" customFormat="1" outlineLevel="1" x14ac:dyDescent="0.2">
      <c r="A180" s="23" t="s">
        <v>64</v>
      </c>
      <c r="B180" s="23">
        <f>'Annual Raw'!C80</f>
        <v>113.6015</v>
      </c>
      <c r="C180" s="23">
        <f>'Annual Raw'!D80</f>
        <v>103.66500000000001</v>
      </c>
      <c r="D180" s="23">
        <f>'Annual Raw'!E80</f>
        <v>73.933000000000007</v>
      </c>
      <c r="E180" s="23">
        <f>'Annual Raw'!F80</f>
        <v>59.54</v>
      </c>
      <c r="F180" s="23">
        <f>'Annual Raw'!G80</f>
        <v>99.99</v>
      </c>
      <c r="G180" s="23">
        <f>'Annual Raw'!H80</f>
        <v>136.38</v>
      </c>
      <c r="H180" s="23">
        <f>'Annual Raw'!I80</f>
        <v>263.37</v>
      </c>
      <c r="I180" s="23">
        <f>'Annual Raw'!J80</f>
        <v>342.17</v>
      </c>
      <c r="J180" s="23">
        <f>'Annual Raw'!K80</f>
        <v>267.3</v>
      </c>
      <c r="K180" s="23">
        <f>'Annual Raw'!L80</f>
        <v>398.06</v>
      </c>
      <c r="L180" s="23">
        <f>'Annual Raw'!M80</f>
        <v>271.98</v>
      </c>
      <c r="M180" s="23">
        <f>'Annual Raw'!N80</f>
        <v>218.28</v>
      </c>
      <c r="N180" s="23">
        <f>'Annual Raw'!O80</f>
        <v>350.76</v>
      </c>
      <c r="O180" s="23">
        <f>'Annual Raw'!P80</f>
        <v>254.16</v>
      </c>
      <c r="P180" s="23">
        <f>'Annual Raw'!Q80</f>
        <v>354.53</v>
      </c>
      <c r="Q180" s="23">
        <f>'Annual Raw'!R80</f>
        <v>384</v>
      </c>
      <c r="R180" s="23">
        <f>'Annual Raw'!S80</f>
        <v>323</v>
      </c>
      <c r="S180" s="23">
        <f>'Annual Raw'!T80</f>
        <v>282</v>
      </c>
      <c r="T180" s="23">
        <f>'Annual Raw'!U80</f>
        <v>273</v>
      </c>
      <c r="U180" s="23">
        <f>'Annual Raw'!V80</f>
        <v>284</v>
      </c>
      <c r="V180" s="23">
        <f>'Annual Raw'!W80</f>
        <v>278</v>
      </c>
      <c r="W180" s="23">
        <f>'Annual Raw'!X80</f>
        <v>338</v>
      </c>
      <c r="X180" s="23">
        <f>'Annual Raw'!Y80</f>
        <v>1076</v>
      </c>
      <c r="Y180" s="23">
        <f>'Annual Raw'!Z80</f>
        <v>247</v>
      </c>
      <c r="Z180" s="23">
        <f>'Annual Raw'!AA80</f>
        <v>189</v>
      </c>
      <c r="AA180" s="23">
        <f>'Annual Raw'!AB80</f>
        <v>325</v>
      </c>
      <c r="AB180" s="24">
        <f t="shared" si="1370"/>
        <v>0</v>
      </c>
      <c r="AC180" s="24">
        <f t="shared" si="1371"/>
        <v>0</v>
      </c>
      <c r="AD180" s="24">
        <f t="shared" si="1372"/>
        <v>0</v>
      </c>
      <c r="AE180" s="24">
        <f t="shared" si="1373"/>
        <v>0</v>
      </c>
      <c r="AJ180" s="23">
        <f>+'QTR Raw'!D85</f>
        <v>141.68</v>
      </c>
      <c r="AK180" s="23">
        <f t="shared" si="1374"/>
        <v>141.68</v>
      </c>
      <c r="AL180" s="23">
        <f>+'QTR Raw'!F85</f>
        <v>373.32</v>
      </c>
      <c r="AM180" s="23">
        <f t="shared" si="1374"/>
        <v>373.32</v>
      </c>
      <c r="AN180" s="23">
        <f>+'QTR Raw'!H85</f>
        <v>243.04</v>
      </c>
      <c r="AO180" s="23">
        <f t="shared" si="1374"/>
        <v>243.04</v>
      </c>
      <c r="AP180" s="23">
        <f>+'QTR Raw'!J85</f>
        <v>283.83</v>
      </c>
      <c r="AQ180" s="23">
        <f t="shared" si="1374"/>
        <v>283.83</v>
      </c>
      <c r="AR180" s="23">
        <f>+'QTR Raw'!L85</f>
        <v>340.88</v>
      </c>
      <c r="AS180" s="23">
        <f t="shared" si="1374"/>
        <v>340.88</v>
      </c>
      <c r="AT180" s="23">
        <f>+'QTR Raw'!N85</f>
        <v>364.14</v>
      </c>
      <c r="AU180" s="23">
        <f t="shared" si="1374"/>
        <v>364.14</v>
      </c>
      <c r="AV180" s="23">
        <f>+'QTR Raw'!P85</f>
        <v>384.04</v>
      </c>
      <c r="AW180" s="23">
        <f t="shared" si="1374"/>
        <v>384.04</v>
      </c>
      <c r="AX180" s="23">
        <f>+'QTR Raw'!R85</f>
        <v>1.54</v>
      </c>
      <c r="AY180" s="23">
        <f t="shared" si="1374"/>
        <v>1.54</v>
      </c>
      <c r="AZ180" s="23">
        <f>+'QTR Raw'!T85</f>
        <v>1.29</v>
      </c>
      <c r="BA180" s="23">
        <f t="shared" si="1374"/>
        <v>1.29</v>
      </c>
      <c r="BB180" s="23">
        <f>+'QTR Raw'!V85</f>
        <v>1</v>
      </c>
      <c r="BC180" s="23">
        <f t="shared" si="1374"/>
        <v>1</v>
      </c>
      <c r="BD180" s="23">
        <f>+'QTR Raw'!X85</f>
        <v>1</v>
      </c>
      <c r="BE180" s="23">
        <f t="shared" si="1374"/>
        <v>1</v>
      </c>
      <c r="BF180" s="23">
        <f>+'QTR Raw'!Z85</f>
        <v>1</v>
      </c>
      <c r="BG180" s="23">
        <f t="shared" si="1374"/>
        <v>1</v>
      </c>
      <c r="BH180" s="23">
        <f>+'QTR Raw'!AB85</f>
        <v>1</v>
      </c>
      <c r="BI180" s="23">
        <f t="shared" si="1374"/>
        <v>1</v>
      </c>
      <c r="BJ180" s="23">
        <f>+'QTR Raw'!AD85</f>
        <v>3</v>
      </c>
      <c r="BK180" s="23">
        <f t="shared" si="1374"/>
        <v>3</v>
      </c>
      <c r="BL180" s="23">
        <f>+'QTR Raw'!AF85</f>
        <v>2</v>
      </c>
      <c r="BM180" s="23">
        <f t="shared" si="1374"/>
        <v>2</v>
      </c>
      <c r="BN180" s="23">
        <f>+'QTR Raw'!AH85</f>
        <v>2</v>
      </c>
      <c r="BO180" s="23">
        <f t="shared" si="1374"/>
        <v>2</v>
      </c>
      <c r="BP180" s="23">
        <f>+'QTR Raw'!AJ85</f>
        <v>2</v>
      </c>
      <c r="BQ180" s="23">
        <f t="shared" si="1374"/>
        <v>2</v>
      </c>
      <c r="BR180" s="23">
        <f>+'QTR Raw'!AL85</f>
        <v>2</v>
      </c>
      <c r="BS180" s="23">
        <f t="shared" si="1374"/>
        <v>2</v>
      </c>
      <c r="BT180" s="23">
        <f>+'QTR Raw'!AN85</f>
        <v>3</v>
      </c>
      <c r="BU180" s="23">
        <f t="shared" si="1374"/>
        <v>3</v>
      </c>
      <c r="BV180" s="23">
        <f>+'QTR Raw'!AP85</f>
        <v>2</v>
      </c>
      <c r="BW180" s="23">
        <f t="shared" si="1374"/>
        <v>2</v>
      </c>
      <c r="BX180" s="23">
        <f>+'QTR Raw'!AR85</f>
        <v>2</v>
      </c>
      <c r="BY180" s="23">
        <f t="shared" si="1374"/>
        <v>2</v>
      </c>
      <c r="BZ180" s="23">
        <f>+'QTR Raw'!AT85</f>
        <v>3</v>
      </c>
      <c r="CA180" s="23">
        <f t="shared" si="1374"/>
        <v>3</v>
      </c>
      <c r="CB180" s="23">
        <f>+'QTR Raw'!AV85</f>
        <v>2</v>
      </c>
      <c r="CC180" s="23">
        <f t="shared" si="1374"/>
        <v>2</v>
      </c>
      <c r="CD180" s="23">
        <f>+'QTR Raw'!AX85</f>
        <v>1</v>
      </c>
      <c r="CE180" s="23">
        <f t="shared" si="1374"/>
        <v>1</v>
      </c>
      <c r="CF180" s="23">
        <f>+'QTR Raw'!AZ85</f>
        <v>2</v>
      </c>
      <c r="CG180" s="23">
        <f t="shared" si="1377"/>
        <v>2</v>
      </c>
      <c r="CH180" s="23">
        <f t="shared" si="1352"/>
        <v>189</v>
      </c>
      <c r="CJ180" s="23">
        <f>+'QTR Raw'!BD85</f>
        <v>1</v>
      </c>
      <c r="CL180" s="23">
        <f>+'QTR Raw'!BF85</f>
        <v>1</v>
      </c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3"/>
      <c r="DF180" s="23">
        <v>1</v>
      </c>
    </row>
    <row r="181" spans="1:110" s="22" customFormat="1" x14ac:dyDescent="0.2">
      <c r="A181" s="22" t="s">
        <v>65</v>
      </c>
      <c r="B181" s="22">
        <f>SUM(B175:B180)</f>
        <v>695.38239999999996</v>
      </c>
      <c r="C181" s="22">
        <f t="shared" ref="C181:V181" si="1379">SUM(C175:C180)</f>
        <v>636.51</v>
      </c>
      <c r="D181" s="22">
        <f t="shared" si="1379"/>
        <v>479.66399999999999</v>
      </c>
      <c r="E181" s="22">
        <f t="shared" si="1379"/>
        <v>690.35399999999993</v>
      </c>
      <c r="F181" s="22">
        <f t="shared" si="1379"/>
        <v>714.78000000000009</v>
      </c>
      <c r="G181" s="22">
        <f t="shared" si="1379"/>
        <v>1235.3499999999999</v>
      </c>
      <c r="H181" s="22">
        <f t="shared" si="1379"/>
        <v>1361.25</v>
      </c>
      <c r="I181" s="22">
        <f t="shared" si="1379"/>
        <v>1348.85</v>
      </c>
      <c r="J181" s="22">
        <f t="shared" si="1379"/>
        <v>1064.75</v>
      </c>
      <c r="K181" s="22">
        <f t="shared" si="1379"/>
        <v>1067.72</v>
      </c>
      <c r="L181" s="22">
        <f>SUM(L175:L180)</f>
        <v>2236.4300000000003</v>
      </c>
      <c r="M181" s="22">
        <f>SUM(M175:M180)</f>
        <v>2577.04</v>
      </c>
      <c r="N181" s="22">
        <f t="shared" si="1379"/>
        <v>4417.8399999999992</v>
      </c>
      <c r="O181" s="22">
        <f t="shared" si="1379"/>
        <v>5450.67</v>
      </c>
      <c r="P181" s="22">
        <f t="shared" si="1379"/>
        <v>6756.0199999999995</v>
      </c>
      <c r="Q181" s="22">
        <f t="shared" si="1379"/>
        <v>2610</v>
      </c>
      <c r="R181" s="22">
        <f t="shared" si="1379"/>
        <v>3820</v>
      </c>
      <c r="S181" s="22">
        <f t="shared" si="1379"/>
        <v>4016</v>
      </c>
      <c r="T181" s="22">
        <f t="shared" si="1379"/>
        <v>3990</v>
      </c>
      <c r="U181" s="22">
        <f t="shared" si="1379"/>
        <v>3948</v>
      </c>
      <c r="V181" s="22">
        <f t="shared" si="1379"/>
        <v>3606</v>
      </c>
      <c r="W181" s="22">
        <f t="shared" ref="W181" si="1380">SUM(W175:W180)</f>
        <v>4384</v>
      </c>
      <c r="X181" s="22">
        <f t="shared" ref="X181:Y181" si="1381">SUM(X175:X180)</f>
        <v>4089</v>
      </c>
      <c r="Y181" s="22">
        <f t="shared" si="1381"/>
        <v>3421</v>
      </c>
      <c r="Z181" s="22">
        <f t="shared" ref="Z181:AA181" si="1382">SUM(Z175:Z180)</f>
        <v>3127</v>
      </c>
      <c r="AA181" s="22">
        <f t="shared" si="1382"/>
        <v>4237</v>
      </c>
      <c r="AB181" s="21">
        <f t="shared" ref="AA181:AD181" si="1383">SUM(AB175:AB180)</f>
        <v>4414.2840129079959</v>
      </c>
      <c r="AC181" s="21">
        <f t="shared" si="1383"/>
        <v>4416.9665586208384</v>
      </c>
      <c r="AD181" s="21">
        <f t="shared" si="1383"/>
        <v>4346.1588108297929</v>
      </c>
      <c r="AE181" s="21">
        <f t="shared" ref="AE181" si="1384">SUM(AE175:AE180)</f>
        <v>4277.4752954724772</v>
      </c>
      <c r="AJ181" s="22">
        <f t="shared" ref="AJ181" si="1385">SUM(AJ175:AJ180)</f>
        <v>4054.42</v>
      </c>
      <c r="AK181" s="22">
        <f t="shared" ref="AK181" si="1386">SUM(AK175:AK180)</f>
        <v>4304.6765580395477</v>
      </c>
      <c r="AL181" s="22">
        <f t="shared" ref="AL181:AM181" si="1387">SUM(AL175:AL180)</f>
        <v>4417.8399999999992</v>
      </c>
      <c r="AM181" s="22">
        <f t="shared" si="1387"/>
        <v>4059.7519439192561</v>
      </c>
      <c r="AN181" s="22">
        <f t="shared" ref="AN181:AO181" si="1388">SUM(AN175:AN180)</f>
        <v>4747.55</v>
      </c>
      <c r="AO181" s="22">
        <f t="shared" si="1388"/>
        <v>4698.0963599250381</v>
      </c>
      <c r="AP181" s="22">
        <f t="shared" ref="AP181:CE181" si="1389">SUM(AP175:AP180)</f>
        <v>5450.67</v>
      </c>
      <c r="AQ181" s="22">
        <f t="shared" si="1389"/>
        <v>5171.9317777295837</v>
      </c>
      <c r="AR181" s="22">
        <f t="shared" si="1389"/>
        <v>5614.72</v>
      </c>
      <c r="AS181" s="22">
        <f t="shared" si="1389"/>
        <v>5639.4126325091138</v>
      </c>
      <c r="AT181" s="22">
        <f t="shared" si="1389"/>
        <v>6756.0199999999995</v>
      </c>
      <c r="AU181" s="22">
        <f t="shared" si="1389"/>
        <v>6531.3573648222837</v>
      </c>
      <c r="AV181" s="22">
        <f t="shared" si="1389"/>
        <v>7263.66</v>
      </c>
      <c r="AW181" s="22">
        <f t="shared" si="1389"/>
        <v>6915.3660621219487</v>
      </c>
      <c r="AX181" s="22">
        <f t="shared" si="1389"/>
        <v>2609.4500000000003</v>
      </c>
      <c r="AY181" s="22">
        <f t="shared" si="1389"/>
        <v>2390.3218331069988</v>
      </c>
      <c r="AZ181" s="22">
        <f t="shared" si="1389"/>
        <v>3266.7999999999997</v>
      </c>
      <c r="BA181" s="22">
        <f t="shared" si="1389"/>
        <v>3781.9933541017649</v>
      </c>
      <c r="BB181" s="22">
        <f t="shared" si="1389"/>
        <v>3820</v>
      </c>
      <c r="BC181" s="22">
        <f t="shared" si="1389"/>
        <v>3263.8228617106315</v>
      </c>
      <c r="BD181" s="22">
        <f t="shared" si="1389"/>
        <v>4434</v>
      </c>
      <c r="BE181" s="22">
        <f t="shared" si="1389"/>
        <v>4666.6605763797324</v>
      </c>
      <c r="BF181" s="22">
        <f t="shared" si="1389"/>
        <v>4016</v>
      </c>
      <c r="BG181" s="22">
        <f t="shared" si="1389"/>
        <v>3775.2128405289154</v>
      </c>
      <c r="BH181" s="22">
        <f t="shared" si="1389"/>
        <v>3896</v>
      </c>
      <c r="BI181" s="22">
        <f t="shared" si="1389"/>
        <v>4165.1343939711114</v>
      </c>
      <c r="BJ181" s="22">
        <f t="shared" si="1389"/>
        <v>3990</v>
      </c>
      <c r="BK181" s="22">
        <f t="shared" si="1389"/>
        <v>3830.2913859042069</v>
      </c>
      <c r="BL181" s="22">
        <f t="shared" si="1389"/>
        <v>3403</v>
      </c>
      <c r="BM181" s="22">
        <f t="shared" si="1389"/>
        <v>3471.9541121702505</v>
      </c>
      <c r="BN181" s="22">
        <f t="shared" si="1389"/>
        <v>3948</v>
      </c>
      <c r="BO181" s="22">
        <f t="shared" si="1389"/>
        <v>3745.3063083580046</v>
      </c>
      <c r="BP181" s="22">
        <f t="shared" si="1389"/>
        <v>3714</v>
      </c>
      <c r="BQ181" s="22">
        <f t="shared" si="1389"/>
        <v>3846.7247349823319</v>
      </c>
      <c r="BR181" s="22">
        <f t="shared" si="1389"/>
        <v>3606</v>
      </c>
      <c r="BS181" s="22">
        <f t="shared" si="1389"/>
        <v>3496.3561249460199</v>
      </c>
      <c r="BT181" s="22">
        <f t="shared" si="1389"/>
        <v>3775</v>
      </c>
      <c r="BU181" s="22">
        <f t="shared" si="1389"/>
        <v>4442.6223456386797</v>
      </c>
      <c r="BV181" s="22">
        <f t="shared" si="1389"/>
        <v>4384</v>
      </c>
      <c r="BW181" s="22">
        <f t="shared" si="1389"/>
        <v>4563.0053427304756</v>
      </c>
      <c r="BX181" s="22">
        <f t="shared" si="1389"/>
        <v>4809</v>
      </c>
      <c r="BY181" s="22">
        <f t="shared" si="1389"/>
        <v>4644.8721209213054</v>
      </c>
      <c r="BZ181" s="22">
        <f t="shared" si="1389"/>
        <v>4089</v>
      </c>
      <c r="CA181" s="22">
        <f t="shared" si="1389"/>
        <v>3765.7030203314134</v>
      </c>
      <c r="CB181" s="22">
        <f t="shared" si="1389"/>
        <v>3687</v>
      </c>
      <c r="CC181" s="22">
        <f t="shared" si="1389"/>
        <v>3840.1550581652186</v>
      </c>
      <c r="CD181" s="22">
        <f t="shared" si="1389"/>
        <v>3421</v>
      </c>
      <c r="CE181" s="22">
        <f t="shared" si="1389"/>
        <v>3581.161743277255</v>
      </c>
      <c r="CF181" s="22">
        <f t="shared" ref="CF181:CG181" si="1390">SUM(CF175:CF180)</f>
        <v>3491</v>
      </c>
      <c r="CG181" s="22">
        <f t="shared" si="1390"/>
        <v>3577.5518662142508</v>
      </c>
      <c r="CH181" s="22">
        <f t="shared" ref="CH181:CI181" si="1391">SUM(CH175:CH180)</f>
        <v>3127</v>
      </c>
      <c r="CI181" s="22">
        <f t="shared" si="1391"/>
        <v>2674.1407505227248</v>
      </c>
      <c r="CJ181" s="22">
        <f t="shared" ref="CJ181:DB181" si="1392">SUM(CJ175:CJ180)</f>
        <v>4589</v>
      </c>
      <c r="CK181" s="22">
        <f t="shared" si="1392"/>
        <v>5893.931453971225</v>
      </c>
      <c r="CL181" s="22">
        <f t="shared" ref="CL181" si="1393">SUM(CL175:CL180)</f>
        <v>4237</v>
      </c>
      <c r="CM181" s="21">
        <f t="shared" si="1392"/>
        <v>3558.6614643001576</v>
      </c>
      <c r="CN181" s="21">
        <f t="shared" si="1392"/>
        <v>3688.3115648113626</v>
      </c>
      <c r="CO181" s="21">
        <f t="shared" si="1392"/>
        <v>4327.3077610895061</v>
      </c>
      <c r="CP181" s="21">
        <f t="shared" si="1392"/>
        <v>4414.2840129079959</v>
      </c>
      <c r="CQ181" s="21">
        <f t="shared" si="1392"/>
        <v>3828.315467771954</v>
      </c>
      <c r="CR181" s="21">
        <f t="shared" si="1392"/>
        <v>4005.5143963368855</v>
      </c>
      <c r="CS181" s="21">
        <f t="shared" si="1392"/>
        <v>4287.4093334838017</v>
      </c>
      <c r="CT181" s="21">
        <f t="shared" si="1392"/>
        <v>4416.9665586208384</v>
      </c>
      <c r="CU181" s="21">
        <f t="shared" si="1392"/>
        <v>3827.7350281125991</v>
      </c>
      <c r="CV181" s="21">
        <f t="shared" si="1392"/>
        <v>3982.176880958245</v>
      </c>
      <c r="CW181" s="21">
        <f t="shared" si="1392"/>
        <v>4239.6093407527314</v>
      </c>
      <c r="CX181" s="21">
        <f t="shared" si="1392"/>
        <v>4346.1588108297929</v>
      </c>
      <c r="CY181" s="21">
        <f t="shared" si="1392"/>
        <v>3773.0261765852892</v>
      </c>
      <c r="CZ181" s="21">
        <f t="shared" si="1392"/>
        <v>3923.1168737290964</v>
      </c>
      <c r="DA181" s="21">
        <f t="shared" si="1392"/>
        <v>4174.2234258196177</v>
      </c>
      <c r="DB181" s="21">
        <f t="shared" si="1392"/>
        <v>4277.4752954724772</v>
      </c>
      <c r="DE181" s="126"/>
      <c r="DF181" s="22">
        <v>9102.791365841169</v>
      </c>
    </row>
    <row r="182" spans="1:110" s="23" customFormat="1" outlineLevel="1" x14ac:dyDescent="0.2">
      <c r="A182" s="23" t="s">
        <v>66</v>
      </c>
      <c r="B182" s="23">
        <f>'Annual Raw'!C50+'Annual Raw'!C58</f>
        <v>0</v>
      </c>
      <c r="C182" s="23">
        <f>'Annual Raw'!D50+'Annual Raw'!D58</f>
        <v>0</v>
      </c>
      <c r="D182" s="23">
        <f>'Annual Raw'!E50+'Annual Raw'!E58</f>
        <v>0</v>
      </c>
      <c r="E182" s="23">
        <f>'Annual Raw'!F50+'Annual Raw'!F58</f>
        <v>0</v>
      </c>
      <c r="F182" s="23">
        <f>'Annual Raw'!G50+'Annual Raw'!G58</f>
        <v>0</v>
      </c>
      <c r="G182" s="23">
        <f>'Annual Raw'!H50+'Annual Raw'!H58</f>
        <v>0</v>
      </c>
      <c r="H182" s="23">
        <f>'Annual Raw'!I50+'Annual Raw'!I58</f>
        <v>0</v>
      </c>
      <c r="I182" s="23">
        <f>'Annual Raw'!J50+'Annual Raw'!J58</f>
        <v>0</v>
      </c>
      <c r="J182" s="23">
        <f>'Annual Raw'!K50+'Annual Raw'!K58</f>
        <v>0</v>
      </c>
      <c r="K182" s="23">
        <f>'Annual Raw'!L50+'Annual Raw'!L58</f>
        <v>0</v>
      </c>
      <c r="L182" s="23">
        <f>'Annual Raw'!M50+'Annual Raw'!M58</f>
        <v>23.79</v>
      </c>
      <c r="M182" s="23">
        <f>'Annual Raw'!N50+'Annual Raw'!N58</f>
        <v>17.149999999999999</v>
      </c>
      <c r="N182" s="23">
        <f>'Annual Raw'!O50+'Annual Raw'!O58</f>
        <v>28.23</v>
      </c>
      <c r="O182" s="23">
        <f>'Annual Raw'!P50+'Annual Raw'!P58</f>
        <v>56.37</v>
      </c>
      <c r="P182" s="23">
        <f>'Annual Raw'!Q50+'Annual Raw'!Q58</f>
        <v>132.08000000000001</v>
      </c>
      <c r="Q182" s="23">
        <f>'Annual Raw'!R50+'Annual Raw'!R58</f>
        <v>563</v>
      </c>
      <c r="R182" s="23">
        <f>'Annual Raw'!S50+'Annual Raw'!S58</f>
        <v>556</v>
      </c>
      <c r="S182" s="23">
        <f>'Annual Raw'!T50+'Annual Raw'!T58</f>
        <v>802</v>
      </c>
      <c r="T182" s="23">
        <f>'Annual Raw'!U50+'Annual Raw'!U58</f>
        <v>956</v>
      </c>
      <c r="U182" s="23">
        <f>'Annual Raw'!V50+'Annual Raw'!V58</f>
        <v>1090</v>
      </c>
      <c r="V182" s="23">
        <f>'Annual Raw'!W50+'Annual Raw'!W58</f>
        <v>1044</v>
      </c>
      <c r="W182" s="23">
        <f>'Annual Raw'!X50+'Annual Raw'!X58</f>
        <v>1030</v>
      </c>
      <c r="X182" s="23">
        <f>'Annual Raw'!Y50+'Annual Raw'!Y58</f>
        <v>1079</v>
      </c>
      <c r="Y182" s="23">
        <f>'Annual Raw'!Z50+'Annual Raw'!Z58</f>
        <v>1103</v>
      </c>
      <c r="Z182" s="23">
        <f>'Annual Raw'!AA50+'Annual Raw'!AA58</f>
        <v>1483</v>
      </c>
      <c r="AA182" s="23">
        <f>'Annual Raw'!AB50+'Annual Raw'!AB58</f>
        <v>1388</v>
      </c>
      <c r="AB182" s="24">
        <f t="shared" ref="AB182:AB188" si="1394">+CP182</f>
        <v>0</v>
      </c>
      <c r="AC182" s="24">
        <f t="shared" ref="AC182:AC188" si="1395">+CT182</f>
        <v>0</v>
      </c>
      <c r="AD182" s="24">
        <f t="shared" ref="AD182:AD188" si="1396">+CX182</f>
        <v>0</v>
      </c>
      <c r="AE182" s="24">
        <f t="shared" ref="AE182:AE188" si="1397">+DB182</f>
        <v>0</v>
      </c>
      <c r="AJ182" s="23">
        <f>+'QTR Raw'!D64</f>
        <v>30.53</v>
      </c>
      <c r="AK182" s="23">
        <f t="shared" ref="AK182:CE188" si="1398">+AJ182</f>
        <v>30.53</v>
      </c>
      <c r="AL182" s="23">
        <f>+'QTR Raw'!F64</f>
        <v>28.23</v>
      </c>
      <c r="AM182" s="23">
        <f t="shared" si="1398"/>
        <v>28.23</v>
      </c>
      <c r="AN182" s="23">
        <f>+'QTR Raw'!H64</f>
        <v>41.08</v>
      </c>
      <c r="AO182" s="23">
        <f t="shared" si="1398"/>
        <v>41.08</v>
      </c>
      <c r="AP182" s="23">
        <f>+'QTR Raw'!J64</f>
        <v>56.37</v>
      </c>
      <c r="AQ182" s="23">
        <f t="shared" si="1398"/>
        <v>56.37</v>
      </c>
      <c r="AR182" s="23">
        <f>+'QTR Raw'!L64</f>
        <v>108.77</v>
      </c>
      <c r="AS182" s="23">
        <f t="shared" si="1398"/>
        <v>108.77</v>
      </c>
      <c r="AT182" s="23">
        <f>+'QTR Raw'!N64</f>
        <v>132.08000000000001</v>
      </c>
      <c r="AU182" s="23">
        <f t="shared" si="1398"/>
        <v>132.08000000000001</v>
      </c>
      <c r="AV182" s="23">
        <f>+'QTR Raw'!P64</f>
        <v>143.88999999999999</v>
      </c>
      <c r="AW182" s="23">
        <f t="shared" si="1398"/>
        <v>143.88999999999999</v>
      </c>
      <c r="AX182" s="23">
        <f>+'QTR Raw'!R64</f>
        <v>664.21</v>
      </c>
      <c r="AY182" s="23">
        <f t="shared" si="1398"/>
        <v>664.21</v>
      </c>
      <c r="AZ182" s="23">
        <f>+'QTR Raw'!T64</f>
        <v>621.07000000000005</v>
      </c>
      <c r="BA182" s="23">
        <f t="shared" si="1398"/>
        <v>621.07000000000005</v>
      </c>
      <c r="BB182" s="23">
        <f>+'QTR Raw'!V64</f>
        <v>649</v>
      </c>
      <c r="BC182" s="23">
        <f t="shared" si="1398"/>
        <v>649</v>
      </c>
      <c r="BD182" s="23">
        <f>+'QTR Raw'!X64</f>
        <v>674</v>
      </c>
      <c r="BE182" s="23">
        <f t="shared" si="1398"/>
        <v>674</v>
      </c>
      <c r="BF182" s="23">
        <f>+'QTR Raw'!Z64</f>
        <v>861</v>
      </c>
      <c r="BG182" s="23">
        <f t="shared" si="1398"/>
        <v>861</v>
      </c>
      <c r="BH182" s="23">
        <f>+'QTR Raw'!AB64</f>
        <v>973</v>
      </c>
      <c r="BI182" s="23">
        <f t="shared" si="1398"/>
        <v>973</v>
      </c>
      <c r="BJ182" s="23">
        <f>+'QTR Raw'!AD64</f>
        <v>964</v>
      </c>
      <c r="BK182" s="23">
        <f t="shared" si="1398"/>
        <v>964</v>
      </c>
      <c r="BL182" s="23">
        <f>+'QTR Raw'!AF64</f>
        <v>1021</v>
      </c>
      <c r="BM182" s="23">
        <f t="shared" si="1398"/>
        <v>1021</v>
      </c>
      <c r="BN182" s="23">
        <f>+'QTR Raw'!AH64</f>
        <v>1090</v>
      </c>
      <c r="BO182" s="23">
        <f t="shared" si="1398"/>
        <v>1090</v>
      </c>
      <c r="BP182" s="23">
        <f>+'QTR Raw'!AJ64</f>
        <v>1100</v>
      </c>
      <c r="BQ182" s="23">
        <f t="shared" si="1398"/>
        <v>1100</v>
      </c>
      <c r="BR182" s="23">
        <f>+'QTR Raw'!AL64</f>
        <v>1044</v>
      </c>
      <c r="BS182" s="23">
        <f t="shared" si="1398"/>
        <v>1044</v>
      </c>
      <c r="BT182" s="23">
        <f>+'QTR Raw'!AN64</f>
        <v>993</v>
      </c>
      <c r="BU182" s="23">
        <f t="shared" si="1398"/>
        <v>993</v>
      </c>
      <c r="BV182" s="23">
        <f>+'QTR Raw'!AP64</f>
        <v>1030</v>
      </c>
      <c r="BW182" s="23">
        <f t="shared" si="1398"/>
        <v>1030</v>
      </c>
      <c r="BX182" s="23">
        <f>+'QTR Raw'!AR64</f>
        <v>1033</v>
      </c>
      <c r="BY182" s="23">
        <f t="shared" si="1398"/>
        <v>1033</v>
      </c>
      <c r="BZ182" s="23">
        <f>+'QTR Raw'!AT64</f>
        <v>1079</v>
      </c>
      <c r="CA182" s="23">
        <f t="shared" si="1398"/>
        <v>1079</v>
      </c>
      <c r="CB182" s="23">
        <f>+'QTR Raw'!AV64</f>
        <v>1160</v>
      </c>
      <c r="CC182" s="23">
        <f t="shared" si="1398"/>
        <v>1160</v>
      </c>
      <c r="CD182" s="23">
        <f>+'QTR Raw'!AX64</f>
        <v>1103</v>
      </c>
      <c r="CE182" s="23">
        <f t="shared" si="1398"/>
        <v>1103</v>
      </c>
      <c r="CF182" s="23">
        <f>+'QTR Raw'!AZ64</f>
        <v>1135</v>
      </c>
      <c r="CG182" s="23">
        <f t="shared" ref="CG182:CG185" si="1399">+CF182</f>
        <v>1135</v>
      </c>
      <c r="CH182" s="23">
        <f t="shared" si="1352"/>
        <v>1483</v>
      </c>
      <c r="CJ182" s="23">
        <f>+'QTR Raw'!BD64</f>
        <v>1564</v>
      </c>
      <c r="CL182" s="23">
        <f>+'QTR Raw'!BF64</f>
        <v>1388</v>
      </c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  <c r="DF182" s="23">
        <v>1388</v>
      </c>
    </row>
    <row r="183" spans="1:110" s="23" customFormat="1" outlineLevel="1" x14ac:dyDescent="0.2">
      <c r="A183" s="23" t="s">
        <v>67</v>
      </c>
      <c r="B183" s="23">
        <f>'Annual Raw'!C51</f>
        <v>0</v>
      </c>
      <c r="C183" s="23">
        <f>'Annual Raw'!D51</f>
        <v>0</v>
      </c>
      <c r="D183" s="23">
        <f>'Annual Raw'!E51</f>
        <v>0</v>
      </c>
      <c r="E183" s="23">
        <f>'Annual Raw'!F51</f>
        <v>0</v>
      </c>
      <c r="F183" s="23">
        <f>'Annual Raw'!G51</f>
        <v>0</v>
      </c>
      <c r="G183" s="23">
        <f>'Annual Raw'!H51</f>
        <v>0</v>
      </c>
      <c r="H183" s="23">
        <f>'Annual Raw'!I51</f>
        <v>0</v>
      </c>
      <c r="I183" s="23">
        <f>'Annual Raw'!J51</f>
        <v>0</v>
      </c>
      <c r="J183" s="23">
        <f>'Annual Raw'!K51</f>
        <v>0</v>
      </c>
      <c r="K183" s="23">
        <f>'Annual Raw'!L51</f>
        <v>0</v>
      </c>
      <c r="L183" s="23">
        <f>'Annual Raw'!M51</f>
        <v>0</v>
      </c>
      <c r="M183" s="23">
        <f>'Annual Raw'!N51</f>
        <v>0</v>
      </c>
      <c r="N183" s="23">
        <f>'Annual Raw'!O51</f>
        <v>0</v>
      </c>
      <c r="O183" s="23">
        <f>'Annual Raw'!P51</f>
        <v>0</v>
      </c>
      <c r="P183" s="23">
        <f>'Annual Raw'!Q51</f>
        <v>0</v>
      </c>
      <c r="Q183" s="23">
        <f>'Annual Raw'!R51</f>
        <v>101</v>
      </c>
      <c r="R183" s="23">
        <f>'Annual Raw'!S51</f>
        <v>93</v>
      </c>
      <c r="S183" s="23">
        <f>'Annual Raw'!T51</f>
        <v>59</v>
      </c>
      <c r="T183" s="23">
        <f>'Annual Raw'!U51</f>
        <v>8</v>
      </c>
      <c r="U183" s="23">
        <f>'Annual Raw'!V51</f>
        <v>0</v>
      </c>
      <c r="V183" s="23">
        <f>'Annual Raw'!W51</f>
        <v>0</v>
      </c>
      <c r="W183" s="23">
        <f>'Annual Raw'!X51</f>
        <v>0</v>
      </c>
      <c r="X183" s="23">
        <f>'Annual Raw'!Y51</f>
        <v>0</v>
      </c>
      <c r="Y183" s="23">
        <f>'Annual Raw'!Z51</f>
        <v>0</v>
      </c>
      <c r="Z183" s="23">
        <f>'Annual Raw'!AA51</f>
        <v>0</v>
      </c>
      <c r="AA183" s="23">
        <f>'Annual Raw'!AB51</f>
        <v>0</v>
      </c>
      <c r="AB183" s="24">
        <f t="shared" si="1394"/>
        <v>0</v>
      </c>
      <c r="AC183" s="24">
        <f t="shared" si="1395"/>
        <v>0</v>
      </c>
      <c r="AD183" s="24">
        <f t="shared" si="1396"/>
        <v>0</v>
      </c>
      <c r="AE183" s="24">
        <f t="shared" si="1397"/>
        <v>0</v>
      </c>
      <c r="AJ183" s="23">
        <f>+'QTR Raw'!D65</f>
        <v>0</v>
      </c>
      <c r="AK183" s="23">
        <f t="shared" si="1398"/>
        <v>0</v>
      </c>
      <c r="AL183" s="23">
        <f>+'QTR Raw'!F65</f>
        <v>0</v>
      </c>
      <c r="AM183" s="23">
        <f t="shared" si="1398"/>
        <v>0</v>
      </c>
      <c r="AN183" s="23">
        <f>+'QTR Raw'!H65</f>
        <v>0</v>
      </c>
      <c r="AO183" s="23">
        <f t="shared" si="1398"/>
        <v>0</v>
      </c>
      <c r="AP183" s="23">
        <f>+'QTR Raw'!J65</f>
        <v>0</v>
      </c>
      <c r="AQ183" s="23">
        <f t="shared" si="1398"/>
        <v>0</v>
      </c>
      <c r="AR183" s="23">
        <f>+'QTR Raw'!L65</f>
        <v>0</v>
      </c>
      <c r="AS183" s="23">
        <f t="shared" si="1398"/>
        <v>0</v>
      </c>
      <c r="AT183" s="23">
        <f>+'QTR Raw'!N65</f>
        <v>0</v>
      </c>
      <c r="AU183" s="23">
        <f t="shared" si="1398"/>
        <v>0</v>
      </c>
      <c r="AV183" s="23">
        <f>+'QTR Raw'!P65</f>
        <v>0</v>
      </c>
      <c r="AW183" s="23">
        <f t="shared" si="1398"/>
        <v>0</v>
      </c>
      <c r="AX183" s="23">
        <f>+'QTR Raw'!R65</f>
        <v>0</v>
      </c>
      <c r="AY183" s="23">
        <f t="shared" si="1398"/>
        <v>0</v>
      </c>
      <c r="AZ183" s="23">
        <f>+'QTR Raw'!T65</f>
        <v>0</v>
      </c>
      <c r="BA183" s="23">
        <f t="shared" si="1398"/>
        <v>0</v>
      </c>
      <c r="BB183" s="23">
        <f>+'QTR Raw'!V65</f>
        <v>0</v>
      </c>
      <c r="BC183" s="23">
        <f t="shared" si="1398"/>
        <v>0</v>
      </c>
      <c r="BD183" s="23">
        <f>+'QTR Raw'!X65</f>
        <v>0</v>
      </c>
      <c r="BE183" s="23">
        <f t="shared" si="1398"/>
        <v>0</v>
      </c>
      <c r="BF183" s="23">
        <f>+'QTR Raw'!Z65</f>
        <v>0</v>
      </c>
      <c r="BG183" s="23">
        <f t="shared" si="1398"/>
        <v>0</v>
      </c>
      <c r="BH183" s="23">
        <f>+'QTR Raw'!AB65</f>
        <v>0</v>
      </c>
      <c r="BI183" s="23">
        <f t="shared" si="1398"/>
        <v>0</v>
      </c>
      <c r="BJ183" s="23">
        <f>+'QTR Raw'!AD65</f>
        <v>0</v>
      </c>
      <c r="BK183" s="23">
        <f t="shared" si="1398"/>
        <v>0</v>
      </c>
      <c r="BL183" s="23">
        <f>+'QTR Raw'!AF65</f>
        <v>0</v>
      </c>
      <c r="BM183" s="23">
        <f t="shared" si="1398"/>
        <v>0</v>
      </c>
      <c r="BN183" s="23">
        <f>+'QTR Raw'!AH65</f>
        <v>0</v>
      </c>
      <c r="BO183" s="23">
        <f t="shared" si="1398"/>
        <v>0</v>
      </c>
      <c r="BP183" s="23">
        <f>+'QTR Raw'!AJ65</f>
        <v>0</v>
      </c>
      <c r="BQ183" s="23">
        <f t="shared" si="1398"/>
        <v>0</v>
      </c>
      <c r="BR183" s="23">
        <f>+'QTR Raw'!AL65</f>
        <v>0</v>
      </c>
      <c r="BS183" s="23">
        <f t="shared" si="1398"/>
        <v>0</v>
      </c>
      <c r="BT183" s="23">
        <f>+'QTR Raw'!AN65</f>
        <v>0</v>
      </c>
      <c r="BU183" s="23">
        <f t="shared" si="1398"/>
        <v>0</v>
      </c>
      <c r="BV183" s="23">
        <f>+'QTR Raw'!AP65</f>
        <v>0</v>
      </c>
      <c r="BW183" s="23">
        <f t="shared" si="1398"/>
        <v>0</v>
      </c>
      <c r="BX183" s="23">
        <f>+'QTR Raw'!AR65</f>
        <v>0</v>
      </c>
      <c r="BY183" s="23">
        <f t="shared" si="1398"/>
        <v>0</v>
      </c>
      <c r="BZ183" s="23">
        <f>+'QTR Raw'!AT65</f>
        <v>0</v>
      </c>
      <c r="CA183" s="23">
        <f t="shared" si="1398"/>
        <v>0</v>
      </c>
      <c r="CB183" s="23">
        <f>+'QTR Raw'!AV65</f>
        <v>0</v>
      </c>
      <c r="CC183" s="23">
        <f t="shared" si="1398"/>
        <v>0</v>
      </c>
      <c r="CD183" s="23">
        <f>+'QTR Raw'!AX65</f>
        <v>0</v>
      </c>
      <c r="CE183" s="23">
        <f t="shared" si="1398"/>
        <v>0</v>
      </c>
      <c r="CF183" s="23">
        <f>+'QTR Raw'!AZ65</f>
        <v>0</v>
      </c>
      <c r="CG183" s="23">
        <f t="shared" si="1399"/>
        <v>0</v>
      </c>
      <c r="CH183" s="23">
        <f t="shared" si="1352"/>
        <v>0</v>
      </c>
      <c r="CJ183" s="23">
        <f>+'QTR Raw'!BD65</f>
        <v>0</v>
      </c>
      <c r="CL183" s="23">
        <f>+'QTR Raw'!BF65</f>
        <v>0</v>
      </c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  <c r="DF183" s="23">
        <v>0</v>
      </c>
    </row>
    <row r="184" spans="1:110" s="23" customFormat="1" outlineLevel="1" x14ac:dyDescent="0.2">
      <c r="A184" s="23" t="s">
        <v>68</v>
      </c>
      <c r="B184" s="23">
        <f>'Annual Raw'!C52</f>
        <v>0</v>
      </c>
      <c r="C184" s="23">
        <f>'Annual Raw'!D52</f>
        <v>0</v>
      </c>
      <c r="D184" s="23">
        <f>'Annual Raw'!E52</f>
        <v>0</v>
      </c>
      <c r="E184" s="23">
        <f>'Annual Raw'!F52</f>
        <v>0</v>
      </c>
      <c r="F184" s="23">
        <f>'Annual Raw'!G52</f>
        <v>0</v>
      </c>
      <c r="G184" s="23">
        <f>'Annual Raw'!H52</f>
        <v>0</v>
      </c>
      <c r="H184" s="23">
        <f>'Annual Raw'!I52</f>
        <v>0</v>
      </c>
      <c r="I184" s="23">
        <f>'Annual Raw'!J52</f>
        <v>0</v>
      </c>
      <c r="J184" s="23">
        <f>'Annual Raw'!K52</f>
        <v>0</v>
      </c>
      <c r="K184" s="23">
        <f>'Annual Raw'!L52</f>
        <v>0</v>
      </c>
      <c r="L184" s="23">
        <f>'Annual Raw'!M52</f>
        <v>0</v>
      </c>
      <c r="M184" s="23">
        <f>'Annual Raw'!N52</f>
        <v>0</v>
      </c>
      <c r="N184" s="23">
        <f>'Annual Raw'!O52</f>
        <v>0</v>
      </c>
      <c r="O184" s="23">
        <f>'Annual Raw'!P52</f>
        <v>0</v>
      </c>
      <c r="P184" s="23">
        <f>'Annual Raw'!Q52</f>
        <v>0</v>
      </c>
      <c r="Q184" s="23">
        <f>'Annual Raw'!R52</f>
        <v>19</v>
      </c>
      <c r="R184" s="23">
        <f>'Annual Raw'!S52</f>
        <v>111</v>
      </c>
      <c r="S184" s="23">
        <f>'Annual Raw'!T52</f>
        <v>134</v>
      </c>
      <c r="T184" s="23">
        <f>'Annual Raw'!U52</f>
        <v>145</v>
      </c>
      <c r="U184" s="23">
        <f>'Annual Raw'!V52</f>
        <v>162</v>
      </c>
      <c r="V184" s="23">
        <f>'Annual Raw'!W52</f>
        <v>182</v>
      </c>
      <c r="W184" s="23">
        <f>'Annual Raw'!X52</f>
        <v>212</v>
      </c>
      <c r="X184" s="23">
        <f>'Annual Raw'!Y52</f>
        <v>189</v>
      </c>
      <c r="Y184" s="23">
        <f>'Annual Raw'!Z52</f>
        <v>199</v>
      </c>
      <c r="Z184" s="23">
        <f>'Annual Raw'!AA52</f>
        <v>200</v>
      </c>
      <c r="AA184" s="23">
        <f>'Annual Raw'!AB52</f>
        <v>200</v>
      </c>
      <c r="AB184" s="24">
        <f t="shared" si="1394"/>
        <v>0</v>
      </c>
      <c r="AC184" s="24">
        <f t="shared" si="1395"/>
        <v>0</v>
      </c>
      <c r="AD184" s="24">
        <f t="shared" si="1396"/>
        <v>0</v>
      </c>
      <c r="AE184" s="24">
        <f t="shared" si="1397"/>
        <v>0</v>
      </c>
      <c r="AJ184" s="23">
        <f>+'QTR Raw'!D66</f>
        <v>0</v>
      </c>
      <c r="AK184" s="23">
        <f t="shared" si="1398"/>
        <v>0</v>
      </c>
      <c r="AL184" s="23">
        <f>+'QTR Raw'!F66</f>
        <v>0</v>
      </c>
      <c r="AM184" s="23">
        <f t="shared" si="1398"/>
        <v>0</v>
      </c>
      <c r="AN184" s="23">
        <f>+'QTR Raw'!H66</f>
        <v>0</v>
      </c>
      <c r="AO184" s="23">
        <f t="shared" si="1398"/>
        <v>0</v>
      </c>
      <c r="AP184" s="23">
        <f>+'QTR Raw'!J66</f>
        <v>0</v>
      </c>
      <c r="AQ184" s="23">
        <f t="shared" si="1398"/>
        <v>0</v>
      </c>
      <c r="AR184" s="23">
        <f>+'QTR Raw'!L66</f>
        <v>0</v>
      </c>
      <c r="AS184" s="23">
        <f t="shared" si="1398"/>
        <v>0</v>
      </c>
      <c r="AT184" s="23">
        <f>+'QTR Raw'!N66</f>
        <v>0</v>
      </c>
      <c r="AU184" s="23">
        <f t="shared" si="1398"/>
        <v>0</v>
      </c>
      <c r="AV184" s="23">
        <f>+'QTR Raw'!P66</f>
        <v>0</v>
      </c>
      <c r="AW184" s="23">
        <f t="shared" si="1398"/>
        <v>0</v>
      </c>
      <c r="AX184" s="23">
        <f>+'QTR Raw'!R66</f>
        <v>18.670000000000002</v>
      </c>
      <c r="AY184" s="23">
        <f t="shared" si="1398"/>
        <v>18.670000000000002</v>
      </c>
      <c r="AZ184" s="23">
        <f>+'QTR Raw'!T66</f>
        <v>0</v>
      </c>
      <c r="BA184" s="23">
        <f t="shared" si="1398"/>
        <v>0</v>
      </c>
      <c r="BB184" s="23">
        <f>+'QTR Raw'!V66</f>
        <v>111</v>
      </c>
      <c r="BC184" s="23">
        <f t="shared" si="1398"/>
        <v>111</v>
      </c>
      <c r="BD184" s="23">
        <f>+'QTR Raw'!X66</f>
        <v>126</v>
      </c>
      <c r="BE184" s="23">
        <f t="shared" si="1398"/>
        <v>126</v>
      </c>
      <c r="BF184" s="23">
        <f>+'QTR Raw'!Z66</f>
        <v>134</v>
      </c>
      <c r="BG184" s="23">
        <f t="shared" si="1398"/>
        <v>134</v>
      </c>
      <c r="BH184" s="23">
        <f>+'QTR Raw'!AB66</f>
        <v>138</v>
      </c>
      <c r="BI184" s="23">
        <f t="shared" si="1398"/>
        <v>138</v>
      </c>
      <c r="BJ184" s="23">
        <f>+'QTR Raw'!AD66</f>
        <v>145</v>
      </c>
      <c r="BK184" s="23">
        <f t="shared" si="1398"/>
        <v>145</v>
      </c>
      <c r="BL184" s="23">
        <f>+'QTR Raw'!AF66</f>
        <v>161</v>
      </c>
      <c r="BM184" s="23">
        <f t="shared" si="1398"/>
        <v>161</v>
      </c>
      <c r="BN184" s="23">
        <f>+'QTR Raw'!AH66</f>
        <v>162</v>
      </c>
      <c r="BO184" s="23">
        <f t="shared" si="1398"/>
        <v>162</v>
      </c>
      <c r="BP184" s="23">
        <f>+'QTR Raw'!AJ66</f>
        <v>151</v>
      </c>
      <c r="BQ184" s="23">
        <f t="shared" si="1398"/>
        <v>151</v>
      </c>
      <c r="BR184" s="23">
        <f>+'QTR Raw'!AL66</f>
        <v>182</v>
      </c>
      <c r="BS184" s="23">
        <f t="shared" si="1398"/>
        <v>182</v>
      </c>
      <c r="BT184" s="23">
        <f>+'QTR Raw'!AN66</f>
        <v>183</v>
      </c>
      <c r="BU184" s="23">
        <f t="shared" si="1398"/>
        <v>183</v>
      </c>
      <c r="BV184" s="23">
        <f>+'QTR Raw'!AP66</f>
        <v>212</v>
      </c>
      <c r="BW184" s="23">
        <f t="shared" si="1398"/>
        <v>212</v>
      </c>
      <c r="BX184" s="23">
        <f>+'QTR Raw'!AR66</f>
        <v>210</v>
      </c>
      <c r="BY184" s="23">
        <f t="shared" si="1398"/>
        <v>210</v>
      </c>
      <c r="BZ184" s="23">
        <f>+'QTR Raw'!AT66</f>
        <v>189</v>
      </c>
      <c r="CA184" s="23">
        <f t="shared" si="1398"/>
        <v>189</v>
      </c>
      <c r="CB184" s="23">
        <f>+'QTR Raw'!AV66</f>
        <v>198</v>
      </c>
      <c r="CC184" s="23">
        <f t="shared" si="1398"/>
        <v>198</v>
      </c>
      <c r="CD184" s="23">
        <f>+'QTR Raw'!AX66</f>
        <v>199</v>
      </c>
      <c r="CE184" s="23">
        <f t="shared" si="1398"/>
        <v>199</v>
      </c>
      <c r="CF184" s="23">
        <f>+'QTR Raw'!AZ66</f>
        <v>221</v>
      </c>
      <c r="CG184" s="23">
        <f t="shared" si="1399"/>
        <v>221</v>
      </c>
      <c r="CH184" s="23">
        <f t="shared" si="1352"/>
        <v>200</v>
      </c>
      <c r="CJ184" s="23">
        <f>+'QTR Raw'!BD66</f>
        <v>216</v>
      </c>
      <c r="CL184" s="23">
        <f>+'QTR Raw'!BF66</f>
        <v>200</v>
      </c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E184" s="123"/>
      <c r="DF184" s="23">
        <v>200</v>
      </c>
    </row>
    <row r="185" spans="1:110" s="23" customFormat="1" outlineLevel="1" x14ac:dyDescent="0.2">
      <c r="A185" s="23" t="s">
        <v>69</v>
      </c>
      <c r="B185" s="23">
        <v>0</v>
      </c>
      <c r="C185" s="23">
        <v>0</v>
      </c>
      <c r="D185" s="23">
        <v>0</v>
      </c>
      <c r="E185" s="23">
        <v>0</v>
      </c>
      <c r="F185" s="23">
        <v>0</v>
      </c>
      <c r="G185" s="23">
        <v>0</v>
      </c>
      <c r="H185" s="23">
        <v>0</v>
      </c>
      <c r="I185" s="23">
        <v>0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0</v>
      </c>
      <c r="Q185" s="23">
        <v>0</v>
      </c>
      <c r="R185" s="23">
        <v>0</v>
      </c>
      <c r="S185" s="23">
        <v>0</v>
      </c>
      <c r="T185" s="23">
        <v>0</v>
      </c>
      <c r="U185" s="23">
        <v>0</v>
      </c>
      <c r="V185" s="23">
        <v>0</v>
      </c>
      <c r="W185" s="23">
        <v>0</v>
      </c>
      <c r="X185" s="23">
        <v>0</v>
      </c>
      <c r="Y185" s="23">
        <v>0</v>
      </c>
      <c r="Z185" s="23">
        <v>0</v>
      </c>
      <c r="AA185" s="23">
        <v>0</v>
      </c>
      <c r="AB185" s="24">
        <f t="shared" si="1394"/>
        <v>5791.2880465675516</v>
      </c>
      <c r="AC185" s="24">
        <f t="shared" si="1395"/>
        <v>5794.8073930517685</v>
      </c>
      <c r="AD185" s="24">
        <f t="shared" si="1396"/>
        <v>5701.9116794575457</v>
      </c>
      <c r="AE185" s="24">
        <f t="shared" si="1397"/>
        <v>5611.8028372711506</v>
      </c>
      <c r="AJ185" s="23">
        <f>+'QTR Raw'!D87</f>
        <v>1134.1500000000001</v>
      </c>
      <c r="AK185" s="23">
        <f t="shared" si="1398"/>
        <v>1134.1500000000001</v>
      </c>
      <c r="AL185" s="23">
        <f>+'QTR Raw'!F87</f>
        <v>0</v>
      </c>
      <c r="AM185" s="23">
        <f t="shared" si="1398"/>
        <v>0</v>
      </c>
      <c r="AN185" s="23">
        <f>+'QTR Raw'!H87</f>
        <v>0</v>
      </c>
      <c r="AO185" s="23">
        <f t="shared" si="1398"/>
        <v>0</v>
      </c>
      <c r="AP185" s="23">
        <f>+'QTR Raw'!J87</f>
        <v>0</v>
      </c>
      <c r="AQ185" s="23">
        <f t="shared" si="1398"/>
        <v>0</v>
      </c>
      <c r="AR185" s="23">
        <f>+'QTR Raw'!L87</f>
        <v>0</v>
      </c>
      <c r="AS185" s="23">
        <f t="shared" si="1398"/>
        <v>0</v>
      </c>
      <c r="AT185" s="23">
        <f>+'QTR Raw'!N87</f>
        <v>0</v>
      </c>
      <c r="AU185" s="23">
        <f t="shared" si="1398"/>
        <v>0</v>
      </c>
      <c r="AV185" s="23">
        <f>+'QTR Raw'!P87</f>
        <v>0</v>
      </c>
      <c r="AW185" s="23">
        <f t="shared" si="1398"/>
        <v>0</v>
      </c>
      <c r="AX185" s="23">
        <f>+'QTR Raw'!R87</f>
        <v>0</v>
      </c>
      <c r="AY185" s="23">
        <f t="shared" si="1398"/>
        <v>0</v>
      </c>
      <c r="AZ185" s="23">
        <f>+'QTR Raw'!T87</f>
        <v>0</v>
      </c>
      <c r="BA185" s="23">
        <f t="shared" si="1398"/>
        <v>0</v>
      </c>
      <c r="BB185" s="23">
        <f>+'QTR Raw'!V87</f>
        <v>0</v>
      </c>
      <c r="BC185" s="23">
        <f t="shared" si="1398"/>
        <v>0</v>
      </c>
      <c r="BD185" s="23">
        <f>+'QTR Raw'!X87</f>
        <v>0</v>
      </c>
      <c r="BE185" s="23">
        <f t="shared" si="1398"/>
        <v>0</v>
      </c>
      <c r="BF185" s="23">
        <f>+'QTR Raw'!Z87</f>
        <v>0</v>
      </c>
      <c r="BG185" s="23">
        <f t="shared" si="1398"/>
        <v>0</v>
      </c>
      <c r="BH185" s="23">
        <f>+'QTR Raw'!AB87</f>
        <v>0</v>
      </c>
      <c r="BI185" s="23">
        <f t="shared" si="1398"/>
        <v>0</v>
      </c>
      <c r="BJ185" s="23">
        <f>+'QTR Raw'!AD87</f>
        <v>0</v>
      </c>
      <c r="BK185" s="23">
        <f t="shared" si="1398"/>
        <v>0</v>
      </c>
      <c r="BL185" s="23">
        <f>+'QTR Raw'!AF87</f>
        <v>0</v>
      </c>
      <c r="BM185" s="23">
        <f t="shared" si="1398"/>
        <v>0</v>
      </c>
      <c r="BN185" s="23">
        <f>+'QTR Raw'!AH87</f>
        <v>0</v>
      </c>
      <c r="BO185" s="23">
        <f t="shared" si="1398"/>
        <v>0</v>
      </c>
      <c r="BP185" s="23">
        <f>+'QTR Raw'!AJ87</f>
        <v>0</v>
      </c>
      <c r="BQ185" s="23">
        <f t="shared" si="1398"/>
        <v>0</v>
      </c>
      <c r="BR185" s="23">
        <f>+'QTR Raw'!AL87</f>
        <v>0</v>
      </c>
      <c r="BS185" s="23">
        <f t="shared" si="1398"/>
        <v>0</v>
      </c>
      <c r="BT185" s="23">
        <f>+'QTR Raw'!AN87</f>
        <v>0</v>
      </c>
      <c r="BU185" s="23">
        <f t="shared" si="1398"/>
        <v>0</v>
      </c>
      <c r="BV185" s="23">
        <f>+'QTR Raw'!AP87</f>
        <v>0</v>
      </c>
      <c r="BW185" s="23">
        <f t="shared" si="1398"/>
        <v>0</v>
      </c>
      <c r="BX185" s="23">
        <f>+'QTR Raw'!AR87</f>
        <v>0</v>
      </c>
      <c r="BY185" s="23">
        <f t="shared" si="1398"/>
        <v>0</v>
      </c>
      <c r="BZ185" s="23">
        <f>+'QTR Raw'!AT87</f>
        <v>0</v>
      </c>
      <c r="CA185" s="23">
        <f t="shared" si="1398"/>
        <v>0</v>
      </c>
      <c r="CB185" s="23">
        <f>+'QTR Raw'!AV87</f>
        <v>0</v>
      </c>
      <c r="CC185" s="23">
        <f t="shared" si="1398"/>
        <v>0</v>
      </c>
      <c r="CD185" s="23">
        <f>+'QTR Raw'!AX87</f>
        <v>0</v>
      </c>
      <c r="CE185" s="23">
        <f t="shared" si="1398"/>
        <v>0</v>
      </c>
      <c r="CF185" s="23">
        <f>+'QTR Raw'!AZ87</f>
        <v>0</v>
      </c>
      <c r="CG185" s="23">
        <f t="shared" si="1399"/>
        <v>0</v>
      </c>
      <c r="CH185" s="23">
        <f t="shared" si="1352"/>
        <v>0</v>
      </c>
      <c r="CI185" s="23">
        <f>CI38/90*CI217</f>
        <v>4659.0082535490274</v>
      </c>
      <c r="CJ185" s="23">
        <f>+'QTR Raw'!BD87</f>
        <v>0</v>
      </c>
      <c r="CK185" s="23">
        <f t="shared" ref="CK185:DB185" si="1400">CK38/90*CK217</f>
        <v>8687.4160720552136</v>
      </c>
      <c r="CL185" s="23">
        <f>+'QTR Raw'!BF87</f>
        <v>0</v>
      </c>
      <c r="CM185" s="24">
        <f t="shared" si="1400"/>
        <v>5166.2323971938331</v>
      </c>
      <c r="CN185" s="24">
        <f t="shared" si="1400"/>
        <v>5354.4499492930599</v>
      </c>
      <c r="CO185" s="24">
        <f t="shared" si="1400"/>
        <v>5677.1801808256187</v>
      </c>
      <c r="CP185" s="24">
        <f t="shared" si="1400"/>
        <v>5791.2880465675516</v>
      </c>
      <c r="CQ185" s="24">
        <f t="shared" si="1400"/>
        <v>5022.5308435448596</v>
      </c>
      <c r="CR185" s="24">
        <f t="shared" si="1400"/>
        <v>5255.0056987788857</v>
      </c>
      <c r="CS185" s="24">
        <f t="shared" si="1400"/>
        <v>5624.8357267320225</v>
      </c>
      <c r="CT185" s="24">
        <f t="shared" si="1400"/>
        <v>5794.8073930517685</v>
      </c>
      <c r="CU185" s="24">
        <f t="shared" si="1400"/>
        <v>5021.7693399236277</v>
      </c>
      <c r="CV185" s="24">
        <f t="shared" si="1400"/>
        <v>5224.3882139379257</v>
      </c>
      <c r="CW185" s="24">
        <f t="shared" si="1400"/>
        <v>5562.124871309039</v>
      </c>
      <c r="CX185" s="24">
        <f t="shared" si="1400"/>
        <v>5701.9116794575457</v>
      </c>
      <c r="CY185" s="24">
        <f t="shared" si="1400"/>
        <v>4949.994457073979</v>
      </c>
      <c r="CZ185" s="24">
        <f t="shared" si="1400"/>
        <v>5146.9048637737296</v>
      </c>
      <c r="DA185" s="24">
        <f t="shared" si="1400"/>
        <v>5476.3422921957008</v>
      </c>
      <c r="DB185" s="24">
        <f t="shared" si="1400"/>
        <v>5611.8028372711506</v>
      </c>
      <c r="DE185" s="123"/>
      <c r="DF185" s="23">
        <v>9519.3793105462246</v>
      </c>
    </row>
    <row r="186" spans="1:110" s="23" customFormat="1" outlineLevel="1" x14ac:dyDescent="0.2">
      <c r="A186" s="23" t="s">
        <v>70</v>
      </c>
      <c r="B186" s="23">
        <f>'Annual Raw'!C54</f>
        <v>149.4333</v>
      </c>
      <c r="C186" s="23">
        <f>'Annual Raw'!D54</f>
        <v>118.483</v>
      </c>
      <c r="D186" s="23">
        <f>'Annual Raw'!E54</f>
        <v>111.464</v>
      </c>
      <c r="E186" s="23">
        <f>'Annual Raw'!F54</f>
        <v>138.65799999999999</v>
      </c>
      <c r="F186" s="23">
        <f>'Annual Raw'!G54</f>
        <v>146.52000000000001</v>
      </c>
      <c r="G186" s="23">
        <f>'Annual Raw'!H54</f>
        <v>183.72</v>
      </c>
      <c r="H186" s="23">
        <f>'Annual Raw'!I54</f>
        <v>206.53</v>
      </c>
      <c r="I186" s="23">
        <f>'Annual Raw'!J54</f>
        <v>354.67</v>
      </c>
      <c r="J186" s="23">
        <f>'Annual Raw'!K54</f>
        <v>372.22</v>
      </c>
      <c r="K186" s="23">
        <f>'Annual Raw'!L54</f>
        <v>477.66</v>
      </c>
      <c r="L186" s="23">
        <f>'Annual Raw'!M54</f>
        <v>368.24</v>
      </c>
      <c r="M186" s="23">
        <f>'Annual Raw'!N54</f>
        <v>410.29</v>
      </c>
      <c r="N186" s="23">
        <f>'Annual Raw'!O54</f>
        <v>403.47</v>
      </c>
      <c r="O186" s="23">
        <f>'Annual Raw'!P54</f>
        <v>510.32</v>
      </c>
      <c r="P186" s="23">
        <f>'Annual Raw'!Q54</f>
        <v>630.79</v>
      </c>
      <c r="Q186" s="23">
        <f>'Annual Raw'!R54</f>
        <v>931</v>
      </c>
      <c r="R186" s="23">
        <f>'Annual Raw'!S54</f>
        <v>824</v>
      </c>
      <c r="S186" s="23">
        <f>'Annual Raw'!T54</f>
        <v>947</v>
      </c>
      <c r="T186" s="23">
        <f>'Annual Raw'!U54</f>
        <v>1174</v>
      </c>
      <c r="U186" s="23">
        <f>'Annual Raw'!V54</f>
        <v>1488</v>
      </c>
      <c r="V186" s="23">
        <f>'Annual Raw'!W54</f>
        <v>1545</v>
      </c>
      <c r="W186" s="23">
        <f>'Annual Raw'!X54</f>
        <v>2038</v>
      </c>
      <c r="X186" s="23">
        <f>'Annual Raw'!Y54</f>
        <v>2088</v>
      </c>
      <c r="Y186" s="23">
        <f>'Annual Raw'!Z54</f>
        <v>2106</v>
      </c>
      <c r="Z186" s="23">
        <f>'Annual Raw'!AA54</f>
        <v>2204</v>
      </c>
      <c r="AA186" s="23">
        <f>'Annual Raw'!AB54</f>
        <v>3073</v>
      </c>
      <c r="AB186" s="24">
        <f t="shared" si="1394"/>
        <v>2893.290223882635</v>
      </c>
      <c r="AC186" s="24">
        <f t="shared" si="1395"/>
        <v>2895.0484667286751</v>
      </c>
      <c r="AD186" s="24">
        <f t="shared" si="1396"/>
        <v>2848.638366277522</v>
      </c>
      <c r="AE186" s="24">
        <f t="shared" si="1397"/>
        <v>2803.6205688399032</v>
      </c>
      <c r="AJ186" s="23">
        <f>+'QTR Raw'!D89</f>
        <v>0</v>
      </c>
      <c r="AK186" s="23">
        <f>+AK216*AK38/90</f>
        <v>0</v>
      </c>
      <c r="AL186" s="23">
        <f>+'QTR Raw'!F89</f>
        <v>403.47</v>
      </c>
      <c r="AM186" s="23">
        <f>+AM216*AM38/90</f>
        <v>308.03961347268239</v>
      </c>
      <c r="AN186" s="23">
        <f>+'QTR Raw'!H89</f>
        <v>563.57000000000005</v>
      </c>
      <c r="AO186" s="23">
        <f>+AO216*AO38/90</f>
        <v>546.30090777802457</v>
      </c>
      <c r="AP186" s="23">
        <f>+'QTR Raw'!J89</f>
        <v>510.32</v>
      </c>
      <c r="AQ186" s="23">
        <f>+AQ216*AQ38/90</f>
        <v>421.29124732339932</v>
      </c>
      <c r="AR186" s="23">
        <f>+'QTR Raw'!L89</f>
        <v>586.89</v>
      </c>
      <c r="AS186" s="23">
        <f>+AS216*AS38/90</f>
        <v>594.72470784087864</v>
      </c>
      <c r="AT186" s="23">
        <f>+'QTR Raw'!N89</f>
        <v>630.79</v>
      </c>
      <c r="AU186" s="23">
        <f>+AU216*AU38/90</f>
        <v>555.02970038878425</v>
      </c>
      <c r="AV186" s="23">
        <f>+'QTR Raw'!P89</f>
        <v>636.04999999999995</v>
      </c>
      <c r="AW186" s="23">
        <f>+AW216*AW38/90</f>
        <v>500.70685952802739</v>
      </c>
      <c r="AX186" s="23">
        <f>+'QTR Raw'!R89</f>
        <v>930.6</v>
      </c>
      <c r="AY186" s="23">
        <f>+AY216*AY38/90</f>
        <v>755.56229894110174</v>
      </c>
      <c r="AZ186" s="23">
        <f>+'QTR Raw'!T89</f>
        <v>614.54999999999995</v>
      </c>
      <c r="BA186" s="23">
        <f>+BA216*BA38/90</f>
        <v>795.62846573208708</v>
      </c>
      <c r="BB186" s="23">
        <f>+'QTR Raw'!V89</f>
        <v>824</v>
      </c>
      <c r="BC186" s="23">
        <f>+BC216*BC38/90</f>
        <v>602.81758593125494</v>
      </c>
      <c r="BD186" s="23">
        <f>+'QTR Raw'!X89</f>
        <v>1293</v>
      </c>
      <c r="BE186" s="23">
        <f>+BE216*BE38/90</f>
        <v>1442.295347523074</v>
      </c>
      <c r="BF186" s="23">
        <f>+'QTR Raw'!Z89</f>
        <v>947</v>
      </c>
      <c r="BG186" s="23">
        <f>+BG216*BG38/90</f>
        <v>801.11040305878589</v>
      </c>
      <c r="BH186" s="23">
        <f>+'QTR Raw'!AB89</f>
        <v>1013</v>
      </c>
      <c r="BI186" s="23">
        <f>+BI216*BI38/90</f>
        <v>1174.8000837345614</v>
      </c>
      <c r="BJ186" s="23">
        <f>+'QTR Raw'!AD89</f>
        <v>1174</v>
      </c>
      <c r="BK186" s="23">
        <f>+BK216*BK38/90</f>
        <v>1066.2425787652523</v>
      </c>
      <c r="BL186" s="23">
        <f>+'QTR Raw'!AF89</f>
        <v>1300</v>
      </c>
      <c r="BM186" s="23">
        <f>+BM216*BM38/90</f>
        <v>1346.3976945244958</v>
      </c>
      <c r="BN186" s="23">
        <f>+'QTR Raw'!AH89</f>
        <v>1488</v>
      </c>
      <c r="BO186" s="23">
        <f>+BO216*BO38/90</f>
        <v>1351.7722614438626</v>
      </c>
      <c r="BP186" s="23">
        <f>+'QTR Raw'!AJ89</f>
        <v>1482</v>
      </c>
      <c r="BQ186" s="23">
        <f>+BQ216*BQ38/90</f>
        <v>1579.6653710247351</v>
      </c>
      <c r="BR186" s="23">
        <f>+'QTR Raw'!AL89</f>
        <v>1545</v>
      </c>
      <c r="BS186" s="23">
        <f>+BS216*BS38/90</f>
        <v>1452.4823664891321</v>
      </c>
      <c r="BT186" s="23">
        <f>+'QTR Raw'!AN89</f>
        <v>1302</v>
      </c>
      <c r="BU186" s="23">
        <f>+BU216*BU38/90</f>
        <v>1699.2780137210063</v>
      </c>
      <c r="BV186" s="23">
        <f>+'QTR Raw'!AP89</f>
        <v>2038</v>
      </c>
      <c r="BW186" s="23">
        <f>+BW216*BW38/90</f>
        <v>2174.6852336023649</v>
      </c>
      <c r="BX186" s="23">
        <f>+'QTR Raw'!AR89</f>
        <v>1562</v>
      </c>
      <c r="BY186" s="23">
        <f>+BY216*BY38/90</f>
        <v>1473.9313819577733</v>
      </c>
      <c r="BZ186" s="23">
        <f>+'QTR Raw'!AT89</f>
        <v>2088</v>
      </c>
      <c r="CA186" s="23">
        <f>+CA216*CA38/90</f>
        <v>1786.9098601480785</v>
      </c>
      <c r="CB186" s="23">
        <f>+'QTR Raw'!AV89</f>
        <v>1819</v>
      </c>
      <c r="CC186" s="23">
        <f>+CC216*CC38/90</f>
        <v>1958.0164924164335</v>
      </c>
      <c r="CD186" s="23">
        <f>+'QTR Raw'!AX89</f>
        <v>2106</v>
      </c>
      <c r="CE186" s="23">
        <f>+CE216*CE38/90</f>
        <v>2268.0858391839984</v>
      </c>
      <c r="CF186" s="23">
        <f>+'QTR Raw'!AZ89</f>
        <v>2390</v>
      </c>
      <c r="CG186" s="23">
        <f>+CG216*CG38/90</f>
        <v>2494.8448860882208</v>
      </c>
      <c r="CH186" s="23">
        <f t="shared" si="1352"/>
        <v>2204</v>
      </c>
      <c r="CI186" s="23">
        <f>+CI216*CI38/90</f>
        <v>1884.8117090348849</v>
      </c>
      <c r="CJ186" s="23">
        <f>+'QTR Raw'!BD89</f>
        <v>2244</v>
      </c>
      <c r="CK186" s="23">
        <f t="shared" ref="CK186:DB186" si="1401">+CK216*CK38/90</f>
        <v>2882.1055094163057</v>
      </c>
      <c r="CL186" s="23">
        <f>+'QTR Raw'!BF89</f>
        <v>3073</v>
      </c>
      <c r="CM186" s="24">
        <f t="shared" si="1401"/>
        <v>2581.0164455497725</v>
      </c>
      <c r="CN186" s="24">
        <f t="shared" si="1401"/>
        <v>2675.048722838168</v>
      </c>
      <c r="CO186" s="24">
        <f t="shared" si="1401"/>
        <v>2836.2826687818442</v>
      </c>
      <c r="CP186" s="24">
        <f t="shared" si="1401"/>
        <v>2893.290223882635</v>
      </c>
      <c r="CQ186" s="24">
        <f t="shared" si="1401"/>
        <v>2509.2240744941232</v>
      </c>
      <c r="CR186" s="24">
        <f t="shared" si="1401"/>
        <v>2625.3670155011409</v>
      </c>
      <c r="CS186" s="24">
        <f t="shared" si="1401"/>
        <v>2810.131716509105</v>
      </c>
      <c r="CT186" s="24">
        <f t="shared" si="1401"/>
        <v>2895.0484667286751</v>
      </c>
      <c r="CU186" s="24">
        <f t="shared" si="1401"/>
        <v>2508.8436321874992</v>
      </c>
      <c r="CV186" s="24">
        <f t="shared" si="1401"/>
        <v>2610.0707171892773</v>
      </c>
      <c r="CW186" s="24">
        <f t="shared" si="1401"/>
        <v>2778.8017768708619</v>
      </c>
      <c r="CX186" s="24">
        <f t="shared" si="1401"/>
        <v>2848.638366277522</v>
      </c>
      <c r="CY186" s="24">
        <f t="shared" si="1401"/>
        <v>2472.9853628009</v>
      </c>
      <c r="CZ186" s="24">
        <f t="shared" si="1401"/>
        <v>2571.3605342833152</v>
      </c>
      <c r="DA186" s="24">
        <f t="shared" si="1401"/>
        <v>2735.9453526121583</v>
      </c>
      <c r="DB186" s="24">
        <f t="shared" si="1401"/>
        <v>2803.6205688399032</v>
      </c>
      <c r="DE186" s="123"/>
      <c r="DF186" s="23">
        <v>2677.7169808726208</v>
      </c>
    </row>
    <row r="187" spans="1:110" s="23" customFormat="1" outlineLevel="1" x14ac:dyDescent="0.2">
      <c r="A187" s="23" t="s">
        <v>71</v>
      </c>
      <c r="B187" s="23">
        <f>'Annual Raw'!C55-Template!B159</f>
        <v>138.58160000000001</v>
      </c>
      <c r="C187" s="23">
        <f>'Annual Raw'!D55-Template!C159</f>
        <v>154.934</v>
      </c>
      <c r="D187" s="23">
        <f>'Annual Raw'!E55-Template!D159</f>
        <v>133.60499999999999</v>
      </c>
      <c r="E187" s="23">
        <f>'Annual Raw'!F55-Template!E159</f>
        <v>186.78299999999999</v>
      </c>
      <c r="F187" s="23">
        <f>'Annual Raw'!G55-Template!F159</f>
        <v>280.89999999999998</v>
      </c>
      <c r="G187" s="23">
        <f>'Annual Raw'!H55-Template!G159</f>
        <v>232.09</v>
      </c>
      <c r="H187" s="23">
        <f>'Annual Raw'!I55-Template!H159</f>
        <v>435.28</v>
      </c>
      <c r="I187" s="23">
        <f>'Annual Raw'!J55-Template!I159</f>
        <v>420.19</v>
      </c>
      <c r="J187" s="23">
        <f>'Annual Raw'!K55-Template!J159</f>
        <v>430.6</v>
      </c>
      <c r="K187" s="23">
        <f>'Annual Raw'!L55-Template!K159</f>
        <v>508.6</v>
      </c>
      <c r="L187" s="23">
        <f>'Annual Raw'!M55-Template!L159</f>
        <v>615.57000000000005</v>
      </c>
      <c r="M187" s="23">
        <f>'Annual Raw'!N55-Template!M159</f>
        <v>563.15</v>
      </c>
      <c r="N187" s="23">
        <f>'Annual Raw'!O55-Template!N159</f>
        <v>653.24</v>
      </c>
      <c r="O187" s="23">
        <f>'Annual Raw'!P55-Template!O159</f>
        <v>1018.48</v>
      </c>
      <c r="P187" s="23">
        <f>'Annual Raw'!Q55-Template!P159</f>
        <v>1045.9100000000001</v>
      </c>
      <c r="Q187" s="23">
        <f>'Annual Raw'!R55-Template!Q159</f>
        <v>14052</v>
      </c>
      <c r="R187" s="23">
        <f>'Annual Raw'!S55-Template!R159</f>
        <v>11311</v>
      </c>
      <c r="S187" s="23">
        <f>'Annual Raw'!T55-Template!S159</f>
        <v>4807</v>
      </c>
      <c r="T187" s="23">
        <f>'Annual Raw'!U55-Template!T159</f>
        <v>3798</v>
      </c>
      <c r="U187" s="23">
        <f>'Annual Raw'!V55-Template!U159</f>
        <v>3181</v>
      </c>
      <c r="V187" s="23">
        <f>'Annual Raw'!W55-Template!V159</f>
        <v>3214</v>
      </c>
      <c r="W187" s="23">
        <f>'Annual Raw'!X55-Template!W159</f>
        <v>2776</v>
      </c>
      <c r="X187" s="23">
        <f>'Annual Raw'!Y55-Template!X159</f>
        <v>4127</v>
      </c>
      <c r="Y187" s="23">
        <f>'Annual Raw'!Z55-Template!Y159</f>
        <v>3628</v>
      </c>
      <c r="Z187" s="23">
        <f>'Annual Raw'!AA55-Template!Z159</f>
        <v>3434</v>
      </c>
      <c r="AA187" s="23">
        <f>'Annual Raw'!AB55-Template!AA159</f>
        <v>4040</v>
      </c>
      <c r="AB187" s="24">
        <f t="shared" si="1394"/>
        <v>0</v>
      </c>
      <c r="AC187" s="24">
        <f t="shared" si="1395"/>
        <v>0</v>
      </c>
      <c r="AD187" s="24">
        <f t="shared" si="1396"/>
        <v>0</v>
      </c>
      <c r="AE187" s="24">
        <f t="shared" si="1397"/>
        <v>0</v>
      </c>
      <c r="AJ187" s="23">
        <f>+'QTR Raw'!D91</f>
        <v>0</v>
      </c>
      <c r="AK187" s="23">
        <f t="shared" si="1398"/>
        <v>0</v>
      </c>
      <c r="AL187" s="23">
        <f>+'QTR Raw'!F91</f>
        <v>653.24</v>
      </c>
      <c r="AM187" s="23">
        <f t="shared" si="1398"/>
        <v>653.24</v>
      </c>
      <c r="AN187" s="23">
        <f>+'QTR Raw'!H91</f>
        <v>697.26</v>
      </c>
      <c r="AO187" s="23">
        <f t="shared" si="1398"/>
        <v>697.26</v>
      </c>
      <c r="AP187" s="23">
        <f>+'QTR Raw'!J91</f>
        <v>1018.48</v>
      </c>
      <c r="AQ187" s="23">
        <f t="shared" si="1398"/>
        <v>1018.48</v>
      </c>
      <c r="AR187" s="23">
        <f>+'QTR Raw'!L91</f>
        <v>1050.99</v>
      </c>
      <c r="AS187" s="23">
        <f t="shared" si="1398"/>
        <v>1050.99</v>
      </c>
      <c r="AT187" s="23">
        <f>+'QTR Raw'!N91</f>
        <v>1045.9100000000001</v>
      </c>
      <c r="AU187" s="23">
        <f t="shared" si="1398"/>
        <v>1045.9100000000001</v>
      </c>
      <c r="AV187" s="23">
        <f>+'QTR Raw'!P91</f>
        <v>4106.41</v>
      </c>
      <c r="AW187" s="23">
        <f t="shared" si="1398"/>
        <v>4106.41</v>
      </c>
      <c r="AX187" s="23">
        <f>+'QTR Raw'!R91</f>
        <v>14165.32</v>
      </c>
      <c r="AY187" s="23">
        <f t="shared" si="1398"/>
        <v>14165.32</v>
      </c>
      <c r="AZ187" s="23">
        <f>+'QTR Raw'!T91</f>
        <v>2493.77</v>
      </c>
      <c r="BA187" s="23">
        <f t="shared" si="1398"/>
        <v>2493.77</v>
      </c>
      <c r="BB187" s="23">
        <f>+'QTR Raw'!V91</f>
        <v>11481</v>
      </c>
      <c r="BC187" s="23">
        <f t="shared" si="1398"/>
        <v>11481</v>
      </c>
      <c r="BD187" s="23">
        <f>+'QTR Raw'!X91</f>
        <v>2460</v>
      </c>
      <c r="BE187" s="23">
        <f t="shared" si="1398"/>
        <v>2460</v>
      </c>
      <c r="BF187" s="23">
        <f>+'QTR Raw'!Z91</f>
        <v>4972</v>
      </c>
      <c r="BG187" s="23">
        <f t="shared" si="1398"/>
        <v>4972</v>
      </c>
      <c r="BH187" s="23">
        <f>+'QTR Raw'!AB91</f>
        <v>3358</v>
      </c>
      <c r="BI187" s="23">
        <f t="shared" si="1398"/>
        <v>3358</v>
      </c>
      <c r="BJ187" s="23">
        <f>+'QTR Raw'!AD91</f>
        <v>3958</v>
      </c>
      <c r="BK187" s="23">
        <f t="shared" si="1398"/>
        <v>3958</v>
      </c>
      <c r="BL187" s="23">
        <f>+'QTR Raw'!AF91</f>
        <v>3061</v>
      </c>
      <c r="BM187" s="23">
        <f t="shared" si="1398"/>
        <v>3061</v>
      </c>
      <c r="BN187" s="23">
        <f>+'QTR Raw'!AH91</f>
        <v>3244</v>
      </c>
      <c r="BO187" s="23">
        <f t="shared" si="1398"/>
        <v>3244</v>
      </c>
      <c r="BP187" s="23">
        <f>+'QTR Raw'!AJ91</f>
        <v>3212</v>
      </c>
      <c r="BQ187" s="23">
        <f t="shared" si="1398"/>
        <v>3212</v>
      </c>
      <c r="BR187" s="23">
        <f>+'QTR Raw'!AL91</f>
        <v>3396</v>
      </c>
      <c r="BS187" s="23">
        <f t="shared" si="1398"/>
        <v>3396</v>
      </c>
      <c r="BT187" s="23">
        <f>+'QTR Raw'!AN91</f>
        <v>2988</v>
      </c>
      <c r="BU187" s="23">
        <f t="shared" si="1398"/>
        <v>2988</v>
      </c>
      <c r="BV187" s="23">
        <f>+'QTR Raw'!AP91</f>
        <v>3312</v>
      </c>
      <c r="BW187" s="23">
        <f t="shared" si="1398"/>
        <v>3312</v>
      </c>
      <c r="BX187" s="23">
        <f>+'QTR Raw'!AR91</f>
        <v>4602</v>
      </c>
      <c r="BY187" s="23">
        <f t="shared" si="1398"/>
        <v>4602</v>
      </c>
      <c r="BZ187" s="23">
        <f>+'QTR Raw'!AT91</f>
        <v>4998</v>
      </c>
      <c r="CA187" s="23">
        <f t="shared" si="1398"/>
        <v>4998</v>
      </c>
      <c r="CB187" s="23">
        <f>+'QTR Raw'!AV91</f>
        <v>4863</v>
      </c>
      <c r="CC187" s="23">
        <f t="shared" si="1398"/>
        <v>4863</v>
      </c>
      <c r="CD187" s="23">
        <f>+'QTR Raw'!AX91</f>
        <v>4504</v>
      </c>
      <c r="CE187" s="23">
        <f t="shared" si="1398"/>
        <v>4504</v>
      </c>
      <c r="CF187" s="23">
        <f>+'QTR Raw'!AZ91</f>
        <v>5274</v>
      </c>
      <c r="CG187" s="23">
        <f t="shared" ref="CG187:CG188" si="1402">+CF187</f>
        <v>5274</v>
      </c>
      <c r="CH187" s="23">
        <f t="shared" si="1352"/>
        <v>3434</v>
      </c>
      <c r="CJ187" s="23">
        <f>+'QTR Raw'!BD91</f>
        <v>4967</v>
      </c>
      <c r="CL187" s="23">
        <f>+'QTR Raw'!BF91</f>
        <v>4531</v>
      </c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  <c r="DF187" s="23">
        <v>4531</v>
      </c>
    </row>
    <row r="188" spans="1:110" s="23" customFormat="1" outlineLevel="1" x14ac:dyDescent="0.2">
      <c r="A188" s="23" t="s">
        <v>72</v>
      </c>
      <c r="B188" s="23">
        <f>'Annual Raw'!C57</f>
        <v>58.203800000000001</v>
      </c>
      <c r="C188" s="23">
        <f>'Annual Raw'!D57</f>
        <v>21.126999999999999</v>
      </c>
      <c r="D188" s="23">
        <f>'Annual Raw'!E57</f>
        <v>54.283000000000001</v>
      </c>
      <c r="E188" s="23">
        <f>'Annual Raw'!F57</f>
        <v>100.413</v>
      </c>
      <c r="F188" s="23">
        <f>'Annual Raw'!G57</f>
        <v>84.31</v>
      </c>
      <c r="G188" s="23">
        <f>'Annual Raw'!H57</f>
        <v>187.37</v>
      </c>
      <c r="H188" s="23">
        <f>'Annual Raw'!I57</f>
        <v>184.95</v>
      </c>
      <c r="I188" s="23">
        <f>'Annual Raw'!J57</f>
        <v>123.58</v>
      </c>
      <c r="J188" s="23">
        <f>'Annual Raw'!K57</f>
        <v>198.13</v>
      </c>
      <c r="K188" s="23">
        <f>'Annual Raw'!L57</f>
        <v>339.54</v>
      </c>
      <c r="L188" s="23">
        <f>'Annual Raw'!M57</f>
        <v>567.08000000000004</v>
      </c>
      <c r="M188" s="23">
        <f>'Annual Raw'!N57</f>
        <v>503.94</v>
      </c>
      <c r="N188" s="23">
        <f>'Annual Raw'!O57</f>
        <v>824.87</v>
      </c>
      <c r="O188" s="23">
        <f>'Annual Raw'!P57</f>
        <v>1015.78</v>
      </c>
      <c r="P188" s="23">
        <f>'Annual Raw'!Q57</f>
        <v>1311.53</v>
      </c>
      <c r="Q188" s="23">
        <f>'Annual Raw'!R57</f>
        <v>144</v>
      </c>
      <c r="R188" s="23">
        <f>'Annual Raw'!S57</f>
        <v>187</v>
      </c>
      <c r="S188" s="23">
        <f>'Annual Raw'!T57</f>
        <v>251</v>
      </c>
      <c r="T188" s="23">
        <f>'Annual Raw'!U57</f>
        <v>234</v>
      </c>
      <c r="U188" s="23">
        <f>'Annual Raw'!V57</f>
        <v>133</v>
      </c>
      <c r="V188" s="23">
        <f>'Annual Raw'!W57</f>
        <v>252</v>
      </c>
      <c r="W188" s="23">
        <f>'Annual Raw'!X57</f>
        <v>288</v>
      </c>
      <c r="X188" s="23">
        <f>'Annual Raw'!Y57</f>
        <v>590</v>
      </c>
      <c r="Y188" s="23">
        <f>'Annual Raw'!Z57</f>
        <v>498</v>
      </c>
      <c r="Z188" s="23">
        <f>'Annual Raw'!AA57</f>
        <v>331</v>
      </c>
      <c r="AA188" s="23">
        <f>'Annual Raw'!AB57</f>
        <v>418</v>
      </c>
      <c r="AB188" s="24">
        <f t="shared" si="1394"/>
        <v>0</v>
      </c>
      <c r="AC188" s="24">
        <f t="shared" si="1395"/>
        <v>0</v>
      </c>
      <c r="AD188" s="24">
        <f t="shared" si="1396"/>
        <v>0</v>
      </c>
      <c r="AE188" s="24">
        <f t="shared" si="1397"/>
        <v>0</v>
      </c>
      <c r="AJ188" s="23">
        <f>+'QTR Raw'!D92</f>
        <v>818.08</v>
      </c>
      <c r="AK188" s="23">
        <f t="shared" si="1398"/>
        <v>818.08</v>
      </c>
      <c r="AL188" s="23">
        <f>+'QTR Raw'!F92</f>
        <v>824.87</v>
      </c>
      <c r="AM188" s="23">
        <f t="shared" si="1398"/>
        <v>824.87</v>
      </c>
      <c r="AN188" s="23">
        <f>+'QTR Raw'!H92</f>
        <v>850.35</v>
      </c>
      <c r="AO188" s="23">
        <f t="shared" si="1398"/>
        <v>850.35</v>
      </c>
      <c r="AP188" s="23">
        <f>+'QTR Raw'!J92</f>
        <v>1015.78</v>
      </c>
      <c r="AQ188" s="23">
        <f t="shared" si="1398"/>
        <v>1015.78</v>
      </c>
      <c r="AR188" s="23">
        <f>+'QTR Raw'!L92</f>
        <v>280.13</v>
      </c>
      <c r="AS188" s="23">
        <f t="shared" si="1398"/>
        <v>280.13</v>
      </c>
      <c r="AT188" s="23">
        <f>+'QTR Raw'!N92</f>
        <v>1311.53</v>
      </c>
      <c r="AU188" s="23">
        <f t="shared" si="1398"/>
        <v>1311.53</v>
      </c>
      <c r="AV188" s="23">
        <f>+'QTR Raw'!P92</f>
        <v>419.06</v>
      </c>
      <c r="AW188" s="23">
        <f t="shared" si="1398"/>
        <v>419.06</v>
      </c>
      <c r="AX188" s="23">
        <f>+'QTR Raw'!R92</f>
        <v>30.81</v>
      </c>
      <c r="AY188" s="23">
        <f t="shared" si="1398"/>
        <v>30.81</v>
      </c>
      <c r="AZ188" s="23">
        <f>+'QTR Raw'!T92</f>
        <v>0</v>
      </c>
      <c r="BA188" s="23">
        <f t="shared" si="1398"/>
        <v>0</v>
      </c>
      <c r="BB188" s="23">
        <f>+'QTR Raw'!V92</f>
        <v>17</v>
      </c>
      <c r="BC188" s="23">
        <f t="shared" si="1398"/>
        <v>17</v>
      </c>
      <c r="BD188" s="23">
        <f>+'QTR Raw'!X92</f>
        <v>40</v>
      </c>
      <c r="BE188" s="23">
        <f t="shared" si="1398"/>
        <v>40</v>
      </c>
      <c r="BF188" s="23">
        <f>+'QTR Raw'!Z92</f>
        <v>86</v>
      </c>
      <c r="BG188" s="23">
        <f t="shared" si="1398"/>
        <v>86</v>
      </c>
      <c r="BH188" s="23">
        <f>+'QTR Raw'!AB92</f>
        <v>131</v>
      </c>
      <c r="BI188" s="23">
        <f t="shared" si="1398"/>
        <v>131</v>
      </c>
      <c r="BJ188" s="23">
        <f>+'QTR Raw'!AD92</f>
        <v>74</v>
      </c>
      <c r="BK188" s="23">
        <f t="shared" si="1398"/>
        <v>74</v>
      </c>
      <c r="BL188" s="23">
        <f>+'QTR Raw'!AF92</f>
        <v>110</v>
      </c>
      <c r="BM188" s="23">
        <f t="shared" si="1398"/>
        <v>110</v>
      </c>
      <c r="BN188" s="23">
        <f>+'QTR Raw'!AH92</f>
        <v>70</v>
      </c>
      <c r="BO188" s="23">
        <f t="shared" si="1398"/>
        <v>70</v>
      </c>
      <c r="BP188" s="23">
        <f>+'QTR Raw'!AJ92</f>
        <v>69</v>
      </c>
      <c r="BQ188" s="23">
        <f t="shared" si="1398"/>
        <v>69</v>
      </c>
      <c r="BR188" s="23">
        <f>+'QTR Raw'!AL92</f>
        <v>70</v>
      </c>
      <c r="BS188" s="23">
        <f t="shared" si="1398"/>
        <v>70</v>
      </c>
      <c r="BT188" s="23">
        <f>+'QTR Raw'!AN92</f>
        <v>75</v>
      </c>
      <c r="BU188" s="23">
        <f t="shared" si="1398"/>
        <v>75</v>
      </c>
      <c r="BV188" s="23">
        <f>+'QTR Raw'!AP92</f>
        <v>32</v>
      </c>
      <c r="BW188" s="23">
        <f t="shared" si="1398"/>
        <v>32</v>
      </c>
      <c r="BX188" s="23">
        <f>+'QTR Raw'!AR92</f>
        <v>42</v>
      </c>
      <c r="BY188" s="23">
        <f t="shared" si="1398"/>
        <v>42</v>
      </c>
      <c r="BZ188" s="23">
        <f>+'QTR Raw'!AT92</f>
        <v>26</v>
      </c>
      <c r="CA188" s="23">
        <f t="shared" si="1398"/>
        <v>26</v>
      </c>
      <c r="CB188" s="23">
        <f>+'QTR Raw'!AV92</f>
        <v>59</v>
      </c>
      <c r="CC188" s="23">
        <f t="shared" si="1398"/>
        <v>59</v>
      </c>
      <c r="CD188" s="23">
        <f>+'QTR Raw'!AX92</f>
        <v>21</v>
      </c>
      <c r="CE188" s="23">
        <f t="shared" si="1398"/>
        <v>21</v>
      </c>
      <c r="CF188" s="23">
        <f>+'QTR Raw'!AZ92</f>
        <v>16</v>
      </c>
      <c r="CG188" s="23">
        <f t="shared" si="1402"/>
        <v>16</v>
      </c>
      <c r="CH188" s="23">
        <f t="shared" si="1352"/>
        <v>331</v>
      </c>
      <c r="CJ188" s="23">
        <f>+'QTR Raw'!BD92</f>
        <v>17</v>
      </c>
      <c r="CL188" s="23">
        <f>+'QTR Raw'!BF92</f>
        <v>32</v>
      </c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E188" s="123"/>
      <c r="DF188" s="23">
        <v>32</v>
      </c>
    </row>
    <row r="189" spans="1:110" s="22" customFormat="1" x14ac:dyDescent="0.2">
      <c r="A189" s="22" t="s">
        <v>73</v>
      </c>
      <c r="B189" s="22">
        <f>SUM(B182:B188)</f>
        <v>346.21870000000001</v>
      </c>
      <c r="C189" s="22">
        <f t="shared" ref="C189:V189" si="1403">SUM(C182:C188)</f>
        <v>294.54400000000004</v>
      </c>
      <c r="D189" s="22">
        <f t="shared" si="1403"/>
        <v>299.35199999999998</v>
      </c>
      <c r="E189" s="22">
        <f t="shared" si="1403"/>
        <v>425.85399999999998</v>
      </c>
      <c r="F189" s="22">
        <f t="shared" si="1403"/>
        <v>511.72999999999996</v>
      </c>
      <c r="G189" s="22">
        <f t="shared" si="1403"/>
        <v>603.18000000000006</v>
      </c>
      <c r="H189" s="22">
        <f t="shared" si="1403"/>
        <v>826.76</v>
      </c>
      <c r="I189" s="22">
        <f t="shared" si="1403"/>
        <v>898.44</v>
      </c>
      <c r="J189" s="22">
        <f t="shared" si="1403"/>
        <v>1000.95</v>
      </c>
      <c r="K189" s="22">
        <f t="shared" si="1403"/>
        <v>1325.8</v>
      </c>
      <c r="L189" s="22">
        <f t="shared" si="1403"/>
        <v>1574.6800000000003</v>
      </c>
      <c r="M189" s="22">
        <f t="shared" si="1403"/>
        <v>1494.53</v>
      </c>
      <c r="N189" s="22">
        <f t="shared" si="1403"/>
        <v>1909.81</v>
      </c>
      <c r="O189" s="22">
        <f t="shared" si="1403"/>
        <v>2600.9499999999998</v>
      </c>
      <c r="P189" s="22">
        <f t="shared" si="1403"/>
        <v>3120.3100000000004</v>
      </c>
      <c r="Q189" s="22">
        <f t="shared" si="1403"/>
        <v>15810</v>
      </c>
      <c r="R189" s="22">
        <f t="shared" si="1403"/>
        <v>13082</v>
      </c>
      <c r="S189" s="22">
        <f t="shared" si="1403"/>
        <v>7000</v>
      </c>
      <c r="T189" s="22">
        <f t="shared" si="1403"/>
        <v>6315</v>
      </c>
      <c r="U189" s="22">
        <f t="shared" si="1403"/>
        <v>6054</v>
      </c>
      <c r="V189" s="22">
        <f t="shared" si="1403"/>
        <v>6237</v>
      </c>
      <c r="W189" s="22">
        <f t="shared" ref="W189" si="1404">SUM(W182:W188)</f>
        <v>6344</v>
      </c>
      <c r="X189" s="22">
        <f t="shared" ref="X189:Y189" si="1405">SUM(X182:X188)</f>
        <v>8073</v>
      </c>
      <c r="Y189" s="22">
        <f t="shared" si="1405"/>
        <v>7534</v>
      </c>
      <c r="Z189" s="22">
        <f t="shared" ref="Z189:AA189" si="1406">SUM(Z182:Z188)</f>
        <v>7652</v>
      </c>
      <c r="AA189" s="22">
        <f t="shared" si="1406"/>
        <v>9119</v>
      </c>
      <c r="AB189" s="21">
        <f t="shared" ref="AA189:AD189" si="1407">SUM(AB182:AB188)</f>
        <v>8684.5782704501871</v>
      </c>
      <c r="AC189" s="21">
        <f t="shared" si="1407"/>
        <v>8689.855859780444</v>
      </c>
      <c r="AD189" s="21">
        <f t="shared" si="1407"/>
        <v>8550.5500457350681</v>
      </c>
      <c r="AE189" s="21">
        <f t="shared" ref="AE189" si="1408">SUM(AE182:AE188)</f>
        <v>8415.4234061110546</v>
      </c>
      <c r="AJ189" s="22">
        <f t="shared" ref="AJ189" si="1409">SUM(AJ182:AJ188)</f>
        <v>1982.7600000000002</v>
      </c>
      <c r="AK189" s="22">
        <f t="shared" ref="AK189" si="1410">SUM(AK182:AK188)</f>
        <v>1982.7600000000002</v>
      </c>
      <c r="AL189" s="22">
        <f t="shared" ref="AL189:AM189" si="1411">SUM(AL182:AL188)</f>
        <v>1909.81</v>
      </c>
      <c r="AM189" s="22">
        <f t="shared" si="1411"/>
        <v>1814.3796134726824</v>
      </c>
      <c r="AN189" s="22">
        <f t="shared" ref="AN189:AO189" si="1412">SUM(AN182:AN188)</f>
        <v>2152.2600000000002</v>
      </c>
      <c r="AO189" s="22">
        <f t="shared" si="1412"/>
        <v>2134.9909077780244</v>
      </c>
      <c r="AP189" s="22">
        <f t="shared" ref="AP189:CE189" si="1413">SUM(AP182:AP188)</f>
        <v>2600.9499999999998</v>
      </c>
      <c r="AQ189" s="22">
        <f t="shared" si="1413"/>
        <v>2511.9212473233993</v>
      </c>
      <c r="AR189" s="22">
        <f t="shared" si="1413"/>
        <v>2026.7800000000002</v>
      </c>
      <c r="AS189" s="22">
        <f t="shared" si="1413"/>
        <v>2034.6147078408785</v>
      </c>
      <c r="AT189" s="22">
        <f t="shared" si="1413"/>
        <v>3120.3100000000004</v>
      </c>
      <c r="AU189" s="22">
        <f t="shared" si="1413"/>
        <v>3044.549700388784</v>
      </c>
      <c r="AV189" s="22">
        <f t="shared" si="1413"/>
        <v>5305.41</v>
      </c>
      <c r="AW189" s="22">
        <f t="shared" si="1413"/>
        <v>5170.0668595280276</v>
      </c>
      <c r="AX189" s="22">
        <f t="shared" si="1413"/>
        <v>15809.609999999999</v>
      </c>
      <c r="AY189" s="22">
        <f t="shared" si="1413"/>
        <v>15634.572298941101</v>
      </c>
      <c r="AZ189" s="22">
        <f t="shared" si="1413"/>
        <v>3729.39</v>
      </c>
      <c r="BA189" s="22">
        <f t="shared" si="1413"/>
        <v>3910.4684657320872</v>
      </c>
      <c r="BB189" s="22">
        <f t="shared" si="1413"/>
        <v>13082</v>
      </c>
      <c r="BC189" s="22">
        <f t="shared" si="1413"/>
        <v>12860.817585931254</v>
      </c>
      <c r="BD189" s="22">
        <f t="shared" si="1413"/>
        <v>4593</v>
      </c>
      <c r="BE189" s="22">
        <f t="shared" si="1413"/>
        <v>4742.2953475230743</v>
      </c>
      <c r="BF189" s="22">
        <f t="shared" si="1413"/>
        <v>7000</v>
      </c>
      <c r="BG189" s="22">
        <f t="shared" si="1413"/>
        <v>6854.1104030587858</v>
      </c>
      <c r="BH189" s="22">
        <f t="shared" ref="BH189" si="1414">SUM(BH182:BH188)</f>
        <v>5613</v>
      </c>
      <c r="BI189" s="22">
        <f t="shared" si="1413"/>
        <v>5774.8000837345617</v>
      </c>
      <c r="BJ189" s="22">
        <f t="shared" si="1413"/>
        <v>6315</v>
      </c>
      <c r="BK189" s="22">
        <f t="shared" si="1413"/>
        <v>6207.2425787652519</v>
      </c>
      <c r="BL189" s="22">
        <f t="shared" si="1413"/>
        <v>5653</v>
      </c>
      <c r="BM189" s="22">
        <f t="shared" si="1413"/>
        <v>5699.3976945244958</v>
      </c>
      <c r="BN189" s="22">
        <f t="shared" si="1413"/>
        <v>6054</v>
      </c>
      <c r="BO189" s="22">
        <f t="shared" si="1413"/>
        <v>5917.7722614438626</v>
      </c>
      <c r="BP189" s="22">
        <f t="shared" si="1413"/>
        <v>6014</v>
      </c>
      <c r="BQ189" s="22">
        <f t="shared" si="1413"/>
        <v>6111.6653710247356</v>
      </c>
      <c r="BR189" s="22">
        <f t="shared" si="1413"/>
        <v>6237</v>
      </c>
      <c r="BS189" s="22">
        <f t="shared" si="1413"/>
        <v>6144.4823664891319</v>
      </c>
      <c r="BT189" s="22">
        <f t="shared" si="1413"/>
        <v>5541</v>
      </c>
      <c r="BU189" s="22">
        <f t="shared" si="1413"/>
        <v>5938.2780137210066</v>
      </c>
      <c r="BV189" s="22">
        <f t="shared" si="1413"/>
        <v>6624</v>
      </c>
      <c r="BW189" s="22">
        <f t="shared" si="1413"/>
        <v>6760.6852336023649</v>
      </c>
      <c r="BX189" s="22">
        <f t="shared" si="1413"/>
        <v>7449</v>
      </c>
      <c r="BY189" s="22">
        <f t="shared" si="1413"/>
        <v>7360.9313819577728</v>
      </c>
      <c r="BZ189" s="22">
        <f t="shared" si="1413"/>
        <v>8380</v>
      </c>
      <c r="CA189" s="22">
        <f t="shared" si="1413"/>
        <v>8078.9098601480782</v>
      </c>
      <c r="CB189" s="22">
        <f t="shared" si="1413"/>
        <v>8099</v>
      </c>
      <c r="CC189" s="22">
        <f t="shared" si="1413"/>
        <v>8238.0164924164346</v>
      </c>
      <c r="CD189" s="22">
        <f t="shared" si="1413"/>
        <v>7933</v>
      </c>
      <c r="CE189" s="22">
        <f t="shared" si="1413"/>
        <v>8095.0858391839984</v>
      </c>
      <c r="CF189" s="22">
        <f t="shared" ref="CF189:CG189" si="1415">SUM(CF182:CF188)</f>
        <v>9036</v>
      </c>
      <c r="CG189" s="22">
        <f t="shared" si="1415"/>
        <v>9140.8448860882199</v>
      </c>
      <c r="CH189" s="22">
        <f t="shared" ref="CH189:CI189" si="1416">SUM(CH182:CH188)</f>
        <v>7652</v>
      </c>
      <c r="CI189" s="22">
        <f t="shared" si="1416"/>
        <v>6543.8199625839125</v>
      </c>
      <c r="CJ189" s="22">
        <f t="shared" ref="CJ189:DB189" si="1417">SUM(CJ182:CJ188)</f>
        <v>9008</v>
      </c>
      <c r="CK189" s="22">
        <f t="shared" si="1417"/>
        <v>11569.521581471519</v>
      </c>
      <c r="CL189" s="22">
        <f t="shared" ref="CL189" si="1418">SUM(CL182:CL188)</f>
        <v>9224</v>
      </c>
      <c r="CM189" s="21">
        <f t="shared" si="1417"/>
        <v>7747.2488427436056</v>
      </c>
      <c r="CN189" s="21">
        <f t="shared" si="1417"/>
        <v>8029.498672131228</v>
      </c>
      <c r="CO189" s="21">
        <f t="shared" si="1417"/>
        <v>8513.462849607462</v>
      </c>
      <c r="CP189" s="21">
        <f t="shared" si="1417"/>
        <v>8684.5782704501871</v>
      </c>
      <c r="CQ189" s="21">
        <f t="shared" si="1417"/>
        <v>7531.7549180389833</v>
      </c>
      <c r="CR189" s="21">
        <f t="shared" si="1417"/>
        <v>7880.3727142800271</v>
      </c>
      <c r="CS189" s="21">
        <f t="shared" si="1417"/>
        <v>8434.9674432411266</v>
      </c>
      <c r="CT189" s="21">
        <f t="shared" si="1417"/>
        <v>8689.855859780444</v>
      </c>
      <c r="CU189" s="21">
        <f t="shared" si="1417"/>
        <v>7530.6129721111265</v>
      </c>
      <c r="CV189" s="21">
        <f t="shared" si="1417"/>
        <v>7834.458931127203</v>
      </c>
      <c r="CW189" s="21">
        <f t="shared" si="1417"/>
        <v>8340.9266481799004</v>
      </c>
      <c r="CX189" s="21">
        <f t="shared" si="1417"/>
        <v>8550.5500457350681</v>
      </c>
      <c r="CY189" s="21">
        <f t="shared" si="1417"/>
        <v>7422.9798198748795</v>
      </c>
      <c r="CZ189" s="21">
        <f t="shared" si="1417"/>
        <v>7718.2653980570449</v>
      </c>
      <c r="DA189" s="21">
        <f t="shared" si="1417"/>
        <v>8212.2876448078587</v>
      </c>
      <c r="DB189" s="21">
        <f t="shared" si="1417"/>
        <v>8415.4234061110546</v>
      </c>
      <c r="DE189" s="126"/>
      <c r="DF189" s="22">
        <v>12197.096291418846</v>
      </c>
    </row>
    <row r="190" spans="1:110" s="22" customFormat="1" x14ac:dyDescent="0.2">
      <c r="A190" s="22" t="s">
        <v>74</v>
      </c>
      <c r="B190" s="22">
        <f>B181-B189</f>
        <v>349.16369999999995</v>
      </c>
      <c r="C190" s="22">
        <f t="shared" ref="C190:V190" si="1419">C181-C189</f>
        <v>341.96599999999995</v>
      </c>
      <c r="D190" s="22">
        <f t="shared" si="1419"/>
        <v>180.31200000000001</v>
      </c>
      <c r="E190" s="22">
        <f t="shared" si="1419"/>
        <v>264.49999999999994</v>
      </c>
      <c r="F190" s="22">
        <f t="shared" si="1419"/>
        <v>203.05000000000013</v>
      </c>
      <c r="G190" s="22">
        <f t="shared" si="1419"/>
        <v>632.16999999999985</v>
      </c>
      <c r="H190" s="22">
        <f t="shared" si="1419"/>
        <v>534.49</v>
      </c>
      <c r="I190" s="22">
        <f t="shared" si="1419"/>
        <v>450.40999999999985</v>
      </c>
      <c r="J190" s="22">
        <f t="shared" si="1419"/>
        <v>63.799999999999955</v>
      </c>
      <c r="K190" s="22">
        <f t="shared" si="1419"/>
        <v>-258.07999999999993</v>
      </c>
      <c r="L190" s="22">
        <f t="shared" si="1419"/>
        <v>661.75</v>
      </c>
      <c r="M190" s="22">
        <f t="shared" si="1419"/>
        <v>1082.51</v>
      </c>
      <c r="N190" s="22">
        <f t="shared" si="1419"/>
        <v>2508.0299999999993</v>
      </c>
      <c r="O190" s="22">
        <f t="shared" si="1419"/>
        <v>2849.7200000000003</v>
      </c>
      <c r="P190" s="22">
        <f t="shared" si="1419"/>
        <v>3635.7099999999991</v>
      </c>
      <c r="Q190" s="22">
        <f t="shared" si="1419"/>
        <v>-13200</v>
      </c>
      <c r="R190" s="22">
        <f t="shared" si="1419"/>
        <v>-9262</v>
      </c>
      <c r="S190" s="22">
        <f t="shared" si="1419"/>
        <v>-2984</v>
      </c>
      <c r="T190" s="22">
        <f t="shared" si="1419"/>
        <v>-2325</v>
      </c>
      <c r="U190" s="22">
        <f t="shared" si="1419"/>
        <v>-2106</v>
      </c>
      <c r="V190" s="22">
        <f t="shared" si="1419"/>
        <v>-2631</v>
      </c>
      <c r="W190" s="22">
        <f t="shared" ref="W190" si="1420">W181-W189</f>
        <v>-1960</v>
      </c>
      <c r="X190" s="22">
        <f t="shared" ref="X190:Y190" si="1421">X181-X189</f>
        <v>-3984</v>
      </c>
      <c r="Y190" s="22">
        <f t="shared" si="1421"/>
        <v>-4113</v>
      </c>
      <c r="Z190" s="22">
        <f t="shared" ref="Z190:AA190" si="1422">Z181-Z189</f>
        <v>-4525</v>
      </c>
      <c r="AA190" s="22">
        <f t="shared" si="1422"/>
        <v>-4882</v>
      </c>
      <c r="AB190" s="21">
        <f t="shared" ref="AA190:AD190" si="1423">AB181-AB189</f>
        <v>-4270.2942575421912</v>
      </c>
      <c r="AC190" s="21">
        <f t="shared" si="1423"/>
        <v>-4272.8893011596056</v>
      </c>
      <c r="AD190" s="21">
        <f t="shared" si="1423"/>
        <v>-4204.3912349052753</v>
      </c>
      <c r="AE190" s="21">
        <f t="shared" ref="AE190" si="1424">AE181-AE189</f>
        <v>-4137.9481106385774</v>
      </c>
      <c r="AJ190" s="22">
        <f t="shared" ref="AJ190" si="1425">AJ181-AJ189</f>
        <v>2071.66</v>
      </c>
      <c r="AK190" s="22">
        <f t="shared" ref="AK190" si="1426">AK181-AK189</f>
        <v>2321.9165580395475</v>
      </c>
      <c r="AL190" s="22">
        <f t="shared" ref="AL190:AM190" si="1427">AL181-AL189</f>
        <v>2508.0299999999993</v>
      </c>
      <c r="AM190" s="22">
        <f t="shared" si="1427"/>
        <v>2245.3723304465739</v>
      </c>
      <c r="AN190" s="22">
        <f t="shared" ref="AN190:AO190" si="1428">AN181-AN189</f>
        <v>2595.29</v>
      </c>
      <c r="AO190" s="22">
        <f t="shared" si="1428"/>
        <v>2563.1054521470137</v>
      </c>
      <c r="AP190" s="22">
        <f t="shared" ref="AP190:CE190" si="1429">AP181-AP189</f>
        <v>2849.7200000000003</v>
      </c>
      <c r="AQ190" s="22">
        <f t="shared" si="1429"/>
        <v>2660.0105304061844</v>
      </c>
      <c r="AR190" s="22">
        <f t="shared" si="1429"/>
        <v>3587.94</v>
      </c>
      <c r="AS190" s="22">
        <f t="shared" si="1429"/>
        <v>3604.7979246682353</v>
      </c>
      <c r="AT190" s="22">
        <f t="shared" si="1429"/>
        <v>3635.7099999999991</v>
      </c>
      <c r="AU190" s="22">
        <f t="shared" si="1429"/>
        <v>3486.8076644334997</v>
      </c>
      <c r="AV190" s="22">
        <f t="shared" si="1429"/>
        <v>1958.25</v>
      </c>
      <c r="AW190" s="22">
        <f t="shared" si="1429"/>
        <v>1745.2992025939211</v>
      </c>
      <c r="AX190" s="22">
        <f t="shared" si="1429"/>
        <v>-13200.159999999998</v>
      </c>
      <c r="AY190" s="22">
        <f t="shared" si="1429"/>
        <v>-13244.250465834102</v>
      </c>
      <c r="AZ190" s="22">
        <f t="shared" si="1429"/>
        <v>-462.59000000000015</v>
      </c>
      <c r="BA190" s="22">
        <f t="shared" si="1429"/>
        <v>-128.47511163032232</v>
      </c>
      <c r="BB190" s="22">
        <f t="shared" si="1429"/>
        <v>-9262</v>
      </c>
      <c r="BC190" s="22">
        <f t="shared" si="1429"/>
        <v>-9596.9947242206217</v>
      </c>
      <c r="BD190" s="22">
        <f t="shared" si="1429"/>
        <v>-159</v>
      </c>
      <c r="BE190" s="22">
        <f t="shared" si="1429"/>
        <v>-75.634771143341823</v>
      </c>
      <c r="BF190" s="22">
        <f t="shared" si="1429"/>
        <v>-2984</v>
      </c>
      <c r="BG190" s="22">
        <f t="shared" si="1429"/>
        <v>-3078.8975625298704</v>
      </c>
      <c r="BH190" s="22">
        <f t="shared" ref="BH190" si="1430">BH181-BH189</f>
        <v>-1717</v>
      </c>
      <c r="BI190" s="22">
        <f t="shared" si="1429"/>
        <v>-1609.6656897634502</v>
      </c>
      <c r="BJ190" s="22">
        <f t="shared" si="1429"/>
        <v>-2325</v>
      </c>
      <c r="BK190" s="22">
        <f t="shared" si="1429"/>
        <v>-2376.951192861045</v>
      </c>
      <c r="BL190" s="22">
        <f t="shared" si="1429"/>
        <v>-2250</v>
      </c>
      <c r="BM190" s="22">
        <f t="shared" si="1429"/>
        <v>-2227.4435823542453</v>
      </c>
      <c r="BN190" s="22">
        <f t="shared" si="1429"/>
        <v>-2106</v>
      </c>
      <c r="BO190" s="22">
        <f t="shared" si="1429"/>
        <v>-2172.465953085858</v>
      </c>
      <c r="BP190" s="22">
        <f t="shared" si="1429"/>
        <v>-2300</v>
      </c>
      <c r="BQ190" s="22">
        <f t="shared" si="1429"/>
        <v>-2264.9406360424036</v>
      </c>
      <c r="BR190" s="22">
        <f t="shared" si="1429"/>
        <v>-2631</v>
      </c>
      <c r="BS190" s="22">
        <f t="shared" si="1429"/>
        <v>-2648.126241543112</v>
      </c>
      <c r="BT190" s="22">
        <f t="shared" si="1429"/>
        <v>-1766</v>
      </c>
      <c r="BU190" s="22">
        <f t="shared" si="1429"/>
        <v>-1495.6556680823269</v>
      </c>
      <c r="BV190" s="22">
        <f t="shared" si="1429"/>
        <v>-2240</v>
      </c>
      <c r="BW190" s="22">
        <f t="shared" si="1429"/>
        <v>-2197.6798908718893</v>
      </c>
      <c r="BX190" s="22">
        <f t="shared" si="1429"/>
        <v>-2640</v>
      </c>
      <c r="BY190" s="22">
        <f t="shared" si="1429"/>
        <v>-2716.0592610364674</v>
      </c>
      <c r="BZ190" s="22">
        <f t="shared" si="1429"/>
        <v>-4291</v>
      </c>
      <c r="CA190" s="22">
        <f t="shared" si="1429"/>
        <v>-4313.2068398166648</v>
      </c>
      <c r="CB190" s="22">
        <f t="shared" si="1429"/>
        <v>-4412</v>
      </c>
      <c r="CC190" s="22">
        <f t="shared" si="1429"/>
        <v>-4397.8614342512155</v>
      </c>
      <c r="CD190" s="22">
        <f t="shared" si="1429"/>
        <v>-4512</v>
      </c>
      <c r="CE190" s="22">
        <f t="shared" si="1429"/>
        <v>-4513.9240959067429</v>
      </c>
      <c r="CF190" s="22">
        <f t="shared" ref="CF190:CG190" si="1431">CF181-CF189</f>
        <v>-5545</v>
      </c>
      <c r="CG190" s="22">
        <f t="shared" si="1431"/>
        <v>-5563.2930198739687</v>
      </c>
      <c r="CH190" s="22">
        <f t="shared" ref="CH190:CI190" si="1432">CH181-CH189</f>
        <v>-4525</v>
      </c>
      <c r="CI190" s="22">
        <f t="shared" si="1432"/>
        <v>-3869.6792120611876</v>
      </c>
      <c r="CJ190" s="22">
        <f t="shared" ref="CJ190:DB190" si="1433">CJ181-CJ189</f>
        <v>-4419</v>
      </c>
      <c r="CK190" s="22">
        <f t="shared" si="1433"/>
        <v>-5675.5901275002943</v>
      </c>
      <c r="CL190" s="22">
        <f t="shared" ref="CL190" si="1434">CL181-CL189</f>
        <v>-4987</v>
      </c>
      <c r="CM190" s="21">
        <f t="shared" si="1433"/>
        <v>-4188.587378443448</v>
      </c>
      <c r="CN190" s="21">
        <f t="shared" si="1433"/>
        <v>-4341.1871073198654</v>
      </c>
      <c r="CO190" s="21">
        <f t="shared" si="1433"/>
        <v>-4186.1550885179558</v>
      </c>
      <c r="CP190" s="21">
        <f t="shared" si="1433"/>
        <v>-4270.2942575421912</v>
      </c>
      <c r="CQ190" s="21">
        <f t="shared" si="1433"/>
        <v>-3703.4394502670293</v>
      </c>
      <c r="CR190" s="21">
        <f t="shared" si="1433"/>
        <v>-3874.8583179431416</v>
      </c>
      <c r="CS190" s="21">
        <f t="shared" si="1433"/>
        <v>-4147.5581097573249</v>
      </c>
      <c r="CT190" s="21">
        <f t="shared" si="1433"/>
        <v>-4272.8893011596056</v>
      </c>
      <c r="CU190" s="21">
        <f t="shared" si="1433"/>
        <v>-3702.8779439985274</v>
      </c>
      <c r="CV190" s="21">
        <f t="shared" si="1433"/>
        <v>-3852.282050168958</v>
      </c>
      <c r="CW190" s="21">
        <f t="shared" si="1433"/>
        <v>-4101.317307427169</v>
      </c>
      <c r="CX190" s="21">
        <f t="shared" si="1433"/>
        <v>-4204.3912349052753</v>
      </c>
      <c r="CY190" s="21">
        <f t="shared" si="1433"/>
        <v>-3649.9536432895902</v>
      </c>
      <c r="CZ190" s="21">
        <f t="shared" si="1433"/>
        <v>-3795.1485243279485</v>
      </c>
      <c r="DA190" s="21">
        <f t="shared" si="1433"/>
        <v>-4038.064218988241</v>
      </c>
      <c r="DB190" s="21">
        <f t="shared" si="1433"/>
        <v>-4137.9481106385774</v>
      </c>
      <c r="DE190" s="126"/>
      <c r="DF190" s="22">
        <v>-3094.3049255776768</v>
      </c>
    </row>
    <row r="191" spans="1:110" s="23" customFormat="1" x14ac:dyDescent="0.2">
      <c r="AB191" s="24"/>
      <c r="AC191" s="24"/>
      <c r="AD191" s="24"/>
      <c r="AE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3"/>
    </row>
    <row r="192" spans="1:110" s="23" customFormat="1" outlineLevel="1" x14ac:dyDescent="0.2">
      <c r="A192" s="23" t="s">
        <v>75</v>
      </c>
      <c r="B192" s="23">
        <f>'Annual Raw'!C75</f>
        <v>0</v>
      </c>
      <c r="C192" s="23">
        <f>'Annual Raw'!D75</f>
        <v>0</v>
      </c>
      <c r="D192" s="23">
        <f>'Annual Raw'!E75</f>
        <v>0</v>
      </c>
      <c r="E192" s="23">
        <f>'Annual Raw'!F75</f>
        <v>619.32500000000005</v>
      </c>
      <c r="F192" s="23">
        <f>'Annual Raw'!G75</f>
        <v>687.88</v>
      </c>
      <c r="G192" s="23">
        <f>'Annual Raw'!H75</f>
        <v>1604.88</v>
      </c>
      <c r="H192" s="23">
        <f>'Annual Raw'!I75</f>
        <v>4403.29</v>
      </c>
      <c r="I192" s="23">
        <f>'Annual Raw'!J75</f>
        <v>6331.06</v>
      </c>
      <c r="J192" s="23">
        <f>'Annual Raw'!K75</f>
        <v>6927.06</v>
      </c>
      <c r="K192" s="23">
        <f>'Annual Raw'!L75</f>
        <v>10947.09</v>
      </c>
      <c r="L192" s="23">
        <f>'Annual Raw'!M75</f>
        <v>9332.51</v>
      </c>
      <c r="M192" s="23">
        <f>'Annual Raw'!N75</f>
        <v>12692.26</v>
      </c>
      <c r="N192" s="23">
        <f>'Annual Raw'!O75</f>
        <v>14537.18</v>
      </c>
      <c r="O192" s="23">
        <f>'Annual Raw'!P75</f>
        <v>22503.58</v>
      </c>
      <c r="P192" s="23">
        <f>'Annual Raw'!Q75</f>
        <v>27253.59</v>
      </c>
      <c r="Q192" s="23">
        <f>'Annual Raw'!R75</f>
        <v>35221</v>
      </c>
      <c r="R192" s="23">
        <f>'Annual Raw'!S75</f>
        <v>23783</v>
      </c>
      <c r="S192" s="23">
        <f>'Annual Raw'!T75</f>
        <v>20222</v>
      </c>
      <c r="T192" s="23">
        <f>'Annual Raw'!U75</f>
        <v>19488</v>
      </c>
      <c r="U192" s="23">
        <f>'Annual Raw'!V75</f>
        <v>20329</v>
      </c>
      <c r="V192" s="23">
        <f>'Annual Raw'!W75</f>
        <v>12957</v>
      </c>
      <c r="W192" s="23">
        <f>'Annual Raw'!X75</f>
        <v>15052</v>
      </c>
      <c r="X192" s="23">
        <f>'Annual Raw'!Y75</f>
        <v>9850</v>
      </c>
      <c r="Y192" s="23">
        <f>'Annual Raw'!Z75</f>
        <v>9874</v>
      </c>
      <c r="Z192" s="23">
        <f>'Annual Raw'!AA75</f>
        <v>9149</v>
      </c>
      <c r="AA192" s="23">
        <f>'Annual Raw'!AB75</f>
        <v>13354</v>
      </c>
      <c r="AB192" s="24">
        <f t="shared" ref="AB192:AB193" si="1435">+CP192</f>
        <v>0</v>
      </c>
      <c r="AC192" s="24">
        <f t="shared" ref="AC192:AC193" si="1436">+CT192</f>
        <v>0</v>
      </c>
      <c r="AD192" s="24">
        <f t="shared" ref="AD192:AD193" si="1437">+CX192</f>
        <v>0</v>
      </c>
      <c r="AE192" s="24">
        <f t="shared" ref="AE192:AE193" si="1438">+DB192</f>
        <v>0</v>
      </c>
      <c r="AJ192" s="23">
        <f>+'QTR Raw'!D80</f>
        <v>11840.33</v>
      </c>
      <c r="AL192" s="23">
        <f>+'QTR Raw'!F80</f>
        <v>14537.18</v>
      </c>
      <c r="AN192" s="23">
        <f>+'QTR Raw'!H80</f>
        <v>18712.29</v>
      </c>
      <c r="AP192" s="23">
        <f>+'QTR Raw'!J80</f>
        <v>22503.58</v>
      </c>
      <c r="AR192" s="23">
        <f>+'QTR Raw'!L80</f>
        <v>27454.26</v>
      </c>
      <c r="AT192" s="23">
        <f>+'QTR Raw'!N80</f>
        <v>27253.59</v>
      </c>
      <c r="AV192" s="23">
        <f>+'QTR Raw'!P80</f>
        <v>30840.13</v>
      </c>
      <c r="AX192" s="23">
        <f>+'QTR Raw'!R80</f>
        <v>35221.17</v>
      </c>
      <c r="AZ192" s="23">
        <f>+'QTR Raw'!T80</f>
        <v>27057.41</v>
      </c>
      <c r="BB192" s="23">
        <f>+'QTR Raw'!V80</f>
        <v>23783</v>
      </c>
      <c r="BD192" s="23">
        <f>+'QTR Raw'!X80</f>
        <v>19978</v>
      </c>
      <c r="BF192" s="23">
        <f>+'QTR Raw'!Z80</f>
        <v>20222</v>
      </c>
      <c r="BH192" s="23">
        <f>+'QTR Raw'!AB80</f>
        <v>23233</v>
      </c>
      <c r="BJ192" s="23">
        <f>+'QTR Raw'!AD80</f>
        <v>19488</v>
      </c>
      <c r="BL192" s="23">
        <f>+'QTR Raw'!AF80</f>
        <v>19010</v>
      </c>
      <c r="BN192" s="23">
        <f>+'QTR Raw'!AH80</f>
        <v>20329</v>
      </c>
      <c r="BP192" s="23">
        <f>+'QTR Raw'!AJ80</f>
        <v>15506</v>
      </c>
      <c r="BR192" s="23">
        <f>+'QTR Raw'!AL80</f>
        <v>12957</v>
      </c>
      <c r="BT192" s="23">
        <f>+'QTR Raw'!AN80</f>
        <v>16540</v>
      </c>
      <c r="BV192" s="23">
        <f>+'QTR Raw'!AP80</f>
        <v>15052</v>
      </c>
      <c r="BX192" s="23">
        <f>+'QTR Raw'!AR80</f>
        <v>13499</v>
      </c>
      <c r="BZ192" s="23">
        <f>+'QTR Raw'!AT80</f>
        <v>9850</v>
      </c>
      <c r="CB192" s="23">
        <f>+'QTR Raw'!AV80</f>
        <v>10676</v>
      </c>
      <c r="CD192" s="23">
        <f>+'QTR Raw'!AX80</f>
        <v>9874</v>
      </c>
      <c r="CF192" s="23">
        <f>+'QTR Raw'!AZ80</f>
        <v>7623</v>
      </c>
      <c r="CH192" s="23">
        <f t="shared" ref="CH192:CH193" si="1439">Z192</f>
        <v>9149</v>
      </c>
      <c r="CJ192" s="23">
        <f>+'QTR Raw'!BD80</f>
        <v>7839</v>
      </c>
      <c r="CL192" s="23">
        <f>+'QTR Raw'!BF80</f>
        <v>13354</v>
      </c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E192" s="123"/>
      <c r="DF192" s="23">
        <v>13354</v>
      </c>
    </row>
    <row r="193" spans="1:110" s="23" customFormat="1" outlineLevel="1" x14ac:dyDescent="0.2">
      <c r="A193" s="23" t="s">
        <v>76</v>
      </c>
      <c r="B193" s="23">
        <f>'Annual Raw'!C78</f>
        <v>69.471299999999999</v>
      </c>
      <c r="C193" s="23">
        <f>'Annual Raw'!D78</f>
        <v>56.37</v>
      </c>
      <c r="D193" s="23">
        <f>'Annual Raw'!E78</f>
        <v>256.91000000000003</v>
      </c>
      <c r="E193" s="23">
        <f>'Annual Raw'!F78</f>
        <v>404.613</v>
      </c>
      <c r="F193" s="23">
        <f>'Annual Raw'!G78</f>
        <v>22.11</v>
      </c>
      <c r="G193" s="23">
        <f>'Annual Raw'!H78</f>
        <v>74.03</v>
      </c>
      <c r="H193" s="23">
        <f>'Annual Raw'!I78</f>
        <v>119.7</v>
      </c>
      <c r="I193" s="23">
        <f>'Annual Raw'!J78</f>
        <v>1362.78</v>
      </c>
      <c r="J193" s="23">
        <f>'Annual Raw'!K78</f>
        <v>2719.15</v>
      </c>
      <c r="K193" s="23">
        <f>'Annual Raw'!L78</f>
        <v>927.53</v>
      </c>
      <c r="L193" s="23">
        <f>'Annual Raw'!M78</f>
        <v>5632.91</v>
      </c>
      <c r="M193" s="23">
        <f>'Annual Raw'!N78</f>
        <v>5255.32</v>
      </c>
      <c r="N193" s="23">
        <f>'Annual Raw'!O78</f>
        <v>6942.1</v>
      </c>
      <c r="O193" s="23">
        <f>'Annual Raw'!P78</f>
        <v>3031.42</v>
      </c>
      <c r="P193" s="23">
        <f>'Annual Raw'!Q78</f>
        <v>3531.51</v>
      </c>
      <c r="Q193" s="23">
        <f>'Annual Raw'!R78</f>
        <v>53</v>
      </c>
      <c r="R193" s="23">
        <f>'Annual Raw'!S78</f>
        <v>8380</v>
      </c>
      <c r="S193" s="23">
        <f>'Annual Raw'!T78</f>
        <v>1964</v>
      </c>
      <c r="T193" s="23">
        <f>'Annual Raw'!U78</f>
        <v>23</v>
      </c>
      <c r="U193" s="23">
        <f>'Annual Raw'!V78</f>
        <v>1918</v>
      </c>
      <c r="V193" s="23">
        <f>'Annual Raw'!W78</f>
        <v>9376</v>
      </c>
      <c r="W193" s="23">
        <f>'Annual Raw'!X78</f>
        <v>5763</v>
      </c>
      <c r="X193" s="23">
        <f>'Annual Raw'!Y78</f>
        <v>1412</v>
      </c>
      <c r="Y193" s="23">
        <f>'Annual Raw'!Z78</f>
        <v>175</v>
      </c>
      <c r="Z193" s="23">
        <f>'Annual Raw'!AA78</f>
        <v>177</v>
      </c>
      <c r="AA193" s="23">
        <f>'Annual Raw'!AB78</f>
        <v>319</v>
      </c>
      <c r="AB193" s="24">
        <f t="shared" si="1435"/>
        <v>19537.760717151548</v>
      </c>
      <c r="AC193" s="24">
        <f t="shared" si="1436"/>
        <v>27226.386566477675</v>
      </c>
      <c r="AD193" s="24">
        <f t="shared" si="1437"/>
        <v>51313.416267206281</v>
      </c>
      <c r="AE193" s="24">
        <f t="shared" si="1438"/>
        <v>75574.677489848007</v>
      </c>
      <c r="AJ193" s="23">
        <f>+'QTR Raw'!D83</f>
        <v>7295.29</v>
      </c>
      <c r="AK193" s="23">
        <f t="shared" ref="AK193:AM193" si="1440">+AK243</f>
        <v>20497.903441960454</v>
      </c>
      <c r="AL193" s="23">
        <f>+'QTR Raw'!F83</f>
        <v>6942.1</v>
      </c>
      <c r="AM193" s="23">
        <f t="shared" si="1440"/>
        <v>23402.387669553416</v>
      </c>
      <c r="AN193" s="23">
        <f>+'QTR Raw'!H83</f>
        <v>4919.3599999999997</v>
      </c>
      <c r="AO193" s="23">
        <f t="shared" ref="AO193" si="1441">+AO243</f>
        <v>25386.554547852989</v>
      </c>
      <c r="AP193" s="23">
        <f>+'QTR Raw'!J83</f>
        <v>3031.42</v>
      </c>
      <c r="AQ193" s="23">
        <f t="shared" ref="AQ193" si="1442">+AQ243</f>
        <v>27342.379469593816</v>
      </c>
      <c r="AR193" s="23">
        <f>+'QTR Raw'!L83</f>
        <v>24.32</v>
      </c>
      <c r="AS193" s="23">
        <f t="shared" ref="AS193" si="1443">+AS243</f>
        <v>29841.092075331766</v>
      </c>
      <c r="AT193" s="23">
        <f>+'QTR Raw'!N83</f>
        <v>3531.51</v>
      </c>
      <c r="AU193" s="23">
        <f t="shared" ref="AU193" si="1444">+AU243</f>
        <v>32874.142335566503</v>
      </c>
      <c r="AV193" s="23">
        <f>+'QTR Raw'!P83</f>
        <v>3728.22</v>
      </c>
      <c r="AW193" s="23">
        <f t="shared" ref="AW193" si="1445">+AW243</f>
        <v>36620.880797406076</v>
      </c>
      <c r="AX193" s="23">
        <f>+'QTR Raw'!R83</f>
        <v>52.85</v>
      </c>
      <c r="AY193" s="23">
        <f t="shared" ref="AY193" si="1446">+AY243</f>
        <v>36355.110465834099</v>
      </c>
      <c r="AZ193" s="23">
        <f>+'QTR Raw'!T83</f>
        <v>36.25</v>
      </c>
      <c r="BA193" s="23">
        <f t="shared" ref="BA193" si="1447">+BA243</f>
        <v>29079.545111630323</v>
      </c>
      <c r="BB193" s="23">
        <f>+'QTR Raw'!V83</f>
        <v>8380</v>
      </c>
      <c r="BC193" s="23">
        <f t="shared" ref="BC193" si="1448">+BC243</f>
        <v>34386.994724220625</v>
      </c>
      <c r="BD193" s="23">
        <f>+'QTR Raw'!X83</f>
        <v>6</v>
      </c>
      <c r="BE193" s="23">
        <f t="shared" ref="BE193" si="1449">+BE243</f>
        <v>22198.634771143341</v>
      </c>
      <c r="BF193" s="23">
        <f>+'QTR Raw'!Z83</f>
        <v>1964</v>
      </c>
      <c r="BG193" s="23">
        <f t="shared" ref="BG193" si="1450">+BG243</f>
        <v>24198.89756252987</v>
      </c>
      <c r="BH193" s="23">
        <f>+'QTR Raw'!AB83</f>
        <v>82</v>
      </c>
      <c r="BI193" s="23">
        <f t="shared" ref="BI193" si="1451">+BI243</f>
        <v>25418.665689763449</v>
      </c>
      <c r="BJ193" s="23">
        <f>+'QTR Raw'!AD83</f>
        <v>23</v>
      </c>
      <c r="BK193" s="23">
        <f t="shared" ref="BK193" si="1452">+BK243</f>
        <v>21327.951192861045</v>
      </c>
      <c r="BL193" s="23">
        <f>+'QTR Raw'!AF83</f>
        <v>639</v>
      </c>
      <c r="BM193" s="23">
        <f t="shared" ref="BM193" si="1453">+BM243</f>
        <v>21246.443582354244</v>
      </c>
      <c r="BN193" s="23">
        <f>+'QTR Raw'!AH83</f>
        <v>1918</v>
      </c>
      <c r="BO193" s="23">
        <f t="shared" ref="BO193" si="1454">+BO243</f>
        <v>23672.465953085859</v>
      </c>
      <c r="BP193" s="23">
        <f>+'QTR Raw'!AJ83</f>
        <v>12148</v>
      </c>
      <c r="BQ193" s="23">
        <f t="shared" ref="BQ193" si="1455">+BQ243</f>
        <v>29818.940636042404</v>
      </c>
      <c r="BR193" s="23">
        <f>+'QTR Raw'!AL83</f>
        <v>9376</v>
      </c>
      <c r="BS193" s="23">
        <f t="shared" ref="BS193" si="1456">+BS243</f>
        <v>24333.126241543112</v>
      </c>
      <c r="BT193" s="23">
        <f>+'QTR Raw'!AN83</f>
        <v>7146</v>
      </c>
      <c r="BU193" s="23">
        <f t="shared" ref="BU193" si="1457">+BU243</f>
        <v>26116.655668082327</v>
      </c>
      <c r="BV193" s="23">
        <f>+'QTR Raw'!AP83</f>
        <v>5763</v>
      </c>
      <c r="BW193" s="23">
        <f t="shared" ref="BW193" si="1458">+BW243</f>
        <v>23864.679890871888</v>
      </c>
      <c r="BX193" s="23">
        <f>+'QTR Raw'!AR83</f>
        <v>4333</v>
      </c>
      <c r="BY193" s="23">
        <f t="shared" ref="BY193" si="1459">+BY243</f>
        <v>20064.059261036469</v>
      </c>
      <c r="BZ193" s="23">
        <f>+'QTR Raw'!AT83</f>
        <v>1412</v>
      </c>
      <c r="CA193" s="23">
        <f t="shared" ref="CA193" si="1460">+CA243</f>
        <v>13248.206839816665</v>
      </c>
      <c r="CB193" s="23">
        <f>+'QTR Raw'!AV83</f>
        <v>586</v>
      </c>
      <c r="CC193" s="23">
        <f t="shared" ref="CC193" si="1461">+CC243</f>
        <v>13275.861434251216</v>
      </c>
      <c r="CD193" s="23">
        <f>+'QTR Raw'!AX83</f>
        <v>175</v>
      </c>
      <c r="CE193" s="23">
        <f t="shared" ref="CE193" si="1462">+CE243</f>
        <v>12395.924095906743</v>
      </c>
      <c r="CF193" s="23">
        <f>+'QTR Raw'!AZ83</f>
        <v>218</v>
      </c>
      <c r="CG193" s="23">
        <f t="shared" ref="CG193:CI193" si="1463">+CG243</f>
        <v>10537.293019873969</v>
      </c>
      <c r="CH193" s="23">
        <f t="shared" si="1439"/>
        <v>177</v>
      </c>
      <c r="CI193" s="23">
        <f t="shared" si="1463"/>
        <v>11817.679212061188</v>
      </c>
      <c r="CJ193" s="23">
        <f>+'QTR Raw'!BD83</f>
        <v>151</v>
      </c>
      <c r="CK193" s="23">
        <f t="shared" ref="CK193:DB193" si="1464">+CK243</f>
        <v>14109.590127500294</v>
      </c>
      <c r="CL193" s="23">
        <f>+'QTR Raw'!BF83</f>
        <v>319</v>
      </c>
      <c r="CM193" s="24">
        <f t="shared" si="1464"/>
        <v>13993.475737558103</v>
      </c>
      <c r="CN193" s="24">
        <f t="shared" si="1464"/>
        <v>15630.067659721322</v>
      </c>
      <c r="CO193" s="24">
        <f t="shared" si="1464"/>
        <v>17379.636891209269</v>
      </c>
      <c r="CP193" s="24">
        <f t="shared" si="1464"/>
        <v>19537.760717151548</v>
      </c>
      <c r="CQ193" s="24">
        <f t="shared" si="1464"/>
        <v>20339.992413187822</v>
      </c>
      <c r="CR193" s="24">
        <f t="shared" si="1464"/>
        <v>22214.793535807868</v>
      </c>
      <c r="CS193" s="24">
        <f t="shared" si="1464"/>
        <v>24658.294076054863</v>
      </c>
      <c r="CT193" s="24">
        <f t="shared" si="1464"/>
        <v>27226.386566477675</v>
      </c>
      <c r="CU193" s="24">
        <f t="shared" si="1464"/>
        <v>32274.628292222445</v>
      </c>
      <c r="CV193" s="24">
        <f t="shared" si="1464"/>
        <v>38289.959993891847</v>
      </c>
      <c r="CW193" s="24">
        <f t="shared" si="1464"/>
        <v>44786.919432391398</v>
      </c>
      <c r="CX193" s="24">
        <f t="shared" si="1464"/>
        <v>51313.416267206281</v>
      </c>
      <c r="CY193" s="24">
        <f t="shared" si="1464"/>
        <v>56443.11976872282</v>
      </c>
      <c r="CZ193" s="24">
        <f t="shared" si="1464"/>
        <v>62501.231316462305</v>
      </c>
      <c r="DA193" s="24">
        <f t="shared" si="1464"/>
        <v>69023.617300661077</v>
      </c>
      <c r="DB193" s="24">
        <f t="shared" si="1464"/>
        <v>75574.677489848007</v>
      </c>
      <c r="DE193" s="123"/>
      <c r="DF193" s="23">
        <v>12353.939518441537</v>
      </c>
    </row>
    <row r="194" spans="1:110" s="22" customFormat="1" x14ac:dyDescent="0.2">
      <c r="A194" s="22" t="s">
        <v>77</v>
      </c>
      <c r="B194" s="22">
        <f>B192+B193</f>
        <v>69.471299999999999</v>
      </c>
      <c r="C194" s="22">
        <f t="shared" ref="C194:V194" si="1465">C192+C193</f>
        <v>56.37</v>
      </c>
      <c r="D194" s="22">
        <f t="shared" si="1465"/>
        <v>256.91000000000003</v>
      </c>
      <c r="E194" s="22">
        <f t="shared" si="1465"/>
        <v>1023.9380000000001</v>
      </c>
      <c r="F194" s="22">
        <f t="shared" si="1465"/>
        <v>709.99</v>
      </c>
      <c r="G194" s="22">
        <f t="shared" si="1465"/>
        <v>1678.91</v>
      </c>
      <c r="H194" s="22">
        <f t="shared" si="1465"/>
        <v>4522.99</v>
      </c>
      <c r="I194" s="22">
        <f t="shared" si="1465"/>
        <v>7693.84</v>
      </c>
      <c r="J194" s="22">
        <f t="shared" si="1465"/>
        <v>9646.2100000000009</v>
      </c>
      <c r="K194" s="22">
        <f t="shared" si="1465"/>
        <v>11874.62</v>
      </c>
      <c r="L194" s="22">
        <f t="shared" si="1465"/>
        <v>14965.42</v>
      </c>
      <c r="M194" s="22">
        <f t="shared" si="1465"/>
        <v>17947.580000000002</v>
      </c>
      <c r="N194" s="22">
        <f t="shared" si="1465"/>
        <v>21479.279999999999</v>
      </c>
      <c r="O194" s="22">
        <f t="shared" si="1465"/>
        <v>25535</v>
      </c>
      <c r="P194" s="22">
        <f t="shared" si="1465"/>
        <v>30785.1</v>
      </c>
      <c r="Q194" s="22">
        <f t="shared" si="1465"/>
        <v>35274</v>
      </c>
      <c r="R194" s="22">
        <f t="shared" si="1465"/>
        <v>32163</v>
      </c>
      <c r="S194" s="22">
        <f t="shared" si="1465"/>
        <v>22186</v>
      </c>
      <c r="T194" s="22">
        <f t="shared" si="1465"/>
        <v>19511</v>
      </c>
      <c r="U194" s="22">
        <f t="shared" si="1465"/>
        <v>22247</v>
      </c>
      <c r="V194" s="22">
        <f t="shared" si="1465"/>
        <v>22333</v>
      </c>
      <c r="W194" s="22">
        <f t="shared" ref="W194" si="1466">W192+W193</f>
        <v>20815</v>
      </c>
      <c r="X194" s="22">
        <f t="shared" ref="X194:Y194" si="1467">X192+X193</f>
        <v>11262</v>
      </c>
      <c r="Y194" s="22">
        <f t="shared" si="1467"/>
        <v>10049</v>
      </c>
      <c r="Z194" s="22">
        <f t="shared" ref="Z194:AA194" si="1468">Z192+Z193</f>
        <v>9326</v>
      </c>
      <c r="AA194" s="22">
        <f t="shared" si="1468"/>
        <v>13673</v>
      </c>
      <c r="AB194" s="21">
        <f t="shared" ref="AA194:AD194" si="1469">AB192+AB193</f>
        <v>19537.760717151548</v>
      </c>
      <c r="AC194" s="21">
        <f t="shared" si="1469"/>
        <v>27226.386566477675</v>
      </c>
      <c r="AD194" s="21">
        <f t="shared" si="1469"/>
        <v>51313.416267206281</v>
      </c>
      <c r="AE194" s="21">
        <f t="shared" ref="AE194" si="1470">AE192+AE193</f>
        <v>75574.677489848007</v>
      </c>
      <c r="AJ194" s="22">
        <f t="shared" ref="AJ194" si="1471">AJ192+AJ193</f>
        <v>19135.62</v>
      </c>
      <c r="AK194" s="22">
        <f t="shared" ref="AK194" si="1472">AK192+AK193</f>
        <v>20497.903441960454</v>
      </c>
      <c r="AL194" s="22">
        <f t="shared" ref="AL194:AM194" si="1473">AL192+AL193</f>
        <v>21479.279999999999</v>
      </c>
      <c r="AM194" s="22">
        <f t="shared" si="1473"/>
        <v>23402.387669553416</v>
      </c>
      <c r="AN194" s="22">
        <f t="shared" ref="AN194:AO194" si="1474">AN192+AN193</f>
        <v>23631.65</v>
      </c>
      <c r="AO194" s="22">
        <f t="shared" si="1474"/>
        <v>25386.554547852989</v>
      </c>
      <c r="AP194" s="22">
        <f t="shared" ref="AP194:CE194" si="1475">AP192+AP193</f>
        <v>25535</v>
      </c>
      <c r="AQ194" s="22">
        <f t="shared" si="1475"/>
        <v>27342.379469593816</v>
      </c>
      <c r="AR194" s="22">
        <f t="shared" si="1475"/>
        <v>27478.579999999998</v>
      </c>
      <c r="AS194" s="22">
        <f t="shared" si="1475"/>
        <v>29841.092075331766</v>
      </c>
      <c r="AT194" s="22">
        <f t="shared" si="1475"/>
        <v>30785.1</v>
      </c>
      <c r="AU194" s="22">
        <f t="shared" si="1475"/>
        <v>32874.142335566503</v>
      </c>
      <c r="AV194" s="22">
        <f t="shared" si="1475"/>
        <v>34568.35</v>
      </c>
      <c r="AW194" s="22">
        <f t="shared" si="1475"/>
        <v>36620.880797406076</v>
      </c>
      <c r="AX194" s="22">
        <f t="shared" si="1475"/>
        <v>35274.019999999997</v>
      </c>
      <c r="AY194" s="22">
        <f t="shared" si="1475"/>
        <v>36355.110465834099</v>
      </c>
      <c r="AZ194" s="22">
        <f t="shared" si="1475"/>
        <v>27093.66</v>
      </c>
      <c r="BA194" s="22">
        <f t="shared" si="1475"/>
        <v>29079.545111630323</v>
      </c>
      <c r="BB194" s="22">
        <f t="shared" si="1475"/>
        <v>32163</v>
      </c>
      <c r="BC194" s="22">
        <f t="shared" si="1475"/>
        <v>34386.994724220625</v>
      </c>
      <c r="BD194" s="22">
        <f t="shared" si="1475"/>
        <v>19984</v>
      </c>
      <c r="BE194" s="22">
        <f t="shared" si="1475"/>
        <v>22198.634771143341</v>
      </c>
      <c r="BF194" s="22">
        <f t="shared" si="1475"/>
        <v>22186</v>
      </c>
      <c r="BG194" s="22">
        <f t="shared" si="1475"/>
        <v>24198.89756252987</v>
      </c>
      <c r="BH194" s="22">
        <f t="shared" si="1475"/>
        <v>23315</v>
      </c>
      <c r="BI194" s="22">
        <f t="shared" si="1475"/>
        <v>25418.665689763449</v>
      </c>
      <c r="BJ194" s="22">
        <f t="shared" si="1475"/>
        <v>19511</v>
      </c>
      <c r="BK194" s="22">
        <f t="shared" si="1475"/>
        <v>21327.951192861045</v>
      </c>
      <c r="BL194" s="22">
        <f t="shared" si="1475"/>
        <v>19649</v>
      </c>
      <c r="BM194" s="22">
        <f t="shared" si="1475"/>
        <v>21246.443582354244</v>
      </c>
      <c r="BN194" s="22">
        <f t="shared" si="1475"/>
        <v>22247</v>
      </c>
      <c r="BO194" s="22">
        <f t="shared" si="1475"/>
        <v>23672.465953085859</v>
      </c>
      <c r="BP194" s="22">
        <f t="shared" si="1475"/>
        <v>27654</v>
      </c>
      <c r="BQ194" s="22">
        <f t="shared" si="1475"/>
        <v>29818.940636042404</v>
      </c>
      <c r="BR194" s="22">
        <f t="shared" si="1475"/>
        <v>22333</v>
      </c>
      <c r="BS194" s="22">
        <f t="shared" si="1475"/>
        <v>24333.126241543112</v>
      </c>
      <c r="BT194" s="22">
        <f t="shared" si="1475"/>
        <v>23686</v>
      </c>
      <c r="BU194" s="22">
        <f t="shared" si="1475"/>
        <v>26116.655668082327</v>
      </c>
      <c r="BV194" s="22">
        <f t="shared" si="1475"/>
        <v>20815</v>
      </c>
      <c r="BW194" s="22">
        <f t="shared" si="1475"/>
        <v>23864.679890871888</v>
      </c>
      <c r="BX194" s="22">
        <f t="shared" si="1475"/>
        <v>17832</v>
      </c>
      <c r="BY194" s="22">
        <f t="shared" si="1475"/>
        <v>20064.059261036469</v>
      </c>
      <c r="BZ194" s="22">
        <f t="shared" si="1475"/>
        <v>11262</v>
      </c>
      <c r="CA194" s="22">
        <f t="shared" si="1475"/>
        <v>13248.206839816665</v>
      </c>
      <c r="CB194" s="22">
        <f t="shared" si="1475"/>
        <v>11262</v>
      </c>
      <c r="CC194" s="22">
        <f t="shared" si="1475"/>
        <v>13275.861434251216</v>
      </c>
      <c r="CD194" s="22">
        <f t="shared" si="1475"/>
        <v>10049</v>
      </c>
      <c r="CE194" s="22">
        <f t="shared" si="1475"/>
        <v>12395.924095906743</v>
      </c>
      <c r="CF194" s="22">
        <f t="shared" ref="CF194:CG194" si="1476">CF192+CF193</f>
        <v>7841</v>
      </c>
      <c r="CG194" s="22">
        <f t="shared" si="1476"/>
        <v>10537.293019873969</v>
      </c>
      <c r="CH194" s="22">
        <f t="shared" ref="CH194:CI194" si="1477">CH192+CH193</f>
        <v>9326</v>
      </c>
      <c r="CI194" s="22">
        <f t="shared" si="1477"/>
        <v>11817.679212061188</v>
      </c>
      <c r="CJ194" s="22">
        <f t="shared" ref="CJ194:DB194" si="1478">CJ192+CJ193</f>
        <v>7990</v>
      </c>
      <c r="CK194" s="22">
        <f t="shared" si="1478"/>
        <v>14109.590127500294</v>
      </c>
      <c r="CL194" s="22">
        <f t="shared" ref="CL194" si="1479">CL192+CL193</f>
        <v>13673</v>
      </c>
      <c r="CM194" s="21">
        <f t="shared" si="1478"/>
        <v>13993.475737558103</v>
      </c>
      <c r="CN194" s="21">
        <f t="shared" si="1478"/>
        <v>15630.067659721322</v>
      </c>
      <c r="CO194" s="21">
        <f t="shared" si="1478"/>
        <v>17379.636891209269</v>
      </c>
      <c r="CP194" s="21">
        <f t="shared" si="1478"/>
        <v>19537.760717151548</v>
      </c>
      <c r="CQ194" s="21">
        <f t="shared" si="1478"/>
        <v>20339.992413187822</v>
      </c>
      <c r="CR194" s="21">
        <f t="shared" si="1478"/>
        <v>22214.793535807868</v>
      </c>
      <c r="CS194" s="21">
        <f t="shared" si="1478"/>
        <v>24658.294076054863</v>
      </c>
      <c r="CT194" s="21">
        <f t="shared" si="1478"/>
        <v>27226.386566477675</v>
      </c>
      <c r="CU194" s="21">
        <f t="shared" si="1478"/>
        <v>32274.628292222445</v>
      </c>
      <c r="CV194" s="21">
        <f t="shared" si="1478"/>
        <v>38289.959993891847</v>
      </c>
      <c r="CW194" s="21">
        <f t="shared" si="1478"/>
        <v>44786.919432391398</v>
      </c>
      <c r="CX194" s="21">
        <f t="shared" si="1478"/>
        <v>51313.416267206281</v>
      </c>
      <c r="CY194" s="21">
        <f t="shared" si="1478"/>
        <v>56443.11976872282</v>
      </c>
      <c r="CZ194" s="21">
        <f t="shared" si="1478"/>
        <v>62501.231316462305</v>
      </c>
      <c r="DA194" s="21">
        <f t="shared" si="1478"/>
        <v>69023.617300661077</v>
      </c>
      <c r="DB194" s="21">
        <f t="shared" si="1478"/>
        <v>75574.677489848007</v>
      </c>
      <c r="DE194" s="126"/>
      <c r="DF194" s="22">
        <v>12353.939518441537</v>
      </c>
    </row>
    <row r="195" spans="1:110" s="23" customFormat="1" x14ac:dyDescent="0.2">
      <c r="AB195" s="24"/>
      <c r="AC195" s="24"/>
      <c r="AD195" s="24"/>
      <c r="AE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E195" s="123"/>
    </row>
    <row r="196" spans="1:110" s="23" customFormat="1" x14ac:dyDescent="0.2">
      <c r="A196" s="23" t="s">
        <v>78</v>
      </c>
      <c r="B196" s="23">
        <f>-'Annual Raw'!C49</f>
        <v>0</v>
      </c>
      <c r="C196" s="23">
        <f>-'Annual Raw'!D49</f>
        <v>-135.91900000000001</v>
      </c>
      <c r="D196" s="23">
        <f>-'Annual Raw'!E49</f>
        <v>-137.733</v>
      </c>
      <c r="E196" s="23">
        <f>-'Annual Raw'!F49</f>
        <v>-65.638000000000005</v>
      </c>
      <c r="F196" s="23">
        <f>-'Annual Raw'!G49</f>
        <v>-108.11</v>
      </c>
      <c r="G196" s="23">
        <f>-'Annual Raw'!H49</f>
        <v>-241.38</v>
      </c>
      <c r="H196" s="23">
        <f>-'Annual Raw'!I49</f>
        <v>-300.63</v>
      </c>
      <c r="I196" s="23">
        <f>-'Annual Raw'!J49</f>
        <v>-459.68</v>
      </c>
      <c r="J196" s="23">
        <f>-'Annual Raw'!K49</f>
        <v>-558.86</v>
      </c>
      <c r="K196" s="23">
        <f>-'Annual Raw'!L49</f>
        <v>-711.23</v>
      </c>
      <c r="L196" s="23">
        <f>-'Annual Raw'!M49</f>
        <v>-944.7</v>
      </c>
      <c r="M196" s="23">
        <f>-'Annual Raw'!N49</f>
        <v>-1108.81</v>
      </c>
      <c r="N196" s="23">
        <f>-'Annual Raw'!O49</f>
        <v>-1279.8599999999999</v>
      </c>
      <c r="O196" s="23">
        <f>-'Annual Raw'!P49</f>
        <v>-1658.11</v>
      </c>
      <c r="P196" s="23">
        <f>-'Annual Raw'!Q49</f>
        <v>-2518.62</v>
      </c>
      <c r="Q196" s="23">
        <f>-'Annual Raw'!R49</f>
        <v>2498</v>
      </c>
      <c r="R196" s="23">
        <f>-'Annual Raw'!S49</f>
        <v>2748</v>
      </c>
      <c r="S196" s="23">
        <f>-'Annual Raw'!T49</f>
        <v>2208</v>
      </c>
      <c r="T196" s="23">
        <f>-'Annual Raw'!U49</f>
        <v>1925</v>
      </c>
      <c r="U196" s="23">
        <f>-'Annual Raw'!V49</f>
        <v>1822</v>
      </c>
      <c r="V196" s="23">
        <f>-'Annual Raw'!W49</f>
        <v>1058</v>
      </c>
      <c r="W196" s="23">
        <f>-'Annual Raw'!X49</f>
        <v>-942</v>
      </c>
      <c r="X196" s="23">
        <f>-'Annual Raw'!Y49</f>
        <v>-2314</v>
      </c>
      <c r="Y196" s="23">
        <f>-'Annual Raw'!Z49</f>
        <v>-2311</v>
      </c>
      <c r="Z196" s="23">
        <f>-'Annual Raw'!AA49</f>
        <v>-2292</v>
      </c>
      <c r="AA196" s="23">
        <f>-'Annual Raw'!AB49</f>
        <v>-2265</v>
      </c>
      <c r="AB196" s="24">
        <f t="shared" ref="AB196:AB197" si="1480">+CP196</f>
        <v>-2265</v>
      </c>
      <c r="AC196" s="24">
        <f t="shared" ref="AC196:AC197" si="1481">+CT196</f>
        <v>-2265</v>
      </c>
      <c r="AD196" s="24">
        <f t="shared" ref="AD196:AD197" si="1482">+CX196</f>
        <v>-2265</v>
      </c>
      <c r="AE196" s="24">
        <f t="shared" ref="AE196:AE197" si="1483">+DB196</f>
        <v>-2265</v>
      </c>
      <c r="AJ196" s="23">
        <f>+'QTR Raw'!D96</f>
        <v>-1155.6300000000001</v>
      </c>
      <c r="AK196" s="23">
        <f t="shared" ref="AK196:CE196" si="1484">+AJ196</f>
        <v>-1155.6300000000001</v>
      </c>
      <c r="AL196" s="23">
        <f>+'QTR Raw'!F96</f>
        <v>-1279.8599999999999</v>
      </c>
      <c r="AM196" s="23">
        <f t="shared" si="1484"/>
        <v>-1279.8599999999999</v>
      </c>
      <c r="AN196" s="23">
        <f>+'QTR Raw'!H96</f>
        <v>-1430.97</v>
      </c>
      <c r="AO196" s="23">
        <f t="shared" si="1484"/>
        <v>-1430.97</v>
      </c>
      <c r="AP196" s="23">
        <f>+'QTR Raw'!J96</f>
        <v>-1658.11</v>
      </c>
      <c r="AQ196" s="23">
        <f t="shared" si="1484"/>
        <v>-1658.11</v>
      </c>
      <c r="AR196" s="23">
        <f>+'QTR Raw'!L96</f>
        <v>-1751.97</v>
      </c>
      <c r="AS196" s="23">
        <f t="shared" si="1484"/>
        <v>-1751.97</v>
      </c>
      <c r="AT196" s="23">
        <f>+'QTR Raw'!N96</f>
        <v>-2518.62</v>
      </c>
      <c r="AU196" s="23">
        <f t="shared" si="1484"/>
        <v>-2518.62</v>
      </c>
      <c r="AV196" s="23">
        <f>+'QTR Raw'!P96</f>
        <v>-2809.87</v>
      </c>
      <c r="AW196" s="23">
        <f t="shared" si="1484"/>
        <v>-2809.87</v>
      </c>
      <c r="AX196" s="23">
        <f>+'QTR Raw'!R96</f>
        <v>2497.85</v>
      </c>
      <c r="AY196" s="23">
        <f t="shared" si="1484"/>
        <v>2497.85</v>
      </c>
      <c r="AZ196" s="23">
        <f>+'QTR Raw'!T96</f>
        <v>2559.1</v>
      </c>
      <c r="BA196" s="23">
        <f t="shared" si="1484"/>
        <v>2559.1</v>
      </c>
      <c r="BB196" s="23">
        <f>+'QTR Raw'!V96</f>
        <v>2748</v>
      </c>
      <c r="BC196" s="23">
        <f t="shared" si="1484"/>
        <v>2748</v>
      </c>
      <c r="BD196" s="23">
        <f>+'QTR Raw'!X96</f>
        <v>2677</v>
      </c>
      <c r="BE196" s="23">
        <f t="shared" si="1484"/>
        <v>2677</v>
      </c>
      <c r="BF196" s="23">
        <f>+'QTR Raw'!Z96</f>
        <v>2208</v>
      </c>
      <c r="BG196" s="23">
        <f t="shared" si="1484"/>
        <v>2208</v>
      </c>
      <c r="BH196" s="23">
        <f>+'QTR Raw'!AB96</f>
        <v>2081</v>
      </c>
      <c r="BI196" s="23">
        <f t="shared" si="1484"/>
        <v>2081</v>
      </c>
      <c r="BJ196" s="23">
        <f>+'QTR Raw'!AD96</f>
        <v>1925</v>
      </c>
      <c r="BK196" s="23">
        <f t="shared" si="1484"/>
        <v>1925</v>
      </c>
      <c r="BL196" s="23">
        <f>+'QTR Raw'!AF96</f>
        <v>2127</v>
      </c>
      <c r="BM196" s="23">
        <f t="shared" si="1484"/>
        <v>2127</v>
      </c>
      <c r="BN196" s="23">
        <f>+'QTR Raw'!AH96</f>
        <v>1822</v>
      </c>
      <c r="BO196" s="23">
        <f t="shared" si="1484"/>
        <v>1822</v>
      </c>
      <c r="BP196" s="23">
        <f>+'QTR Raw'!AJ96</f>
        <v>1574</v>
      </c>
      <c r="BQ196" s="23">
        <f t="shared" si="1484"/>
        <v>1574</v>
      </c>
      <c r="BR196" s="23">
        <f>+'QTR Raw'!AL96</f>
        <v>1058</v>
      </c>
      <c r="BS196" s="23">
        <f t="shared" si="1484"/>
        <v>1058</v>
      </c>
      <c r="BT196" s="23">
        <f>+'QTR Raw'!AN96</f>
        <v>180</v>
      </c>
      <c r="BU196" s="23">
        <f t="shared" si="1484"/>
        <v>180</v>
      </c>
      <c r="BV196" s="23">
        <f>+'QTR Raw'!AP96</f>
        <v>-942</v>
      </c>
      <c r="BW196" s="23">
        <f t="shared" si="1484"/>
        <v>-942</v>
      </c>
      <c r="BX196" s="23">
        <f>+'QTR Raw'!AR96</f>
        <v>-1711</v>
      </c>
      <c r="BY196" s="23">
        <f t="shared" si="1484"/>
        <v>-1711</v>
      </c>
      <c r="BZ196" s="23">
        <f>+'QTR Raw'!AT96</f>
        <v>-2314</v>
      </c>
      <c r="CA196" s="23">
        <f t="shared" si="1484"/>
        <v>-2314</v>
      </c>
      <c r="CB196" s="23">
        <f>+'QTR Raw'!AV96</f>
        <v>-2279</v>
      </c>
      <c r="CC196" s="23">
        <f t="shared" si="1484"/>
        <v>-2279</v>
      </c>
      <c r="CD196" s="23">
        <f>+'QTR Raw'!AX96</f>
        <v>-2311</v>
      </c>
      <c r="CE196" s="23">
        <f t="shared" si="1484"/>
        <v>-2311</v>
      </c>
      <c r="CF196" s="23">
        <f>+'QTR Raw'!AZ96</f>
        <v>-2225</v>
      </c>
      <c r="CG196" s="23">
        <f t="shared" ref="CG196:CI197" si="1485">+CF196</f>
        <v>-2225</v>
      </c>
      <c r="CH196" s="23">
        <f t="shared" ref="CH196:CH197" si="1486">Z196</f>
        <v>-2292</v>
      </c>
      <c r="CI196" s="23">
        <f t="shared" si="1485"/>
        <v>-2292</v>
      </c>
      <c r="CJ196" s="23">
        <f>+'QTR Raw'!BD96</f>
        <v>-2189</v>
      </c>
      <c r="CK196" s="23">
        <f t="shared" ref="CK196:CK197" si="1487">+CJ196</f>
        <v>-2189</v>
      </c>
      <c r="CL196" s="23">
        <f>+'QTR Raw'!BF96</f>
        <v>-2265</v>
      </c>
      <c r="CM196" s="24">
        <f t="shared" ref="CM196:CM197" si="1488">+CL196</f>
        <v>-2265</v>
      </c>
      <c r="CN196" s="24">
        <f t="shared" ref="CN196:CN197" si="1489">+CM196</f>
        <v>-2265</v>
      </c>
      <c r="CO196" s="24">
        <f t="shared" ref="CO196:CO197" si="1490">+CN196</f>
        <v>-2265</v>
      </c>
      <c r="CP196" s="24">
        <f t="shared" ref="CP196:CP197" si="1491">+CO196</f>
        <v>-2265</v>
      </c>
      <c r="CQ196" s="24">
        <f t="shared" ref="CQ196:CQ197" si="1492">+CP196</f>
        <v>-2265</v>
      </c>
      <c r="CR196" s="24">
        <f t="shared" ref="CR196:CR197" si="1493">+CQ196</f>
        <v>-2265</v>
      </c>
      <c r="CS196" s="24">
        <f t="shared" ref="CS196:CS197" si="1494">+CR196</f>
        <v>-2265</v>
      </c>
      <c r="CT196" s="24">
        <f t="shared" ref="CT196:CT197" si="1495">+CS196</f>
        <v>-2265</v>
      </c>
      <c r="CU196" s="24">
        <f t="shared" ref="CU196:CU197" si="1496">+CT196</f>
        <v>-2265</v>
      </c>
      <c r="CV196" s="24">
        <f t="shared" ref="CV196:CV197" si="1497">+CU196</f>
        <v>-2265</v>
      </c>
      <c r="CW196" s="24">
        <f t="shared" ref="CW196:CW197" si="1498">+CV196</f>
        <v>-2265</v>
      </c>
      <c r="CX196" s="24">
        <f t="shared" ref="CX196:CX197" si="1499">+CW196</f>
        <v>-2265</v>
      </c>
      <c r="CY196" s="24">
        <f t="shared" ref="CY196:CY197" si="1500">+CX196</f>
        <v>-2265</v>
      </c>
      <c r="CZ196" s="24">
        <f t="shared" ref="CZ196:CZ197" si="1501">+CY196</f>
        <v>-2265</v>
      </c>
      <c r="DA196" s="24">
        <f t="shared" ref="DA196:DA197" si="1502">+CZ196</f>
        <v>-2265</v>
      </c>
      <c r="DB196" s="24">
        <f t="shared" ref="DB196:DB197" si="1503">+DA196</f>
        <v>-2265</v>
      </c>
      <c r="DE196" s="123"/>
      <c r="DF196" s="23">
        <v>-2189</v>
      </c>
    </row>
    <row r="197" spans="1:110" s="23" customFormat="1" x14ac:dyDescent="0.2">
      <c r="A197" s="23" t="s">
        <v>79</v>
      </c>
      <c r="B197" s="23">
        <f>'Annual Raw'!C83</f>
        <v>0</v>
      </c>
      <c r="C197" s="23">
        <f>'Annual Raw'!D83</f>
        <v>116.41</v>
      </c>
      <c r="D197" s="23">
        <f>'Annual Raw'!E83</f>
        <v>210.887</v>
      </c>
      <c r="E197" s="23">
        <f>'Annual Raw'!F83</f>
        <v>0</v>
      </c>
      <c r="F197" s="23">
        <f>'Annual Raw'!G83</f>
        <v>0</v>
      </c>
      <c r="G197" s="23">
        <f>'Annual Raw'!H83</f>
        <v>0</v>
      </c>
      <c r="H197" s="23">
        <f>'Annual Raw'!I83</f>
        <v>0</v>
      </c>
      <c r="I197" s="23">
        <f>'Annual Raw'!J83</f>
        <v>0</v>
      </c>
      <c r="J197" s="23">
        <f>'Annual Raw'!K83</f>
        <v>0</v>
      </c>
      <c r="K197" s="23">
        <f>'Annual Raw'!L83</f>
        <v>0</v>
      </c>
      <c r="L197" s="23">
        <f>'Annual Raw'!M83</f>
        <v>0</v>
      </c>
      <c r="M197" s="23">
        <f>'Annual Raw'!N83</f>
        <v>0</v>
      </c>
      <c r="N197" s="23">
        <f>'Annual Raw'!O83</f>
        <v>0</v>
      </c>
      <c r="O197" s="23">
        <f>'Annual Raw'!P83</f>
        <v>0</v>
      </c>
      <c r="P197" s="23">
        <f>'Annual Raw'!Q83</f>
        <v>0</v>
      </c>
      <c r="Q197" s="23">
        <f>'Annual Raw'!R83</f>
        <v>0</v>
      </c>
      <c r="R197" s="23">
        <f>'Annual Raw'!S83</f>
        <v>0</v>
      </c>
      <c r="S197" s="23">
        <f>'Annual Raw'!T83</f>
        <v>0</v>
      </c>
      <c r="T197" s="23">
        <f>'Annual Raw'!U83</f>
        <v>0</v>
      </c>
      <c r="U197" s="23">
        <f>'Annual Raw'!V83</f>
        <v>0</v>
      </c>
      <c r="V197" s="23">
        <f>'Annual Raw'!W83</f>
        <v>0</v>
      </c>
      <c r="W197" s="23">
        <f>'Annual Raw'!X83</f>
        <v>0</v>
      </c>
      <c r="X197" s="23">
        <f>'Annual Raw'!Y83</f>
        <v>0</v>
      </c>
      <c r="Y197" s="23">
        <f>'Annual Raw'!Z83</f>
        <v>0</v>
      </c>
      <c r="Z197" s="23">
        <f>'Annual Raw'!AA83</f>
        <v>0</v>
      </c>
      <c r="AA197" s="23">
        <f>'Annual Raw'!AB83</f>
        <v>0</v>
      </c>
      <c r="AB197" s="24">
        <f t="shared" si="1480"/>
        <v>0</v>
      </c>
      <c r="AC197" s="24">
        <f t="shared" si="1481"/>
        <v>0</v>
      </c>
      <c r="AD197" s="24">
        <f t="shared" si="1482"/>
        <v>0</v>
      </c>
      <c r="AE197" s="24">
        <f t="shared" si="1483"/>
        <v>0</v>
      </c>
      <c r="AJ197" s="23">
        <f>+'QTR Raw'!D95</f>
        <v>0</v>
      </c>
      <c r="AK197" s="23">
        <f t="shared" ref="AK197:CE197" si="1504">+AJ197</f>
        <v>0</v>
      </c>
      <c r="AL197" s="23">
        <f>+'QTR Raw'!F95</f>
        <v>0</v>
      </c>
      <c r="AM197" s="23">
        <f t="shared" si="1504"/>
        <v>0</v>
      </c>
      <c r="AN197" s="23">
        <f>+'QTR Raw'!H95</f>
        <v>0</v>
      </c>
      <c r="AO197" s="23">
        <f t="shared" si="1504"/>
        <v>0</v>
      </c>
      <c r="AP197" s="23">
        <f>+'QTR Raw'!J95</f>
        <v>0</v>
      </c>
      <c r="AQ197" s="23">
        <f t="shared" si="1504"/>
        <v>0</v>
      </c>
      <c r="AR197" s="23">
        <f>+'QTR Raw'!L95</f>
        <v>0</v>
      </c>
      <c r="AS197" s="23">
        <f t="shared" si="1504"/>
        <v>0</v>
      </c>
      <c r="AT197" s="23">
        <f>+'QTR Raw'!N95</f>
        <v>0</v>
      </c>
      <c r="AU197" s="23">
        <f t="shared" si="1504"/>
        <v>0</v>
      </c>
      <c r="AV197" s="23">
        <f>+'QTR Raw'!P95</f>
        <v>0</v>
      </c>
      <c r="AW197" s="23">
        <f t="shared" si="1504"/>
        <v>0</v>
      </c>
      <c r="AX197" s="23">
        <f>+'QTR Raw'!R95</f>
        <v>0</v>
      </c>
      <c r="AY197" s="23">
        <f t="shared" si="1504"/>
        <v>0</v>
      </c>
      <c r="AZ197" s="23">
        <f>+'QTR Raw'!T95</f>
        <v>0</v>
      </c>
      <c r="BA197" s="23">
        <f t="shared" si="1504"/>
        <v>0</v>
      </c>
      <c r="BB197" s="23">
        <f>+'QTR Raw'!V95</f>
        <v>0</v>
      </c>
      <c r="BC197" s="23">
        <f t="shared" si="1504"/>
        <v>0</v>
      </c>
      <c r="BD197" s="23">
        <f>+'QTR Raw'!X95</f>
        <v>0</v>
      </c>
      <c r="BE197" s="23">
        <f t="shared" si="1504"/>
        <v>0</v>
      </c>
      <c r="BF197" s="23">
        <f>+'QTR Raw'!Z95</f>
        <v>0</v>
      </c>
      <c r="BG197" s="23">
        <f t="shared" si="1504"/>
        <v>0</v>
      </c>
      <c r="BH197" s="23">
        <f>+'QTR Raw'!AB95</f>
        <v>0</v>
      </c>
      <c r="BI197" s="23">
        <f t="shared" si="1504"/>
        <v>0</v>
      </c>
      <c r="BJ197" s="23">
        <f>+'QTR Raw'!AD95</f>
        <v>0</v>
      </c>
      <c r="BK197" s="23">
        <f t="shared" si="1504"/>
        <v>0</v>
      </c>
      <c r="BL197" s="23">
        <f>+'QTR Raw'!AF95</f>
        <v>0</v>
      </c>
      <c r="BM197" s="23">
        <f t="shared" si="1504"/>
        <v>0</v>
      </c>
      <c r="BN197" s="23">
        <f>+'QTR Raw'!AH95</f>
        <v>0</v>
      </c>
      <c r="BO197" s="23">
        <f t="shared" si="1504"/>
        <v>0</v>
      </c>
      <c r="BP197" s="23">
        <f>+'QTR Raw'!AJ95</f>
        <v>0</v>
      </c>
      <c r="BQ197" s="23">
        <f t="shared" si="1504"/>
        <v>0</v>
      </c>
      <c r="BR197" s="23">
        <f>+'QTR Raw'!AL95</f>
        <v>0</v>
      </c>
      <c r="BS197" s="23">
        <f t="shared" si="1504"/>
        <v>0</v>
      </c>
      <c r="BT197" s="23">
        <f>+'QTR Raw'!AN95</f>
        <v>0</v>
      </c>
      <c r="BU197" s="23">
        <f t="shared" si="1504"/>
        <v>0</v>
      </c>
      <c r="BV197" s="23">
        <f>+'QTR Raw'!AP95</f>
        <v>0</v>
      </c>
      <c r="BW197" s="23">
        <f t="shared" si="1504"/>
        <v>0</v>
      </c>
      <c r="BX197" s="23">
        <f>+'QTR Raw'!AR95</f>
        <v>0</v>
      </c>
      <c r="BY197" s="23">
        <f t="shared" si="1504"/>
        <v>0</v>
      </c>
      <c r="BZ197" s="23">
        <f>+'QTR Raw'!AT95</f>
        <v>0</v>
      </c>
      <c r="CA197" s="23">
        <f t="shared" si="1504"/>
        <v>0</v>
      </c>
      <c r="CB197" s="23">
        <f>+'QTR Raw'!AV95</f>
        <v>0</v>
      </c>
      <c r="CC197" s="23">
        <f t="shared" si="1504"/>
        <v>0</v>
      </c>
      <c r="CD197" s="23">
        <f>+'QTR Raw'!AX95</f>
        <v>0</v>
      </c>
      <c r="CE197" s="23">
        <f t="shared" si="1504"/>
        <v>0</v>
      </c>
      <c r="CF197" s="23">
        <f>+'QTR Raw'!AZ95</f>
        <v>0</v>
      </c>
      <c r="CG197" s="23">
        <f t="shared" si="1485"/>
        <v>0</v>
      </c>
      <c r="CH197" s="23">
        <f t="shared" si="1486"/>
        <v>0</v>
      </c>
      <c r="CI197" s="23">
        <f t="shared" si="1485"/>
        <v>0</v>
      </c>
      <c r="CJ197" s="23">
        <f>+'QTR Raw'!BD95</f>
        <v>0</v>
      </c>
      <c r="CK197" s="23">
        <f t="shared" si="1487"/>
        <v>0</v>
      </c>
      <c r="CL197" s="23">
        <f>+'QTR Raw'!BF95</f>
        <v>0</v>
      </c>
      <c r="CM197" s="24">
        <f t="shared" si="1488"/>
        <v>0</v>
      </c>
      <c r="CN197" s="24">
        <f t="shared" si="1489"/>
        <v>0</v>
      </c>
      <c r="CO197" s="24">
        <f t="shared" si="1490"/>
        <v>0</v>
      </c>
      <c r="CP197" s="24">
        <f t="shared" si="1491"/>
        <v>0</v>
      </c>
      <c r="CQ197" s="24">
        <f t="shared" si="1492"/>
        <v>0</v>
      </c>
      <c r="CR197" s="24">
        <f t="shared" si="1493"/>
        <v>0</v>
      </c>
      <c r="CS197" s="24">
        <f t="shared" si="1494"/>
        <v>0</v>
      </c>
      <c r="CT197" s="24">
        <f t="shared" si="1495"/>
        <v>0</v>
      </c>
      <c r="CU197" s="24">
        <f t="shared" si="1496"/>
        <v>0</v>
      </c>
      <c r="CV197" s="24">
        <f t="shared" si="1497"/>
        <v>0</v>
      </c>
      <c r="CW197" s="24">
        <f t="shared" si="1498"/>
        <v>0</v>
      </c>
      <c r="CX197" s="24">
        <f t="shared" si="1499"/>
        <v>0</v>
      </c>
      <c r="CY197" s="24">
        <f t="shared" si="1500"/>
        <v>0</v>
      </c>
      <c r="CZ197" s="24">
        <f t="shared" si="1501"/>
        <v>0</v>
      </c>
      <c r="DA197" s="24">
        <f t="shared" si="1502"/>
        <v>0</v>
      </c>
      <c r="DB197" s="24">
        <f t="shared" si="1503"/>
        <v>0</v>
      </c>
      <c r="DE197" s="123"/>
      <c r="DF197" s="23">
        <v>0</v>
      </c>
    </row>
    <row r="198" spans="1:110" s="26" customFormat="1" x14ac:dyDescent="0.2">
      <c r="A198" s="26" t="s">
        <v>438</v>
      </c>
      <c r="B198" s="26">
        <f t="shared" ref="B198:W198" si="1505">B196+B194+B190+B173+B171+B197</f>
        <v>1165.9206999999999</v>
      </c>
      <c r="C198" s="26">
        <f t="shared" si="1505"/>
        <v>1071.038</v>
      </c>
      <c r="D198" s="26">
        <f t="shared" si="1505"/>
        <v>1170.4949999999999</v>
      </c>
      <c r="E198" s="26">
        <f t="shared" si="1505"/>
        <v>2114.67</v>
      </c>
      <c r="F198" s="26">
        <f t="shared" si="1505"/>
        <v>2649.07</v>
      </c>
      <c r="G198" s="26">
        <f t="shared" si="1505"/>
        <v>3987.7999999999997</v>
      </c>
      <c r="H198" s="26">
        <f t="shared" si="1505"/>
        <v>7627.45</v>
      </c>
      <c r="I198" s="26">
        <f t="shared" si="1505"/>
        <v>11848.579999999998</v>
      </c>
      <c r="J198" s="26">
        <f t="shared" si="1505"/>
        <v>14366.27</v>
      </c>
      <c r="K198" s="26">
        <f t="shared" si="1505"/>
        <v>18184.440000000002</v>
      </c>
      <c r="L198" s="26">
        <f t="shared" si="1505"/>
        <v>22533.579999999998</v>
      </c>
      <c r="M198" s="26">
        <f t="shared" si="1505"/>
        <v>26881.649999999998</v>
      </c>
      <c r="N198" s="26">
        <f t="shared" si="1505"/>
        <v>32275.739999999998</v>
      </c>
      <c r="O198" s="26">
        <f t="shared" si="1505"/>
        <v>37417.61</v>
      </c>
      <c r="P198" s="26">
        <f t="shared" si="1505"/>
        <v>43353.07</v>
      </c>
      <c r="Q198" s="26">
        <f t="shared" si="1505"/>
        <v>37385</v>
      </c>
      <c r="R198" s="26">
        <f t="shared" si="1505"/>
        <v>38713</v>
      </c>
      <c r="S198" s="26">
        <f t="shared" si="1505"/>
        <v>35932</v>
      </c>
      <c r="T198" s="26">
        <f t="shared" si="1505"/>
        <v>36143</v>
      </c>
      <c r="U198" s="26">
        <f t="shared" si="1505"/>
        <v>40921</v>
      </c>
      <c r="V198" s="26">
        <f t="shared" si="1505"/>
        <v>39490</v>
      </c>
      <c r="W198" s="26">
        <f t="shared" si="1505"/>
        <v>37384</v>
      </c>
      <c r="X198" s="26">
        <f t="shared" ref="X198:Y198" si="1506">X196+X194+X190+X173+X171+X197</f>
        <v>25080</v>
      </c>
      <c r="Y198" s="26">
        <f t="shared" si="1506"/>
        <v>24050</v>
      </c>
      <c r="Z198" s="26">
        <f t="shared" ref="Z198:AA198" si="1507">Z196+Z194+Z190+Z173+Z171+Z197</f>
        <v>24546</v>
      </c>
      <c r="AA198" s="26">
        <f t="shared" si="1507"/>
        <v>30986</v>
      </c>
      <c r="AB198" s="27">
        <f t="shared" ref="AA198:AD198" si="1508">AB196+AB194+AB190+AB173+AB171+AB197</f>
        <v>48603.77756585936</v>
      </c>
      <c r="AC198" s="27">
        <f t="shared" si="1508"/>
        <v>66673.09789402131</v>
      </c>
      <c r="AD198" s="27">
        <f t="shared" si="1508"/>
        <v>84582.292898383923</v>
      </c>
      <c r="AE198" s="27">
        <f t="shared" ref="AE198" si="1509">AE196+AE194+AE190+AE173+AE171+AE197</f>
        <v>103604.69600074549</v>
      </c>
      <c r="AJ198" s="26">
        <f t="shared" ref="AJ198" si="1510">AJ196+AJ194+AJ190+AJ173+AJ171+AJ197</f>
        <v>29203.040000000001</v>
      </c>
      <c r="AK198" s="26">
        <f t="shared" ref="AK198:AL198" si="1511">AK196+AK194+AK190+AK173+AK171+AK197</f>
        <v>30815.58</v>
      </c>
      <c r="AL198" s="26">
        <f t="shared" si="1511"/>
        <v>32275.739999999998</v>
      </c>
      <c r="AM198" s="26">
        <f t="shared" ref="AM198:AO198" si="1512">AM196+AM194+AM190+AM173+AM171+AM197</f>
        <v>33936.189999999988</v>
      </c>
      <c r="AN198" s="26">
        <f t="shared" si="1512"/>
        <v>34766.480000000003</v>
      </c>
      <c r="AO198" s="26">
        <f t="shared" si="1512"/>
        <v>36489.200000000004</v>
      </c>
      <c r="AP198" s="26">
        <f t="shared" ref="AP198:CE198" si="1513">AP196+AP194+AP190+AP173+AP171+AP197</f>
        <v>37417.61</v>
      </c>
      <c r="AQ198" s="26">
        <f t="shared" si="1513"/>
        <v>39035.279999999999</v>
      </c>
      <c r="AR198" s="26">
        <f t="shared" si="1513"/>
        <v>40278.379999999997</v>
      </c>
      <c r="AS198" s="26">
        <f t="shared" si="1513"/>
        <v>42657.75</v>
      </c>
      <c r="AT198" s="26">
        <f t="shared" si="1513"/>
        <v>43353.07</v>
      </c>
      <c r="AU198" s="26">
        <f t="shared" si="1513"/>
        <v>45293.21</v>
      </c>
      <c r="AV198" s="26">
        <f t="shared" si="1513"/>
        <v>45629.34</v>
      </c>
      <c r="AW198" s="26">
        <f t="shared" si="1513"/>
        <v>47468.92</v>
      </c>
      <c r="AX198" s="26">
        <f t="shared" si="1513"/>
        <v>37385.19</v>
      </c>
      <c r="AY198" s="26">
        <f t="shared" si="1513"/>
        <v>38422.189999999995</v>
      </c>
      <c r="AZ198" s="26">
        <f t="shared" si="1513"/>
        <v>42325.869999999995</v>
      </c>
      <c r="BA198" s="26">
        <f t="shared" si="1513"/>
        <v>44645.869999999995</v>
      </c>
      <c r="BB198" s="26">
        <f t="shared" si="1513"/>
        <v>38713</v>
      </c>
      <c r="BC198" s="26">
        <f t="shared" si="1513"/>
        <v>40602</v>
      </c>
      <c r="BD198" s="26">
        <f t="shared" si="1513"/>
        <v>35772</v>
      </c>
      <c r="BE198" s="26">
        <f t="shared" si="1513"/>
        <v>38070</v>
      </c>
      <c r="BF198" s="26">
        <f t="shared" si="1513"/>
        <v>35932</v>
      </c>
      <c r="BG198" s="26">
        <f t="shared" si="1513"/>
        <v>37850</v>
      </c>
      <c r="BH198" s="26">
        <f t="shared" ref="BH198" si="1514">BH196+BH194+BH190+BH173+BH171+BH197</f>
        <v>39576</v>
      </c>
      <c r="BI198" s="26">
        <f t="shared" si="1513"/>
        <v>41787</v>
      </c>
      <c r="BJ198" s="26">
        <f t="shared" si="1513"/>
        <v>36143</v>
      </c>
      <c r="BK198" s="26">
        <f t="shared" si="1513"/>
        <v>37908</v>
      </c>
      <c r="BL198" s="26">
        <f t="shared" si="1513"/>
        <v>37402</v>
      </c>
      <c r="BM198" s="26">
        <f t="shared" si="1513"/>
        <v>39022</v>
      </c>
      <c r="BN198" s="26">
        <f t="shared" si="1513"/>
        <v>40921</v>
      </c>
      <c r="BO198" s="26">
        <f t="shared" si="1513"/>
        <v>42280</v>
      </c>
      <c r="BP198" s="26">
        <f t="shared" si="1513"/>
        <v>45735</v>
      </c>
      <c r="BQ198" s="26">
        <f t="shared" si="1513"/>
        <v>47935</v>
      </c>
      <c r="BR198" s="26">
        <f t="shared" si="1513"/>
        <v>39490</v>
      </c>
      <c r="BS198" s="26">
        <f t="shared" si="1513"/>
        <v>41473</v>
      </c>
      <c r="BT198" s="26">
        <f t="shared" si="1513"/>
        <v>40889</v>
      </c>
      <c r="BU198" s="26">
        <f t="shared" si="1513"/>
        <v>43590</v>
      </c>
      <c r="BV198" s="26">
        <f t="shared" si="1513"/>
        <v>37104</v>
      </c>
      <c r="BW198" s="26">
        <f t="shared" si="1513"/>
        <v>40196</v>
      </c>
      <c r="BX198" s="26">
        <f t="shared" si="1513"/>
        <v>33387</v>
      </c>
      <c r="BY198" s="26">
        <f t="shared" si="1513"/>
        <v>35543</v>
      </c>
      <c r="BZ198" s="26">
        <f t="shared" si="1513"/>
        <v>24773</v>
      </c>
      <c r="CA198" s="26">
        <f t="shared" si="1513"/>
        <v>26737</v>
      </c>
      <c r="CB198" s="26">
        <f t="shared" si="1513"/>
        <v>24979</v>
      </c>
      <c r="CC198" s="26">
        <f t="shared" si="1513"/>
        <v>27007</v>
      </c>
      <c r="CD198" s="26">
        <f t="shared" si="1513"/>
        <v>23651</v>
      </c>
      <c r="CE198" s="26">
        <f t="shared" si="1513"/>
        <v>25996</v>
      </c>
      <c r="CF198" s="26">
        <f t="shared" ref="CF198:CG198" si="1515">CF196+CF194+CF190+CF173+CF171+CF197</f>
        <v>21289</v>
      </c>
      <c r="CG198" s="26">
        <f t="shared" si="1515"/>
        <v>23967</v>
      </c>
      <c r="CH198" s="26">
        <f t="shared" ref="CH198:CI198" si="1516">CH196+CH194+CH190+CH173+CH171+CH197</f>
        <v>24546</v>
      </c>
      <c r="CI198" s="26">
        <f t="shared" si="1516"/>
        <v>26780</v>
      </c>
      <c r="CJ198" s="26">
        <f t="shared" ref="CJ198:DB198" si="1517">CJ196+CJ194+CJ190+CJ173+CJ171+CJ197</f>
        <v>24398</v>
      </c>
      <c r="CK198" s="26">
        <f t="shared" si="1517"/>
        <v>28314</v>
      </c>
      <c r="CL198" s="26">
        <f t="shared" ref="CL198" si="1518">CL196+CL194+CL190+CL173+CL171+CL197</f>
        <v>30881</v>
      </c>
      <c r="CM198" s="27">
        <f t="shared" si="1517"/>
        <v>35003.038359114653</v>
      </c>
      <c r="CN198" s="27">
        <f t="shared" si="1517"/>
        <v>39340.023052401462</v>
      </c>
      <c r="CO198" s="27">
        <f t="shared" si="1517"/>
        <v>43954.967177691316</v>
      </c>
      <c r="CP198" s="27">
        <f t="shared" si="1517"/>
        <v>48603.77756585936</v>
      </c>
      <c r="CQ198" s="27">
        <f t="shared" si="1517"/>
        <v>52729.731624920794</v>
      </c>
      <c r="CR198" s="27">
        <f t="shared" si="1517"/>
        <v>57079.706733384737</v>
      </c>
      <c r="CS198" s="27">
        <f t="shared" si="1517"/>
        <v>61791.236621196738</v>
      </c>
      <c r="CT198" s="27">
        <f t="shared" si="1517"/>
        <v>66673.09789402131</v>
      </c>
      <c r="CU198" s="27">
        <f t="shared" si="1517"/>
        <v>70632.886951779015</v>
      </c>
      <c r="CV198" s="27">
        <f t="shared" si="1517"/>
        <v>74906.689083135789</v>
      </c>
      <c r="CW198" s="27">
        <f t="shared" si="1517"/>
        <v>79626.172818800609</v>
      </c>
      <c r="CX198" s="27">
        <f t="shared" si="1517"/>
        <v>84582.292898383923</v>
      </c>
      <c r="CY198" s="27">
        <f t="shared" si="1517"/>
        <v>88857.823276872834</v>
      </c>
      <c r="CZ198" s="27">
        <f t="shared" si="1517"/>
        <v>93418.473657516384</v>
      </c>
      <c r="DA198" s="27">
        <f t="shared" si="1517"/>
        <v>98399.76831243957</v>
      </c>
      <c r="DB198" s="27">
        <f t="shared" si="1517"/>
        <v>103604.69600074549</v>
      </c>
      <c r="DE198" s="121"/>
      <c r="DF198" s="26">
        <v>32739.492265678535</v>
      </c>
    </row>
    <row r="199" spans="1:110" s="23" customFormat="1" x14ac:dyDescent="0.2">
      <c r="A199" s="28" t="s">
        <v>439</v>
      </c>
      <c r="B199" s="23">
        <f t="shared" ref="B199:W199" si="1519">B198-B162</f>
        <v>0</v>
      </c>
      <c r="C199" s="23">
        <f t="shared" si="1519"/>
        <v>0</v>
      </c>
      <c r="D199" s="23">
        <f t="shared" si="1519"/>
        <v>0</v>
      </c>
      <c r="E199" s="23">
        <f t="shared" si="1519"/>
        <v>0</v>
      </c>
      <c r="F199" s="23">
        <f t="shared" si="1519"/>
        <v>0</v>
      </c>
      <c r="G199" s="23">
        <f t="shared" si="1519"/>
        <v>0</v>
      </c>
      <c r="H199" s="23">
        <f t="shared" si="1519"/>
        <v>0</v>
      </c>
      <c r="I199" s="23">
        <f t="shared" si="1519"/>
        <v>0</v>
      </c>
      <c r="J199" s="23">
        <f t="shared" si="1519"/>
        <v>0</v>
      </c>
      <c r="K199" s="23">
        <f t="shared" si="1519"/>
        <v>0</v>
      </c>
      <c r="L199" s="23">
        <f t="shared" si="1519"/>
        <v>0</v>
      </c>
      <c r="M199" s="23">
        <f t="shared" si="1519"/>
        <v>0</v>
      </c>
      <c r="N199" s="23">
        <f t="shared" si="1519"/>
        <v>0</v>
      </c>
      <c r="O199" s="23">
        <f t="shared" si="1519"/>
        <v>0</v>
      </c>
      <c r="P199" s="23">
        <f t="shared" si="1519"/>
        <v>0</v>
      </c>
      <c r="Q199" s="23">
        <f t="shared" si="1519"/>
        <v>0</v>
      </c>
      <c r="R199" s="23">
        <f t="shared" si="1519"/>
        <v>0</v>
      </c>
      <c r="S199" s="23">
        <f t="shared" si="1519"/>
        <v>0</v>
      </c>
      <c r="T199" s="23">
        <f t="shared" si="1519"/>
        <v>0</v>
      </c>
      <c r="U199" s="23">
        <f t="shared" si="1519"/>
        <v>0</v>
      </c>
      <c r="V199" s="23">
        <f t="shared" si="1519"/>
        <v>0</v>
      </c>
      <c r="W199" s="23">
        <f t="shared" si="1519"/>
        <v>0</v>
      </c>
      <c r="X199" s="23">
        <f t="shared" ref="X199:Y199" si="1520">X198-X162</f>
        <v>0</v>
      </c>
      <c r="Y199" s="23">
        <f t="shared" si="1520"/>
        <v>0</v>
      </c>
      <c r="Z199" s="23">
        <f t="shared" ref="Z199:AA199" si="1521">Z198-Z162</f>
        <v>0</v>
      </c>
      <c r="AA199" s="23">
        <f t="shared" si="1521"/>
        <v>0</v>
      </c>
      <c r="AB199" s="24">
        <f t="shared" ref="AA199:AD199" si="1522">AB198-AB162</f>
        <v>0</v>
      </c>
      <c r="AC199" s="24">
        <f t="shared" si="1522"/>
        <v>0</v>
      </c>
      <c r="AD199" s="24">
        <f t="shared" si="1522"/>
        <v>0</v>
      </c>
      <c r="AE199" s="24">
        <f t="shared" ref="AE199" si="1523">AE198-AE162</f>
        <v>0</v>
      </c>
      <c r="AJ199" s="23">
        <f t="shared" ref="AJ199" si="1524">AJ198-AJ162</f>
        <v>0</v>
      </c>
      <c r="AK199" s="23">
        <f t="shared" ref="AK199" si="1525">AK198-AK162</f>
        <v>0</v>
      </c>
      <c r="AL199" s="23">
        <f t="shared" ref="AL199:AM199" si="1526">AL198-AL162</f>
        <v>0</v>
      </c>
      <c r="AM199" s="23">
        <f t="shared" si="1526"/>
        <v>0</v>
      </c>
      <c r="AN199" s="23">
        <f t="shared" ref="AN199:AO199" si="1527">AN198-AN162</f>
        <v>0</v>
      </c>
      <c r="AO199" s="23">
        <f t="shared" si="1527"/>
        <v>0</v>
      </c>
      <c r="AP199" s="23">
        <f t="shared" ref="AP199:CE199" si="1528">AP198-AP162</f>
        <v>0</v>
      </c>
      <c r="AQ199" s="23">
        <f t="shared" si="1528"/>
        <v>0</v>
      </c>
      <c r="AR199" s="23">
        <f t="shared" si="1528"/>
        <v>0</v>
      </c>
      <c r="AS199" s="23">
        <f t="shared" si="1528"/>
        <v>0</v>
      </c>
      <c r="AT199" s="23">
        <f t="shared" si="1528"/>
        <v>0</v>
      </c>
      <c r="AU199" s="23">
        <f t="shared" si="1528"/>
        <v>0</v>
      </c>
      <c r="AV199" s="23">
        <f t="shared" si="1528"/>
        <v>0</v>
      </c>
      <c r="AW199" s="23">
        <f t="shared" si="1528"/>
        <v>0</v>
      </c>
      <c r="AX199" s="23">
        <f t="shared" si="1528"/>
        <v>0</v>
      </c>
      <c r="AY199" s="23">
        <f t="shared" si="1528"/>
        <v>0</v>
      </c>
      <c r="AZ199" s="23">
        <f t="shared" si="1528"/>
        <v>0</v>
      </c>
      <c r="BA199" s="23">
        <f t="shared" si="1528"/>
        <v>0</v>
      </c>
      <c r="BB199" s="23">
        <f t="shared" si="1528"/>
        <v>0</v>
      </c>
      <c r="BC199" s="23">
        <f t="shared" si="1528"/>
        <v>0</v>
      </c>
      <c r="BD199" s="23">
        <f t="shared" si="1528"/>
        <v>0</v>
      </c>
      <c r="BE199" s="23">
        <f t="shared" si="1528"/>
        <v>0</v>
      </c>
      <c r="BF199" s="23">
        <f t="shared" si="1528"/>
        <v>0</v>
      </c>
      <c r="BG199" s="23">
        <f t="shared" si="1528"/>
        <v>0</v>
      </c>
      <c r="BH199" s="23">
        <f t="shared" ref="BH199" si="1529">BH198-BH162</f>
        <v>0</v>
      </c>
      <c r="BI199" s="23">
        <f t="shared" si="1528"/>
        <v>0</v>
      </c>
      <c r="BJ199" s="23">
        <f t="shared" si="1528"/>
        <v>0</v>
      </c>
      <c r="BK199" s="23">
        <f t="shared" si="1528"/>
        <v>0</v>
      </c>
      <c r="BL199" s="23">
        <f t="shared" si="1528"/>
        <v>0</v>
      </c>
      <c r="BM199" s="23">
        <f t="shared" si="1528"/>
        <v>0</v>
      </c>
      <c r="BN199" s="23">
        <f t="shared" si="1528"/>
        <v>0</v>
      </c>
      <c r="BO199" s="23">
        <f t="shared" si="1528"/>
        <v>0</v>
      </c>
      <c r="BP199" s="23">
        <f t="shared" si="1528"/>
        <v>0</v>
      </c>
      <c r="BQ199" s="23">
        <f t="shared" si="1528"/>
        <v>0</v>
      </c>
      <c r="BR199" s="23">
        <f t="shared" si="1528"/>
        <v>0</v>
      </c>
      <c r="BS199" s="23">
        <f t="shared" si="1528"/>
        <v>0</v>
      </c>
      <c r="BT199" s="23">
        <f t="shared" si="1528"/>
        <v>0</v>
      </c>
      <c r="BU199" s="23">
        <f t="shared" si="1528"/>
        <v>0</v>
      </c>
      <c r="BV199" s="23">
        <f t="shared" si="1528"/>
        <v>0</v>
      </c>
      <c r="BW199" s="23">
        <f t="shared" si="1528"/>
        <v>0</v>
      </c>
      <c r="BX199" s="23">
        <f t="shared" si="1528"/>
        <v>0</v>
      </c>
      <c r="BY199" s="23">
        <f t="shared" si="1528"/>
        <v>0</v>
      </c>
      <c r="BZ199" s="23">
        <f t="shared" si="1528"/>
        <v>0</v>
      </c>
      <c r="CA199" s="23">
        <f t="shared" si="1528"/>
        <v>0</v>
      </c>
      <c r="CB199" s="23">
        <f t="shared" si="1528"/>
        <v>0</v>
      </c>
      <c r="CC199" s="23">
        <f t="shared" si="1528"/>
        <v>0</v>
      </c>
      <c r="CD199" s="23">
        <f t="shared" si="1528"/>
        <v>0</v>
      </c>
      <c r="CE199" s="23">
        <f t="shared" si="1528"/>
        <v>0</v>
      </c>
      <c r="CF199" s="23">
        <f t="shared" ref="CF199:CG199" si="1530">CF198-CF162</f>
        <v>0</v>
      </c>
      <c r="CG199" s="23">
        <f t="shared" si="1530"/>
        <v>0</v>
      </c>
      <c r="CH199" s="23">
        <f t="shared" ref="CH199:CI199" si="1531">CH198-CH162</f>
        <v>0</v>
      </c>
      <c r="CI199" s="23">
        <f t="shared" si="1531"/>
        <v>0</v>
      </c>
      <c r="CJ199" s="23">
        <f t="shared" ref="CJ199:DB199" si="1532">CJ198-CJ162</f>
        <v>0</v>
      </c>
      <c r="CK199" s="23">
        <f t="shared" si="1532"/>
        <v>0</v>
      </c>
      <c r="CL199" s="23">
        <f t="shared" ref="CL199" si="1533">CL198-CL162</f>
        <v>0</v>
      </c>
      <c r="CM199" s="24">
        <f t="shared" si="1532"/>
        <v>0</v>
      </c>
      <c r="CN199" s="24">
        <f t="shared" si="1532"/>
        <v>0</v>
      </c>
      <c r="CO199" s="24">
        <f t="shared" si="1532"/>
        <v>0</v>
      </c>
      <c r="CP199" s="24">
        <f t="shared" si="1532"/>
        <v>0</v>
      </c>
      <c r="CQ199" s="24">
        <f t="shared" si="1532"/>
        <v>0</v>
      </c>
      <c r="CR199" s="24">
        <f t="shared" si="1532"/>
        <v>0</v>
      </c>
      <c r="CS199" s="24">
        <f t="shared" si="1532"/>
        <v>0</v>
      </c>
      <c r="CT199" s="24">
        <f t="shared" si="1532"/>
        <v>0</v>
      </c>
      <c r="CU199" s="24">
        <f t="shared" si="1532"/>
        <v>0</v>
      </c>
      <c r="CV199" s="24">
        <f t="shared" si="1532"/>
        <v>0</v>
      </c>
      <c r="CW199" s="24">
        <f t="shared" si="1532"/>
        <v>0</v>
      </c>
      <c r="CX199" s="24">
        <f t="shared" si="1532"/>
        <v>0</v>
      </c>
      <c r="CY199" s="24">
        <f t="shared" si="1532"/>
        <v>0</v>
      </c>
      <c r="CZ199" s="24">
        <f t="shared" si="1532"/>
        <v>0</v>
      </c>
      <c r="DA199" s="24">
        <f t="shared" si="1532"/>
        <v>0</v>
      </c>
      <c r="DB199" s="24">
        <f t="shared" si="1532"/>
        <v>0</v>
      </c>
      <c r="DE199" s="123"/>
      <c r="DF199" s="23">
        <v>0</v>
      </c>
    </row>
    <row r="200" spans="1:110" s="23" customFormat="1" x14ac:dyDescent="0.2">
      <c r="A200" s="28"/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80</v>
      </c>
      <c r="B201" s="22">
        <f t="shared" ref="B201:W201" si="1534">B161-B194</f>
        <v>-63.808900000000001</v>
      </c>
      <c r="C201" s="22">
        <f t="shared" si="1534"/>
        <v>-52.606999999999999</v>
      </c>
      <c r="D201" s="22">
        <f t="shared" si="1534"/>
        <v>-256.15200000000004</v>
      </c>
      <c r="E201" s="22">
        <f t="shared" si="1534"/>
        <v>-416.14200000000005</v>
      </c>
      <c r="F201" s="22">
        <f t="shared" si="1534"/>
        <v>-138.67000000000007</v>
      </c>
      <c r="G201" s="22">
        <f t="shared" si="1534"/>
        <v>-1120.8900000000001</v>
      </c>
      <c r="H201" s="22">
        <f t="shared" si="1534"/>
        <v>-4522.5999999999995</v>
      </c>
      <c r="I201" s="22">
        <f t="shared" si="1534"/>
        <v>-7693.45</v>
      </c>
      <c r="J201" s="22">
        <f t="shared" si="1534"/>
        <v>-9637.52</v>
      </c>
      <c r="K201" s="22">
        <f t="shared" si="1534"/>
        <v>-11814.150000000001</v>
      </c>
      <c r="L201" s="22">
        <f t="shared" si="1534"/>
        <v>-14965.03</v>
      </c>
      <c r="M201" s="22">
        <f t="shared" si="1534"/>
        <v>-17947.190000000002</v>
      </c>
      <c r="N201" s="22">
        <f t="shared" si="1534"/>
        <v>-21479.279999999999</v>
      </c>
      <c r="O201" s="22">
        <f t="shared" si="1534"/>
        <v>-25535</v>
      </c>
      <c r="P201" s="22">
        <f t="shared" si="1534"/>
        <v>-30785.1</v>
      </c>
      <c r="Q201" s="22">
        <f t="shared" si="1534"/>
        <v>-35274</v>
      </c>
      <c r="R201" s="22">
        <f t="shared" si="1534"/>
        <v>-24255</v>
      </c>
      <c r="S201" s="22">
        <f t="shared" si="1534"/>
        <v>-22186</v>
      </c>
      <c r="T201" s="22">
        <f t="shared" si="1534"/>
        <v>-16973</v>
      </c>
      <c r="U201" s="22">
        <f t="shared" si="1534"/>
        <v>-21636</v>
      </c>
      <c r="V201" s="22">
        <f t="shared" si="1534"/>
        <v>-15156</v>
      </c>
      <c r="W201" s="22">
        <f t="shared" si="1534"/>
        <v>-17712</v>
      </c>
      <c r="X201" s="22">
        <f t="shared" ref="X201:Y201" si="1535">X161-X194</f>
        <v>886</v>
      </c>
      <c r="Y201" s="22">
        <f t="shared" si="1535"/>
        <v>-1194</v>
      </c>
      <c r="Z201" s="22">
        <f t="shared" ref="Z201:AA201" si="1536">Z161-Z194</f>
        <v>1894</v>
      </c>
      <c r="AA201" s="22">
        <f t="shared" si="1536"/>
        <v>-5316</v>
      </c>
      <c r="AB201" s="21">
        <f t="shared" ref="AA201:AD201" si="1537">AB161-AB194</f>
        <v>-11285.760717151548</v>
      </c>
      <c r="AC201" s="21">
        <f t="shared" si="1537"/>
        <v>-18974.386566477675</v>
      </c>
      <c r="AD201" s="21">
        <f t="shared" si="1537"/>
        <v>-43061.416267206281</v>
      </c>
      <c r="AE201" s="21">
        <f t="shared" ref="AE201" si="1538">AE161-AE194</f>
        <v>-67322.677489848007</v>
      </c>
      <c r="AJ201" s="22">
        <f t="shared" ref="AJ201:AM201" si="1539">AJ161-AJ194</f>
        <v>-19135.23</v>
      </c>
      <c r="AK201" s="22">
        <f t="shared" si="1539"/>
        <v>-20497.513441960455</v>
      </c>
      <c r="AL201" s="22">
        <f t="shared" si="1539"/>
        <v>-21479.279999999999</v>
      </c>
      <c r="AM201" s="22">
        <f t="shared" si="1539"/>
        <v>-23402.387669553416</v>
      </c>
      <c r="AN201" s="22">
        <f t="shared" ref="AN201:AO201" si="1540">AN161-AN194</f>
        <v>-23631.260000000002</v>
      </c>
      <c r="AO201" s="22">
        <f t="shared" si="1540"/>
        <v>-25386.16454785299</v>
      </c>
      <c r="AP201" s="22">
        <f t="shared" ref="AP201:CE201" si="1541">AP161-AP194</f>
        <v>-25535</v>
      </c>
      <c r="AQ201" s="22">
        <f t="shared" si="1541"/>
        <v>-27342.379469593816</v>
      </c>
      <c r="AR201" s="22">
        <f t="shared" si="1541"/>
        <v>-27478.579999999998</v>
      </c>
      <c r="AS201" s="22">
        <f t="shared" si="1541"/>
        <v>-29841.092075331766</v>
      </c>
      <c r="AT201" s="22">
        <f t="shared" si="1541"/>
        <v>-30785.1</v>
      </c>
      <c r="AU201" s="22">
        <f t="shared" si="1541"/>
        <v>-32874.142335566503</v>
      </c>
      <c r="AV201" s="22">
        <f t="shared" si="1541"/>
        <v>-34568.35</v>
      </c>
      <c r="AW201" s="22">
        <f t="shared" si="1541"/>
        <v>-36620.880797406076</v>
      </c>
      <c r="AX201" s="22">
        <f t="shared" si="1541"/>
        <v>-35274.019999999997</v>
      </c>
      <c r="AY201" s="22">
        <f t="shared" si="1541"/>
        <v>-36355.110465834099</v>
      </c>
      <c r="AZ201" s="22">
        <f t="shared" si="1541"/>
        <v>-25165.64</v>
      </c>
      <c r="BA201" s="22">
        <f t="shared" si="1541"/>
        <v>-27151.525111630322</v>
      </c>
      <c r="BB201" s="22">
        <f t="shared" si="1541"/>
        <v>-24255</v>
      </c>
      <c r="BC201" s="22">
        <f t="shared" si="1541"/>
        <v>-26478.994724220625</v>
      </c>
      <c r="BD201" s="22">
        <f t="shared" si="1541"/>
        <v>-19391</v>
      </c>
      <c r="BE201" s="22">
        <f t="shared" si="1541"/>
        <v>-21605.634771143341</v>
      </c>
      <c r="BF201" s="22">
        <f t="shared" si="1541"/>
        <v>-22186</v>
      </c>
      <c r="BG201" s="22">
        <f t="shared" si="1541"/>
        <v>-24198.89756252987</v>
      </c>
      <c r="BH201" s="22">
        <f t="shared" si="1541"/>
        <v>-23315</v>
      </c>
      <c r="BI201" s="22">
        <f t="shared" si="1541"/>
        <v>-25418.665689763449</v>
      </c>
      <c r="BJ201" s="22">
        <f t="shared" si="1541"/>
        <v>-16973</v>
      </c>
      <c r="BK201" s="22">
        <f t="shared" si="1541"/>
        <v>-18789.951192861045</v>
      </c>
      <c r="BL201" s="22">
        <f t="shared" si="1541"/>
        <v>-19649</v>
      </c>
      <c r="BM201" s="22">
        <f t="shared" si="1541"/>
        <v>-21246.443582354244</v>
      </c>
      <c r="BN201" s="22">
        <f t="shared" si="1541"/>
        <v>-21636</v>
      </c>
      <c r="BO201" s="22">
        <f t="shared" si="1541"/>
        <v>-23061.465953085859</v>
      </c>
      <c r="BP201" s="22">
        <f t="shared" si="1541"/>
        <v>-18560</v>
      </c>
      <c r="BQ201" s="22">
        <f t="shared" si="1541"/>
        <v>-20724.940636042404</v>
      </c>
      <c r="BR201" s="22">
        <f t="shared" si="1541"/>
        <v>-15156</v>
      </c>
      <c r="BS201" s="22">
        <f t="shared" si="1541"/>
        <v>-17156.126241543112</v>
      </c>
      <c r="BT201" s="22">
        <f t="shared" si="1541"/>
        <v>-19127</v>
      </c>
      <c r="BU201" s="22">
        <f t="shared" si="1541"/>
        <v>-21557.655668082327</v>
      </c>
      <c r="BV201" s="22">
        <f t="shared" si="1541"/>
        <v>-17992</v>
      </c>
      <c r="BW201" s="22">
        <f t="shared" si="1541"/>
        <v>-21041.679890871888</v>
      </c>
      <c r="BX201" s="22">
        <f t="shared" si="1541"/>
        <v>-15721</v>
      </c>
      <c r="BY201" s="22">
        <f t="shared" si="1541"/>
        <v>-17953.059261036469</v>
      </c>
      <c r="BZ201" s="22">
        <f t="shared" si="1541"/>
        <v>579</v>
      </c>
      <c r="CA201" s="22">
        <f t="shared" si="1541"/>
        <v>-1407.2068398166648</v>
      </c>
      <c r="CB201" s="22">
        <f t="shared" si="1541"/>
        <v>62</v>
      </c>
      <c r="CC201" s="22">
        <f t="shared" si="1541"/>
        <v>-1951.8614342512155</v>
      </c>
      <c r="CD201" s="22">
        <f t="shared" si="1541"/>
        <v>-1593</v>
      </c>
      <c r="CE201" s="22">
        <f t="shared" si="1541"/>
        <v>-3939.9240959067429</v>
      </c>
      <c r="CF201" s="22">
        <f t="shared" ref="CF201:CG201" si="1542">CF161-CF194</f>
        <v>5828</v>
      </c>
      <c r="CG201" s="22">
        <f t="shared" si="1542"/>
        <v>3131.7069801260313</v>
      </c>
      <c r="CH201" s="22">
        <f t="shared" ref="CH201:CI201" si="1543">CH161-CH194</f>
        <v>1894</v>
      </c>
      <c r="CI201" s="22">
        <f t="shared" si="1543"/>
        <v>-597.67921206118808</v>
      </c>
      <c r="CJ201" s="22">
        <f t="shared" ref="CJ201:DB201" si="1544">CJ161-CJ194</f>
        <v>2711</v>
      </c>
      <c r="CK201" s="22">
        <f t="shared" si="1544"/>
        <v>-3408.5901275002943</v>
      </c>
      <c r="CL201" s="22">
        <f t="shared" ref="CL201" si="1545">CL161-CL194</f>
        <v>-5421</v>
      </c>
      <c r="CM201" s="21">
        <f t="shared" si="1544"/>
        <v>-5741.475737558103</v>
      </c>
      <c r="CN201" s="21">
        <f t="shared" si="1544"/>
        <v>-7378.0676597213223</v>
      </c>
      <c r="CO201" s="21">
        <f t="shared" si="1544"/>
        <v>-9127.6368912092694</v>
      </c>
      <c r="CP201" s="21">
        <f t="shared" si="1544"/>
        <v>-11285.760717151548</v>
      </c>
      <c r="CQ201" s="21">
        <f t="shared" si="1544"/>
        <v>-12087.992413187822</v>
      </c>
      <c r="CR201" s="21">
        <f t="shared" si="1544"/>
        <v>-13962.793535807868</v>
      </c>
      <c r="CS201" s="21">
        <f t="shared" si="1544"/>
        <v>-16406.294076054863</v>
      </c>
      <c r="CT201" s="21">
        <f t="shared" si="1544"/>
        <v>-18974.386566477675</v>
      </c>
      <c r="CU201" s="21">
        <f t="shared" si="1544"/>
        <v>-24022.628292222445</v>
      </c>
      <c r="CV201" s="21">
        <f t="shared" si="1544"/>
        <v>-30037.959993891847</v>
      </c>
      <c r="CW201" s="21">
        <f t="shared" si="1544"/>
        <v>-36534.919432391398</v>
      </c>
      <c r="CX201" s="21">
        <f t="shared" si="1544"/>
        <v>-43061.416267206281</v>
      </c>
      <c r="CY201" s="21">
        <f t="shared" si="1544"/>
        <v>-48191.11976872282</v>
      </c>
      <c r="CZ201" s="21">
        <f t="shared" si="1544"/>
        <v>-54249.231316462305</v>
      </c>
      <c r="DA201" s="21">
        <f t="shared" si="1544"/>
        <v>-60771.617300661077</v>
      </c>
      <c r="DB201" s="21">
        <f t="shared" si="1544"/>
        <v>-67322.677489848007</v>
      </c>
      <c r="DE201" s="126"/>
      <c r="DF201" s="22">
        <v>-1652.9395184415371</v>
      </c>
    </row>
    <row r="202" spans="1:110" x14ac:dyDescent="0.2">
      <c r="AA202" s="2"/>
      <c r="CE202" s="111"/>
      <c r="CG202" s="111"/>
      <c r="CL202" s="2"/>
      <c r="CM202" s="24">
        <v>0</v>
      </c>
      <c r="CN202" s="24">
        <v>0</v>
      </c>
      <c r="CO202" s="24">
        <v>0</v>
      </c>
      <c r="CP202" s="24">
        <v>-6057.14</v>
      </c>
      <c r="CQ202" s="24">
        <v>0</v>
      </c>
      <c r="CR202" s="24">
        <v>0</v>
      </c>
      <c r="CS202" s="24">
        <v>0</v>
      </c>
      <c r="CT202" s="24">
        <v>-13975.420000000002</v>
      </c>
      <c r="DF202" s="2">
        <v>-1476.52</v>
      </c>
    </row>
    <row r="203" spans="1:110" s="49" customFormat="1" x14ac:dyDescent="0.2">
      <c r="A203" s="49" t="s">
        <v>81</v>
      </c>
      <c r="B203" s="49">
        <f>'Annual Raw'!C85</f>
        <v>158.2199</v>
      </c>
      <c r="C203" s="49">
        <f>'Annual Raw'!D85</f>
        <v>66.370999999999995</v>
      </c>
      <c r="D203" s="49">
        <f>'Annual Raw'!E85</f>
        <v>71.349000000000004</v>
      </c>
      <c r="E203" s="49">
        <f>'Annual Raw'!F85</f>
        <v>60.722999999999999</v>
      </c>
      <c r="F203" s="49">
        <f>'Annual Raw'!G85</f>
        <v>66.73</v>
      </c>
      <c r="G203" s="49">
        <f>'Annual Raw'!H85</f>
        <v>95.19</v>
      </c>
      <c r="H203" s="49">
        <f>'Annual Raw'!I85</f>
        <v>373.78</v>
      </c>
      <c r="I203" s="49">
        <f>'Annual Raw'!J85</f>
        <v>487.65</v>
      </c>
      <c r="J203" s="49">
        <f>'Annual Raw'!K85</f>
        <v>470.29</v>
      </c>
      <c r="K203" s="49">
        <f>'Annual Raw'!L85</f>
        <v>1024.0899999999999</v>
      </c>
      <c r="L203" s="49">
        <f>'Annual Raw'!M85</f>
        <v>1127.54</v>
      </c>
      <c r="M203" s="49">
        <f>'Annual Raw'!N85</f>
        <v>1430.58</v>
      </c>
      <c r="N203" s="49">
        <f>'Annual Raw'!O85</f>
        <v>1865.77</v>
      </c>
      <c r="O203" s="49">
        <f>'Annual Raw'!P85</f>
        <v>2007.49</v>
      </c>
      <c r="P203" s="49">
        <f>'Annual Raw'!Q85</f>
        <v>2467.52</v>
      </c>
      <c r="Q203" s="49">
        <f>'Annual Raw'!R85</f>
        <v>3201</v>
      </c>
      <c r="R203" s="49">
        <f>'Annual Raw'!S85</f>
        <v>5539</v>
      </c>
      <c r="S203" s="49">
        <f>'Annual Raw'!T85</f>
        <v>5588</v>
      </c>
      <c r="T203" s="49">
        <f>'Annual Raw'!U85</f>
        <v>1520</v>
      </c>
      <c r="U203" s="49">
        <f>'Annual Raw'!V85</f>
        <v>2231</v>
      </c>
      <c r="V203" s="49">
        <f>'Annual Raw'!W85</f>
        <v>2235</v>
      </c>
      <c r="W203" s="49">
        <f>'Annual Raw'!X85</f>
        <v>2091</v>
      </c>
      <c r="X203" s="49">
        <f>'Annual Raw'!Y85</f>
        <v>2178</v>
      </c>
      <c r="Y203" s="49">
        <f>'Annual Raw'!Z85</f>
        <v>2212</v>
      </c>
      <c r="Z203" s="49">
        <f>'Annual Raw'!AA85</f>
        <v>1810</v>
      </c>
      <c r="AA203" s="49">
        <f>'Annual Raw'!AB85</f>
        <v>1686</v>
      </c>
      <c r="AB203" s="50"/>
      <c r="AC203" s="50"/>
      <c r="AD203" s="50"/>
      <c r="AE203" s="50"/>
      <c r="CM203" s="50"/>
      <c r="CN203" s="50"/>
      <c r="CO203" s="50"/>
      <c r="CP203" s="50"/>
      <c r="CQ203" s="50"/>
      <c r="CR203" s="50"/>
      <c r="CS203" s="50"/>
      <c r="CT203" s="50"/>
      <c r="CU203" s="50"/>
      <c r="CV203" s="50"/>
      <c r="CW203" s="50"/>
      <c r="CX203" s="50"/>
      <c r="CY203" s="50"/>
      <c r="CZ203" s="50"/>
      <c r="DA203" s="50"/>
      <c r="DB203" s="50"/>
      <c r="DE203" s="138"/>
    </row>
    <row r="204" spans="1:110" s="29" customFormat="1" x14ac:dyDescent="0.2">
      <c r="A204" s="29" t="s">
        <v>82</v>
      </c>
      <c r="B204" s="29">
        <f>'Annual Raw'!C95</f>
        <v>7.7755000000000001</v>
      </c>
      <c r="C204" s="29">
        <f>'Annual Raw'!D95</f>
        <v>0.159</v>
      </c>
      <c r="D204" s="29">
        <f>'Annual Raw'!E95</f>
        <v>3.1379999999999999</v>
      </c>
      <c r="E204" s="29">
        <f>'Annual Raw'!F95</f>
        <v>3.0209999999999999</v>
      </c>
      <c r="F204" s="29">
        <f>'Annual Raw'!G95</f>
        <v>9.61</v>
      </c>
      <c r="G204" s="29">
        <f>'Annual Raw'!H95</f>
        <v>17.39</v>
      </c>
      <c r="H204" s="29">
        <f>'Annual Raw'!I95</f>
        <v>18.57</v>
      </c>
      <c r="I204" s="29">
        <f>'Annual Raw'!J95</f>
        <v>23.55</v>
      </c>
      <c r="J204" s="29">
        <f>'Annual Raw'!K95</f>
        <v>25.91</v>
      </c>
      <c r="K204" s="29">
        <f>'Annual Raw'!L95</f>
        <v>27.91</v>
      </c>
      <c r="L204" s="29">
        <f>'Annual Raw'!M95</f>
        <v>46.02</v>
      </c>
      <c r="M204" s="29">
        <f>'Annual Raw'!N95</f>
        <v>62.24</v>
      </c>
      <c r="N204" s="29">
        <f>'Annual Raw'!O95</f>
        <v>65.900000000000006</v>
      </c>
      <c r="O204" s="29">
        <f>'Annual Raw'!P95</f>
        <v>63.83</v>
      </c>
      <c r="P204" s="29">
        <f>'Annual Raw'!Q95</f>
        <v>55.92</v>
      </c>
      <c r="Q204" s="29">
        <f>'Annual Raw'!R95</f>
        <v>51</v>
      </c>
      <c r="R204" s="29">
        <f>'Annual Raw'!S95</f>
        <v>65</v>
      </c>
      <c r="S204" s="29">
        <f>'Annual Raw'!T95</f>
        <v>170</v>
      </c>
      <c r="T204" s="29">
        <f>'Annual Raw'!U95</f>
        <v>196</v>
      </c>
      <c r="U204" s="29">
        <f>'Annual Raw'!V95</f>
        <v>225</v>
      </c>
      <c r="V204" s="29">
        <f>'Annual Raw'!W95</f>
        <v>227</v>
      </c>
      <c r="W204" s="29">
        <f>'Annual Raw'!X95</f>
        <v>278</v>
      </c>
      <c r="X204" s="29">
        <f>'Annual Raw'!Y95</f>
        <v>277</v>
      </c>
      <c r="Y204" s="29">
        <f>'Annual Raw'!Z95</f>
        <v>283</v>
      </c>
      <c r="Z204" s="29">
        <f>'Annual Raw'!AA95</f>
        <v>394</v>
      </c>
      <c r="AA204" s="29">
        <f>'Annual Raw'!AB95</f>
        <v>383</v>
      </c>
      <c r="AB204" s="30"/>
      <c r="AC204" s="30"/>
      <c r="AD204" s="30"/>
      <c r="AE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E204" s="139"/>
    </row>
    <row r="205" spans="1:110" s="29" customFormat="1" x14ac:dyDescent="0.2">
      <c r="A205" s="29" t="s">
        <v>83</v>
      </c>
      <c r="B205" s="29">
        <f>'Annual Raw'!C93</f>
        <v>31.513400000000001</v>
      </c>
      <c r="C205" s="29">
        <f>'Annual Raw'!D93</f>
        <v>27.126999999999999</v>
      </c>
      <c r="D205" s="29">
        <f>'Annual Raw'!E93</f>
        <v>16.105</v>
      </c>
      <c r="E205" s="29">
        <f>'Annual Raw'!F93</f>
        <v>57.701999999999998</v>
      </c>
      <c r="F205" s="29">
        <f>'Annual Raw'!G93</f>
        <v>57.12</v>
      </c>
      <c r="G205" s="29">
        <f>'Annual Raw'!H93</f>
        <v>77.8</v>
      </c>
      <c r="H205" s="29">
        <f>'Annual Raw'!I93</f>
        <v>147.77000000000001</v>
      </c>
      <c r="I205" s="29">
        <f>'Annual Raw'!J93</f>
        <v>136.96</v>
      </c>
      <c r="J205" s="29">
        <f>'Annual Raw'!K93</f>
        <v>236.48</v>
      </c>
      <c r="K205" s="29">
        <f>'Annual Raw'!L93</f>
        <v>890.37</v>
      </c>
      <c r="L205" s="29">
        <f>'Annual Raw'!M93</f>
        <v>1081.52</v>
      </c>
      <c r="M205" s="29">
        <f>'Annual Raw'!N93</f>
        <v>1368.34</v>
      </c>
      <c r="N205" s="29">
        <f>'Annual Raw'!O93</f>
        <v>1799.87</v>
      </c>
      <c r="O205" s="29">
        <f>'Annual Raw'!P93</f>
        <v>1943.66</v>
      </c>
      <c r="P205" s="29">
        <f>'Annual Raw'!Q93</f>
        <v>2411.6</v>
      </c>
      <c r="Q205" s="29">
        <f>'Annual Raw'!R93</f>
        <v>3150</v>
      </c>
      <c r="R205" s="29">
        <f>'Annual Raw'!S93</f>
        <v>5474</v>
      </c>
      <c r="S205" s="29">
        <f>'Annual Raw'!T93</f>
        <v>5418</v>
      </c>
      <c r="T205" s="29">
        <f>'Annual Raw'!U93</f>
        <v>1324</v>
      </c>
      <c r="U205" s="29">
        <f>'Annual Raw'!V93</f>
        <v>2006</v>
      </c>
      <c r="V205" s="29">
        <f>'Annual Raw'!W93</f>
        <v>2008</v>
      </c>
      <c r="W205" s="29">
        <f>'Annual Raw'!X93</f>
        <v>1813</v>
      </c>
      <c r="X205" s="29">
        <f>'Annual Raw'!Y93</f>
        <v>1901</v>
      </c>
      <c r="Y205" s="29">
        <f>'Annual Raw'!Z93</f>
        <v>1929</v>
      </c>
      <c r="Z205" s="29">
        <f>'Annual Raw'!AA93</f>
        <v>1416</v>
      </c>
      <c r="AA205" s="29">
        <f>'Annual Raw'!AB93</f>
        <v>1303</v>
      </c>
      <c r="AB205" s="30"/>
      <c r="AC205" s="30"/>
      <c r="AD205" s="30"/>
      <c r="AE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E205" s="139"/>
    </row>
    <row r="206" spans="1:110" s="29" customFormat="1" x14ac:dyDescent="0.2">
      <c r="A206" s="29" t="s">
        <v>84</v>
      </c>
      <c r="B206" s="29">
        <f t="shared" ref="B206:V206" si="1546">B203-B204-B205</f>
        <v>118.931</v>
      </c>
      <c r="C206" s="29">
        <f t="shared" si="1546"/>
        <v>39.084999999999994</v>
      </c>
      <c r="D206" s="29">
        <f t="shared" si="1546"/>
        <v>52.105999999999995</v>
      </c>
      <c r="E206" s="29">
        <f t="shared" si="1546"/>
        <v>0</v>
      </c>
      <c r="F206" s="29">
        <f t="shared" si="1546"/>
        <v>0</v>
      </c>
      <c r="G206" s="29">
        <f t="shared" si="1546"/>
        <v>0</v>
      </c>
      <c r="H206" s="29">
        <f t="shared" si="1546"/>
        <v>207.43999999999997</v>
      </c>
      <c r="I206" s="29">
        <f t="shared" si="1546"/>
        <v>327.14</v>
      </c>
      <c r="J206" s="29">
        <f t="shared" si="1546"/>
        <v>207.9</v>
      </c>
      <c r="K206" s="29">
        <f t="shared" si="1546"/>
        <v>105.80999999999995</v>
      </c>
      <c r="L206" s="29">
        <f t="shared" si="1546"/>
        <v>0</v>
      </c>
      <c r="M206" s="29">
        <f t="shared" si="1546"/>
        <v>0</v>
      </c>
      <c r="N206" s="29">
        <f t="shared" si="1546"/>
        <v>0</v>
      </c>
      <c r="O206" s="29">
        <f t="shared" si="1546"/>
        <v>0</v>
      </c>
      <c r="P206" s="29">
        <f t="shared" si="1546"/>
        <v>0</v>
      </c>
      <c r="Q206" s="29">
        <f t="shared" si="1546"/>
        <v>0</v>
      </c>
      <c r="R206" s="29">
        <f t="shared" si="1546"/>
        <v>0</v>
      </c>
      <c r="S206" s="29">
        <f t="shared" si="1546"/>
        <v>0</v>
      </c>
      <c r="T206" s="29">
        <f t="shared" si="1546"/>
        <v>0</v>
      </c>
      <c r="U206" s="29">
        <f t="shared" si="1546"/>
        <v>0</v>
      </c>
      <c r="V206" s="29">
        <f t="shared" si="1546"/>
        <v>0</v>
      </c>
      <c r="W206" s="29">
        <f t="shared" ref="W206" si="1547">W203-W204-W205</f>
        <v>0</v>
      </c>
      <c r="X206" s="29">
        <f t="shared" ref="X206:Y206" si="1548">X203-X204-X205</f>
        <v>0</v>
      </c>
      <c r="Y206" s="29">
        <f t="shared" si="1548"/>
        <v>0</v>
      </c>
      <c r="Z206" s="29">
        <f t="shared" ref="Z206:AA206" si="1549">Z203-Z204-Z205</f>
        <v>0</v>
      </c>
      <c r="AA206" s="29">
        <f t="shared" si="1549"/>
        <v>0</v>
      </c>
      <c r="AB206" s="30">
        <f t="shared" ref="AA206:AD206" si="1550">AB203-AB204-AB205</f>
        <v>0</v>
      </c>
      <c r="AC206" s="30">
        <f t="shared" si="1550"/>
        <v>0</v>
      </c>
      <c r="AD206" s="30">
        <f t="shared" si="1550"/>
        <v>0</v>
      </c>
      <c r="AE206" s="30">
        <f t="shared" ref="AE206" si="1551">AE203-AE204-AE205</f>
        <v>0</v>
      </c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E206" s="139"/>
      <c r="DF206" s="29">
        <v>0</v>
      </c>
    </row>
    <row r="207" spans="1:110" s="5" customFormat="1" x14ac:dyDescent="0.2">
      <c r="AB207" s="63"/>
      <c r="AC207" s="63"/>
      <c r="AD207" s="63"/>
      <c r="AE207" s="63"/>
      <c r="CE207" s="112"/>
      <c r="CG207" s="112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E207" s="139"/>
    </row>
    <row r="208" spans="1:110" s="95" customFormat="1" x14ac:dyDescent="0.2">
      <c r="A208" s="95" t="s">
        <v>85</v>
      </c>
      <c r="B208" s="95">
        <f t="shared" ref="B208:W208" si="1552">B203/B153</f>
        <v>0.1363661005484727</v>
      </c>
      <c r="C208" s="95">
        <f t="shared" si="1552"/>
        <v>6.2187346279075205E-2</v>
      </c>
      <c r="D208" s="95">
        <f t="shared" si="1552"/>
        <v>6.099576229528518E-2</v>
      </c>
      <c r="E208" s="95">
        <f t="shared" si="1552"/>
        <v>4.0297330765545092E-2</v>
      </c>
      <c r="F208" s="95">
        <f t="shared" si="1552"/>
        <v>3.2116472145349538E-2</v>
      </c>
      <c r="G208" s="95">
        <f t="shared" si="1552"/>
        <v>2.7753966726728828E-2</v>
      </c>
      <c r="H208" s="95">
        <f t="shared" si="1552"/>
        <v>4.9007087921164906E-2</v>
      </c>
      <c r="I208" s="95">
        <f t="shared" si="1552"/>
        <v>4.1158185343077712E-2</v>
      </c>
      <c r="J208" s="95">
        <f t="shared" si="1552"/>
        <v>3.2755520080682124E-2</v>
      </c>
      <c r="K208" s="95">
        <f t="shared" si="1552"/>
        <v>5.6504728268696097E-2</v>
      </c>
      <c r="L208" s="95">
        <f t="shared" si="1552"/>
        <v>5.0039075692345371E-2</v>
      </c>
      <c r="M208" s="95">
        <f t="shared" si="1552"/>
        <v>5.3218487526254341E-2</v>
      </c>
      <c r="N208" s="95">
        <f t="shared" si="1552"/>
        <v>5.7807195125502926E-2</v>
      </c>
      <c r="O208" s="95">
        <f t="shared" si="1552"/>
        <v>5.3650941361567457E-2</v>
      </c>
      <c r="P208" s="95">
        <f t="shared" si="1552"/>
        <v>5.6916845796618327E-2</v>
      </c>
      <c r="Q208" s="95">
        <f t="shared" si="1552"/>
        <v>8.5622575899424902E-2</v>
      </c>
      <c r="R208" s="95">
        <f t="shared" si="1552"/>
        <v>0.17980847265054375</v>
      </c>
      <c r="S208" s="95">
        <f t="shared" si="1552"/>
        <v>0.15551597461872427</v>
      </c>
      <c r="T208" s="95">
        <f t="shared" si="1552"/>
        <v>4.5231364380300551E-2</v>
      </c>
      <c r="U208" s="95">
        <f t="shared" si="1552"/>
        <v>5.5346067973207638E-2</v>
      </c>
      <c r="V208" s="95">
        <f t="shared" si="1552"/>
        <v>6.916720824435986E-2</v>
      </c>
      <c r="W208" s="95">
        <f t="shared" si="1552"/>
        <v>6.0995886934453486E-2</v>
      </c>
      <c r="X208" s="95">
        <f t="shared" ref="X208:Y208" si="1553">X203/X153</f>
        <v>0.16841942468295701</v>
      </c>
      <c r="Y208" s="95">
        <f t="shared" si="1553"/>
        <v>0.14557420204014479</v>
      </c>
      <c r="Z208" s="95">
        <f t="shared" ref="Z208:AA208" si="1554">Z203/Z153</f>
        <v>0.13582470358697282</v>
      </c>
      <c r="AA208" s="95">
        <f t="shared" si="1554"/>
        <v>7.4506164655972429E-2</v>
      </c>
      <c r="AB208" s="87">
        <f t="shared" ref="AA208:AD208" si="1555">AB203/AB153</f>
        <v>0</v>
      </c>
      <c r="AC208" s="87">
        <f t="shared" si="1555"/>
        <v>0</v>
      </c>
      <c r="AD208" s="87">
        <f t="shared" si="1555"/>
        <v>0</v>
      </c>
      <c r="AE208" s="87">
        <f t="shared" ref="AE208" si="1556">AE203/AE153</f>
        <v>0</v>
      </c>
      <c r="CM208" s="96"/>
      <c r="CN208" s="96"/>
      <c r="CO208" s="96"/>
      <c r="CP208" s="96"/>
      <c r="CQ208" s="96"/>
      <c r="CR208" s="96"/>
      <c r="CS208" s="96"/>
      <c r="CT208" s="96"/>
      <c r="CU208" s="96"/>
      <c r="CV208" s="96"/>
      <c r="CW208" s="96"/>
      <c r="CX208" s="96"/>
      <c r="CY208" s="96"/>
      <c r="CZ208" s="96"/>
      <c r="DA208" s="96"/>
      <c r="DB208" s="96"/>
      <c r="DE208" s="140"/>
      <c r="DF208" s="95">
        <v>0</v>
      </c>
    </row>
    <row r="209" spans="1:110" x14ac:dyDescent="0.2">
      <c r="A209" s="152" t="s">
        <v>492</v>
      </c>
      <c r="AA209" s="2"/>
      <c r="CE209" s="111"/>
      <c r="CG209" s="111"/>
      <c r="CL209" s="2"/>
    </row>
    <row r="210" spans="1:110" s="6" customFormat="1" x14ac:dyDescent="0.2">
      <c r="AB210" s="19"/>
      <c r="AC210" s="19"/>
      <c r="AD210" s="19"/>
      <c r="AE210" s="19"/>
      <c r="CE210" s="113"/>
      <c r="CG210" s="113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</row>
    <row r="211" spans="1:110" s="62" customFormat="1" x14ac:dyDescent="0.2">
      <c r="A211" s="153" t="s">
        <v>493</v>
      </c>
      <c r="AB211" s="63"/>
      <c r="AC211" s="63"/>
      <c r="AD211" s="63"/>
      <c r="AE211" s="63"/>
      <c r="CE211" s="114"/>
      <c r="CG211" s="114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E211" s="139"/>
    </row>
    <row r="212" spans="1:110" s="62" customFormat="1" outlineLevel="1" x14ac:dyDescent="0.2">
      <c r="A212" s="68" t="s">
        <v>464</v>
      </c>
      <c r="B212" s="67">
        <f t="shared" ref="B212:AE212" si="1557">B177/B36*365</f>
        <v>103.10279526072408</v>
      </c>
      <c r="C212" s="67">
        <f t="shared" si="1557"/>
        <v>113.93661692306932</v>
      </c>
      <c r="D212" s="67">
        <f t="shared" si="1557"/>
        <v>67.750922708324751</v>
      </c>
      <c r="E212" s="67">
        <f t="shared" si="1557"/>
        <v>56.633811332589076</v>
      </c>
      <c r="F212" s="67">
        <f t="shared" si="1557"/>
        <v>49.681467849566992</v>
      </c>
      <c r="G212" s="67">
        <f t="shared" si="1557"/>
        <v>32.321566433825055</v>
      </c>
      <c r="H212" s="67">
        <f t="shared" si="1557"/>
        <v>19.764458350731253</v>
      </c>
      <c r="I212" s="67">
        <f t="shared" si="1557"/>
        <v>21.644551677881541</v>
      </c>
      <c r="J212" s="67">
        <f t="shared" si="1557"/>
        <v>32.429678887953536</v>
      </c>
      <c r="K212" s="67">
        <f t="shared" si="1557"/>
        <v>19.541080865194651</v>
      </c>
      <c r="L212" s="67">
        <f t="shared" si="1557"/>
        <v>26.210099982574871</v>
      </c>
      <c r="M212" s="67">
        <f t="shared" si="1557"/>
        <v>24.147742865694561</v>
      </c>
      <c r="N212" s="67">
        <f t="shared" si="1557"/>
        <v>29.692758311160965</v>
      </c>
      <c r="O212" s="67">
        <f t="shared" si="1557"/>
        <v>29.287894971221551</v>
      </c>
      <c r="P212" s="67">
        <f t="shared" si="1557"/>
        <v>27.471214428748176</v>
      </c>
      <c r="Q212" s="67">
        <f t="shared" si="1557"/>
        <v>24.973808445967794</v>
      </c>
      <c r="R212" s="67">
        <f t="shared" si="1557"/>
        <v>37.591233109905311</v>
      </c>
      <c r="S212" s="67">
        <f t="shared" si="1557"/>
        <v>22.351569785514453</v>
      </c>
      <c r="T212" s="67">
        <f t="shared" si="1557"/>
        <v>26.686239227199547</v>
      </c>
      <c r="U212" s="67">
        <f t="shared" si="1557"/>
        <v>36.08507084747589</v>
      </c>
      <c r="V212" s="67">
        <f t="shared" si="1557"/>
        <v>22.984886649874056</v>
      </c>
      <c r="W212" s="67">
        <f t="shared" si="1557"/>
        <v>24.213485054347828</v>
      </c>
      <c r="X212" s="67">
        <f t="shared" si="1557"/>
        <v>19.931667546483666</v>
      </c>
      <c r="Y212" s="67">
        <f t="shared" si="1557"/>
        <v>24.298009124844462</v>
      </c>
      <c r="Z212" s="67">
        <f t="shared" si="1557"/>
        <v>20.229586597423936</v>
      </c>
      <c r="AA212" s="67">
        <f t="shared" ref="AA212" si="1558">AA177/AA36*365</f>
        <v>18.355450004896678</v>
      </c>
      <c r="AB212" s="18">
        <f t="shared" si="1557"/>
        <v>17.782845762696972</v>
      </c>
      <c r="AC212" s="18">
        <f t="shared" si="1557"/>
        <v>18.033094929067659</v>
      </c>
      <c r="AD212" s="18">
        <f t="shared" si="1557"/>
        <v>17.898255568532491</v>
      </c>
      <c r="AE212" s="18">
        <f t="shared" si="1557"/>
        <v>17.885767181153895</v>
      </c>
      <c r="AI212" s="67">
        <f>AJ177/AI36*90</f>
        <v>55.787874266207133</v>
      </c>
      <c r="AJ212" s="67">
        <f>AJ177/AJ36*90</f>
        <v>53.495389919943051</v>
      </c>
      <c r="AK212" s="67">
        <f t="shared" ref="AK212:CE212" si="1559">+AJ212</f>
        <v>53.495389919943051</v>
      </c>
      <c r="AL212" s="67">
        <f>AL177/AL36*90</f>
        <v>25.58379491640336</v>
      </c>
      <c r="AM212" s="67">
        <f t="shared" ref="AM212:AM213" si="1560">+AL212</f>
        <v>25.58379491640336</v>
      </c>
      <c r="AN212" s="67">
        <f>AN177/AN36*90</f>
        <v>28.899084888722804</v>
      </c>
      <c r="AO212" s="67">
        <f t="shared" ref="AO212:AO213" si="1561">+AN212</f>
        <v>28.899084888722804</v>
      </c>
      <c r="AP212" s="67">
        <f>AP177/AP36*90</f>
        <v>29.605016087056786</v>
      </c>
      <c r="AQ212" s="67">
        <f t="shared" ref="AQ212:AQ213" si="1562">+AP212</f>
        <v>29.605016087056786</v>
      </c>
      <c r="AR212" s="67">
        <f>AR177/AR36*90</f>
        <v>26.891262840641915</v>
      </c>
      <c r="AS212" s="67">
        <f t="shared" ref="AS212:AS213" si="1563">+AR212</f>
        <v>26.891262840641915</v>
      </c>
      <c r="AT212" s="67">
        <f>AT177/AT36*90</f>
        <v>26.43382424230672</v>
      </c>
      <c r="AU212" s="67">
        <f t="shared" ref="AU212:AU213" si="1564">+AT212</f>
        <v>26.43382424230672</v>
      </c>
      <c r="AV212" s="67">
        <f>AV177/AV36*90</f>
        <v>27.577147603880785</v>
      </c>
      <c r="AW212" s="67">
        <f t="shared" ref="AW212:AW213" si="1565">+AV212</f>
        <v>27.577147603880785</v>
      </c>
      <c r="AX212" s="67">
        <f>AX177/AX36*90</f>
        <v>27.577043019003412</v>
      </c>
      <c r="AY212" s="67">
        <f t="shared" ref="AY212:AY213" si="1566">+AX212</f>
        <v>27.577043019003412</v>
      </c>
      <c r="AZ212" s="67">
        <f>AZ177/AZ36*90</f>
        <v>29.802803738317756</v>
      </c>
      <c r="BA212" s="67">
        <f t="shared" ref="BA212:BA213" si="1567">+AZ212</f>
        <v>29.802803738317756</v>
      </c>
      <c r="BB212" s="67">
        <f>BB177/BB36*90</f>
        <v>27.856115107913666</v>
      </c>
      <c r="BC212" s="67">
        <f t="shared" ref="BC212:BC213" si="1568">+BB212</f>
        <v>27.856115107913666</v>
      </c>
      <c r="BD212" s="67">
        <f>BD177/BD36*90</f>
        <v>28.022226407986437</v>
      </c>
      <c r="BE212" s="67">
        <f t="shared" ref="BE212:BE213" si="1569">+BD212</f>
        <v>28.022226407986437</v>
      </c>
      <c r="BF212" s="67">
        <f>BF177/BF36*90</f>
        <v>19.772184164409747</v>
      </c>
      <c r="BG212" s="67">
        <f t="shared" ref="BG212:BG213" si="1570">+BF212</f>
        <v>19.772184164409747</v>
      </c>
      <c r="BH212" s="67">
        <f>BH177/BH36*90</f>
        <v>27.695206196357542</v>
      </c>
      <c r="BI212" s="67">
        <f t="shared" ref="BI212:BI213" si="1571">+BH212</f>
        <v>27.695206196357542</v>
      </c>
      <c r="BJ212" s="67">
        <f>BJ177/BJ36*90</f>
        <v>25.306865780367875</v>
      </c>
      <c r="BK212" s="67">
        <f t="shared" ref="BK212:BK213" si="1572">+BJ212</f>
        <v>25.306865780367875</v>
      </c>
      <c r="BL212" s="67">
        <f>BL177/BL36*90</f>
        <v>32.520505431168253</v>
      </c>
      <c r="BM212" s="67">
        <f t="shared" ref="BM212:BM213" si="1573">+BL212</f>
        <v>32.520505431168253</v>
      </c>
      <c r="BN212" s="67">
        <f>BN177/BN36*90</f>
        <v>37.611022546117056</v>
      </c>
      <c r="BO212" s="67">
        <f t="shared" ref="BO212:BO213" si="1574">+BN212</f>
        <v>37.611022546117056</v>
      </c>
      <c r="BP212" s="67">
        <f>BP177/BP36*90</f>
        <v>23.978798586572434</v>
      </c>
      <c r="BQ212" s="67">
        <f t="shared" ref="BQ212:BQ213" si="1575">+BP212</f>
        <v>23.978798586572434</v>
      </c>
      <c r="BR212" s="67">
        <f>BR177/BR36*90</f>
        <v>18.461206276090401</v>
      </c>
      <c r="BS212" s="67">
        <f t="shared" ref="BS212:BS213" si="1576">+BR212</f>
        <v>18.461206276090401</v>
      </c>
      <c r="BT212" s="67">
        <f>BT177/BT36*90</f>
        <v>25.476968311009472</v>
      </c>
      <c r="BU212" s="67">
        <f t="shared" ref="BU212:BU213" si="1577">+BT212</f>
        <v>25.476968311009472</v>
      </c>
      <c r="BV212" s="67">
        <f>BV177/BV36*90</f>
        <v>19.980675230192109</v>
      </c>
      <c r="BW212" s="67">
        <f t="shared" ref="BW212:BW213" si="1578">+BV212</f>
        <v>19.980675230192109</v>
      </c>
      <c r="BX212" s="67">
        <f>BX177/BX36*90</f>
        <v>27.423224568138199</v>
      </c>
      <c r="BY212" s="67">
        <f t="shared" ref="BY212:BY213" si="1579">+BX212</f>
        <v>27.423224568138199</v>
      </c>
      <c r="BZ212" s="67">
        <f>BZ177/BZ36*90</f>
        <v>19.694441179927136</v>
      </c>
      <c r="CA212" s="67">
        <f t="shared" ref="CA212:CA213" si="1580">+BZ212</f>
        <v>19.694441179927136</v>
      </c>
      <c r="CB212" s="67">
        <f>CB177/CB36*90</f>
        <v>23.696068325725225</v>
      </c>
      <c r="CC212" s="67">
        <f t="shared" ref="CC212:CC213" si="1581">+CB212</f>
        <v>23.696068325725225</v>
      </c>
      <c r="CD212" s="67">
        <f>CD177/CD36*90</f>
        <v>22.961981719433037</v>
      </c>
      <c r="CE212" s="67">
        <f t="shared" si="1559"/>
        <v>22.961981719433037</v>
      </c>
      <c r="CF212" s="67">
        <f>CF177/CF36*90</f>
        <v>18.573679108095007</v>
      </c>
      <c r="CG212" s="67">
        <f t="shared" ref="CG212:CI213" si="1582">+CF212</f>
        <v>18.573679108095007</v>
      </c>
      <c r="CH212" s="67">
        <f>CH177/CH36*90</f>
        <v>18.7091449323209</v>
      </c>
      <c r="CI212" s="67">
        <f t="shared" si="1582"/>
        <v>18.7091449323209</v>
      </c>
      <c r="CJ212" s="67">
        <f>CJ177/CJ36*90</f>
        <v>23.739618668850159</v>
      </c>
      <c r="CK212" s="67">
        <f t="shared" ref="CK212:CK213" si="1583">+CJ212</f>
        <v>23.739618668850159</v>
      </c>
      <c r="CL212" s="67">
        <f>CL177/CL36*90</f>
        <v>13.648848198464265</v>
      </c>
      <c r="CM212" s="30">
        <f>+CL212</f>
        <v>13.648848198464265</v>
      </c>
      <c r="CN212" s="30">
        <f>+CM212</f>
        <v>13.648848198464265</v>
      </c>
      <c r="CO212" s="30">
        <f>+CN212+3</f>
        <v>16.648848198464265</v>
      </c>
      <c r="CP212" s="30">
        <f t="shared" ref="CO212:DB214" si="1584">+CO212</f>
        <v>16.648848198464265</v>
      </c>
      <c r="CQ212" s="30">
        <f t="shared" si="1584"/>
        <v>16.648848198464265</v>
      </c>
      <c r="CR212" s="30">
        <f t="shared" si="1584"/>
        <v>16.648848198464265</v>
      </c>
      <c r="CS212" s="30">
        <f t="shared" si="1584"/>
        <v>16.648848198464265</v>
      </c>
      <c r="CT212" s="30">
        <f t="shared" si="1584"/>
        <v>16.648848198464265</v>
      </c>
      <c r="CU212" s="30">
        <f t="shared" si="1584"/>
        <v>16.648848198464265</v>
      </c>
      <c r="CV212" s="30">
        <f t="shared" si="1584"/>
        <v>16.648848198464265</v>
      </c>
      <c r="CW212" s="30">
        <f t="shared" si="1584"/>
        <v>16.648848198464265</v>
      </c>
      <c r="CX212" s="30">
        <f t="shared" si="1584"/>
        <v>16.648848198464265</v>
      </c>
      <c r="CY212" s="30">
        <f t="shared" si="1584"/>
        <v>16.648848198464265</v>
      </c>
      <c r="CZ212" s="30">
        <f t="shared" si="1584"/>
        <v>16.648848198464265</v>
      </c>
      <c r="DA212" s="30">
        <f t="shared" si="1584"/>
        <v>16.648848198464265</v>
      </c>
      <c r="DB212" s="30">
        <f t="shared" si="1584"/>
        <v>16.648848198464265</v>
      </c>
      <c r="DE212" s="139"/>
      <c r="DF212" s="62">
        <v>28.739618668850159</v>
      </c>
    </row>
    <row r="213" spans="1:110" s="62" customFormat="1" outlineLevel="1" x14ac:dyDescent="0.2">
      <c r="A213" s="68" t="s">
        <v>465</v>
      </c>
      <c r="B213" s="67">
        <f t="shared" ref="B213:AE213" si="1585">B178/B36*365</f>
        <v>20.113434621075466</v>
      </c>
      <c r="C213" s="67">
        <f t="shared" si="1585"/>
        <v>14.184595817702537</v>
      </c>
      <c r="D213" s="67">
        <f t="shared" si="1585"/>
        <v>13.778899806728374</v>
      </c>
      <c r="E213" s="67">
        <f t="shared" si="1585"/>
        <v>47.881590928002865</v>
      </c>
      <c r="F213" s="67">
        <f t="shared" si="1585"/>
        <v>38.764652234631185</v>
      </c>
      <c r="G213" s="67">
        <f t="shared" si="1585"/>
        <v>58.20159907171552</v>
      </c>
      <c r="H213" s="67">
        <f t="shared" si="1585"/>
        <v>22.034315028008393</v>
      </c>
      <c r="I213" s="67">
        <f t="shared" si="1585"/>
        <v>18.534687893088062</v>
      </c>
      <c r="J213" s="67">
        <f t="shared" si="1585"/>
        <v>9.8027182417238858</v>
      </c>
      <c r="K213" s="67">
        <f t="shared" si="1585"/>
        <v>6.5677653246613188</v>
      </c>
      <c r="L213" s="67">
        <f t="shared" si="1585"/>
        <v>7.1814945110837956</v>
      </c>
      <c r="M213" s="67">
        <f t="shared" si="1585"/>
        <v>10.060802962252996</v>
      </c>
      <c r="N213" s="67">
        <f t="shared" si="1585"/>
        <v>10.766293946320657</v>
      </c>
      <c r="O213" s="67">
        <f t="shared" si="1585"/>
        <v>9.7649944251174414</v>
      </c>
      <c r="P213" s="67">
        <f t="shared" si="1585"/>
        <v>14.935907150771923</v>
      </c>
      <c r="Q213" s="67">
        <f t="shared" si="1585"/>
        <v>2.5257065252538315</v>
      </c>
      <c r="R213" s="67">
        <f t="shared" si="1585"/>
        <v>2.640706458133844</v>
      </c>
      <c r="S213" s="67">
        <f t="shared" si="1585"/>
        <v>2.9823704427372442</v>
      </c>
      <c r="T213" s="67">
        <f t="shared" si="1585"/>
        <v>3.3876314044890612</v>
      </c>
      <c r="U213" s="67">
        <f t="shared" si="1585"/>
        <v>7.4529928344378007</v>
      </c>
      <c r="V213" s="67">
        <f t="shared" si="1585"/>
        <v>6.5486764770869241</v>
      </c>
      <c r="W213" s="67">
        <f t="shared" si="1585"/>
        <v>8.8770380434782599</v>
      </c>
      <c r="X213" s="67">
        <f t="shared" si="1585"/>
        <v>4.0676872543844214</v>
      </c>
      <c r="Y213" s="67">
        <f t="shared" si="1585"/>
        <v>1.9554472556339</v>
      </c>
      <c r="Z213" s="67">
        <f t="shared" si="1585"/>
        <v>1.2529706891998944</v>
      </c>
      <c r="AA213" s="67">
        <f t="shared" ref="AA213" si="1586">AA178/AA36*365</f>
        <v>3.5656399960826564</v>
      </c>
      <c r="AB213" s="18">
        <f t="shared" si="1585"/>
        <v>2.8319496538167575</v>
      </c>
      <c r="AC213" s="18">
        <f t="shared" si="1585"/>
        <v>2.8718022763682067</v>
      </c>
      <c r="AD213" s="18">
        <f t="shared" si="1585"/>
        <v>2.8503288696095725</v>
      </c>
      <c r="AE213" s="18">
        <f t="shared" si="1585"/>
        <v>2.8483400718217777</v>
      </c>
      <c r="AI213" s="67">
        <f>AJ178/AI36*90</f>
        <v>19.360230883171806</v>
      </c>
      <c r="AJ213" s="67">
        <f>AJ178/AJ36*90</f>
        <v>18.564663265234902</v>
      </c>
      <c r="AK213" s="67">
        <f>+AJ213</f>
        <v>18.564663265234902</v>
      </c>
      <c r="AL213" s="67">
        <f>AL178/AL36*90</f>
        <v>9.2764253642562</v>
      </c>
      <c r="AM213" s="67">
        <f t="shared" si="1560"/>
        <v>9.2764253642562</v>
      </c>
      <c r="AN213" s="67">
        <f>AN178/AN36*90</f>
        <v>11.911731237690111</v>
      </c>
      <c r="AO213" s="67">
        <f t="shared" si="1561"/>
        <v>11.911731237690111</v>
      </c>
      <c r="AP213" s="67">
        <f>AP178/AP36*90</f>
        <v>9.8707270471191553</v>
      </c>
      <c r="AQ213" s="67">
        <f t="shared" si="1562"/>
        <v>9.8707270471191553</v>
      </c>
      <c r="AR213" s="67">
        <f>AR178/AR36*90</f>
        <v>16.890000473387722</v>
      </c>
      <c r="AS213" s="67">
        <f t="shared" si="1563"/>
        <v>16.890000473387722</v>
      </c>
      <c r="AT213" s="67">
        <f>AT178/AT36*90</f>
        <v>14.371885361928216</v>
      </c>
      <c r="AU213" s="67">
        <f t="shared" si="1564"/>
        <v>14.371885361928216</v>
      </c>
      <c r="AV213" s="67">
        <f>AV178/AV36*90</f>
        <v>6.2268580135295135</v>
      </c>
      <c r="AW213" s="67">
        <f t="shared" si="1565"/>
        <v>6.2268580135295135</v>
      </c>
      <c r="AX213" s="67">
        <f>AX178/AX36*90</f>
        <v>2.7829302262283595</v>
      </c>
      <c r="AY213" s="67">
        <f t="shared" si="1566"/>
        <v>2.7829302262283595</v>
      </c>
      <c r="AZ213" s="67">
        <f>AZ178/AZ36*90</f>
        <v>11.049532710280374</v>
      </c>
      <c r="BA213" s="67">
        <f t="shared" si="1567"/>
        <v>11.049532710280374</v>
      </c>
      <c r="BB213" s="67">
        <f>BB178/BB36*90</f>
        <v>1.9568345323741008</v>
      </c>
      <c r="BC213" s="67">
        <f t="shared" si="1568"/>
        <v>1.9568345323741008</v>
      </c>
      <c r="BD213" s="67">
        <f>BD178/BD36*90</f>
        <v>6.1367489169335085</v>
      </c>
      <c r="BE213" s="67">
        <f t="shared" si="1569"/>
        <v>6.1367489169335085</v>
      </c>
      <c r="BF213" s="67">
        <f>BF178/BF36*90</f>
        <v>2.6382029631989803</v>
      </c>
      <c r="BG213" s="67">
        <f t="shared" si="1570"/>
        <v>2.6382029631989803</v>
      </c>
      <c r="BH213" s="67">
        <f>BH178/BH36*90</f>
        <v>4.0506594096713417</v>
      </c>
      <c r="BI213" s="67">
        <f t="shared" si="1571"/>
        <v>4.0506594096713417</v>
      </c>
      <c r="BJ213" s="67">
        <f>BJ178/BJ36*90</f>
        <v>3.212529593880896</v>
      </c>
      <c r="BK213" s="67">
        <f t="shared" si="1572"/>
        <v>3.212529593880896</v>
      </c>
      <c r="BL213" s="67">
        <f>BL178/BL36*90</f>
        <v>6.0252715584127694</v>
      </c>
      <c r="BM213" s="67">
        <f t="shared" si="1573"/>
        <v>6.0252715584127694</v>
      </c>
      <c r="BN213" s="67">
        <f>BN178/BN36*90</f>
        <v>7.7681621498519693</v>
      </c>
      <c r="BO213" s="67">
        <f t="shared" si="1574"/>
        <v>7.7681621498519693</v>
      </c>
      <c r="BP213" s="67">
        <f>BP178/BP36*90</f>
        <v>8.0459363957597176</v>
      </c>
      <c r="BQ213" s="67">
        <f t="shared" si="1575"/>
        <v>8.0459363957597176</v>
      </c>
      <c r="BR213" s="67">
        <f>BR178/BR36*90</f>
        <v>5.259824384626457</v>
      </c>
      <c r="BS213" s="67">
        <f t="shared" si="1576"/>
        <v>5.259824384626457</v>
      </c>
      <c r="BT213" s="67">
        <f>BT178/BT36*90</f>
        <v>6.6889905259719038</v>
      </c>
      <c r="BU213" s="67">
        <f t="shared" si="1577"/>
        <v>6.6889905259719038</v>
      </c>
      <c r="BV213" s="67">
        <f>BV178/BV36*90</f>
        <v>7.3252245083551211</v>
      </c>
      <c r="BW213" s="67">
        <f t="shared" si="1578"/>
        <v>7.3252245083551211</v>
      </c>
      <c r="BX213" s="67">
        <f>BX178/BX36*90</f>
        <v>4.0055182341650672</v>
      </c>
      <c r="BY213" s="67">
        <f t="shared" si="1579"/>
        <v>4.0055182341650672</v>
      </c>
      <c r="BZ213" s="67">
        <f>BZ178/BZ36*90</f>
        <v>4.0192737101892115</v>
      </c>
      <c r="CA213" s="67">
        <f t="shared" si="1580"/>
        <v>4.0192737101892115</v>
      </c>
      <c r="CB213" s="67">
        <f>CB178/CB36*90</f>
        <v>2.8626122809600942</v>
      </c>
      <c r="CC213" s="67">
        <f t="shared" si="1581"/>
        <v>2.8626122809600942</v>
      </c>
      <c r="CD213" s="67">
        <f>CD178/CD36*90</f>
        <v>1.84792687773215</v>
      </c>
      <c r="CE213" s="114">
        <f t="shared" ref="CE213" si="1587">+CD213</f>
        <v>1.84792687773215</v>
      </c>
      <c r="CF213" s="67">
        <f>CF178/CF36*90</f>
        <v>2.9447406689287448</v>
      </c>
      <c r="CG213" s="67">
        <f t="shared" si="1582"/>
        <v>2.9447406689287448</v>
      </c>
      <c r="CH213" s="67">
        <f>CH178/CH36*90</f>
        <v>1.1587982832618027</v>
      </c>
      <c r="CI213" s="67">
        <f t="shared" si="1582"/>
        <v>1.1587982832618027</v>
      </c>
      <c r="CJ213" s="67">
        <f>CJ178/CJ36*90</f>
        <v>1.8423207392677505</v>
      </c>
      <c r="CK213" s="67">
        <f t="shared" si="1583"/>
        <v>1.8423207392677505</v>
      </c>
      <c r="CL213" s="67">
        <f>CL178/CL36*90</f>
        <v>2.6513585351447135</v>
      </c>
      <c r="CM213" s="30">
        <f t="shared" ref="CM213:CN214" si="1588">+CL213</f>
        <v>2.6513585351447135</v>
      </c>
      <c r="CN213" s="30">
        <f t="shared" si="1588"/>
        <v>2.6513585351447135</v>
      </c>
      <c r="CO213" s="30">
        <f t="shared" ref="CO213" si="1589">+CN213</f>
        <v>2.6513585351447135</v>
      </c>
      <c r="CP213" s="30">
        <f t="shared" si="1584"/>
        <v>2.6513585351447135</v>
      </c>
      <c r="CQ213" s="30">
        <f t="shared" si="1584"/>
        <v>2.6513585351447135</v>
      </c>
      <c r="CR213" s="30">
        <f t="shared" si="1584"/>
        <v>2.6513585351447135</v>
      </c>
      <c r="CS213" s="30">
        <f t="shared" si="1584"/>
        <v>2.6513585351447135</v>
      </c>
      <c r="CT213" s="30">
        <f t="shared" si="1584"/>
        <v>2.6513585351447135</v>
      </c>
      <c r="CU213" s="30">
        <f t="shared" si="1584"/>
        <v>2.6513585351447135</v>
      </c>
      <c r="CV213" s="30">
        <f t="shared" si="1584"/>
        <v>2.6513585351447135</v>
      </c>
      <c r="CW213" s="30">
        <f t="shared" si="1584"/>
        <v>2.6513585351447135</v>
      </c>
      <c r="CX213" s="30">
        <f t="shared" si="1584"/>
        <v>2.6513585351447135</v>
      </c>
      <c r="CY213" s="30">
        <f t="shared" si="1584"/>
        <v>2.6513585351447135</v>
      </c>
      <c r="CZ213" s="30">
        <f t="shared" si="1584"/>
        <v>2.6513585351447135</v>
      </c>
      <c r="DA213" s="30">
        <f t="shared" si="1584"/>
        <v>2.6513585351447135</v>
      </c>
      <c r="DB213" s="30">
        <f t="shared" si="1584"/>
        <v>2.6513585351447135</v>
      </c>
      <c r="DE213" s="139"/>
      <c r="DF213" s="62">
        <v>6.8423207392677501</v>
      </c>
    </row>
    <row r="214" spans="1:110" s="62" customFormat="1" outlineLevel="1" x14ac:dyDescent="0.2">
      <c r="A214" s="68" t="s">
        <v>466</v>
      </c>
      <c r="B214" s="67">
        <f>B215-B213-B212</f>
        <v>34.134673665342021</v>
      </c>
      <c r="C214" s="67">
        <f t="shared" ref="C214:U214" si="1590">C215-C213-C212</f>
        <v>35.672500911233527</v>
      </c>
      <c r="D214" s="67">
        <f t="shared" si="1590"/>
        <v>24.610346700681177</v>
      </c>
      <c r="E214" s="67">
        <f t="shared" si="1590"/>
        <v>16.685961078646429</v>
      </c>
      <c r="F214" s="67">
        <f t="shared" si="1590"/>
        <v>17.776606096632484</v>
      </c>
      <c r="G214" s="67">
        <f t="shared" si="1590"/>
        <v>13.701441892073049</v>
      </c>
      <c r="H214" s="67">
        <f t="shared" si="1590"/>
        <v>12.08756080234695</v>
      </c>
      <c r="I214" s="67">
        <f t="shared" si="1590"/>
        <v>16.171375234493656</v>
      </c>
      <c r="J214" s="67">
        <f t="shared" si="1590"/>
        <v>21.047851735822199</v>
      </c>
      <c r="K214" s="67">
        <f t="shared" si="1590"/>
        <v>20.077904731881382</v>
      </c>
      <c r="L214" s="67">
        <f t="shared" si="1590"/>
        <v>43.495330535893416</v>
      </c>
      <c r="M214" s="67">
        <f t="shared" si="1590"/>
        <v>43.779397218659334</v>
      </c>
      <c r="N214" s="67">
        <f t="shared" si="1590"/>
        <v>77.603260766107212</v>
      </c>
      <c r="O214" s="67">
        <f t="shared" si="1590"/>
        <v>94.174719832853995</v>
      </c>
      <c r="P214" s="67">
        <f t="shared" si="1590"/>
        <v>110.75654593020656</v>
      </c>
      <c r="Q214" s="67">
        <f t="shared" si="1590"/>
        <v>34.108840457867174</v>
      </c>
      <c r="R214" s="67">
        <f t="shared" si="1590"/>
        <v>33.940844770720282</v>
      </c>
      <c r="S214" s="67">
        <f t="shared" si="1590"/>
        <v>39.759536391491636</v>
      </c>
      <c r="T214" s="67">
        <f t="shared" si="1590"/>
        <v>38.888625816838712</v>
      </c>
      <c r="U214" s="67">
        <f t="shared" si="1590"/>
        <v>34.098917084208836</v>
      </c>
      <c r="V214" s="67">
        <f>V215-V213-V212</f>
        <v>28.630297405983477</v>
      </c>
      <c r="W214" s="67">
        <f t="shared" ref="W214" si="1591">W215-W213-W212</f>
        <v>21.262737771739133</v>
      </c>
      <c r="X214" s="67">
        <f t="shared" ref="X214:Y214" si="1592">X215-X213-X212</f>
        <v>19.771100944336908</v>
      </c>
      <c r="Y214" s="67">
        <f t="shared" si="1592"/>
        <v>16.905156919673722</v>
      </c>
      <c r="Z214" s="67">
        <f t="shared" ref="Z214:AA214" si="1593">Z215-Z213-Z212</f>
        <v>12.004958483701554</v>
      </c>
      <c r="AA214" s="67">
        <f t="shared" si="1593"/>
        <v>15.942610909803154</v>
      </c>
      <c r="AB214" s="18">
        <f t="shared" ref="AA214:AD214" si="1594">AB215-AB213-AB212</f>
        <v>12.662150833105507</v>
      </c>
      <c r="AC214" s="18">
        <f t="shared" si="1594"/>
        <v>12.84033900010246</v>
      </c>
      <c r="AD214" s="18">
        <f t="shared" si="1594"/>
        <v>12.744327577402199</v>
      </c>
      <c r="AE214" s="18">
        <f t="shared" ref="AE214" si="1595">AE215-AE213-AE212</f>
        <v>12.735435308596617</v>
      </c>
      <c r="AI214" s="67">
        <f t="shared" ref="AI214:AK214" si="1596">AI215-AI213-AI212</f>
        <v>-75.148105149378935</v>
      </c>
      <c r="AJ214" s="67">
        <f t="shared" ref="AJ214:AM214" si="1597">AJ215-AJ213-AJ212</f>
        <v>55.283479790330361</v>
      </c>
      <c r="AK214" s="67">
        <f t="shared" si="1596"/>
        <v>49.846319406422893</v>
      </c>
      <c r="AL214" s="67">
        <f t="shared" si="1597"/>
        <v>66.864313765622384</v>
      </c>
      <c r="AM214" s="67">
        <f t="shared" si="1597"/>
        <v>87.578816149268135</v>
      </c>
      <c r="AN214" s="67">
        <f t="shared" ref="AN214:AY214" si="1598">AN215-AN213-AN212</f>
        <v>79.240853804160025</v>
      </c>
      <c r="AO214" s="67">
        <f t="shared" si="1598"/>
        <v>81.745732695278662</v>
      </c>
      <c r="AP214" s="67">
        <f t="shared" si="1598"/>
        <v>95.194417297154828</v>
      </c>
      <c r="AQ214" s="67">
        <f t="shared" si="1598"/>
        <v>115.31123740102888</v>
      </c>
      <c r="AR214" s="67">
        <f t="shared" si="1598"/>
        <v>89.115711738437525</v>
      </c>
      <c r="AS214" s="67">
        <f t="shared" si="1598"/>
        <v>87.941730640464684</v>
      </c>
      <c r="AT214" s="67">
        <f t="shared" si="1598"/>
        <v>106.57406779003705</v>
      </c>
      <c r="AU214" s="67">
        <f t="shared" si="1598"/>
        <v>121.12118716203375</v>
      </c>
      <c r="AV214" s="67">
        <f t="shared" si="1598"/>
        <v>116.20687123096549</v>
      </c>
      <c r="AW214" s="67">
        <f t="shared" si="1598"/>
        <v>133.43580241455945</v>
      </c>
      <c r="AX214" s="67">
        <f t="shared" si="1598"/>
        <v>37.641874107812455</v>
      </c>
      <c r="AY214" s="67">
        <f t="shared" si="1598"/>
        <v>46.362196861626245</v>
      </c>
      <c r="AZ214" s="67">
        <f t="shared" ref="AZ214:BC214" si="1599">AZ215-AZ213-AZ212</f>
        <v>35.474766355140183</v>
      </c>
      <c r="BA214" s="67">
        <f t="shared" si="1599"/>
        <v>22.286116875304458</v>
      </c>
      <c r="BB214" s="67">
        <f t="shared" si="1599"/>
        <v>25.151079136690647</v>
      </c>
      <c r="BC214" s="67">
        <f t="shared" si="1599"/>
        <v>28.783511072649965</v>
      </c>
      <c r="BD214" s="67">
        <f t="shared" ref="BD214:CE214" si="1600">BD215-BD213-BD212</f>
        <v>41.00772273497833</v>
      </c>
      <c r="BE214" s="67">
        <f t="shared" si="1600"/>
        <v>36.762917933130694</v>
      </c>
      <c r="BF214" s="67">
        <f t="shared" si="1600"/>
        <v>35.171260156125541</v>
      </c>
      <c r="BG214" s="67">
        <f t="shared" si="1600"/>
        <v>41.576271186440692</v>
      </c>
      <c r="BH214" s="67">
        <f t="shared" si="1600"/>
        <v>41.655850952480648</v>
      </c>
      <c r="BI214" s="67">
        <f t="shared" si="1600"/>
        <v>35.918772563176901</v>
      </c>
      <c r="BJ214" s="67">
        <f t="shared" si="1600"/>
        <v>36.878528501183752</v>
      </c>
      <c r="BK214" s="67">
        <f t="shared" si="1600"/>
        <v>40.605574493683577</v>
      </c>
      <c r="BL214" s="67">
        <f t="shared" si="1600"/>
        <v>29.348259809354907</v>
      </c>
      <c r="BM214" s="67">
        <f t="shared" si="1600"/>
        <v>28.336900684931514</v>
      </c>
      <c r="BN214" s="67">
        <f t="shared" si="1600"/>
        <v>35.540879070826691</v>
      </c>
      <c r="BO214" s="67">
        <f t="shared" si="1600"/>
        <v>39.122587114565036</v>
      </c>
      <c r="BP214" s="67">
        <f t="shared" si="1600"/>
        <v>27.031802120141339</v>
      </c>
      <c r="BQ214" s="67">
        <f t="shared" si="1600"/>
        <v>25.360517155643958</v>
      </c>
      <c r="BR214" s="67">
        <f t="shared" si="1600"/>
        <v>22.995537642147696</v>
      </c>
      <c r="BS214" s="67">
        <f t="shared" si="1600"/>
        <v>24.460266421681212</v>
      </c>
      <c r="BT214" s="67">
        <f t="shared" si="1600"/>
        <v>23.330610911466842</v>
      </c>
      <c r="BU214" s="67">
        <f t="shared" si="1600"/>
        <v>17.876095118898625</v>
      </c>
      <c r="BV214" s="67">
        <f t="shared" si="1600"/>
        <v>17.545754234398093</v>
      </c>
      <c r="BW214" s="67">
        <f t="shared" si="1600"/>
        <v>16.44295302013423</v>
      </c>
      <c r="BX214" s="67">
        <f t="shared" si="1600"/>
        <v>20.491842610364674</v>
      </c>
      <c r="BY214" s="67">
        <f t="shared" si="1600"/>
        <v>21.716247139588102</v>
      </c>
      <c r="BZ214" s="67">
        <f t="shared" si="1600"/>
        <v>19.535785638735458</v>
      </c>
      <c r="CA214" s="67">
        <f t="shared" si="1600"/>
        <v>22.827519912112056</v>
      </c>
      <c r="CB214" s="67">
        <f t="shared" si="1600"/>
        <v>22.304520689147399</v>
      </c>
      <c r="CC214" s="67">
        <f t="shared" si="1600"/>
        <v>20.720930232558143</v>
      </c>
      <c r="CD214" s="67">
        <f t="shared" si="1600"/>
        <v>15.975625910716655</v>
      </c>
      <c r="CE214" s="114">
        <f t="shared" si="1600"/>
        <v>14.833948339483388</v>
      </c>
      <c r="CF214" s="67">
        <f t="shared" ref="CF214:CG214" si="1601">CF215-CF213-CF212</f>
        <v>16.555986427532723</v>
      </c>
      <c r="CG214" s="67">
        <f t="shared" si="1601"/>
        <v>15.860227536568374</v>
      </c>
      <c r="CH214" s="67">
        <f t="shared" ref="CH214" si="1602">CH215-CH213-CH212</f>
        <v>11.10267414988445</v>
      </c>
      <c r="CI214" s="67">
        <f>CH214</f>
        <v>11.10267414988445</v>
      </c>
      <c r="CJ214" s="67">
        <f t="shared" ref="CJ214:CL214" si="1603">CJ215-CJ213-CJ212</f>
        <v>22.728974149023276</v>
      </c>
      <c r="CK214" s="67">
        <f t="shared" ref="CK214" si="1604">CJ214</f>
        <v>22.728974149023276</v>
      </c>
      <c r="CL214" s="67">
        <f t="shared" si="1603"/>
        <v>11.854695806261077</v>
      </c>
      <c r="CM214" s="30">
        <f t="shared" si="1588"/>
        <v>11.854695806261077</v>
      </c>
      <c r="CN214" s="30">
        <f t="shared" si="1588"/>
        <v>11.854695806261077</v>
      </c>
      <c r="CO214" s="30">
        <f t="shared" si="1584"/>
        <v>11.854695806261077</v>
      </c>
      <c r="CP214" s="30">
        <f t="shared" si="1584"/>
        <v>11.854695806261077</v>
      </c>
      <c r="CQ214" s="30">
        <f t="shared" si="1584"/>
        <v>11.854695806261077</v>
      </c>
      <c r="CR214" s="30">
        <f t="shared" si="1584"/>
        <v>11.854695806261077</v>
      </c>
      <c r="CS214" s="30">
        <f t="shared" si="1584"/>
        <v>11.854695806261077</v>
      </c>
      <c r="CT214" s="30">
        <f t="shared" si="1584"/>
        <v>11.854695806261077</v>
      </c>
      <c r="CU214" s="30">
        <f t="shared" si="1584"/>
        <v>11.854695806261077</v>
      </c>
      <c r="CV214" s="30">
        <f t="shared" si="1584"/>
        <v>11.854695806261077</v>
      </c>
      <c r="CW214" s="30">
        <f t="shared" si="1584"/>
        <v>11.854695806261077</v>
      </c>
      <c r="CX214" s="30">
        <f t="shared" si="1584"/>
        <v>11.854695806261077</v>
      </c>
      <c r="CY214" s="30">
        <f t="shared" si="1584"/>
        <v>11.854695806261077</v>
      </c>
      <c r="CZ214" s="30">
        <f t="shared" si="1584"/>
        <v>11.854695806261077</v>
      </c>
      <c r="DA214" s="30">
        <f t="shared" si="1584"/>
        <v>11.854695806261077</v>
      </c>
      <c r="DB214" s="30">
        <f t="shared" si="1584"/>
        <v>11.854695806261077</v>
      </c>
      <c r="DE214" s="139"/>
      <c r="DF214" s="62">
        <v>27.728974149023276</v>
      </c>
    </row>
    <row r="215" spans="1:110" s="7" customFormat="1" outlineLevel="1" x14ac:dyDescent="0.2">
      <c r="A215" s="69" t="s">
        <v>467</v>
      </c>
      <c r="B215" s="70">
        <f t="shared" ref="B215:AE215" si="1605">B181/B36*365</f>
        <v>157.35090354714157</v>
      </c>
      <c r="C215" s="70">
        <f t="shared" si="1605"/>
        <v>163.79371365200538</v>
      </c>
      <c r="D215" s="70">
        <f t="shared" si="1605"/>
        <v>106.1401692157343</v>
      </c>
      <c r="E215" s="70">
        <f t="shared" si="1605"/>
        <v>121.20136333923837</v>
      </c>
      <c r="F215" s="70">
        <f t="shared" si="1605"/>
        <v>106.22272618083066</v>
      </c>
      <c r="G215" s="70">
        <f t="shared" si="1605"/>
        <v>104.22460739761362</v>
      </c>
      <c r="H215" s="70">
        <f t="shared" si="1605"/>
        <v>53.886334181086596</v>
      </c>
      <c r="I215" s="70">
        <f t="shared" si="1605"/>
        <v>56.350614805463259</v>
      </c>
      <c r="J215" s="70">
        <f t="shared" si="1605"/>
        <v>63.280248865499622</v>
      </c>
      <c r="K215" s="70">
        <f t="shared" si="1605"/>
        <v>46.18675092173735</v>
      </c>
      <c r="L215" s="70">
        <f t="shared" si="1605"/>
        <v>76.886925029552089</v>
      </c>
      <c r="M215" s="70">
        <f t="shared" si="1605"/>
        <v>77.987943046606887</v>
      </c>
      <c r="N215" s="70">
        <f t="shared" si="1605"/>
        <v>118.06231302358884</v>
      </c>
      <c r="O215" s="70">
        <f t="shared" si="1605"/>
        <v>133.22760922919298</v>
      </c>
      <c r="P215" s="70">
        <f t="shared" si="1605"/>
        <v>153.16366750972665</v>
      </c>
      <c r="Q215" s="70">
        <f t="shared" si="1605"/>
        <v>61.608355429088796</v>
      </c>
      <c r="R215" s="70">
        <f t="shared" si="1605"/>
        <v>74.172784338759442</v>
      </c>
      <c r="S215" s="70">
        <f t="shared" si="1605"/>
        <v>65.093476619743328</v>
      </c>
      <c r="T215" s="70">
        <f t="shared" si="1605"/>
        <v>68.962496448527318</v>
      </c>
      <c r="U215" s="70">
        <f t="shared" si="1605"/>
        <v>77.63698076612252</v>
      </c>
      <c r="V215" s="70">
        <f t="shared" si="1605"/>
        <v>58.163860532944454</v>
      </c>
      <c r="W215" s="70">
        <f t="shared" si="1605"/>
        <v>54.353260869565219</v>
      </c>
      <c r="X215" s="70">
        <f t="shared" si="1605"/>
        <v>43.770455745204998</v>
      </c>
      <c r="Y215" s="70">
        <f t="shared" si="1605"/>
        <v>43.158613300152084</v>
      </c>
      <c r="Z215" s="70">
        <f t="shared" si="1605"/>
        <v>33.487515770325381</v>
      </c>
      <c r="AA215" s="70">
        <f t="shared" ref="AA215" si="1606">AA181/AA36*365</f>
        <v>37.863700910782491</v>
      </c>
      <c r="AB215" s="71">
        <f t="shared" si="1605"/>
        <v>33.276946249619236</v>
      </c>
      <c r="AC215" s="71">
        <f t="shared" si="1605"/>
        <v>33.745236205538326</v>
      </c>
      <c r="AD215" s="71">
        <f t="shared" si="1605"/>
        <v>33.492912015544263</v>
      </c>
      <c r="AE215" s="71">
        <f t="shared" si="1605"/>
        <v>33.46954256157229</v>
      </c>
      <c r="AI215" s="70">
        <f t="shared" ref="AI215:CD215" si="1607">AI181/AI36*90</f>
        <v>0</v>
      </c>
      <c r="AJ215" s="70">
        <f t="shared" si="1607"/>
        <v>127.34353297550831</v>
      </c>
      <c r="AK215" s="70">
        <f t="shared" si="1607"/>
        <v>121.90637259160084</v>
      </c>
      <c r="AL215" s="70">
        <f t="shared" si="1607"/>
        <v>101.72453404628195</v>
      </c>
      <c r="AM215" s="70">
        <f t="shared" si="1607"/>
        <v>122.4390364299277</v>
      </c>
      <c r="AN215" s="70">
        <f t="shared" si="1607"/>
        <v>120.05166993057294</v>
      </c>
      <c r="AO215" s="70">
        <f t="shared" si="1607"/>
        <v>122.55654882169156</v>
      </c>
      <c r="AP215" s="70">
        <f t="shared" si="1607"/>
        <v>134.67016043133077</v>
      </c>
      <c r="AQ215" s="70">
        <f t="shared" si="1607"/>
        <v>154.7869805352048</v>
      </c>
      <c r="AR215" s="70">
        <f t="shared" si="1607"/>
        <v>132.89697505246716</v>
      </c>
      <c r="AS215" s="70">
        <f t="shared" si="1607"/>
        <v>131.72299395449431</v>
      </c>
      <c r="AT215" s="70">
        <f t="shared" si="1607"/>
        <v>147.37977739427197</v>
      </c>
      <c r="AU215" s="70">
        <f t="shared" si="1607"/>
        <v>161.92689676626867</v>
      </c>
      <c r="AV215" s="70">
        <f t="shared" si="1607"/>
        <v>150.0108768483758</v>
      </c>
      <c r="AW215" s="70">
        <f t="shared" si="1607"/>
        <v>167.23980803196974</v>
      </c>
      <c r="AX215" s="70">
        <f t="shared" si="1607"/>
        <v>68.001847353044226</v>
      </c>
      <c r="AY215" s="70">
        <f t="shared" si="1607"/>
        <v>76.722170106858016</v>
      </c>
      <c r="AZ215" s="70">
        <f t="shared" si="1607"/>
        <v>76.327102803738313</v>
      </c>
      <c r="BA215" s="70">
        <f t="shared" si="1607"/>
        <v>63.138453323902588</v>
      </c>
      <c r="BB215" s="70">
        <f t="shared" si="1607"/>
        <v>54.964028776978417</v>
      </c>
      <c r="BC215" s="70">
        <f t="shared" si="1607"/>
        <v>58.596460712937734</v>
      </c>
      <c r="BD215" s="70">
        <f t="shared" si="1607"/>
        <v>75.16669805989828</v>
      </c>
      <c r="BE215" s="70">
        <f t="shared" si="1607"/>
        <v>70.921893258050645</v>
      </c>
      <c r="BF215" s="70">
        <f t="shared" si="1607"/>
        <v>57.58164728373427</v>
      </c>
      <c r="BG215" s="70">
        <f t="shared" si="1607"/>
        <v>63.986658314049414</v>
      </c>
      <c r="BH215" s="70">
        <f t="shared" si="1607"/>
        <v>73.401716558509534</v>
      </c>
      <c r="BI215" s="70">
        <f t="shared" si="1607"/>
        <v>67.664638169205787</v>
      </c>
      <c r="BJ215" s="70">
        <f t="shared" si="1607"/>
        <v>65.397923875432525</v>
      </c>
      <c r="BK215" s="70">
        <f t="shared" si="1607"/>
        <v>69.12496986793235</v>
      </c>
      <c r="BL215" s="70">
        <f t="shared" si="1607"/>
        <v>67.894036798935929</v>
      </c>
      <c r="BM215" s="70">
        <f t="shared" si="1607"/>
        <v>66.882677674512536</v>
      </c>
      <c r="BN215" s="70">
        <f t="shared" si="1607"/>
        <v>80.920063766795721</v>
      </c>
      <c r="BO215" s="70">
        <f t="shared" si="1607"/>
        <v>84.501771810534066</v>
      </c>
      <c r="BP215" s="70">
        <f t="shared" si="1607"/>
        <v>59.056537102473492</v>
      </c>
      <c r="BQ215" s="70">
        <f t="shared" si="1607"/>
        <v>57.38525213797611</v>
      </c>
      <c r="BR215" s="70">
        <f t="shared" si="1607"/>
        <v>46.716568302864552</v>
      </c>
      <c r="BS215" s="70">
        <f t="shared" si="1607"/>
        <v>48.181297082398068</v>
      </c>
      <c r="BT215" s="70">
        <f t="shared" si="1607"/>
        <v>55.496569748448216</v>
      </c>
      <c r="BU215" s="70">
        <f t="shared" si="1607"/>
        <v>50.04205395588</v>
      </c>
      <c r="BV215" s="70">
        <f t="shared" si="1607"/>
        <v>44.851653972945321</v>
      </c>
      <c r="BW215" s="70">
        <f t="shared" si="1607"/>
        <v>43.748852758681458</v>
      </c>
      <c r="BX215" s="70">
        <f t="shared" si="1607"/>
        <v>51.92058541266794</v>
      </c>
      <c r="BY215" s="70">
        <f t="shared" si="1607"/>
        <v>53.144989941891367</v>
      </c>
      <c r="BZ215" s="70">
        <f t="shared" si="1607"/>
        <v>43.249500528851804</v>
      </c>
      <c r="CA215" s="70">
        <f t="shared" si="1607"/>
        <v>46.541234802228402</v>
      </c>
      <c r="CB215" s="70">
        <f t="shared" si="1607"/>
        <v>48.863201295832717</v>
      </c>
      <c r="CC215" s="70">
        <f t="shared" si="1607"/>
        <v>47.27961083924346</v>
      </c>
      <c r="CD215" s="70">
        <f t="shared" si="1607"/>
        <v>40.785534507881842</v>
      </c>
      <c r="CE215" s="115">
        <f>CE181/CE38*90</f>
        <v>39.643856936648575</v>
      </c>
      <c r="CF215" s="70">
        <f>CF181/CF36*90</f>
        <v>38.074406204556475</v>
      </c>
      <c r="CG215" s="70">
        <f>CG181/CG38*90</f>
        <v>37.378647313592126</v>
      </c>
      <c r="CH215" s="70">
        <f>CH181/CH36*90</f>
        <v>30.970617365467152</v>
      </c>
      <c r="CI215" s="70">
        <f>CI212+CI213+CI214</f>
        <v>30.970617365467152</v>
      </c>
      <c r="CJ215" s="70">
        <f>CJ181/CJ36*90</f>
        <v>48.310913557141184</v>
      </c>
      <c r="CK215" s="70">
        <f t="shared" ref="CK215" si="1608">CK212+CK213+CK214</f>
        <v>48.310913557141191</v>
      </c>
      <c r="CL215" s="70">
        <f>CL181/CL36*90</f>
        <v>28.154902539870054</v>
      </c>
      <c r="CM215" s="50">
        <f t="shared" ref="CM215" si="1609">CM212+CM213+CM214</f>
        <v>28.154902539870054</v>
      </c>
      <c r="CN215" s="50">
        <f t="shared" ref="CN215:DB215" si="1610">CN212+CN213+CN214</f>
        <v>28.154902539870054</v>
      </c>
      <c r="CO215" s="50">
        <f t="shared" si="1610"/>
        <v>31.154902539870054</v>
      </c>
      <c r="CP215" s="50">
        <f t="shared" si="1610"/>
        <v>31.154902539870054</v>
      </c>
      <c r="CQ215" s="50">
        <f t="shared" si="1610"/>
        <v>31.154902539870054</v>
      </c>
      <c r="CR215" s="50">
        <f t="shared" si="1610"/>
        <v>31.154902539870054</v>
      </c>
      <c r="CS215" s="50">
        <f t="shared" si="1610"/>
        <v>31.154902539870054</v>
      </c>
      <c r="CT215" s="50">
        <f t="shared" si="1610"/>
        <v>31.154902539870054</v>
      </c>
      <c r="CU215" s="50">
        <f t="shared" si="1610"/>
        <v>31.154902539870054</v>
      </c>
      <c r="CV215" s="50">
        <f t="shared" si="1610"/>
        <v>31.154902539870054</v>
      </c>
      <c r="CW215" s="50">
        <f t="shared" si="1610"/>
        <v>31.154902539870054</v>
      </c>
      <c r="CX215" s="50">
        <f t="shared" si="1610"/>
        <v>31.154902539870054</v>
      </c>
      <c r="CY215" s="50">
        <f t="shared" si="1610"/>
        <v>31.154902539870054</v>
      </c>
      <c r="CZ215" s="50">
        <f t="shared" si="1610"/>
        <v>31.154902539870054</v>
      </c>
      <c r="DA215" s="50">
        <f t="shared" si="1610"/>
        <v>31.154902539870054</v>
      </c>
      <c r="DB215" s="50">
        <f t="shared" si="1610"/>
        <v>31.154902539870054</v>
      </c>
      <c r="DE215" s="138"/>
      <c r="DF215" s="7">
        <v>63.310913557141191</v>
      </c>
    </row>
    <row r="216" spans="1:110" s="62" customFormat="1" outlineLevel="1" x14ac:dyDescent="0.2">
      <c r="A216" s="68" t="s">
        <v>468</v>
      </c>
      <c r="B216" s="67">
        <f t="shared" ref="B216:AE216" si="1611">B186/B36*365</f>
        <v>33.813718574170231</v>
      </c>
      <c r="C216" s="67">
        <f t="shared" si="1611"/>
        <v>30.489341211655049</v>
      </c>
      <c r="D216" s="67">
        <f t="shared" si="1611"/>
        <v>24.664781641863073</v>
      </c>
      <c r="E216" s="67">
        <f t="shared" si="1611"/>
        <v>24.343363894309459</v>
      </c>
      <c r="F216" s="67">
        <f t="shared" si="1611"/>
        <v>21.774187638175814</v>
      </c>
      <c r="G216" s="67">
        <f t="shared" si="1611"/>
        <v>15.500177982830436</v>
      </c>
      <c r="H216" s="67">
        <f t="shared" si="1611"/>
        <v>8.17568014576295</v>
      </c>
      <c r="I216" s="67">
        <f t="shared" si="1611"/>
        <v>14.81697190425448</v>
      </c>
      <c r="J216" s="67">
        <f t="shared" si="1611"/>
        <v>22.121788431759825</v>
      </c>
      <c r="K216" s="67">
        <f t="shared" si="1611"/>
        <v>20.662311697146318</v>
      </c>
      <c r="L216" s="67">
        <f t="shared" si="1611"/>
        <v>12.659837899188554</v>
      </c>
      <c r="M216" s="67">
        <f t="shared" si="1611"/>
        <v>12.416444119063865</v>
      </c>
      <c r="N216" s="67">
        <f t="shared" si="1611"/>
        <v>10.782328340462172</v>
      </c>
      <c r="O216" s="67">
        <f t="shared" si="1611"/>
        <v>12.473459875912825</v>
      </c>
      <c r="P216" s="67">
        <f t="shared" si="1611"/>
        <v>14.300447575415772</v>
      </c>
      <c r="Q216" s="67">
        <f t="shared" si="1611"/>
        <v>21.976007243096422</v>
      </c>
      <c r="R216" s="67">
        <f t="shared" si="1611"/>
        <v>15.999574422810936</v>
      </c>
      <c r="S216" s="67">
        <f t="shared" si="1611"/>
        <v>15.349482659087879</v>
      </c>
      <c r="T216" s="67">
        <f t="shared" si="1611"/>
        <v>20.291220759541623</v>
      </c>
      <c r="U216" s="67">
        <f t="shared" si="1611"/>
        <v>29.261354452885083</v>
      </c>
      <c r="V216" s="67">
        <f t="shared" si="1611"/>
        <v>24.920456051968713</v>
      </c>
      <c r="W216" s="67">
        <f t="shared" si="1611"/>
        <v>25.267323369565219</v>
      </c>
      <c r="X216" s="67">
        <f t="shared" si="1611"/>
        <v>22.350871018828084</v>
      </c>
      <c r="Y216" s="67">
        <f t="shared" si="1611"/>
        <v>26.568851099128992</v>
      </c>
      <c r="Z216" s="67">
        <f t="shared" si="1611"/>
        <v>23.602969222192883</v>
      </c>
      <c r="AA216" s="67">
        <f t="shared" ref="AA216" si="1612">AA186/AA36*365</f>
        <v>27.461683478601508</v>
      </c>
      <c r="AB216" s="18">
        <f t="shared" si="1611"/>
        <v>21.810980667115029</v>
      </c>
      <c r="AC216" s="18">
        <f t="shared" si="1611"/>
        <v>22.117915777642853</v>
      </c>
      <c r="AD216" s="18">
        <f t="shared" si="1611"/>
        <v>21.952532872957935</v>
      </c>
      <c r="AE216" s="18">
        <f t="shared" si="1611"/>
        <v>21.937215640872996</v>
      </c>
      <c r="AI216" s="67">
        <f>AJ186/AI36*90</f>
        <v>0</v>
      </c>
      <c r="AJ216" s="67">
        <f>AJ186/AJ36*90</f>
        <v>0</v>
      </c>
      <c r="AK216" s="67">
        <f t="shared" ref="AK216:CE216" si="1613">+AJ216</f>
        <v>0</v>
      </c>
      <c r="AL216" s="67">
        <f>AL186/AL36*90</f>
        <v>9.2902408760057824</v>
      </c>
      <c r="AM216" s="67">
        <f t="shared" ref="AM216" si="1614">+AL216</f>
        <v>9.2902408760057824</v>
      </c>
      <c r="AN216" s="67">
        <f>AN186/AN36*90</f>
        <v>14.251038877478488</v>
      </c>
      <c r="AO216" s="67">
        <f t="shared" ref="AO216" si="1615">+AN216</f>
        <v>14.251038877478488</v>
      </c>
      <c r="AP216" s="67">
        <f>AP186/AP36*90</f>
        <v>12.608519002492672</v>
      </c>
      <c r="AQ216" s="67">
        <f t="shared" ref="AQ216" si="1616">+AP216</f>
        <v>12.608519002492672</v>
      </c>
      <c r="AR216" s="67">
        <f>AR186/AR36*90</f>
        <v>13.891325959004623</v>
      </c>
      <c r="AS216" s="67">
        <f t="shared" ref="AS216" si="1617">+AR216</f>
        <v>13.891325959004623</v>
      </c>
      <c r="AT216" s="67">
        <f>AT186/AT36*90</f>
        <v>13.760422524286902</v>
      </c>
      <c r="AU216" s="67">
        <f t="shared" ref="AU216" si="1618">+AT216</f>
        <v>13.760422524286902</v>
      </c>
      <c r="AV216" s="67">
        <f>AV186/AV36*90</f>
        <v>13.13585963817269</v>
      </c>
      <c r="AW216" s="67">
        <f t="shared" ref="AW216" si="1619">+AV216</f>
        <v>13.13585963817269</v>
      </c>
      <c r="AX216" s="67">
        <f>AX186/AX36*90</f>
        <v>24.251286342617391</v>
      </c>
      <c r="AY216" s="67">
        <f t="shared" ref="AY216" si="1620">+AX216</f>
        <v>24.251286342617391</v>
      </c>
      <c r="AZ216" s="67">
        <f>AZ186/AZ36*90</f>
        <v>14.358644859813083</v>
      </c>
      <c r="BA216" s="67">
        <f t="shared" ref="BA216" si="1621">+AZ216</f>
        <v>14.358644859813083</v>
      </c>
      <c r="BB216" s="67">
        <f>BB186/BB36*90</f>
        <v>11.856115107913668</v>
      </c>
      <c r="BC216" s="67">
        <f t="shared" ref="BC216" si="1622">+BB216</f>
        <v>11.856115107913668</v>
      </c>
      <c r="BD216" s="67">
        <f>BD186/BD36*90</f>
        <v>21.919382181201733</v>
      </c>
      <c r="BE216" s="67">
        <f t="shared" ref="BE216" si="1623">+BD216</f>
        <v>21.919382181201733</v>
      </c>
      <c r="BF216" s="67">
        <f>BF186/BF36*90</f>
        <v>13.578142424725186</v>
      </c>
      <c r="BG216" s="67">
        <f t="shared" ref="BG216" si="1624">+BF216</f>
        <v>13.578142424725186</v>
      </c>
      <c r="BH216" s="67">
        <f>BH186/BH36*90</f>
        <v>19.085199916265438</v>
      </c>
      <c r="BI216" s="67">
        <f t="shared" ref="BI216" si="1625">+BH216</f>
        <v>19.085199916265438</v>
      </c>
      <c r="BJ216" s="67">
        <f>BJ186/BJ36*90</f>
        <v>19.242396649062101</v>
      </c>
      <c r="BK216" s="67">
        <f t="shared" ref="BK216" si="1626">+BJ216</f>
        <v>19.242396649062101</v>
      </c>
      <c r="BL216" s="67">
        <f>BL186/BL36*90</f>
        <v>25.936599423631126</v>
      </c>
      <c r="BM216" s="67">
        <f t="shared" ref="BM216" si="1627">+BL216</f>
        <v>25.936599423631126</v>
      </c>
      <c r="BN216" s="67">
        <f>BN186/BN36*90</f>
        <v>30.498747437941244</v>
      </c>
      <c r="BO216" s="67">
        <f t="shared" ref="BO216" si="1628">+BN216</f>
        <v>30.498747437941244</v>
      </c>
      <c r="BP216" s="67">
        <f>BP186/BP36*90</f>
        <v>23.565371024734983</v>
      </c>
      <c r="BQ216" s="67">
        <f t="shared" ref="BQ216" si="1629">+BP216</f>
        <v>23.565371024734983</v>
      </c>
      <c r="BR216" s="67">
        <f>BR186/BR36*90</f>
        <v>20.015834173024327</v>
      </c>
      <c r="BS216" s="67">
        <f t="shared" ref="BS216" si="1630">+BR216</f>
        <v>20.015834173024327</v>
      </c>
      <c r="BT216" s="67">
        <f>BT186/BT36*90</f>
        <v>19.140803658934988</v>
      </c>
      <c r="BU216" s="67">
        <f t="shared" ref="BU216" si="1631">+BT216</f>
        <v>19.140803658934988</v>
      </c>
      <c r="BV216" s="67">
        <f>BV186/BV36*90</f>
        <v>20.850289871547119</v>
      </c>
      <c r="BW216" s="67">
        <f t="shared" ref="BW216" si="1632">+BV216</f>
        <v>20.850289871547119</v>
      </c>
      <c r="BX216" s="67">
        <f>BX186/BX36*90</f>
        <v>16.864203454894433</v>
      </c>
      <c r="BY216" s="67">
        <f t="shared" ref="BY216" si="1633">+BX216</f>
        <v>16.864203454894433</v>
      </c>
      <c r="BZ216" s="67">
        <f>BZ186/BZ36*90</f>
        <v>22.084851333881772</v>
      </c>
      <c r="CA216" s="67">
        <f t="shared" ref="CA216" si="1634">+BZ216</f>
        <v>22.084851333881772</v>
      </c>
      <c r="CB216" s="67">
        <f>CB186/CB36*90</f>
        <v>24.106906199381534</v>
      </c>
      <c r="CC216" s="67">
        <f t="shared" ref="CC216" si="1635">+CB216</f>
        <v>24.106906199381534</v>
      </c>
      <c r="CD216" s="67">
        <f>CD186/CD36*90</f>
        <v>25.107961319380053</v>
      </c>
      <c r="CE216" s="114">
        <f t="shared" si="1613"/>
        <v>25.107961319380053</v>
      </c>
      <c r="CF216" s="67">
        <f>CF186/CF36*90</f>
        <v>26.066408143480366</v>
      </c>
      <c r="CG216" s="67">
        <f t="shared" ref="CG216:CI216" si="1636">+CF216</f>
        <v>26.066408143480366</v>
      </c>
      <c r="CH216" s="67">
        <f>CH186/CH36*90</f>
        <v>21.828986464179597</v>
      </c>
      <c r="CI216" s="67">
        <f t="shared" si="1636"/>
        <v>21.828986464179597</v>
      </c>
      <c r="CJ216" s="67">
        <f>CJ186/CJ36*90</f>
        <v>23.623815650953325</v>
      </c>
      <c r="CK216" s="67">
        <f t="shared" ref="CK216" si="1637">+CJ216</f>
        <v>23.623815650953325</v>
      </c>
      <c r="CL216" s="67">
        <f>CL186/CL36*90</f>
        <v>20.420112226816304</v>
      </c>
      <c r="CM216" s="30">
        <f t="shared" ref="CM216:CM217" si="1638">+CL216</f>
        <v>20.420112226816304</v>
      </c>
      <c r="CN216" s="30">
        <f t="shared" ref="CN216:CN217" si="1639">+CM216</f>
        <v>20.420112226816304</v>
      </c>
      <c r="CO216" s="30">
        <f t="shared" ref="CO216" si="1640">+CN216</f>
        <v>20.420112226816304</v>
      </c>
      <c r="CP216" s="30">
        <f t="shared" ref="CP216:CP217" si="1641">+CO216</f>
        <v>20.420112226816304</v>
      </c>
      <c r="CQ216" s="30">
        <f t="shared" ref="CQ216:CQ217" si="1642">+CP216</f>
        <v>20.420112226816304</v>
      </c>
      <c r="CR216" s="30">
        <f t="shared" ref="CR216:CR217" si="1643">+CQ216</f>
        <v>20.420112226816304</v>
      </c>
      <c r="CS216" s="30">
        <f t="shared" ref="CS216:CS217" si="1644">+CR216</f>
        <v>20.420112226816304</v>
      </c>
      <c r="CT216" s="30">
        <f t="shared" ref="CT216:CT217" si="1645">+CS216</f>
        <v>20.420112226816304</v>
      </c>
      <c r="CU216" s="30">
        <f t="shared" ref="CU216:CU217" si="1646">+CT216</f>
        <v>20.420112226816304</v>
      </c>
      <c r="CV216" s="30">
        <f t="shared" ref="CV216:CV217" si="1647">+CU216</f>
        <v>20.420112226816304</v>
      </c>
      <c r="CW216" s="30">
        <f t="shared" ref="CW216:CW217" si="1648">+CV216</f>
        <v>20.420112226816304</v>
      </c>
      <c r="CX216" s="30">
        <f t="shared" ref="CX216:CX217" si="1649">+CW216</f>
        <v>20.420112226816304</v>
      </c>
      <c r="CY216" s="30">
        <f t="shared" ref="CY216:CY217" si="1650">+CX216</f>
        <v>20.420112226816304</v>
      </c>
      <c r="CZ216" s="30">
        <f t="shared" ref="CZ216:CZ217" si="1651">+CY216</f>
        <v>20.420112226816304</v>
      </c>
      <c r="DA216" s="30">
        <f t="shared" ref="DA216:DA217" si="1652">+CZ216</f>
        <v>20.420112226816304</v>
      </c>
      <c r="DB216" s="30">
        <f t="shared" ref="DB216:DB217" si="1653">+DA216</f>
        <v>20.420112226816304</v>
      </c>
      <c r="DE216" s="139"/>
      <c r="DF216" s="62">
        <v>18.623815650953325</v>
      </c>
    </row>
    <row r="217" spans="1:110" s="62" customFormat="1" outlineLevel="1" x14ac:dyDescent="0.2">
      <c r="A217" s="68" t="s">
        <v>466</v>
      </c>
      <c r="B217" s="67">
        <f>B218-B216</f>
        <v>44.528536377805487</v>
      </c>
      <c r="C217" s="67">
        <f t="shared" ref="C217:V217" si="1654">C218-C216</f>
        <v>45.305941806547779</v>
      </c>
      <c r="D217" s="67">
        <f t="shared" si="1654"/>
        <v>41.575903369037249</v>
      </c>
      <c r="E217" s="67">
        <f t="shared" si="1654"/>
        <v>50.4213008769065</v>
      </c>
      <c r="F217" s="67">
        <f t="shared" si="1654"/>
        <v>54.273485308068445</v>
      </c>
      <c r="G217" s="67">
        <f t="shared" si="1654"/>
        <v>35.389204532321216</v>
      </c>
      <c r="H217" s="67">
        <f t="shared" si="1654"/>
        <v>24.552375426362051</v>
      </c>
      <c r="I217" s="67">
        <f t="shared" si="1654"/>
        <v>22.716961717586649</v>
      </c>
      <c r="J217" s="67">
        <f t="shared" si="1654"/>
        <v>37.366697223954525</v>
      </c>
      <c r="K217" s="67">
        <f t="shared" si="1654"/>
        <v>36.688299298282615</v>
      </c>
      <c r="L217" s="67">
        <f t="shared" si="1654"/>
        <v>41.476577327550089</v>
      </c>
      <c r="M217" s="67">
        <f t="shared" si="1654"/>
        <v>32.811926616914391</v>
      </c>
      <c r="N217" s="67">
        <f t="shared" si="1654"/>
        <v>40.255415451884367</v>
      </c>
      <c r="O217" s="67">
        <f t="shared" si="1654"/>
        <v>51.100073327284107</v>
      </c>
      <c r="P217" s="67">
        <f t="shared" si="1654"/>
        <v>56.439148128456523</v>
      </c>
      <c r="Q217" s="67">
        <f t="shared" si="1654"/>
        <v>351.21483541356787</v>
      </c>
      <c r="R217" s="67">
        <f t="shared" si="1654"/>
        <v>238.01308649856367</v>
      </c>
      <c r="S217" s="67">
        <f t="shared" si="1654"/>
        <v>98.110262445046416</v>
      </c>
      <c r="T217" s="67">
        <f t="shared" si="1654"/>
        <v>88.856189033052374</v>
      </c>
      <c r="U217" s="67">
        <f t="shared" si="1654"/>
        <v>89.789882010667526</v>
      </c>
      <c r="V217" s="67">
        <f t="shared" si="1654"/>
        <v>75.680763621901107</v>
      </c>
      <c r="W217" s="67">
        <f t="shared" ref="W217" si="1655">W218-W216</f>
        <v>53.386209239130437</v>
      </c>
      <c r="X217" s="67">
        <f t="shared" ref="X217:Y217" si="1656">X218-X216</f>
        <v>64.066074256554643</v>
      </c>
      <c r="Y217" s="67">
        <f t="shared" si="1656"/>
        <v>68.478501313424587</v>
      </c>
      <c r="Z217" s="67">
        <f t="shared" ref="Z217:AA217" si="1657">Z218-Z216</f>
        <v>58.343455681718169</v>
      </c>
      <c r="AA217" s="67">
        <f t="shared" si="1657"/>
        <v>54.02972284790912</v>
      </c>
      <c r="AB217" s="18">
        <f t="shared" ref="AA217:AD217" si="1658">AB218-AB216</f>
        <v>43.657449425130011</v>
      </c>
      <c r="AC217" s="18">
        <f t="shared" si="1658"/>
        <v>44.271819052483323</v>
      </c>
      <c r="AD217" s="18">
        <f t="shared" si="1658"/>
        <v>43.940784152803218</v>
      </c>
      <c r="AE217" s="18">
        <f t="shared" ref="AE217" si="1659">AE218-AE216</f>
        <v>43.910124766355295</v>
      </c>
      <c r="AI217" s="67">
        <f t="shared" ref="AI217:AK217" si="1660">AI218-AI216</f>
        <v>0</v>
      </c>
      <c r="AJ217" s="67">
        <f t="shared" ref="AJ217:AM217" si="1661">AJ218-AJ216</f>
        <v>62.275655566645504</v>
      </c>
      <c r="AK217" s="67">
        <f t="shared" si="1660"/>
        <v>56.150810882247441</v>
      </c>
      <c r="AL217" s="67">
        <f t="shared" si="1661"/>
        <v>34.684763281439878</v>
      </c>
      <c r="AM217" s="67">
        <f t="shared" si="1661"/>
        <v>45.43007077368506</v>
      </c>
      <c r="AN217" s="67">
        <f t="shared" ref="AN217:AY217" si="1662">AN218-AN216</f>
        <v>40.17332887531505</v>
      </c>
      <c r="AO217" s="67">
        <f t="shared" si="1662"/>
        <v>41.443246079065062</v>
      </c>
      <c r="AP217" s="67">
        <f t="shared" si="1662"/>
        <v>51.653370595276002</v>
      </c>
      <c r="AQ217" s="67">
        <f t="shared" si="1662"/>
        <v>62.56894309970437</v>
      </c>
      <c r="AR217" s="67">
        <f t="shared" si="1662"/>
        <v>34.081312230760744</v>
      </c>
      <c r="AS217" s="67">
        <f t="shared" si="1662"/>
        <v>33.632336224481854</v>
      </c>
      <c r="AT217" s="67">
        <f t="shared" si="1662"/>
        <v>54.307847433635182</v>
      </c>
      <c r="AU217" s="67">
        <f t="shared" si="1662"/>
        <v>61.720745860386693</v>
      </c>
      <c r="AV217" s="67">
        <f t="shared" si="1662"/>
        <v>96.432760883732442</v>
      </c>
      <c r="AW217" s="67">
        <f t="shared" si="1662"/>
        <v>111.89598702514117</v>
      </c>
      <c r="AX217" s="67">
        <f t="shared" si="1662"/>
        <v>387.74460778494256</v>
      </c>
      <c r="AY217" s="67">
        <f t="shared" si="1662"/>
        <v>477.57164764621962</v>
      </c>
      <c r="AZ217" s="67">
        <f t="shared" ref="AZ217:BC217" si="1663">AZ218-AZ216</f>
        <v>72.776635514018693</v>
      </c>
      <c r="BA217" s="67">
        <f t="shared" si="1663"/>
        <v>50.924635035547297</v>
      </c>
      <c r="BB217" s="67">
        <f t="shared" si="1663"/>
        <v>176.37410071942446</v>
      </c>
      <c r="BC217" s="67">
        <f t="shared" si="1663"/>
        <v>219.03827602191134</v>
      </c>
      <c r="BD217" s="67">
        <f t="shared" ref="BD217:CE217" si="1664">BD218-BD216</f>
        <v>55.942738745526462</v>
      </c>
      <c r="BE217" s="67">
        <f t="shared" si="1664"/>
        <v>50.151975683890576</v>
      </c>
      <c r="BF217" s="67">
        <f t="shared" si="1664"/>
        <v>86.788274653496899</v>
      </c>
      <c r="BG217" s="67">
        <f t="shared" si="1664"/>
        <v>102.59322033898306</v>
      </c>
      <c r="BH217" s="67">
        <f t="shared" si="1664"/>
        <v>86.665271090642662</v>
      </c>
      <c r="BI217" s="67">
        <f t="shared" si="1664"/>
        <v>74.729241877256314</v>
      </c>
      <c r="BJ217" s="67">
        <f t="shared" si="1664"/>
        <v>84.263340010926967</v>
      </c>
      <c r="BK217" s="67">
        <f t="shared" si="1664"/>
        <v>92.779225987567671</v>
      </c>
      <c r="BL217" s="67">
        <f t="shared" si="1664"/>
        <v>86.847705608512527</v>
      </c>
      <c r="BM217" s="67">
        <f t="shared" si="1664"/>
        <v>83.85488013698631</v>
      </c>
      <c r="BN217" s="67">
        <f t="shared" si="1664"/>
        <v>93.586882259166472</v>
      </c>
      <c r="BO217" s="67">
        <f t="shared" si="1664"/>
        <v>103.01830032589622</v>
      </c>
      <c r="BP217" s="67">
        <f t="shared" si="1664"/>
        <v>72.063604240282672</v>
      </c>
      <c r="BQ217" s="67">
        <f t="shared" si="1664"/>
        <v>67.608155146693193</v>
      </c>
      <c r="BR217" s="67">
        <f t="shared" si="1664"/>
        <v>60.785950770116585</v>
      </c>
      <c r="BS217" s="67">
        <f t="shared" si="1664"/>
        <v>64.657785943959581</v>
      </c>
      <c r="BT217" s="67">
        <f t="shared" si="1664"/>
        <v>62.317869977131664</v>
      </c>
      <c r="BU217" s="67">
        <f t="shared" si="1664"/>
        <v>47.748435544430549</v>
      </c>
      <c r="BV217" s="67">
        <f t="shared" si="1664"/>
        <v>46.918267591224279</v>
      </c>
      <c r="BW217" s="67">
        <f t="shared" si="1664"/>
        <v>43.969319271332694</v>
      </c>
      <c r="BX217" s="67">
        <f t="shared" si="1664"/>
        <v>63.559261036468328</v>
      </c>
      <c r="BY217" s="67">
        <f t="shared" si="1664"/>
        <v>67.356979405034309</v>
      </c>
      <c r="BZ217" s="67">
        <f t="shared" si="1664"/>
        <v>66.55071101186978</v>
      </c>
      <c r="CA217" s="67">
        <f t="shared" si="1664"/>
        <v>77.764350453172213</v>
      </c>
      <c r="CB217" s="67">
        <f t="shared" si="1664"/>
        <v>83.227801501987926</v>
      </c>
      <c r="CC217" s="67">
        <f t="shared" si="1664"/>
        <v>77.318741450068416</v>
      </c>
      <c r="CD217" s="67">
        <f t="shared" si="1664"/>
        <v>69.470128493840249</v>
      </c>
      <c r="CE217" s="114">
        <f t="shared" si="1664"/>
        <v>64.505535055350563</v>
      </c>
      <c r="CF217" s="67">
        <f t="shared" ref="CF217:CG217" si="1665">CF218-CF216</f>
        <v>72.484246243334951</v>
      </c>
      <c r="CG217" s="67">
        <f t="shared" si="1665"/>
        <v>69.438123984211728</v>
      </c>
      <c r="CH217" s="67">
        <f t="shared" ref="CH217" si="1666">CH218-CH216</f>
        <v>53.958402112908558</v>
      </c>
      <c r="CI217" s="67">
        <f>CH217</f>
        <v>53.958402112908558</v>
      </c>
      <c r="CJ217" s="67">
        <f t="shared" ref="CJ217" si="1667">CJ218-CJ216</f>
        <v>71.208328459468959</v>
      </c>
      <c r="CK217" s="67">
        <f t="shared" ref="CK217" si="1668">CJ217</f>
        <v>71.208328459468959</v>
      </c>
      <c r="CL217" s="67">
        <f>CL218-CL216</f>
        <v>40.873449497932668</v>
      </c>
      <c r="CM217" s="30">
        <f t="shared" si="1638"/>
        <v>40.873449497932668</v>
      </c>
      <c r="CN217" s="30">
        <f t="shared" si="1639"/>
        <v>40.873449497932668</v>
      </c>
      <c r="CO217" s="30">
        <f>+CN217</f>
        <v>40.873449497932668</v>
      </c>
      <c r="CP217" s="30">
        <f t="shared" si="1641"/>
        <v>40.873449497932668</v>
      </c>
      <c r="CQ217" s="30">
        <f t="shared" si="1642"/>
        <v>40.873449497932668</v>
      </c>
      <c r="CR217" s="30">
        <f t="shared" si="1643"/>
        <v>40.873449497932668</v>
      </c>
      <c r="CS217" s="30">
        <f t="shared" si="1644"/>
        <v>40.873449497932668</v>
      </c>
      <c r="CT217" s="30">
        <f t="shared" si="1645"/>
        <v>40.873449497932668</v>
      </c>
      <c r="CU217" s="30">
        <f t="shared" si="1646"/>
        <v>40.873449497932668</v>
      </c>
      <c r="CV217" s="30">
        <f t="shared" si="1647"/>
        <v>40.873449497932668</v>
      </c>
      <c r="CW217" s="30">
        <f t="shared" si="1648"/>
        <v>40.873449497932668</v>
      </c>
      <c r="CX217" s="30">
        <f t="shared" si="1649"/>
        <v>40.873449497932668</v>
      </c>
      <c r="CY217" s="30">
        <f t="shared" si="1650"/>
        <v>40.873449497932668</v>
      </c>
      <c r="CZ217" s="30">
        <f t="shared" si="1651"/>
        <v>40.873449497932668</v>
      </c>
      <c r="DA217" s="30">
        <f t="shared" si="1652"/>
        <v>40.873449497932668</v>
      </c>
      <c r="DB217" s="30">
        <f t="shared" si="1653"/>
        <v>40.873449497932668</v>
      </c>
      <c r="DE217" s="139"/>
      <c r="DF217" s="62">
        <v>66.208328459468959</v>
      </c>
    </row>
    <row r="218" spans="1:110" s="7" customFormat="1" outlineLevel="1" x14ac:dyDescent="0.2">
      <c r="A218" s="69" t="s">
        <v>469</v>
      </c>
      <c r="B218" s="70">
        <f t="shared" ref="B218:AE218" si="1669">B189/B36*365</f>
        <v>78.342254951975718</v>
      </c>
      <c r="C218" s="70">
        <f t="shared" si="1669"/>
        <v>75.795283018202824</v>
      </c>
      <c r="D218" s="70">
        <f t="shared" si="1669"/>
        <v>66.240685010900322</v>
      </c>
      <c r="E218" s="70">
        <f t="shared" si="1669"/>
        <v>74.764664771215962</v>
      </c>
      <c r="F218" s="70">
        <f t="shared" si="1669"/>
        <v>76.047672946244262</v>
      </c>
      <c r="G218" s="70">
        <f t="shared" si="1669"/>
        <v>50.889382515151652</v>
      </c>
      <c r="H218" s="70">
        <f t="shared" si="1669"/>
        <v>32.728055572125001</v>
      </c>
      <c r="I218" s="70">
        <f t="shared" si="1669"/>
        <v>37.533933621841129</v>
      </c>
      <c r="J218" s="70">
        <f t="shared" si="1669"/>
        <v>59.488485655714349</v>
      </c>
      <c r="K218" s="70">
        <f t="shared" si="1669"/>
        <v>57.350610995428937</v>
      </c>
      <c r="L218" s="70">
        <f t="shared" si="1669"/>
        <v>54.136415226738642</v>
      </c>
      <c r="M218" s="70">
        <f t="shared" si="1669"/>
        <v>45.228370735978253</v>
      </c>
      <c r="N218" s="70">
        <f t="shared" si="1669"/>
        <v>51.037743792346539</v>
      </c>
      <c r="O218" s="70">
        <f t="shared" si="1669"/>
        <v>63.573533203196931</v>
      </c>
      <c r="P218" s="70">
        <f t="shared" si="1669"/>
        <v>70.739595703872297</v>
      </c>
      <c r="Q218" s="70">
        <f t="shared" si="1669"/>
        <v>373.1908426566643</v>
      </c>
      <c r="R218" s="70">
        <f t="shared" si="1669"/>
        <v>254.01266092137459</v>
      </c>
      <c r="S218" s="70">
        <f t="shared" si="1669"/>
        <v>113.4597451041343</v>
      </c>
      <c r="T218" s="70">
        <f t="shared" si="1669"/>
        <v>109.147409792594</v>
      </c>
      <c r="U218" s="70">
        <f t="shared" si="1669"/>
        <v>119.05123646355261</v>
      </c>
      <c r="V218" s="70">
        <f t="shared" si="1669"/>
        <v>100.60121967386982</v>
      </c>
      <c r="W218" s="70">
        <f t="shared" si="1669"/>
        <v>78.653532608695656</v>
      </c>
      <c r="X218" s="70">
        <f t="shared" si="1669"/>
        <v>86.41694527538273</v>
      </c>
      <c r="Y218" s="70">
        <f t="shared" si="1669"/>
        <v>95.047352412553579</v>
      </c>
      <c r="Z218" s="70">
        <f t="shared" si="1669"/>
        <v>81.946424903911051</v>
      </c>
      <c r="AA218" s="70">
        <f t="shared" ref="AA218" si="1670">AA189/AA36*365</f>
        <v>81.491406326510628</v>
      </c>
      <c r="AB218" s="71">
        <f t="shared" si="1669"/>
        <v>65.468430092245043</v>
      </c>
      <c r="AC218" s="71">
        <f t="shared" si="1669"/>
        <v>66.389734830126173</v>
      </c>
      <c r="AD218" s="71">
        <f t="shared" si="1669"/>
        <v>65.893317025761149</v>
      </c>
      <c r="AE218" s="71">
        <f t="shared" si="1669"/>
        <v>65.847340407228288</v>
      </c>
      <c r="AI218" s="70">
        <f t="shared" ref="AI218:CD218" si="1671">AI189/AI36*90</f>
        <v>0</v>
      </c>
      <c r="AJ218" s="70">
        <f t="shared" si="1671"/>
        <v>62.275655566645504</v>
      </c>
      <c r="AK218" s="70">
        <f t="shared" si="1671"/>
        <v>56.150810882247441</v>
      </c>
      <c r="AL218" s="70">
        <f t="shared" si="1671"/>
        <v>43.97500415744566</v>
      </c>
      <c r="AM218" s="70">
        <f t="shared" si="1671"/>
        <v>54.720311649690842</v>
      </c>
      <c r="AN218" s="70">
        <f t="shared" si="1671"/>
        <v>54.424367752793536</v>
      </c>
      <c r="AO218" s="70">
        <f t="shared" si="1671"/>
        <v>55.694284956543548</v>
      </c>
      <c r="AP218" s="70">
        <f t="shared" si="1671"/>
        <v>64.261889597768672</v>
      </c>
      <c r="AQ218" s="70">
        <f t="shared" si="1671"/>
        <v>75.17746210219704</v>
      </c>
      <c r="AR218" s="70">
        <f t="shared" si="1671"/>
        <v>47.97263818976537</v>
      </c>
      <c r="AS218" s="70">
        <f t="shared" si="1671"/>
        <v>47.523662183486479</v>
      </c>
      <c r="AT218" s="70">
        <f t="shared" si="1671"/>
        <v>68.068269957922084</v>
      </c>
      <c r="AU218" s="70">
        <f t="shared" si="1671"/>
        <v>75.481168384673595</v>
      </c>
      <c r="AV218" s="70">
        <f t="shared" si="1671"/>
        <v>109.56862052190513</v>
      </c>
      <c r="AW218" s="70">
        <f t="shared" si="1671"/>
        <v>125.03184666331386</v>
      </c>
      <c r="AX218" s="70">
        <f t="shared" si="1671"/>
        <v>411.99589412755995</v>
      </c>
      <c r="AY218" s="70">
        <f t="shared" si="1671"/>
        <v>501.82293398883701</v>
      </c>
      <c r="AZ218" s="70">
        <f t="shared" si="1671"/>
        <v>87.135280373831776</v>
      </c>
      <c r="BA218" s="70">
        <f t="shared" si="1671"/>
        <v>65.28327989536038</v>
      </c>
      <c r="BB218" s="70">
        <f t="shared" si="1671"/>
        <v>188.23021582733813</v>
      </c>
      <c r="BC218" s="70">
        <f t="shared" si="1671"/>
        <v>230.89439112982501</v>
      </c>
      <c r="BD218" s="70">
        <f t="shared" si="1671"/>
        <v>77.862120926728196</v>
      </c>
      <c r="BE218" s="70">
        <f t="shared" si="1671"/>
        <v>72.07135786509231</v>
      </c>
      <c r="BF218" s="70">
        <f t="shared" si="1671"/>
        <v>100.36641707822209</v>
      </c>
      <c r="BG218" s="70">
        <f t="shared" si="1671"/>
        <v>116.17136276370825</v>
      </c>
      <c r="BH218" s="70">
        <f t="shared" si="1671"/>
        <v>105.7504710069081</v>
      </c>
      <c r="BI218" s="70">
        <f t="shared" si="1671"/>
        <v>93.814441793521752</v>
      </c>
      <c r="BJ218" s="70">
        <f t="shared" si="1671"/>
        <v>103.50573665998907</v>
      </c>
      <c r="BK218" s="70">
        <f t="shared" si="1671"/>
        <v>112.02162263662977</v>
      </c>
      <c r="BL218" s="70">
        <f t="shared" si="1671"/>
        <v>112.78430503214365</v>
      </c>
      <c r="BM218" s="70">
        <f t="shared" si="1671"/>
        <v>109.79147956061743</v>
      </c>
      <c r="BN218" s="70">
        <f t="shared" si="1671"/>
        <v>124.08562969710772</v>
      </c>
      <c r="BO218" s="70">
        <f t="shared" si="1671"/>
        <v>133.51704776383747</v>
      </c>
      <c r="BP218" s="70">
        <f t="shared" si="1671"/>
        <v>95.628975265017658</v>
      </c>
      <c r="BQ218" s="70">
        <f t="shared" si="1671"/>
        <v>91.173526171428179</v>
      </c>
      <c r="BR218" s="70">
        <f t="shared" si="1671"/>
        <v>80.801784943140916</v>
      </c>
      <c r="BS218" s="70">
        <f t="shared" si="1671"/>
        <v>84.673620116983912</v>
      </c>
      <c r="BT218" s="70">
        <f t="shared" si="1671"/>
        <v>81.458673636066649</v>
      </c>
      <c r="BU218" s="70">
        <f t="shared" si="1671"/>
        <v>66.889239203365534</v>
      </c>
      <c r="BV218" s="70">
        <f t="shared" si="1671"/>
        <v>67.768557462771398</v>
      </c>
      <c r="BW218" s="70">
        <f t="shared" si="1671"/>
        <v>64.819609142879813</v>
      </c>
      <c r="BX218" s="70">
        <f t="shared" si="1671"/>
        <v>80.423464491362765</v>
      </c>
      <c r="BY218" s="70">
        <f t="shared" si="1671"/>
        <v>84.221182859928746</v>
      </c>
      <c r="BZ218" s="70">
        <f t="shared" si="1671"/>
        <v>88.635562345751552</v>
      </c>
      <c r="CA218" s="70">
        <f t="shared" si="1671"/>
        <v>99.849201787053985</v>
      </c>
      <c r="CB218" s="70">
        <f t="shared" si="1671"/>
        <v>107.33470770136945</v>
      </c>
      <c r="CC218" s="70">
        <f t="shared" si="1671"/>
        <v>101.42564764944996</v>
      </c>
      <c r="CD218" s="70">
        <f t="shared" si="1671"/>
        <v>94.578089813220302</v>
      </c>
      <c r="CE218" s="115">
        <f>CE189/CE38*90</f>
        <v>89.613496374730616</v>
      </c>
      <c r="CF218" s="70">
        <f>CF189/CF36*90</f>
        <v>98.55065438681531</v>
      </c>
      <c r="CG218" s="70">
        <f>CG189/CG38*90</f>
        <v>95.504532127692102</v>
      </c>
      <c r="CH218" s="70">
        <f>CH189/CH36*90</f>
        <v>75.787388577088151</v>
      </c>
      <c r="CI218" s="70">
        <f>CI216+CI217</f>
        <v>75.787388577088151</v>
      </c>
      <c r="CJ218" s="70">
        <f>CJ189/CJ36*90</f>
        <v>94.832144110422277</v>
      </c>
      <c r="CK218" s="70">
        <f t="shared" ref="CK218" si="1672">CK216+CK217</f>
        <v>94.832144110422291</v>
      </c>
      <c r="CL218" s="70">
        <f>CL189/CL36*90</f>
        <v>61.293561724748969</v>
      </c>
      <c r="CM218" s="50">
        <f t="shared" ref="CM218" si="1673">CM216+CM217</f>
        <v>61.293561724748969</v>
      </c>
      <c r="CN218" s="50">
        <f t="shared" ref="CN218:DB218" si="1674">CN216+CN217</f>
        <v>61.293561724748969</v>
      </c>
      <c r="CO218" s="50">
        <f t="shared" si="1674"/>
        <v>61.293561724748969</v>
      </c>
      <c r="CP218" s="50">
        <f t="shared" si="1674"/>
        <v>61.293561724748969</v>
      </c>
      <c r="CQ218" s="50">
        <f t="shared" si="1674"/>
        <v>61.293561724748969</v>
      </c>
      <c r="CR218" s="50">
        <f t="shared" si="1674"/>
        <v>61.293561724748969</v>
      </c>
      <c r="CS218" s="50">
        <f t="shared" si="1674"/>
        <v>61.293561724748969</v>
      </c>
      <c r="CT218" s="50">
        <f t="shared" si="1674"/>
        <v>61.293561724748969</v>
      </c>
      <c r="CU218" s="50">
        <f t="shared" si="1674"/>
        <v>61.293561724748969</v>
      </c>
      <c r="CV218" s="50">
        <f t="shared" si="1674"/>
        <v>61.293561724748969</v>
      </c>
      <c r="CW218" s="50">
        <f t="shared" si="1674"/>
        <v>61.293561724748969</v>
      </c>
      <c r="CX218" s="50">
        <f t="shared" si="1674"/>
        <v>61.293561724748969</v>
      </c>
      <c r="CY218" s="50">
        <f t="shared" si="1674"/>
        <v>61.293561724748969</v>
      </c>
      <c r="CZ218" s="50">
        <f t="shared" si="1674"/>
        <v>61.293561724748969</v>
      </c>
      <c r="DA218" s="50">
        <f t="shared" si="1674"/>
        <v>61.293561724748969</v>
      </c>
      <c r="DB218" s="50">
        <f t="shared" si="1674"/>
        <v>61.293561724748969</v>
      </c>
      <c r="DE218" s="138"/>
      <c r="DF218" s="7">
        <v>84.832144110422291</v>
      </c>
    </row>
    <row r="219" spans="1:110" s="7" customFormat="1" x14ac:dyDescent="0.2">
      <c r="A219" s="69" t="s">
        <v>470</v>
      </c>
      <c r="B219" s="70">
        <f>B215-B218</f>
        <v>79.008648595165852</v>
      </c>
      <c r="C219" s="70">
        <f t="shared" ref="C219:V219" si="1675">C215-C218</f>
        <v>87.998430633802556</v>
      </c>
      <c r="D219" s="70">
        <f t="shared" si="1675"/>
        <v>39.899484204833982</v>
      </c>
      <c r="E219" s="70">
        <f t="shared" si="1675"/>
        <v>46.436698568022408</v>
      </c>
      <c r="F219" s="70">
        <f t="shared" si="1675"/>
        <v>30.1750532345864</v>
      </c>
      <c r="G219" s="70">
        <f t="shared" si="1675"/>
        <v>53.335224882461972</v>
      </c>
      <c r="H219" s="70">
        <f t="shared" si="1675"/>
        <v>21.158278608961595</v>
      </c>
      <c r="I219" s="70">
        <f t="shared" si="1675"/>
        <v>18.81668118362213</v>
      </c>
      <c r="J219" s="70">
        <f t="shared" si="1675"/>
        <v>3.7917632097852731</v>
      </c>
      <c r="K219" s="70">
        <f t="shared" si="1675"/>
        <v>-11.163860073691588</v>
      </c>
      <c r="L219" s="70">
        <f t="shared" si="1675"/>
        <v>22.750509802813447</v>
      </c>
      <c r="M219" s="70">
        <f t="shared" si="1675"/>
        <v>32.759572310628634</v>
      </c>
      <c r="N219" s="70">
        <f t="shared" si="1675"/>
        <v>67.02456923124231</v>
      </c>
      <c r="O219" s="70">
        <f t="shared" si="1675"/>
        <v>69.654076025996048</v>
      </c>
      <c r="P219" s="70">
        <f t="shared" si="1675"/>
        <v>82.424071805854354</v>
      </c>
      <c r="Q219" s="70">
        <f t="shared" si="1675"/>
        <v>-311.58248722757548</v>
      </c>
      <c r="R219" s="70">
        <f t="shared" si="1675"/>
        <v>-179.83987658261515</v>
      </c>
      <c r="S219" s="70">
        <f t="shared" si="1675"/>
        <v>-48.366268484390972</v>
      </c>
      <c r="T219" s="70">
        <f t="shared" si="1675"/>
        <v>-40.184913344066686</v>
      </c>
      <c r="U219" s="70">
        <f t="shared" si="1675"/>
        <v>-41.414255697430093</v>
      </c>
      <c r="V219" s="70">
        <f t="shared" si="1675"/>
        <v>-42.437359140925366</v>
      </c>
      <c r="W219" s="70">
        <f t="shared" ref="W219" si="1676">W215-W218</f>
        <v>-24.300271739130437</v>
      </c>
      <c r="X219" s="70">
        <f t="shared" ref="X219:Y219" si="1677">X215-X218</f>
        <v>-42.646489530177732</v>
      </c>
      <c r="Y219" s="70">
        <f t="shared" si="1677"/>
        <v>-51.888739112401495</v>
      </c>
      <c r="Z219" s="70">
        <f t="shared" ref="Z219:AA219" si="1678">Z215-Z218</f>
        <v>-48.458909133585671</v>
      </c>
      <c r="AA219" s="70">
        <f t="shared" si="1678"/>
        <v>-43.627705415728137</v>
      </c>
      <c r="AB219" s="71">
        <f t="shared" ref="AA219:AD219" si="1679">AB215-AB218</f>
        <v>-32.191483842625807</v>
      </c>
      <c r="AC219" s="71">
        <f t="shared" si="1679"/>
        <v>-32.644498624587847</v>
      </c>
      <c r="AD219" s="71">
        <f t="shared" si="1679"/>
        <v>-32.400405010216886</v>
      </c>
      <c r="AE219" s="71">
        <f t="shared" ref="AE219" si="1680">AE215-AE218</f>
        <v>-32.377797845655998</v>
      </c>
      <c r="AI219" s="70">
        <f t="shared" ref="AI219:AK219" si="1681">AI215-AI218</f>
        <v>0</v>
      </c>
      <c r="AJ219" s="70">
        <f t="shared" ref="AJ219:AM219" si="1682">AJ215-AJ218</f>
        <v>65.067877408862813</v>
      </c>
      <c r="AK219" s="70">
        <f t="shared" si="1681"/>
        <v>65.755561709353401</v>
      </c>
      <c r="AL219" s="70">
        <f t="shared" si="1682"/>
        <v>57.749529888836285</v>
      </c>
      <c r="AM219" s="70">
        <f t="shared" si="1682"/>
        <v>67.718724780236855</v>
      </c>
      <c r="AN219" s="70">
        <f t="shared" ref="AN219:AY219" si="1683">AN215-AN218</f>
        <v>65.627302177779399</v>
      </c>
      <c r="AO219" s="70">
        <f t="shared" si="1683"/>
        <v>66.862263865148009</v>
      </c>
      <c r="AP219" s="70">
        <f t="shared" si="1683"/>
        <v>70.408270833562099</v>
      </c>
      <c r="AQ219" s="70">
        <f t="shared" si="1683"/>
        <v>79.609518433007764</v>
      </c>
      <c r="AR219" s="70">
        <f t="shared" si="1683"/>
        <v>84.924336862701779</v>
      </c>
      <c r="AS219" s="70">
        <f t="shared" si="1683"/>
        <v>84.199331771007834</v>
      </c>
      <c r="AT219" s="70">
        <f t="shared" si="1683"/>
        <v>79.311507436349885</v>
      </c>
      <c r="AU219" s="70">
        <f t="shared" si="1683"/>
        <v>86.445728381595075</v>
      </c>
      <c r="AV219" s="70">
        <f t="shared" si="1683"/>
        <v>40.44225632647067</v>
      </c>
      <c r="AW219" s="70">
        <f t="shared" si="1683"/>
        <v>42.207961368655887</v>
      </c>
      <c r="AX219" s="70">
        <f t="shared" si="1683"/>
        <v>-343.99404677451571</v>
      </c>
      <c r="AY219" s="70">
        <f t="shared" si="1683"/>
        <v>-425.10076388197899</v>
      </c>
      <c r="AZ219" s="70">
        <f t="shared" ref="AZ219:BC219" si="1684">AZ215-AZ218</f>
        <v>-10.808177570093463</v>
      </c>
      <c r="BA219" s="70">
        <f t="shared" si="1684"/>
        <v>-2.1448265714577914</v>
      </c>
      <c r="BB219" s="70">
        <f t="shared" si="1684"/>
        <v>-133.26618705035972</v>
      </c>
      <c r="BC219" s="70">
        <f t="shared" si="1684"/>
        <v>-172.29793041688728</v>
      </c>
      <c r="BD219" s="70">
        <f t="shared" ref="BD219:CE219" si="1685">BD215-BD218</f>
        <v>-2.6954228668299152</v>
      </c>
      <c r="BE219" s="70">
        <f t="shared" si="1685"/>
        <v>-1.149464607041665</v>
      </c>
      <c r="BF219" s="70">
        <f t="shared" si="1685"/>
        <v>-42.784769794487815</v>
      </c>
      <c r="BG219" s="70">
        <f t="shared" si="1685"/>
        <v>-52.184704449658831</v>
      </c>
      <c r="BH219" s="70">
        <f t="shared" si="1685"/>
        <v>-32.348754448398566</v>
      </c>
      <c r="BI219" s="70">
        <f t="shared" si="1685"/>
        <v>-26.149803624315965</v>
      </c>
      <c r="BJ219" s="70">
        <f t="shared" si="1685"/>
        <v>-38.107812784556543</v>
      </c>
      <c r="BK219" s="70">
        <f t="shared" si="1685"/>
        <v>-42.896652768697422</v>
      </c>
      <c r="BL219" s="70">
        <f t="shared" si="1685"/>
        <v>-44.890268233207721</v>
      </c>
      <c r="BM219" s="70">
        <f t="shared" si="1685"/>
        <v>-42.908801886104897</v>
      </c>
      <c r="BN219" s="70">
        <f t="shared" si="1685"/>
        <v>-43.165565930311999</v>
      </c>
      <c r="BO219" s="70">
        <f t="shared" si="1685"/>
        <v>-49.015275953303401</v>
      </c>
      <c r="BP219" s="70">
        <f t="shared" si="1685"/>
        <v>-36.572438162544167</v>
      </c>
      <c r="BQ219" s="70">
        <f t="shared" si="1685"/>
        <v>-33.788274033452069</v>
      </c>
      <c r="BR219" s="70">
        <f t="shared" si="1685"/>
        <v>-34.085216640276364</v>
      </c>
      <c r="BS219" s="70">
        <f t="shared" si="1685"/>
        <v>-36.492323034585844</v>
      </c>
      <c r="BT219" s="70">
        <f t="shared" si="1685"/>
        <v>-25.962103887618433</v>
      </c>
      <c r="BU219" s="70">
        <f t="shared" si="1685"/>
        <v>-16.847185247485534</v>
      </c>
      <c r="BV219" s="70">
        <f t="shared" si="1685"/>
        <v>-22.916903489826076</v>
      </c>
      <c r="BW219" s="70">
        <f t="shared" si="1685"/>
        <v>-21.070756384198354</v>
      </c>
      <c r="BX219" s="70">
        <f t="shared" si="1685"/>
        <v>-28.502879078694825</v>
      </c>
      <c r="BY219" s="70">
        <f t="shared" si="1685"/>
        <v>-31.076192918037378</v>
      </c>
      <c r="BZ219" s="70">
        <f t="shared" si="1685"/>
        <v>-45.386061816899748</v>
      </c>
      <c r="CA219" s="70">
        <f t="shared" si="1685"/>
        <v>-53.307966984825583</v>
      </c>
      <c r="CB219" s="70">
        <f t="shared" si="1685"/>
        <v>-58.471506405536736</v>
      </c>
      <c r="CC219" s="70">
        <f t="shared" si="1685"/>
        <v>-54.146036810206496</v>
      </c>
      <c r="CD219" s="70">
        <f t="shared" si="1685"/>
        <v>-53.79255530533846</v>
      </c>
      <c r="CE219" s="115">
        <f t="shared" si="1685"/>
        <v>-49.969639438082041</v>
      </c>
      <c r="CF219" s="70">
        <f t="shared" ref="CF219:CG219" si="1686">CF215-CF218</f>
        <v>-60.476248182258836</v>
      </c>
      <c r="CG219" s="70">
        <f t="shared" si="1686"/>
        <v>-58.125884814099976</v>
      </c>
      <c r="CH219" s="70">
        <f t="shared" ref="CH219:CI219" si="1687">CH215-CH218</f>
        <v>-44.816771211621003</v>
      </c>
      <c r="CI219" s="70">
        <f t="shared" si="1687"/>
        <v>-44.816771211621003</v>
      </c>
      <c r="CJ219" s="70">
        <f t="shared" ref="CJ219:CK219" si="1688">CJ215-CJ218</f>
        <v>-46.521230553281093</v>
      </c>
      <c r="CK219" s="70">
        <f t="shared" si="1688"/>
        <v>-46.5212305532811</v>
      </c>
      <c r="CL219" s="70">
        <f t="shared" ref="CL219" si="1689">CL215-CL218</f>
        <v>-33.138659184878918</v>
      </c>
      <c r="CM219" s="50">
        <f t="shared" ref="CM219" si="1690">CM215-CM218</f>
        <v>-33.138659184878918</v>
      </c>
      <c r="CN219" s="50">
        <f t="shared" ref="CN219:DB219" si="1691">CN215-CN218</f>
        <v>-33.138659184878918</v>
      </c>
      <c r="CO219" s="50">
        <f t="shared" si="1691"/>
        <v>-30.138659184878914</v>
      </c>
      <c r="CP219" s="50">
        <f t="shared" si="1691"/>
        <v>-30.138659184878914</v>
      </c>
      <c r="CQ219" s="50">
        <f t="shared" si="1691"/>
        <v>-30.138659184878914</v>
      </c>
      <c r="CR219" s="50">
        <f t="shared" si="1691"/>
        <v>-30.138659184878914</v>
      </c>
      <c r="CS219" s="50">
        <f t="shared" si="1691"/>
        <v>-30.138659184878914</v>
      </c>
      <c r="CT219" s="50">
        <f t="shared" si="1691"/>
        <v>-30.138659184878914</v>
      </c>
      <c r="CU219" s="50">
        <f t="shared" si="1691"/>
        <v>-30.138659184878914</v>
      </c>
      <c r="CV219" s="50">
        <f t="shared" si="1691"/>
        <v>-30.138659184878914</v>
      </c>
      <c r="CW219" s="50">
        <f t="shared" si="1691"/>
        <v>-30.138659184878914</v>
      </c>
      <c r="CX219" s="50">
        <f t="shared" si="1691"/>
        <v>-30.138659184878914</v>
      </c>
      <c r="CY219" s="50">
        <f t="shared" si="1691"/>
        <v>-30.138659184878914</v>
      </c>
      <c r="CZ219" s="50">
        <f t="shared" si="1691"/>
        <v>-30.138659184878914</v>
      </c>
      <c r="DA219" s="50">
        <f t="shared" si="1691"/>
        <v>-30.138659184878914</v>
      </c>
      <c r="DB219" s="50">
        <f t="shared" si="1691"/>
        <v>-30.138659184878914</v>
      </c>
      <c r="DE219" s="138"/>
      <c r="DF219" s="7">
        <v>-21.5212305532811</v>
      </c>
    </row>
    <row r="220" spans="1:110" s="7" customFormat="1" x14ac:dyDescent="0.2">
      <c r="A220" s="69" t="s">
        <v>86</v>
      </c>
      <c r="AB220" s="77"/>
      <c r="AC220" s="77"/>
      <c r="AD220" s="77"/>
      <c r="AE220" s="77"/>
      <c r="CE220" s="115"/>
      <c r="CG220" s="115"/>
      <c r="CM220" s="50"/>
      <c r="CN220" s="50"/>
      <c r="CO220" s="50"/>
      <c r="CP220" s="50"/>
      <c r="CQ220" s="50"/>
      <c r="CR220" s="50"/>
      <c r="CS220" s="50"/>
      <c r="CT220" s="50"/>
      <c r="CU220" s="50"/>
      <c r="CV220" s="50"/>
      <c r="CW220" s="50"/>
      <c r="CX220" s="50"/>
      <c r="CY220" s="50"/>
      <c r="CZ220" s="50"/>
      <c r="DA220" s="50"/>
      <c r="DB220" s="50"/>
      <c r="DE220" s="138"/>
    </row>
    <row r="221" spans="1:110" s="86" customFormat="1" x14ac:dyDescent="0.2">
      <c r="A221" s="86" t="s">
        <v>440</v>
      </c>
      <c r="C221" s="86">
        <f t="shared" ref="C221:AE221" si="1692">C38/B38-1</f>
        <v>-0.12053538606738956</v>
      </c>
      <c r="D221" s="86">
        <f t="shared" si="1692"/>
        <v>0.17622190234177859</v>
      </c>
      <c r="E221" s="86">
        <f t="shared" si="1692"/>
        <v>0.26821773334352605</v>
      </c>
      <c r="F221" s="86">
        <f t="shared" si="1692"/>
        <v>0.19582795273837461</v>
      </c>
      <c r="G221" s="86">
        <f t="shared" si="1692"/>
        <v>0.76057054370580945</v>
      </c>
      <c r="H221" s="86">
        <f t="shared" si="1692"/>
        <v>1.2079665305638168</v>
      </c>
      <c r="I221" s="86">
        <f t="shared" si="1692"/>
        <v>-7.972341832336105E-2</v>
      </c>
      <c r="J221" s="86">
        <f t="shared" si="1692"/>
        <v>-0.27894949966805316</v>
      </c>
      <c r="K221" s="86">
        <f t="shared" si="1692"/>
        <v>0.41137129044922172</v>
      </c>
      <c r="L221" s="86">
        <f t="shared" si="1692"/>
        <v>0.25223993603568418</v>
      </c>
      <c r="M221" s="86">
        <f t="shared" si="1692"/>
        <v>0.13608097083723059</v>
      </c>
      <c r="N221" s="86">
        <f t="shared" si="1692"/>
        <v>0.11350239493709524</v>
      </c>
      <c r="O221" s="86">
        <f t="shared" si="1692"/>
        <v>7.3717464157028623E-2</v>
      </c>
      <c r="P221" s="86">
        <f t="shared" si="1692"/>
        <v>8.4507672315422999E-2</v>
      </c>
      <c r="Q221" s="86">
        <f t="shared" si="1692"/>
        <v>-4.1072084249874408E-2</v>
      </c>
      <c r="R221" s="86">
        <f t="shared" si="1692"/>
        <v>0.21803822015372676</v>
      </c>
      <c r="S221" s="86">
        <f t="shared" si="1692"/>
        <v>0.2784113935043131</v>
      </c>
      <c r="T221" s="86">
        <f t="shared" si="1692"/>
        <v>-4.3655465990399378E-2</v>
      </c>
      <c r="U221" s="86">
        <f t="shared" si="1692"/>
        <v>-0.12108154181267161</v>
      </c>
      <c r="V221" s="86">
        <f t="shared" si="1692"/>
        <v>0.21916922579602383</v>
      </c>
      <c r="W221" s="86">
        <f t="shared" si="1692"/>
        <v>0.30098546113394309</v>
      </c>
      <c r="X221" s="86">
        <f t="shared" si="1692"/>
        <v>0.15822010869565228</v>
      </c>
      <c r="Y221" s="86">
        <f t="shared" si="1692"/>
        <v>-0.15150448706669017</v>
      </c>
      <c r="Z221" s="86">
        <f t="shared" si="1692"/>
        <v>0.1780381584404811</v>
      </c>
      <c r="AA221" s="86">
        <f t="shared" si="1692"/>
        <v>0.19836868820232967</v>
      </c>
      <c r="AB221" s="87">
        <f t="shared" si="1692"/>
        <v>0.18544498503392592</v>
      </c>
      <c r="AC221" s="87">
        <f t="shared" si="1692"/>
        <v>-1.3277953179298696E-2</v>
      </c>
      <c r="AD221" s="87">
        <f t="shared" si="1692"/>
        <v>-8.6179660394275492E-3</v>
      </c>
      <c r="AE221" s="87">
        <f t="shared" si="1692"/>
        <v>-1.5116072534353431E-2</v>
      </c>
      <c r="AN221" s="86">
        <f t="shared" ref="AN221:BS221" si="1693">+(AN38+AM38)/(AJ38+AI38)-1</f>
        <v>0.16570315882112951</v>
      </c>
      <c r="AO221" s="86">
        <f t="shared" si="1693"/>
        <v>0.15979534969917997</v>
      </c>
      <c r="AP221" s="86">
        <f t="shared" si="1693"/>
        <v>8.5794879682565828E-4</v>
      </c>
      <c r="AQ221" s="86">
        <f t="shared" si="1693"/>
        <v>-3.5245422403925142E-2</v>
      </c>
      <c r="AR221" s="86">
        <f t="shared" si="1693"/>
        <v>4.0695124318194775E-2</v>
      </c>
      <c r="AS221" s="86">
        <f t="shared" si="1693"/>
        <v>9.2210237972949693E-2</v>
      </c>
      <c r="AT221" s="86">
        <f t="shared" si="1693"/>
        <v>0.12492615699129384</v>
      </c>
      <c r="AU221" s="86">
        <f t="shared" si="1693"/>
        <v>0.16631603324576272</v>
      </c>
      <c r="AV221" s="86">
        <f t="shared" si="1693"/>
        <v>0.12539705150251779</v>
      </c>
      <c r="AW221" s="86">
        <f t="shared" si="1693"/>
        <v>-2.5032917424289813E-2</v>
      </c>
      <c r="AX221" s="86">
        <f t="shared" si="1693"/>
        <v>-0.13719447236558791</v>
      </c>
      <c r="AY221" s="86">
        <f t="shared" si="1693"/>
        <v>-0.19317805269570709</v>
      </c>
      <c r="AZ221" s="86">
        <f t="shared" si="1693"/>
        <v>-0.17739614039071072</v>
      </c>
      <c r="BA221" s="86">
        <f t="shared" si="1693"/>
        <v>0.13707615878068768</v>
      </c>
      <c r="BB221" s="86">
        <f t="shared" si="1693"/>
        <v>0.63302184577080456</v>
      </c>
      <c r="BC221" s="86">
        <f t="shared" si="1693"/>
        <v>0.73085804598895088</v>
      </c>
      <c r="BD221" s="86">
        <f t="shared" si="1693"/>
        <v>0.56805203045685282</v>
      </c>
      <c r="BE221" s="86">
        <f t="shared" si="1693"/>
        <v>0.32331801578885355</v>
      </c>
      <c r="BF221" s="86">
        <f t="shared" si="1693"/>
        <v>8.5127201565557753E-2</v>
      </c>
      <c r="BG221" s="86">
        <f t="shared" si="1693"/>
        <v>6.9799649155202648E-2</v>
      </c>
      <c r="BH221" s="86">
        <f t="shared" si="1693"/>
        <v>2.0435002529084478E-2</v>
      </c>
      <c r="BI221" s="86">
        <f t="shared" si="1693"/>
        <v>-8.1381889413231212E-2</v>
      </c>
      <c r="BJ221" s="86">
        <f t="shared" si="1693"/>
        <v>-9.5745552914173304E-2</v>
      </c>
      <c r="BK221" s="86">
        <f t="shared" si="1693"/>
        <v>-9.5710710278760658E-2</v>
      </c>
      <c r="BL221" s="86">
        <f t="shared" si="1693"/>
        <v>-5.8391989689699608E-2</v>
      </c>
      <c r="BM221" s="86">
        <f t="shared" si="1693"/>
        <v>-0.10991567316080253</v>
      </c>
      <c r="BN221" s="86">
        <f t="shared" si="1693"/>
        <v>-0.17840630949143321</v>
      </c>
      <c r="BO221" s="86">
        <f t="shared" si="1693"/>
        <v>-0.2002290513456767</v>
      </c>
      <c r="BP221" s="86">
        <f t="shared" si="1693"/>
        <v>1.5898083807117214E-2</v>
      </c>
      <c r="BQ221" s="86">
        <f t="shared" si="1693"/>
        <v>0.27333115539584019</v>
      </c>
      <c r="BR221" s="86">
        <f t="shared" si="1693"/>
        <v>0.43219684431203786</v>
      </c>
      <c r="BS221" s="86">
        <f t="shared" si="1693"/>
        <v>0.60835322195704067</v>
      </c>
      <c r="BT221" s="86">
        <f t="shared" ref="BT221:CL221" si="1694">+(BT38+BS38)/(BP38+BO38)-1</f>
        <v>0.31132759871489268</v>
      </c>
      <c r="BU221" s="86">
        <f t="shared" si="1694"/>
        <v>0.20687590866330274</v>
      </c>
      <c r="BV221" s="86">
        <f t="shared" si="1694"/>
        <v>0.29329738058551613</v>
      </c>
      <c r="BW221" s="86">
        <f t="shared" si="1694"/>
        <v>0.34916159667606461</v>
      </c>
      <c r="BX221" s="86">
        <f t="shared" si="1694"/>
        <v>0.4006954872362285</v>
      </c>
      <c r="BY221" s="86">
        <f t="shared" si="1694"/>
        <v>0.14810090702947853</v>
      </c>
      <c r="BZ221" s="86">
        <f t="shared" si="1694"/>
        <v>-2.4542800976946499E-2</v>
      </c>
      <c r="CA221" s="86">
        <f t="shared" si="1694"/>
        <v>-0.13159920809502856</v>
      </c>
      <c r="CB221" s="86">
        <f t="shared" si="1694"/>
        <v>-0.20594707442306603</v>
      </c>
      <c r="CC221" s="86">
        <f t="shared" si="1694"/>
        <v>-0.12967534872237996</v>
      </c>
      <c r="CD221" s="86">
        <f t="shared" si="1694"/>
        <v>-9.2580152671755678E-2</v>
      </c>
      <c r="CE221" s="86">
        <f t="shared" si="1694"/>
        <v>-7.0926477107212671E-3</v>
      </c>
      <c r="CF221" s="86">
        <f t="shared" si="1694"/>
        <v>0.16407304767995456</v>
      </c>
      <c r="CG221" s="86">
        <f t="shared" si="1694"/>
        <v>0.19608538401531805</v>
      </c>
      <c r="CH221" s="86">
        <f t="shared" si="1694"/>
        <v>0.19126455346927784</v>
      </c>
      <c r="CI221" s="86">
        <f t="shared" si="1694"/>
        <v>7.5196122201671045E-2</v>
      </c>
      <c r="CJ221" s="86">
        <f t="shared" si="1694"/>
        <v>-3.7846416798925642E-3</v>
      </c>
      <c r="CL221" s="86">
        <f t="shared" si="1694"/>
        <v>0.38545844867521617</v>
      </c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E221" s="141"/>
      <c r="DF221" s="86">
        <v>0.19836868820232967</v>
      </c>
    </row>
    <row r="222" spans="1:110" s="86" customFormat="1" x14ac:dyDescent="0.2">
      <c r="A222" s="86" t="s">
        <v>441</v>
      </c>
      <c r="C222" s="86">
        <f t="shared" ref="C222" si="1695">C219/B219-1</f>
        <v>0.1137822529366328</v>
      </c>
      <c r="D222" s="86">
        <f t="shared" ref="D222" si="1696">D219/C219-1</f>
        <v>-0.5465886843951564</v>
      </c>
      <c r="E222" s="86">
        <f>E219/D219-1</f>
        <v>0.16384207699598319</v>
      </c>
      <c r="F222" s="86">
        <f t="shared" ref="F222" si="1697">F219/E219-1</f>
        <v>-0.35018952326284081</v>
      </c>
      <c r="G222" s="86">
        <f t="shared" ref="G222" si="1698">G219/F219-1</f>
        <v>0.76752711810727048</v>
      </c>
      <c r="H222" s="86">
        <f t="shared" ref="H222" si="1699">H219/G219-1</f>
        <v>-0.60329634579043478</v>
      </c>
      <c r="I222" s="86">
        <f t="shared" ref="I222" si="1700">I219/H219-1</f>
        <v>-0.11067050720977278</v>
      </c>
      <c r="J222" s="86">
        <f t="shared" ref="J222" si="1701">J219/I219-1</f>
        <v>-0.7984892674333246</v>
      </c>
      <c r="K222" s="86">
        <f>K219/J219-1</f>
        <v>-3.9442397787080683</v>
      </c>
      <c r="L222" s="86">
        <f t="shared" ref="L222" si="1702">L219/K219-1</f>
        <v>-3.037871278629388</v>
      </c>
      <c r="M222" s="86">
        <f t="shared" ref="M222" si="1703">M219/L219-1</f>
        <v>0.43994893277413127</v>
      </c>
      <c r="N222" s="86">
        <f t="shared" ref="N222" si="1704">N219/M219-1</f>
        <v>1.0459537321095187</v>
      </c>
      <c r="O222" s="86">
        <f t="shared" ref="O222" si="1705">O219/N219-1</f>
        <v>3.923198350863899E-2</v>
      </c>
      <c r="P222" s="86">
        <f t="shared" ref="P222" si="1706">P219/O219-1</f>
        <v>0.1833345083077742</v>
      </c>
      <c r="Q222" s="86">
        <f t="shared" ref="Q222" si="1707">Q219/P219-1</f>
        <v>-4.7802365304336334</v>
      </c>
      <c r="R222" s="86">
        <f t="shared" ref="R222" si="1708">R219/Q219-1</f>
        <v>-0.4228177643011668</v>
      </c>
      <c r="S222" s="86">
        <f t="shared" ref="S222" si="1709">S219/R219-1</f>
        <v>-0.73105926558967371</v>
      </c>
      <c r="T222" s="86">
        <f t="shared" ref="T222" si="1710">T219/S219-1</f>
        <v>-0.16915415219523533</v>
      </c>
      <c r="U222" s="86">
        <f t="shared" ref="U222" si="1711">U219/T219-1</f>
        <v>3.0592136477629595E-2</v>
      </c>
      <c r="V222" s="86">
        <f t="shared" ref="V222" si="1712">V219/U219-1</f>
        <v>2.4704136927390374E-2</v>
      </c>
      <c r="W222" s="86">
        <f t="shared" ref="W222:AA222" si="1713">W219/V219-1</f>
        <v>-0.42738492142184326</v>
      </c>
      <c r="X222" s="86">
        <f t="shared" si="1713"/>
        <v>0.75497994376353406</v>
      </c>
      <c r="Y222" s="86">
        <f t="shared" si="1713"/>
        <v>0.21671771074342971</v>
      </c>
      <c r="Z222" s="86">
        <f t="shared" si="1713"/>
        <v>-6.6099697882157415E-2</v>
      </c>
      <c r="AA222" s="86">
        <f t="shared" si="1713"/>
        <v>-9.9696914442284568E-2</v>
      </c>
      <c r="AB222" s="87">
        <f t="shared" ref="AB222" si="1714">AB219/AA219-1</f>
        <v>-0.26213208932550192</v>
      </c>
      <c r="AC222" s="87">
        <f t="shared" ref="AC222" si="1715">AC219/AB219-1</f>
        <v>1.4072503901239486E-2</v>
      </c>
      <c r="AD222" s="87">
        <f t="shared" ref="AD222" si="1716">AD219/AC219-1</f>
        <v>-7.4773277169314367E-3</v>
      </c>
      <c r="AE222" s="87">
        <f t="shared" ref="AE222" si="1717">AE219/AD219-1</f>
        <v>-6.9774327060911912E-4</v>
      </c>
      <c r="AN222" s="86">
        <f t="shared" ref="AN222:CI222" si="1718">+AN219/AJ219-1</f>
        <v>8.5975567544851472E-3</v>
      </c>
      <c r="AO222" s="86">
        <f t="shared" si="1718"/>
        <v>1.6830548276453694E-2</v>
      </c>
      <c r="AP222" s="86">
        <f t="shared" si="1718"/>
        <v>0.21920076179135983</v>
      </c>
      <c r="AQ222" s="86">
        <f t="shared" si="1718"/>
        <v>0.1755909269018181</v>
      </c>
      <c r="AR222" s="86">
        <f t="shared" si="1718"/>
        <v>0.29403973719121002</v>
      </c>
      <c r="AS222" s="86">
        <f t="shared" si="1718"/>
        <v>0.25929525719958124</v>
      </c>
      <c r="AT222" s="86">
        <f t="shared" si="1718"/>
        <v>0.12645157305217913</v>
      </c>
      <c r="AU222" s="86">
        <f t="shared" si="1718"/>
        <v>8.5871766129825833E-2</v>
      </c>
      <c r="AV222" s="86">
        <f t="shared" si="1718"/>
        <v>-0.52378484400938963</v>
      </c>
      <c r="AW222" s="86">
        <f t="shared" si="1718"/>
        <v>-0.49871382015897114</v>
      </c>
      <c r="AX222" s="86">
        <f t="shared" si="1718"/>
        <v>-5.3372526622392389</v>
      </c>
      <c r="AY222" s="86">
        <f t="shared" si="1718"/>
        <v>-5.9175450521449484</v>
      </c>
      <c r="AZ222" s="86">
        <f t="shared" si="1718"/>
        <v>-1.2672496183903366</v>
      </c>
      <c r="BA222" s="86">
        <f t="shared" si="1718"/>
        <v>-1.0508156874179326</v>
      </c>
      <c r="BB222" s="86">
        <f t="shared" si="1718"/>
        <v>-0.61259158901167199</v>
      </c>
      <c r="BC222" s="86">
        <f t="shared" si="1718"/>
        <v>-0.5946892006415625</v>
      </c>
      <c r="BD222" s="86">
        <f t="shared" si="1718"/>
        <v>-0.75061264035037434</v>
      </c>
      <c r="BE222" s="86">
        <f t="shared" si="1718"/>
        <v>-0.46407573351704645</v>
      </c>
      <c r="BF222" s="86">
        <f t="shared" si="1718"/>
        <v>-0.67895254796837579</v>
      </c>
      <c r="BG222" s="86">
        <f t="shared" si="1718"/>
        <v>-0.6971251812288507</v>
      </c>
      <c r="BH222" s="86">
        <f t="shared" si="1718"/>
        <v>11.001365294657425</v>
      </c>
      <c r="BI222" s="86">
        <f t="shared" si="1718"/>
        <v>21.749550933644453</v>
      </c>
      <c r="BJ222" s="86">
        <f t="shared" si="1718"/>
        <v>-0.10931359529095397</v>
      </c>
      <c r="BK222" s="86">
        <f t="shared" si="1718"/>
        <v>-0.1779841771437326</v>
      </c>
      <c r="BL222" s="86">
        <f t="shared" si="1718"/>
        <v>0.38769696078452953</v>
      </c>
      <c r="BM222" s="86">
        <f t="shared" si="1718"/>
        <v>0.64088428741412096</v>
      </c>
      <c r="BN222" s="86">
        <f t="shared" si="1718"/>
        <v>0.13272221038634746</v>
      </c>
      <c r="BO222" s="86">
        <f t="shared" si="1718"/>
        <v>0.14263637812484209</v>
      </c>
      <c r="BP222" s="86">
        <f t="shared" si="1718"/>
        <v>-0.18529250098154715</v>
      </c>
      <c r="BQ222" s="86">
        <f t="shared" si="1718"/>
        <v>-0.21255610624742982</v>
      </c>
      <c r="BR222" s="86">
        <f t="shared" si="1718"/>
        <v>-0.21036094614617751</v>
      </c>
      <c r="BS222" s="86">
        <f t="shared" si="1718"/>
        <v>-0.25549081740655932</v>
      </c>
      <c r="BT222" s="86">
        <f t="shared" si="1718"/>
        <v>-0.29011831882164085</v>
      </c>
      <c r="BU222" s="86">
        <f t="shared" si="1718"/>
        <v>-0.50138958767748876</v>
      </c>
      <c r="BV222" s="86">
        <f t="shared" si="1718"/>
        <v>-0.32765856436580165</v>
      </c>
      <c r="BW222" s="86">
        <f t="shared" si="1718"/>
        <v>-0.42259755937629939</v>
      </c>
      <c r="BX222" s="86">
        <f t="shared" si="1718"/>
        <v>9.7864764815462912E-2</v>
      </c>
      <c r="BY222" s="86">
        <f t="shared" si="1718"/>
        <v>0.84459258098770795</v>
      </c>
      <c r="BZ222" s="86">
        <f t="shared" si="1718"/>
        <v>0.98046223116699949</v>
      </c>
      <c r="CA222" s="86">
        <f t="shared" si="1718"/>
        <v>1.5299503260738643</v>
      </c>
      <c r="CB222" s="86">
        <f t="shared" si="1718"/>
        <v>1.0514245681673153</v>
      </c>
      <c r="CC222" s="86">
        <f t="shared" si="1718"/>
        <v>0.7423639038737857</v>
      </c>
      <c r="CD222" s="86">
        <f t="shared" si="1718"/>
        <v>0.18522191950367706</v>
      </c>
      <c r="CE222" s="86">
        <f t="shared" si="1718"/>
        <v>-6.2623426395041815E-2</v>
      </c>
      <c r="CF222" s="86">
        <f t="shared" si="1718"/>
        <v>3.42857897796911E-2</v>
      </c>
      <c r="CG222" s="86">
        <f t="shared" si="1718"/>
        <v>7.3502110927226472E-2</v>
      </c>
      <c r="CH222" s="86">
        <f t="shared" si="1718"/>
        <v>-0.16685922508735496</v>
      </c>
      <c r="CI222" s="86">
        <f t="shared" si="1718"/>
        <v>-0.10311998014006118</v>
      </c>
      <c r="CJ222" s="86">
        <f>+CJ219/CF219-1</f>
        <v>-0.23075203982431491</v>
      </c>
      <c r="CL222" s="86">
        <f>+CL219/CH219-1</f>
        <v>-0.26057459542542738</v>
      </c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7"/>
      <c r="CY222" s="87"/>
      <c r="CZ222" s="87"/>
      <c r="DA222" s="87"/>
      <c r="DB222" s="87"/>
      <c r="DE222" s="141"/>
      <c r="DF222" s="86">
        <v>-8.0333574830740329E-2</v>
      </c>
    </row>
    <row r="223" spans="1:110" s="103" customFormat="1" x14ac:dyDescent="0.2">
      <c r="A223" s="147" t="s">
        <v>87</v>
      </c>
      <c r="C223" s="103" t="str">
        <f>IF(C222&gt;C221,"RF",0)</f>
        <v>RF</v>
      </c>
      <c r="D223" s="103">
        <f>IF(D222&gt;D221,"RF",0)</f>
        <v>0</v>
      </c>
      <c r="E223" s="103">
        <f t="shared" ref="E223:U223" si="1719">IF(E222&gt;E221,"RF",0)</f>
        <v>0</v>
      </c>
      <c r="F223" s="103">
        <f t="shared" si="1719"/>
        <v>0</v>
      </c>
      <c r="G223" s="103" t="str">
        <f t="shared" si="1719"/>
        <v>RF</v>
      </c>
      <c r="H223" s="103">
        <f t="shared" si="1719"/>
        <v>0</v>
      </c>
      <c r="I223" s="103">
        <f t="shared" si="1719"/>
        <v>0</v>
      </c>
      <c r="J223" s="103">
        <f t="shared" si="1719"/>
        <v>0</v>
      </c>
      <c r="K223" s="103">
        <f t="shared" si="1719"/>
        <v>0</v>
      </c>
      <c r="L223" s="103">
        <f t="shared" si="1719"/>
        <v>0</v>
      </c>
      <c r="M223" s="103" t="str">
        <f t="shared" si="1719"/>
        <v>RF</v>
      </c>
      <c r="N223" s="103" t="str">
        <f t="shared" si="1719"/>
        <v>RF</v>
      </c>
      <c r="O223" s="103">
        <f t="shared" si="1719"/>
        <v>0</v>
      </c>
      <c r="P223" s="103" t="str">
        <f t="shared" si="1719"/>
        <v>RF</v>
      </c>
      <c r="Q223" s="103">
        <f t="shared" si="1719"/>
        <v>0</v>
      </c>
      <c r="R223" s="103">
        <f t="shared" si="1719"/>
        <v>0</v>
      </c>
      <c r="S223" s="103">
        <f t="shared" si="1719"/>
        <v>0</v>
      </c>
      <c r="T223" s="103">
        <f t="shared" si="1719"/>
        <v>0</v>
      </c>
      <c r="U223" s="103" t="str">
        <f t="shared" si="1719"/>
        <v>RF</v>
      </c>
      <c r="V223" s="103">
        <f>IF(V222&gt;V221,"RF",0)</f>
        <v>0</v>
      </c>
      <c r="W223" s="103">
        <f t="shared" ref="W223" si="1720">IF(W222&gt;W221,"RF",0)</f>
        <v>0</v>
      </c>
      <c r="X223" s="103" t="str">
        <f t="shared" ref="X223:Y223" si="1721">IF(X222&gt;X221,"RF",0)</f>
        <v>RF</v>
      </c>
      <c r="Y223" s="103" t="str">
        <f t="shared" si="1721"/>
        <v>RF</v>
      </c>
      <c r="Z223" s="103">
        <f t="shared" ref="Z223:AA223" si="1722">IF(Z222&gt;Z221,"RF",0)</f>
        <v>0</v>
      </c>
      <c r="AA223" s="103">
        <f t="shared" si="1722"/>
        <v>0</v>
      </c>
      <c r="AB223" s="73">
        <f t="shared" ref="AA223:AD223" si="1723">IF(AB222&gt;AB221,"RF",0)</f>
        <v>0</v>
      </c>
      <c r="AC223" s="73" t="str">
        <f t="shared" si="1723"/>
        <v>RF</v>
      </c>
      <c r="AD223" s="73" t="str">
        <f t="shared" si="1723"/>
        <v>RF</v>
      </c>
      <c r="AE223" s="73" t="str">
        <f t="shared" ref="AE223" si="1724">IF(AE222&gt;AE221,"RF",0)</f>
        <v>RF</v>
      </c>
      <c r="CM223" s="73"/>
      <c r="CN223" s="73"/>
      <c r="CO223" s="73"/>
      <c r="CP223" s="73"/>
      <c r="CQ223" s="73"/>
      <c r="CR223" s="73"/>
      <c r="CS223" s="73"/>
      <c r="CT223" s="73"/>
      <c r="CU223" s="73"/>
      <c r="CV223" s="73"/>
      <c r="CW223" s="73"/>
      <c r="CX223" s="73"/>
      <c r="CY223" s="73"/>
      <c r="CZ223" s="73"/>
      <c r="DA223" s="73"/>
      <c r="DB223" s="73"/>
      <c r="DE223" s="142"/>
      <c r="DF223" s="103">
        <v>0</v>
      </c>
    </row>
    <row r="224" spans="1:110" x14ac:dyDescent="0.2">
      <c r="A224" s="153" t="s">
        <v>494</v>
      </c>
      <c r="AA224" s="2"/>
      <c r="CL224" s="2"/>
    </row>
    <row r="225" spans="1:110" x14ac:dyDescent="0.2">
      <c r="A225" s="152" t="s">
        <v>495</v>
      </c>
      <c r="AA225" s="2"/>
      <c r="CL225" s="2"/>
    </row>
    <row r="226" spans="1:110" s="23" customFormat="1" x14ac:dyDescent="0.2">
      <c r="A226" s="23" t="s">
        <v>22</v>
      </c>
      <c r="C226" s="23">
        <f t="shared" ref="C226:AE226" si="1725">C76</f>
        <v>67.962999999999909</v>
      </c>
      <c r="D226" s="23">
        <f t="shared" si="1725"/>
        <v>142.15199999999999</v>
      </c>
      <c r="E226" s="23">
        <f t="shared" si="1725"/>
        <v>404.58799999999991</v>
      </c>
      <c r="F226" s="23">
        <f t="shared" si="1725"/>
        <v>655.33000000000015</v>
      </c>
      <c r="G226" s="23">
        <f t="shared" si="1725"/>
        <v>1472.4799999999996</v>
      </c>
      <c r="H226" s="23">
        <f t="shared" si="1725"/>
        <v>4441.8100000000031</v>
      </c>
      <c r="I226" s="23">
        <f t="shared" si="1725"/>
        <v>4396.07</v>
      </c>
      <c r="J226" s="23">
        <f t="shared" si="1725"/>
        <v>2727.61</v>
      </c>
      <c r="K226" s="23">
        <f t="shared" si="1725"/>
        <v>4041.4100000000008</v>
      </c>
      <c r="L226" s="23">
        <f t="shared" si="1725"/>
        <v>4900.49</v>
      </c>
      <c r="M226" s="23">
        <f t="shared" si="1725"/>
        <v>5526.0399999999981</v>
      </c>
      <c r="N226" s="23">
        <f t="shared" si="1725"/>
        <v>6899.4800000000005</v>
      </c>
      <c r="O226" s="23">
        <f t="shared" si="1725"/>
        <v>6904.619999999999</v>
      </c>
      <c r="P226" s="23">
        <f t="shared" si="1725"/>
        <v>8177.9999999999991</v>
      </c>
      <c r="Q226" s="23">
        <f t="shared" si="1725"/>
        <v>8175</v>
      </c>
      <c r="R226" s="23">
        <f t="shared" si="1725"/>
        <v>8316</v>
      </c>
      <c r="S226" s="23">
        <f t="shared" si="1725"/>
        <v>9276</v>
      </c>
      <c r="T226" s="23">
        <f t="shared" si="1725"/>
        <v>7956</v>
      </c>
      <c r="U226" s="23">
        <f t="shared" si="1725"/>
        <v>6805</v>
      </c>
      <c r="V226" s="23">
        <f t="shared" si="1725"/>
        <v>7980</v>
      </c>
      <c r="W226" s="23">
        <f t="shared" si="1725"/>
        <v>9629</v>
      </c>
      <c r="X226" s="23">
        <f t="shared" si="1725"/>
        <v>10511</v>
      </c>
      <c r="Y226" s="23">
        <f t="shared" si="1725"/>
        <v>7759</v>
      </c>
      <c r="Z226" s="23">
        <f t="shared" si="1725"/>
        <v>10353</v>
      </c>
      <c r="AA226" s="23">
        <f t="shared" ref="AA226" si="1726">AA76</f>
        <v>13832</v>
      </c>
      <c r="AB226" s="24">
        <f t="shared" si="1725"/>
        <v>17722.777565859367</v>
      </c>
      <c r="AC226" s="24">
        <f t="shared" si="1725"/>
        <v>18069.320328161943</v>
      </c>
      <c r="AD226" s="24">
        <f t="shared" si="1725"/>
        <v>17909.195004362631</v>
      </c>
      <c r="AE226" s="24">
        <f t="shared" si="1725"/>
        <v>19022.403102361568</v>
      </c>
      <c r="AI226" s="23">
        <f t="shared" ref="AI226:BN226" si="1727">AI76</f>
        <v>1581.3400000000001</v>
      </c>
      <c r="AJ226" s="23">
        <f t="shared" si="1727"/>
        <v>1539.7900000000004</v>
      </c>
      <c r="AK226" s="23">
        <f t="shared" si="1727"/>
        <v>1612.5400000000002</v>
      </c>
      <c r="AL226" s="23">
        <f t="shared" si="1727"/>
        <v>2165.81</v>
      </c>
      <c r="AM226" s="23">
        <f t="shared" si="1727"/>
        <v>1660.45</v>
      </c>
      <c r="AN226" s="23">
        <f t="shared" si="1727"/>
        <v>1640.2499999999995</v>
      </c>
      <c r="AO226" s="23">
        <f t="shared" si="1727"/>
        <v>1722.72</v>
      </c>
      <c r="AP226" s="23">
        <f t="shared" si="1727"/>
        <v>1881.2</v>
      </c>
      <c r="AQ226" s="23">
        <f t="shared" si="1727"/>
        <v>1617.6700000000003</v>
      </c>
      <c r="AR226" s="23">
        <f t="shared" si="1727"/>
        <v>2183.52</v>
      </c>
      <c r="AS226" s="23">
        <f t="shared" si="1727"/>
        <v>2379.37</v>
      </c>
      <c r="AT226" s="23">
        <f t="shared" si="1727"/>
        <v>1997.44</v>
      </c>
      <c r="AU226" s="23">
        <f t="shared" si="1727"/>
        <v>1940.1399999999996</v>
      </c>
      <c r="AV226" s="23">
        <f t="shared" si="1727"/>
        <v>2248.4200000000005</v>
      </c>
      <c r="AW226" s="23">
        <f t="shared" si="1727"/>
        <v>1839.58</v>
      </c>
      <c r="AX226" s="23">
        <f t="shared" si="1727"/>
        <v>2147.2199999999998</v>
      </c>
      <c r="AY226" s="23">
        <f t="shared" si="1727"/>
        <v>1037</v>
      </c>
      <c r="AZ226" s="23">
        <f t="shared" si="1727"/>
        <v>1902</v>
      </c>
      <c r="BA226" s="23">
        <f t="shared" si="1727"/>
        <v>2320</v>
      </c>
      <c r="BB226" s="23">
        <f t="shared" si="1727"/>
        <v>3057</v>
      </c>
      <c r="BC226" s="23">
        <f t="shared" si="1727"/>
        <v>1889</v>
      </c>
      <c r="BD226" s="23">
        <f t="shared" si="1727"/>
        <v>2584</v>
      </c>
      <c r="BE226" s="23">
        <f t="shared" si="1727"/>
        <v>2298</v>
      </c>
      <c r="BF226" s="23">
        <f t="shared" si="1727"/>
        <v>2505</v>
      </c>
      <c r="BG226" s="23">
        <f t="shared" si="1727"/>
        <v>1918</v>
      </c>
      <c r="BH226" s="23">
        <f t="shared" si="1727"/>
        <v>1815</v>
      </c>
      <c r="BI226" s="23">
        <f t="shared" si="1727"/>
        <v>2211</v>
      </c>
      <c r="BJ226" s="23">
        <f t="shared" si="1727"/>
        <v>2012</v>
      </c>
      <c r="BK226" s="23">
        <f t="shared" si="1727"/>
        <v>1765</v>
      </c>
      <c r="BL226" s="23">
        <f t="shared" si="1727"/>
        <v>2081</v>
      </c>
      <c r="BM226" s="23">
        <f t="shared" si="1727"/>
        <v>1620</v>
      </c>
      <c r="BN226" s="23">
        <f t="shared" si="1727"/>
        <v>1339</v>
      </c>
      <c r="BO226" s="23">
        <f t="shared" ref="BO226:CT226" si="1728">BO76</f>
        <v>1359</v>
      </c>
      <c r="BP226" s="23">
        <f t="shared" si="1728"/>
        <v>1940</v>
      </c>
      <c r="BQ226" s="23">
        <f t="shared" si="1728"/>
        <v>2200</v>
      </c>
      <c r="BR226" s="23">
        <f t="shared" si="1728"/>
        <v>2481</v>
      </c>
      <c r="BS226" s="23">
        <f t="shared" si="1728"/>
        <v>1983</v>
      </c>
      <c r="BT226" s="23">
        <f t="shared" si="1728"/>
        <v>2017</v>
      </c>
      <c r="BU226" s="23">
        <f t="shared" si="1728"/>
        <v>2701</v>
      </c>
      <c r="BV226" s="23">
        <f t="shared" si="1728"/>
        <v>2928</v>
      </c>
      <c r="BW226" s="23">
        <f t="shared" si="1728"/>
        <v>3092</v>
      </c>
      <c r="BX226" s="23">
        <f t="shared" si="1728"/>
        <v>2680</v>
      </c>
      <c r="BY226" s="23">
        <f t="shared" si="1728"/>
        <v>2156</v>
      </c>
      <c r="BZ226" s="23">
        <f t="shared" si="1728"/>
        <v>2583</v>
      </c>
      <c r="CA226" s="23">
        <f t="shared" si="1728"/>
        <v>1964</v>
      </c>
      <c r="CB226" s="23">
        <f t="shared" si="1728"/>
        <v>1729</v>
      </c>
      <c r="CC226" s="23">
        <f t="shared" si="1728"/>
        <v>2028</v>
      </c>
      <c r="CD226" s="23">
        <f t="shared" si="1728"/>
        <v>2038</v>
      </c>
      <c r="CE226" s="23">
        <f t="shared" si="1728"/>
        <v>2345</v>
      </c>
      <c r="CF226" s="23">
        <f t="shared" si="1728"/>
        <v>2327</v>
      </c>
      <c r="CG226" s="23">
        <f t="shared" si="1728"/>
        <v>2678</v>
      </c>
      <c r="CH226" s="23">
        <f t="shared" si="1728"/>
        <v>3003</v>
      </c>
      <c r="CI226" s="23">
        <f t="shared" si="1728"/>
        <v>2234</v>
      </c>
      <c r="CJ226" s="23">
        <f t="shared" si="1728"/>
        <v>2649</v>
      </c>
      <c r="CK226" s="23">
        <f t="shared" si="1728"/>
        <v>3916</v>
      </c>
      <c r="CL226" s="23">
        <f t="shared" ref="CL226" si="1729">CL76</f>
        <v>5033</v>
      </c>
      <c r="CM226" s="24">
        <f t="shared" si="1728"/>
        <v>4122.0383591146547</v>
      </c>
      <c r="CN226" s="24">
        <f t="shared" si="1728"/>
        <v>4336.9846932868022</v>
      </c>
      <c r="CO226" s="24">
        <f t="shared" si="1728"/>
        <v>4614.9441252898641</v>
      </c>
      <c r="CP226" s="24">
        <f t="shared" si="1728"/>
        <v>4648.8103881680418</v>
      </c>
      <c r="CQ226" s="24">
        <f t="shared" si="1728"/>
        <v>4125.9540590614342</v>
      </c>
      <c r="CR226" s="24">
        <f t="shared" si="1728"/>
        <v>4349.9751084639338</v>
      </c>
      <c r="CS226" s="24">
        <f t="shared" si="1728"/>
        <v>4711.5298878120111</v>
      </c>
      <c r="CT226" s="24">
        <f t="shared" si="1728"/>
        <v>4881.8612728245625</v>
      </c>
      <c r="CU226" s="24">
        <f t="shared" ref="CU226:DB226" si="1730">CU76</f>
        <v>3959.78905775772</v>
      </c>
      <c r="CV226" s="24">
        <f t="shared" si="1730"/>
        <v>4273.8021313567606</v>
      </c>
      <c r="CW226" s="24">
        <f t="shared" si="1730"/>
        <v>4719.4837356648222</v>
      </c>
      <c r="CX226" s="24">
        <f t="shared" si="1730"/>
        <v>4956.1200795833247</v>
      </c>
      <c r="CY226" s="24">
        <f t="shared" si="1730"/>
        <v>4275.5303784889093</v>
      </c>
      <c r="CZ226" s="24">
        <f t="shared" si="1730"/>
        <v>4560.6503806435412</v>
      </c>
      <c r="DA226" s="24">
        <f t="shared" si="1730"/>
        <v>4981.2946549231983</v>
      </c>
      <c r="DB226" s="24">
        <f t="shared" si="1730"/>
        <v>5204.9276883059265</v>
      </c>
      <c r="DE226" s="123"/>
      <c r="DF226" s="23">
        <v>4425.4922656785311</v>
      </c>
    </row>
    <row r="227" spans="1:110" s="23" customFormat="1" x14ac:dyDescent="0.2">
      <c r="A227" s="23" t="s">
        <v>88</v>
      </c>
      <c r="C227" s="23">
        <f t="shared" ref="C227:AE227" si="1731">C60</f>
        <v>66.569000000000003</v>
      </c>
      <c r="D227" s="23">
        <f t="shared" si="1731"/>
        <v>70.763000000000005</v>
      </c>
      <c r="E227" s="23">
        <f t="shared" si="1731"/>
        <v>71.759</v>
      </c>
      <c r="F227" s="23">
        <f t="shared" si="1731"/>
        <v>86.37</v>
      </c>
      <c r="G227" s="23">
        <f t="shared" si="1731"/>
        <v>138.27000000000001</v>
      </c>
      <c r="H227" s="23">
        <f t="shared" si="1731"/>
        <v>156.08000000000001</v>
      </c>
      <c r="I227" s="23">
        <f t="shared" si="1731"/>
        <v>220.51</v>
      </c>
      <c r="J227" s="23">
        <f t="shared" si="1731"/>
        <v>285.27</v>
      </c>
      <c r="K227" s="23">
        <f t="shared" si="1731"/>
        <v>334.25</v>
      </c>
      <c r="L227" s="23">
        <f t="shared" si="1731"/>
        <v>474.74</v>
      </c>
      <c r="M227" s="23">
        <f t="shared" si="1731"/>
        <v>610.66999999999996</v>
      </c>
      <c r="N227" s="23">
        <f t="shared" si="1731"/>
        <v>647.04</v>
      </c>
      <c r="O227" s="23">
        <f t="shared" si="1731"/>
        <v>784.59</v>
      </c>
      <c r="P227" s="23">
        <f t="shared" si="1731"/>
        <v>644.19000000000005</v>
      </c>
      <c r="Q227" s="23">
        <f t="shared" si="1731"/>
        <v>745</v>
      </c>
      <c r="R227" s="23">
        <f t="shared" si="1731"/>
        <v>1811</v>
      </c>
      <c r="S227" s="23">
        <f t="shared" si="1731"/>
        <v>1483</v>
      </c>
      <c r="T227" s="23">
        <f t="shared" si="1731"/>
        <v>1883</v>
      </c>
      <c r="U227" s="23">
        <f t="shared" si="1731"/>
        <v>2279</v>
      </c>
      <c r="V227" s="23">
        <f t="shared" si="1731"/>
        <v>2531</v>
      </c>
      <c r="W227" s="23">
        <f t="shared" si="1731"/>
        <v>2917</v>
      </c>
      <c r="X227" s="23">
        <f t="shared" si="1731"/>
        <v>3264</v>
      </c>
      <c r="Y227" s="23">
        <f t="shared" si="1731"/>
        <v>3468</v>
      </c>
      <c r="Z227" s="23">
        <f t="shared" si="1731"/>
        <v>3640</v>
      </c>
      <c r="AA227" s="23">
        <f t="shared" ref="AA227" si="1732">AA60</f>
        <v>3790</v>
      </c>
      <c r="AB227" s="24">
        <f t="shared" si="1731"/>
        <v>4858.6888937500007</v>
      </c>
      <c r="AC227" s="24">
        <f t="shared" si="1731"/>
        <v>5616.7104775467687</v>
      </c>
      <c r="AD227" s="24">
        <f t="shared" si="1731"/>
        <v>6246.3327626203045</v>
      </c>
      <c r="AE227" s="24">
        <f t="shared" si="1731"/>
        <v>5305.3012445468521</v>
      </c>
      <c r="AI227" s="23">
        <f t="shared" ref="AI227:BN227" si="1733">AI60</f>
        <v>173.38</v>
      </c>
      <c r="AJ227" s="23">
        <f t="shared" si="1733"/>
        <v>174.57</v>
      </c>
      <c r="AK227" s="23">
        <f t="shared" si="1733"/>
        <v>177.21</v>
      </c>
      <c r="AL227" s="23">
        <f t="shared" si="1733"/>
        <v>121.88</v>
      </c>
      <c r="AM227" s="23">
        <f t="shared" si="1733"/>
        <v>184.33</v>
      </c>
      <c r="AN227" s="23">
        <f t="shared" si="1733"/>
        <v>186.47</v>
      </c>
      <c r="AO227" s="23">
        <f t="shared" si="1733"/>
        <v>209.68</v>
      </c>
      <c r="AP227" s="23">
        <f t="shared" si="1733"/>
        <v>204.11</v>
      </c>
      <c r="AQ227" s="23">
        <f t="shared" si="1733"/>
        <v>202.29</v>
      </c>
      <c r="AR227" s="23">
        <f t="shared" si="1733"/>
        <v>206.09</v>
      </c>
      <c r="AS227" s="23">
        <f t="shared" si="1733"/>
        <v>209.01</v>
      </c>
      <c r="AT227" s="23">
        <f t="shared" si="1733"/>
        <v>26.8</v>
      </c>
      <c r="AU227" s="23">
        <f t="shared" si="1733"/>
        <v>172.92</v>
      </c>
      <c r="AV227" s="23">
        <f t="shared" si="1733"/>
        <v>183.13</v>
      </c>
      <c r="AW227" s="23">
        <f t="shared" si="1733"/>
        <v>179.74</v>
      </c>
      <c r="AX227" s="23">
        <f t="shared" si="1733"/>
        <v>201.11</v>
      </c>
      <c r="AY227" s="23">
        <f t="shared" si="1733"/>
        <v>389</v>
      </c>
      <c r="AZ227" s="23">
        <f t="shared" si="1733"/>
        <v>432</v>
      </c>
      <c r="BA227" s="23">
        <f t="shared" si="1733"/>
        <v>458</v>
      </c>
      <c r="BB227" s="23">
        <f t="shared" si="1733"/>
        <v>532</v>
      </c>
      <c r="BC227" s="23">
        <f t="shared" si="1733"/>
        <v>326</v>
      </c>
      <c r="BD227" s="23">
        <f t="shared" si="1733"/>
        <v>325</v>
      </c>
      <c r="BE227" s="23">
        <f t="shared" si="1733"/>
        <v>373</v>
      </c>
      <c r="BF227" s="23">
        <f t="shared" si="1733"/>
        <v>459</v>
      </c>
      <c r="BG227" s="23">
        <f t="shared" si="1733"/>
        <v>387</v>
      </c>
      <c r="BH227" s="23">
        <f t="shared" si="1733"/>
        <v>454</v>
      </c>
      <c r="BI227" s="23">
        <f t="shared" si="1733"/>
        <v>489</v>
      </c>
      <c r="BJ227" s="23">
        <f t="shared" si="1733"/>
        <v>553</v>
      </c>
      <c r="BK227" s="23">
        <f t="shared" si="1733"/>
        <v>534</v>
      </c>
      <c r="BL227" s="23">
        <f t="shared" si="1733"/>
        <v>595</v>
      </c>
      <c r="BM227" s="23">
        <f t="shared" si="1733"/>
        <v>597</v>
      </c>
      <c r="BN227" s="23">
        <f t="shared" si="1733"/>
        <v>553</v>
      </c>
      <c r="BO227" s="23">
        <f t="shared" ref="BO227:CT227" si="1734">BO60</f>
        <v>544</v>
      </c>
      <c r="BP227" s="23">
        <f t="shared" si="1734"/>
        <v>652</v>
      </c>
      <c r="BQ227" s="23">
        <f t="shared" si="1734"/>
        <v>639</v>
      </c>
      <c r="BR227" s="23">
        <f t="shared" si="1734"/>
        <v>696</v>
      </c>
      <c r="BS227" s="23">
        <f t="shared" si="1734"/>
        <v>658</v>
      </c>
      <c r="BT227" s="23">
        <f t="shared" si="1734"/>
        <v>702</v>
      </c>
      <c r="BU227" s="23">
        <f t="shared" si="1734"/>
        <v>741</v>
      </c>
      <c r="BV227" s="23">
        <f t="shared" si="1734"/>
        <v>816</v>
      </c>
      <c r="BW227" s="23">
        <f t="shared" si="1734"/>
        <v>731</v>
      </c>
      <c r="BX227" s="23">
        <f t="shared" si="1734"/>
        <v>798</v>
      </c>
      <c r="BY227" s="23">
        <f t="shared" si="1734"/>
        <v>807</v>
      </c>
      <c r="BZ227" s="23">
        <f t="shared" si="1734"/>
        <v>928</v>
      </c>
      <c r="CA227" s="23">
        <f t="shared" si="1734"/>
        <v>801</v>
      </c>
      <c r="CB227" s="23">
        <f t="shared" si="1734"/>
        <v>825</v>
      </c>
      <c r="CC227" s="23">
        <f t="shared" si="1734"/>
        <v>905</v>
      </c>
      <c r="CD227" s="23">
        <f t="shared" si="1734"/>
        <v>937</v>
      </c>
      <c r="CE227" s="23">
        <f t="shared" si="1734"/>
        <v>844</v>
      </c>
      <c r="CF227" s="23">
        <f t="shared" si="1734"/>
        <v>877</v>
      </c>
      <c r="CG227" s="23">
        <f t="shared" si="1734"/>
        <v>905</v>
      </c>
      <c r="CH227" s="23">
        <f t="shared" si="1734"/>
        <v>1014</v>
      </c>
      <c r="CI227" s="23">
        <f t="shared" si="1734"/>
        <v>913</v>
      </c>
      <c r="CJ227" s="23">
        <f t="shared" si="1734"/>
        <v>882</v>
      </c>
      <c r="CK227" s="23">
        <f t="shared" si="1734"/>
        <v>947</v>
      </c>
      <c r="CL227" s="23">
        <f t="shared" ref="CL227" si="1735">CL60</f>
        <v>1048</v>
      </c>
      <c r="CM227" s="24">
        <f t="shared" si="1734"/>
        <v>996.85</v>
      </c>
      <c r="CN227" s="24">
        <f t="shared" si="1734"/>
        <v>1147.0075000000002</v>
      </c>
      <c r="CO227" s="24">
        <f t="shared" si="1734"/>
        <v>1289.6571250000002</v>
      </c>
      <c r="CP227" s="24">
        <f t="shared" si="1734"/>
        <v>1425.1742687500002</v>
      </c>
      <c r="CQ227" s="24">
        <f t="shared" si="1734"/>
        <v>1243.1324442500002</v>
      </c>
      <c r="CR227" s="24">
        <f t="shared" si="1734"/>
        <v>1353.4071464800002</v>
      </c>
      <c r="CS227" s="24">
        <f t="shared" si="1734"/>
        <v>1459.2708606208002</v>
      </c>
      <c r="CT227" s="24">
        <f t="shared" si="1734"/>
        <v>1560.9000261959682</v>
      </c>
      <c r="CU227" s="24">
        <f t="shared" ref="CU227:DB227" si="1736">CU60</f>
        <v>1658.4640251481294</v>
      </c>
      <c r="CV227" s="24">
        <f t="shared" si="1736"/>
        <v>1592.1254641422042</v>
      </c>
      <c r="CW227" s="24">
        <f t="shared" si="1736"/>
        <v>1528.4404455765159</v>
      </c>
      <c r="CX227" s="24">
        <f t="shared" si="1736"/>
        <v>1467.3028277534552</v>
      </c>
      <c r="CY227" s="24">
        <f t="shared" si="1736"/>
        <v>1408.6107146433171</v>
      </c>
      <c r="CZ227" s="24">
        <f t="shared" si="1736"/>
        <v>1352.2662860575842</v>
      </c>
      <c r="DA227" s="24">
        <f t="shared" si="1736"/>
        <v>1298.1756346152808</v>
      </c>
      <c r="DB227" s="24">
        <f t="shared" si="1736"/>
        <v>1246.2486092306694</v>
      </c>
      <c r="DE227" s="123"/>
      <c r="DF227" s="23">
        <v>900.14232718532833</v>
      </c>
    </row>
    <row r="228" spans="1:110" s="22" customFormat="1" x14ac:dyDescent="0.2">
      <c r="A228" s="22" t="s">
        <v>89</v>
      </c>
      <c r="C228" s="22">
        <f t="shared" ref="C228:W228" si="1737">C226+C227</f>
        <v>134.53199999999993</v>
      </c>
      <c r="D228" s="22">
        <f t="shared" si="1737"/>
        <v>212.91499999999999</v>
      </c>
      <c r="E228" s="22">
        <f t="shared" si="1737"/>
        <v>476.34699999999992</v>
      </c>
      <c r="F228" s="22">
        <f t="shared" si="1737"/>
        <v>741.70000000000016</v>
      </c>
      <c r="G228" s="22">
        <f t="shared" si="1737"/>
        <v>1610.7499999999995</v>
      </c>
      <c r="H228" s="22">
        <f t="shared" si="1737"/>
        <v>4597.8900000000031</v>
      </c>
      <c r="I228" s="22">
        <f t="shared" si="1737"/>
        <v>4616.58</v>
      </c>
      <c r="J228" s="22">
        <f t="shared" si="1737"/>
        <v>3012.88</v>
      </c>
      <c r="K228" s="22">
        <f t="shared" si="1737"/>
        <v>4375.6600000000008</v>
      </c>
      <c r="L228" s="22">
        <f t="shared" si="1737"/>
        <v>5375.23</v>
      </c>
      <c r="M228" s="22">
        <f t="shared" si="1737"/>
        <v>6136.7099999999982</v>
      </c>
      <c r="N228" s="22">
        <f t="shared" si="1737"/>
        <v>7546.52</v>
      </c>
      <c r="O228" s="22">
        <f t="shared" si="1737"/>
        <v>7689.2099999999991</v>
      </c>
      <c r="P228" s="22">
        <f t="shared" si="1737"/>
        <v>8822.1899999999987</v>
      </c>
      <c r="Q228" s="22">
        <f t="shared" si="1737"/>
        <v>8920</v>
      </c>
      <c r="R228" s="22">
        <f t="shared" si="1737"/>
        <v>10127</v>
      </c>
      <c r="S228" s="22">
        <f t="shared" si="1737"/>
        <v>10759</v>
      </c>
      <c r="T228" s="22">
        <f t="shared" si="1737"/>
        <v>9839</v>
      </c>
      <c r="U228" s="22">
        <f t="shared" si="1737"/>
        <v>9084</v>
      </c>
      <c r="V228" s="22">
        <f t="shared" si="1737"/>
        <v>10511</v>
      </c>
      <c r="W228" s="22">
        <f t="shared" si="1737"/>
        <v>12546</v>
      </c>
      <c r="X228" s="22">
        <f t="shared" ref="X228:Y228" si="1738">X226+X227</f>
        <v>13775</v>
      </c>
      <c r="Y228" s="22">
        <f t="shared" si="1738"/>
        <v>11227</v>
      </c>
      <c r="Z228" s="22">
        <f t="shared" ref="Z228:AA228" si="1739">Z226+Z227</f>
        <v>13993</v>
      </c>
      <c r="AA228" s="22">
        <f t="shared" si="1739"/>
        <v>17622</v>
      </c>
      <c r="AB228" s="21">
        <f t="shared" ref="AA228:AD228" si="1740">AB226+AB227</f>
        <v>22581.466459609368</v>
      </c>
      <c r="AC228" s="21">
        <f t="shared" si="1740"/>
        <v>23686.03080570871</v>
      </c>
      <c r="AD228" s="21">
        <f t="shared" si="1740"/>
        <v>24155.527766982937</v>
      </c>
      <c r="AE228" s="21">
        <f t="shared" ref="AE228" si="1741">AE226+AE227</f>
        <v>24327.70434690842</v>
      </c>
      <c r="AI228" s="22">
        <f t="shared" ref="AI228" si="1742">AI226+AI227</f>
        <v>1754.7200000000003</v>
      </c>
      <c r="AJ228" s="22">
        <f t="shared" ref="AJ228:AL228" si="1743">AJ226+AJ227</f>
        <v>1714.3600000000004</v>
      </c>
      <c r="AK228" s="22">
        <f t="shared" si="1743"/>
        <v>1789.7500000000002</v>
      </c>
      <c r="AL228" s="22">
        <f t="shared" si="1743"/>
        <v>2287.69</v>
      </c>
      <c r="AM228" s="22">
        <f t="shared" ref="AM228" si="1744">AM226+AM227</f>
        <v>1844.78</v>
      </c>
      <c r="AN228" s="22">
        <f t="shared" ref="AN228:CD228" si="1745">AN226+AN227</f>
        <v>1826.7199999999996</v>
      </c>
      <c r="AO228" s="22">
        <f t="shared" si="1745"/>
        <v>1932.4</v>
      </c>
      <c r="AP228" s="22">
        <f t="shared" si="1745"/>
        <v>2085.31</v>
      </c>
      <c r="AQ228" s="22">
        <f t="shared" si="1745"/>
        <v>1819.9600000000003</v>
      </c>
      <c r="AR228" s="22">
        <f t="shared" si="1745"/>
        <v>2389.61</v>
      </c>
      <c r="AS228" s="22">
        <f t="shared" si="1745"/>
        <v>2588.38</v>
      </c>
      <c r="AT228" s="22">
        <f t="shared" si="1745"/>
        <v>2024.24</v>
      </c>
      <c r="AU228" s="22">
        <f t="shared" si="1745"/>
        <v>2113.0599999999995</v>
      </c>
      <c r="AV228" s="22">
        <f t="shared" si="1745"/>
        <v>2431.5500000000006</v>
      </c>
      <c r="AW228" s="22">
        <f t="shared" si="1745"/>
        <v>2019.32</v>
      </c>
      <c r="AX228" s="22">
        <f t="shared" si="1745"/>
        <v>2348.33</v>
      </c>
      <c r="AY228" s="22">
        <f t="shared" si="1745"/>
        <v>1426</v>
      </c>
      <c r="AZ228" s="22">
        <f t="shared" si="1745"/>
        <v>2334</v>
      </c>
      <c r="BA228" s="22">
        <f t="shared" si="1745"/>
        <v>2778</v>
      </c>
      <c r="BB228" s="22">
        <f t="shared" si="1745"/>
        <v>3589</v>
      </c>
      <c r="BC228" s="22">
        <f t="shared" si="1745"/>
        <v>2215</v>
      </c>
      <c r="BD228" s="22">
        <f t="shared" si="1745"/>
        <v>2909</v>
      </c>
      <c r="BE228" s="22">
        <f t="shared" si="1745"/>
        <v>2671</v>
      </c>
      <c r="BF228" s="22">
        <f t="shared" si="1745"/>
        <v>2964</v>
      </c>
      <c r="BG228" s="22">
        <f t="shared" si="1745"/>
        <v>2305</v>
      </c>
      <c r="BH228" s="22">
        <f t="shared" si="1745"/>
        <v>2269</v>
      </c>
      <c r="BI228" s="22">
        <f t="shared" si="1745"/>
        <v>2700</v>
      </c>
      <c r="BJ228" s="22">
        <f t="shared" si="1745"/>
        <v>2565</v>
      </c>
      <c r="BK228" s="22">
        <f t="shared" si="1745"/>
        <v>2299</v>
      </c>
      <c r="BL228" s="22">
        <f t="shared" si="1745"/>
        <v>2676</v>
      </c>
      <c r="BM228" s="22">
        <f t="shared" si="1745"/>
        <v>2217</v>
      </c>
      <c r="BN228" s="22">
        <f t="shared" si="1745"/>
        <v>1892</v>
      </c>
      <c r="BO228" s="22">
        <f t="shared" si="1745"/>
        <v>1903</v>
      </c>
      <c r="BP228" s="22">
        <f t="shared" si="1745"/>
        <v>2592</v>
      </c>
      <c r="BQ228" s="22">
        <f t="shared" si="1745"/>
        <v>2839</v>
      </c>
      <c r="BR228" s="22">
        <f t="shared" si="1745"/>
        <v>3177</v>
      </c>
      <c r="BS228" s="22">
        <f t="shared" si="1745"/>
        <v>2641</v>
      </c>
      <c r="BT228" s="22">
        <f t="shared" si="1745"/>
        <v>2719</v>
      </c>
      <c r="BU228" s="22">
        <f t="shared" si="1745"/>
        <v>3442</v>
      </c>
      <c r="BV228" s="22">
        <f t="shared" si="1745"/>
        <v>3744</v>
      </c>
      <c r="BW228" s="22">
        <f t="shared" si="1745"/>
        <v>3823</v>
      </c>
      <c r="BX228" s="22">
        <f t="shared" si="1745"/>
        <v>3478</v>
      </c>
      <c r="BY228" s="22">
        <f t="shared" si="1745"/>
        <v>2963</v>
      </c>
      <c r="BZ228" s="22">
        <f t="shared" si="1745"/>
        <v>3511</v>
      </c>
      <c r="CA228" s="22">
        <f t="shared" si="1745"/>
        <v>2765</v>
      </c>
      <c r="CB228" s="22">
        <f t="shared" si="1745"/>
        <v>2554</v>
      </c>
      <c r="CC228" s="22">
        <f t="shared" si="1745"/>
        <v>2933</v>
      </c>
      <c r="CD228" s="22">
        <f t="shared" si="1745"/>
        <v>2975</v>
      </c>
      <c r="CE228" s="22">
        <f t="shared" ref="CE228:CF228" si="1746">CE226+CE227</f>
        <v>3189</v>
      </c>
      <c r="CF228" s="22">
        <f t="shared" si="1746"/>
        <v>3204</v>
      </c>
      <c r="CG228" s="22">
        <f t="shared" ref="CG228:CH228" si="1747">CG226+CG227</f>
        <v>3583</v>
      </c>
      <c r="CH228" s="22">
        <f t="shared" si="1747"/>
        <v>4017</v>
      </c>
      <c r="CI228" s="22">
        <f t="shared" ref="CI228:CJ228" si="1748">CI226+CI227</f>
        <v>3147</v>
      </c>
      <c r="CJ228" s="22">
        <f t="shared" si="1748"/>
        <v>3531</v>
      </c>
      <c r="CK228" s="22">
        <f t="shared" ref="CK228:DB228" si="1749">CK226+CK227</f>
        <v>4863</v>
      </c>
      <c r="CL228" s="22">
        <f t="shared" si="1749"/>
        <v>6081</v>
      </c>
      <c r="CM228" s="21">
        <f t="shared" si="1749"/>
        <v>5118.888359114655</v>
      </c>
      <c r="CN228" s="21">
        <f t="shared" si="1749"/>
        <v>5483.9921932868019</v>
      </c>
      <c r="CO228" s="21">
        <f t="shared" si="1749"/>
        <v>5904.6012502898648</v>
      </c>
      <c r="CP228" s="21">
        <f t="shared" si="1749"/>
        <v>6073.9846569180418</v>
      </c>
      <c r="CQ228" s="21">
        <f t="shared" si="1749"/>
        <v>5369.0865033114342</v>
      </c>
      <c r="CR228" s="21">
        <f t="shared" si="1749"/>
        <v>5703.3822549439337</v>
      </c>
      <c r="CS228" s="21">
        <f t="shared" si="1749"/>
        <v>6170.8007484328118</v>
      </c>
      <c r="CT228" s="21">
        <f t="shared" si="1749"/>
        <v>6442.7612990205307</v>
      </c>
      <c r="CU228" s="21">
        <f t="shared" si="1749"/>
        <v>5618.2530829058496</v>
      </c>
      <c r="CV228" s="21">
        <f t="shared" si="1749"/>
        <v>5865.9275954989644</v>
      </c>
      <c r="CW228" s="21">
        <f t="shared" si="1749"/>
        <v>6247.9241812413384</v>
      </c>
      <c r="CX228" s="21">
        <f t="shared" si="1749"/>
        <v>6423.4229073367796</v>
      </c>
      <c r="CY228" s="21">
        <f t="shared" si="1749"/>
        <v>5684.1410931322262</v>
      </c>
      <c r="CZ228" s="21">
        <f t="shared" si="1749"/>
        <v>5912.916666701125</v>
      </c>
      <c r="DA228" s="21">
        <f t="shared" si="1749"/>
        <v>6279.4702895384789</v>
      </c>
      <c r="DB228" s="21">
        <f t="shared" si="1749"/>
        <v>6451.1762975365964</v>
      </c>
      <c r="DE228" s="126"/>
      <c r="DF228" s="22">
        <v>5325.6345928638593</v>
      </c>
    </row>
    <row r="229" spans="1:110" s="23" customFormat="1" x14ac:dyDescent="0.2">
      <c r="A229" s="23" t="s">
        <v>65</v>
      </c>
      <c r="C229" s="23">
        <f t="shared" ref="C229:AA229" si="1750">B181-C181+B196+B197-C196-C197</f>
        <v>78.381399999999985</v>
      </c>
      <c r="D229" s="23">
        <f t="shared" si="1750"/>
        <v>64.182999999999993</v>
      </c>
      <c r="E229" s="23">
        <f>D181-E181+D196+D197-E196-E197</f>
        <v>-71.897999999999939</v>
      </c>
      <c r="F229" s="23">
        <f t="shared" si="1750"/>
        <v>18.045999999999836</v>
      </c>
      <c r="G229" s="23">
        <f t="shared" si="1750"/>
        <v>-387.29999999999984</v>
      </c>
      <c r="H229" s="23">
        <f t="shared" si="1750"/>
        <v>-66.650000000000091</v>
      </c>
      <c r="I229" s="23">
        <f t="shared" si="1750"/>
        <v>171.4500000000001</v>
      </c>
      <c r="J229" s="23">
        <f>I181-J181+I196+I197-J196-J197</f>
        <v>383.27999999999992</v>
      </c>
      <c r="K229" s="23">
        <f>J181-K181+J196+J197-K196-K197</f>
        <v>149.39999999999998</v>
      </c>
      <c r="L229" s="23">
        <f t="shared" si="1750"/>
        <v>-935.24000000000024</v>
      </c>
      <c r="M229" s="23">
        <f t="shared" si="1750"/>
        <v>-176.49999999999977</v>
      </c>
      <c r="N229" s="23">
        <f t="shared" si="1750"/>
        <v>-1669.7499999999993</v>
      </c>
      <c r="O229" s="23">
        <f t="shared" si="1750"/>
        <v>-654.58000000000061</v>
      </c>
      <c r="P229" s="23">
        <f t="shared" si="1750"/>
        <v>-444.83999999999924</v>
      </c>
      <c r="Q229" s="23">
        <f t="shared" si="1750"/>
        <v>-870.60000000000036</v>
      </c>
      <c r="R229" s="23">
        <f t="shared" si="1750"/>
        <v>-1460</v>
      </c>
      <c r="S229" s="23">
        <f t="shared" si="1750"/>
        <v>344</v>
      </c>
      <c r="T229" s="23">
        <f t="shared" si="1750"/>
        <v>309</v>
      </c>
      <c r="U229" s="23">
        <f t="shared" si="1750"/>
        <v>145</v>
      </c>
      <c r="V229" s="23">
        <f t="shared" si="1750"/>
        <v>1106</v>
      </c>
      <c r="W229" s="23">
        <f t="shared" si="1750"/>
        <v>1222</v>
      </c>
      <c r="X229" s="23">
        <f t="shared" si="1750"/>
        <v>1667</v>
      </c>
      <c r="Y229" s="23">
        <f t="shared" si="1750"/>
        <v>665</v>
      </c>
      <c r="Z229" s="23">
        <f t="shared" si="1750"/>
        <v>275</v>
      </c>
      <c r="AA229" s="23">
        <f t="shared" si="1750"/>
        <v>-1137</v>
      </c>
      <c r="AB229" s="24">
        <f t="shared" ref="AB229" si="1751">AA181-AB181+AA196+AA197-AB196-AB197</f>
        <v>-177.28401290799593</v>
      </c>
      <c r="AC229" s="24">
        <f t="shared" ref="AC229" si="1752">AB181-AC181+AB196+AB197-AC196-AC197</f>
        <v>-2.6825457128425114</v>
      </c>
      <c r="AD229" s="24">
        <f t="shared" ref="AD229" si="1753">AC181-AD181+AC196+AC197-AD196-AD197</f>
        <v>70.807747791045585</v>
      </c>
      <c r="AE229" s="24">
        <f t="shared" ref="AE229" si="1754">AD181-AE181+AD196+AD197-AE196-AE197</f>
        <v>68.683515357315628</v>
      </c>
      <c r="AI229" s="23">
        <f>AH181-AI181+AH196+AH197-AI196-AJ197</f>
        <v>0</v>
      </c>
      <c r="AJ229" s="23">
        <f t="shared" ref="AJ229:AL229" si="1755">AI181-AJ181+AI196+AI197-AJ196-AK197</f>
        <v>-2898.79</v>
      </c>
      <c r="AK229" s="23">
        <f t="shared" si="1755"/>
        <v>-250.2565580395476</v>
      </c>
      <c r="AL229" s="23">
        <f t="shared" si="1755"/>
        <v>11.066558039548227</v>
      </c>
      <c r="AM229" s="23">
        <f t="shared" ref="AM229" si="1756">AL181-AM181+AL196+AL197-AM196-AM197</f>
        <v>358.08805608074317</v>
      </c>
      <c r="AN229" s="23">
        <f t="shared" ref="AN229" si="1757">AM181-AN181+AM196+AM197-AN196-AN197</f>
        <v>-536.68805608074399</v>
      </c>
      <c r="AO229" s="23">
        <f t="shared" ref="AO229" si="1758">AN181-AO181+AN196+AN197-AO196-AO197</f>
        <v>49.453640074962095</v>
      </c>
      <c r="AP229" s="23">
        <f t="shared" ref="AP229" si="1759">AO181-AP181+AO196+AO197-AP196-AP197</f>
        <v>-525.43364007496234</v>
      </c>
      <c r="AQ229" s="23">
        <f t="shared" ref="AQ229" si="1760">AP181-AQ181+AP196+AP197-AQ196-AQ197</f>
        <v>278.73822227041637</v>
      </c>
      <c r="AR229" s="23">
        <f t="shared" ref="AR229" si="1761">AQ181-AR181+AQ196+AQ197-AR196-AR197</f>
        <v>-348.9282222704162</v>
      </c>
      <c r="AS229" s="23">
        <f t="shared" ref="AS229" si="1762">AR181-AS181+AR196+AR197-AS196-AS197</f>
        <v>-24.692632509113537</v>
      </c>
      <c r="AT229" s="23">
        <f t="shared" ref="AT229" si="1763">AS181-AT181+AS196+AS197-AT196-AT197</f>
        <v>-349.9573674908861</v>
      </c>
      <c r="AU229" s="23">
        <f t="shared" ref="AU229" si="1764">AT181-AU181+AT196+AT197-AU196-AU197</f>
        <v>224.66263517771586</v>
      </c>
      <c r="AV229" s="23">
        <f t="shared" ref="AV229" si="1765">AU181-AV181+AU196+AU197-AV196-AV197</f>
        <v>-441.05263517771618</v>
      </c>
      <c r="AW229" s="23">
        <f t="shared" ref="AW229" si="1766">AV181-AW181+AV196+AV197-AW196-AW197</f>
        <v>348.29393787805111</v>
      </c>
      <c r="AX229" s="23">
        <f t="shared" ref="AX229" si="1767">AW181-AX181+AW196+AW197-AX196-AX197</f>
        <v>-1001.8039378780509</v>
      </c>
      <c r="AY229" s="23">
        <f t="shared" ref="AY229" si="1768">AX181-AY181+AX196+AX197-AY196-AY197</f>
        <v>219.12816689300143</v>
      </c>
      <c r="AZ229" s="23">
        <f t="shared" ref="AZ229" si="1769">AY181-AZ181+AY196+AY197-AZ196-AZ197</f>
        <v>-937.72816689300089</v>
      </c>
      <c r="BA229" s="23">
        <f t="shared" ref="BA229" si="1770">AZ181-BA181+AZ196+AZ197-BA196-BA197</f>
        <v>-515.19335410176518</v>
      </c>
      <c r="BB229" s="23">
        <f t="shared" ref="BB229" si="1771">BA181-BB181+BA196+BA197-BB196-BB197</f>
        <v>-226.90664589823518</v>
      </c>
      <c r="BC229" s="23">
        <f t="shared" ref="BC229" si="1772">BB181-BC181+BB196+BB197-BC196-BC197</f>
        <v>556.17713828936849</v>
      </c>
      <c r="BD229" s="23">
        <f t="shared" ref="BD229" si="1773">BC181-BD181+BC196+BC197-BD196-BD197</f>
        <v>-1099.1771382893685</v>
      </c>
      <c r="BE229" s="23">
        <f t="shared" ref="BE229" si="1774">BD181-BE181+BD196+BD197-BE196-BE197</f>
        <v>-232.66057637973245</v>
      </c>
      <c r="BF229" s="23">
        <f t="shared" ref="BF229" si="1775">BE181-BF181+BE196+BE197-BF196-BF197</f>
        <v>1119.6605763797324</v>
      </c>
      <c r="BG229" s="23">
        <f t="shared" ref="BG229" si="1776">BF181-BG181+BF196+BF197-BG196-BG197</f>
        <v>240.78715947108458</v>
      </c>
      <c r="BH229" s="23">
        <f t="shared" ref="BH229" si="1777">BG181-BH181+BG196+BG197-BH196-BH197</f>
        <v>6.2128405289154216</v>
      </c>
      <c r="BI229" s="23">
        <f t="shared" ref="BI229" si="1778">BH181-BI181+BH196+BH197-BI196-BI197</f>
        <v>-269.13439397111142</v>
      </c>
      <c r="BJ229" s="23">
        <f t="shared" ref="BJ229" si="1779">BI181-BJ181+BI196+BI197-BJ196-BJ197</f>
        <v>331.13439397111142</v>
      </c>
      <c r="BK229" s="23">
        <f t="shared" ref="BK229" si="1780">BJ181-BK181+BJ196+BJ197-BK196-BK197</f>
        <v>159.70861409579311</v>
      </c>
      <c r="BL229" s="23">
        <f t="shared" ref="BL229" si="1781">BK181-BL181+BK196+BK197-BL196-BL197</f>
        <v>225.29138590420689</v>
      </c>
      <c r="BM229" s="23">
        <f t="shared" ref="BM229" si="1782">BL181-BM181+BL196+BL197-BM196-BM197</f>
        <v>-68.954112170250482</v>
      </c>
      <c r="BN229" s="23">
        <f t="shared" ref="BN229" si="1783">BM181-BN181+BM196+BM197-BN196-BN197</f>
        <v>-171.04588782974952</v>
      </c>
      <c r="BO229" s="23">
        <f t="shared" ref="BO229" si="1784">BN181-BO181+BN196+BN197-BO196-BO197</f>
        <v>202.69369164199543</v>
      </c>
      <c r="BP229" s="23">
        <f t="shared" ref="BP229" si="1785">BO181-BP181+BO196+BO197-BP196-BP197</f>
        <v>279.30630835800457</v>
      </c>
      <c r="BQ229" s="23">
        <f t="shared" ref="BQ229" si="1786">BP181-BQ181+BP196+BP197-BQ196-BQ197</f>
        <v>-132.72473498233194</v>
      </c>
      <c r="BR229" s="23">
        <f t="shared" ref="BR229" si="1787">BQ181-BR181+BQ196+BQ197-BR196-BR197</f>
        <v>756.72473498233194</v>
      </c>
      <c r="BS229" s="23">
        <f t="shared" ref="BS229" si="1788">BR181-BS181+BR196+BR197-BS196-BS197</f>
        <v>109.64387505398008</v>
      </c>
      <c r="BT229" s="23">
        <f t="shared" ref="BT229" si="1789">BS181-BT181+BS196+BS197-BT196-BT197</f>
        <v>599.35612494601992</v>
      </c>
      <c r="BU229" s="23">
        <f t="shared" ref="BU229" si="1790">BT181-BU181+BT196+BT197-BU196-BU197</f>
        <v>-667.62234563867969</v>
      </c>
      <c r="BV229" s="23">
        <f t="shared" ref="BV229" si="1791">BU181-BV181+BU196+BU197-BV196-BV197</f>
        <v>1180.6223456386797</v>
      </c>
      <c r="BW229" s="23">
        <f t="shared" ref="BW229" si="1792">BV181-BW181+BV196+BV197-BW196-BW197</f>
        <v>-179.0053427304756</v>
      </c>
      <c r="BX229" s="23">
        <f t="shared" ref="BX229" si="1793">BW181-BX181+BW196+BW197-BX196-BX197</f>
        <v>523.0053427304756</v>
      </c>
      <c r="BY229" s="23">
        <f t="shared" ref="BY229" si="1794">BX181-BY181+BX196+BX197-BY196-BY197</f>
        <v>164.1278790786946</v>
      </c>
      <c r="BZ229" s="23">
        <f t="shared" ref="BZ229" si="1795">BY181-BZ181+BY196+BY197-BZ196-BZ197</f>
        <v>1158.8721209213054</v>
      </c>
      <c r="CA229" s="23">
        <f t="shared" ref="CA229" si="1796">BZ181-CA181+BZ196+BZ197-CA196-CA197</f>
        <v>323.29697966858657</v>
      </c>
      <c r="CB229" s="23">
        <f t="shared" ref="CB229" si="1797">CA181-CB181+CA196+CA197-CB196-CB197</f>
        <v>43.703020331413427</v>
      </c>
      <c r="CC229" s="23">
        <f t="shared" ref="CC229" si="1798">CB181-CC181+CB196+CB197-CC196-CC197</f>
        <v>-153.15505816521863</v>
      </c>
      <c r="CD229" s="23">
        <f t="shared" ref="CD229" si="1799">CC181-CD181+CC196+CC197-CD196-CD197</f>
        <v>451.15505816521863</v>
      </c>
      <c r="CE229" s="23">
        <f t="shared" ref="CE229" si="1800">CD181-CE181+CD196+CD197-CE196-CE197</f>
        <v>-160.16174327725503</v>
      </c>
      <c r="CF229" s="23">
        <f t="shared" ref="CF229" si="1801">CE181-CF181+CE196+CE197-CF196-CF197</f>
        <v>4.1617432772550274</v>
      </c>
      <c r="CG229" s="23">
        <f t="shared" ref="CG229" si="1802">CF181-CG181+CF196+CF197-CG196-CG197</f>
        <v>-86.551866214250822</v>
      </c>
      <c r="CH229" s="23">
        <f t="shared" ref="CH229:CL229" si="1803">CG181-CH181+CG196+CG197-CH196-CH197</f>
        <v>517.55186621425082</v>
      </c>
      <c r="CI229" s="23">
        <f t="shared" si="1803"/>
        <v>452.85924947727517</v>
      </c>
      <c r="CJ229" s="23">
        <f t="shared" si="1803"/>
        <v>-2017.8592494772747</v>
      </c>
      <c r="CK229" s="23">
        <f t="shared" ref="CK229" si="1804">CJ181-CK181+CJ196+CJ197-CK196-CK197</f>
        <v>-1304.931453971225</v>
      </c>
      <c r="CL229" s="23">
        <f t="shared" si="1803"/>
        <v>1732.931453971225</v>
      </c>
      <c r="CM229" s="24">
        <f t="shared" ref="CM229" si="1805">CL181-CM181+CL196+CL197-CM196-CM197</f>
        <v>678.3385356998424</v>
      </c>
      <c r="CN229" s="24">
        <f t="shared" ref="CN229" si="1806">CM181-CN181+CM196+CM197-CN196-CN197</f>
        <v>-129.65010051120498</v>
      </c>
      <c r="CO229" s="24">
        <f t="shared" ref="CO229" si="1807">CN181-CO181+CN196+CN197-CO196-CO197</f>
        <v>-638.99619627814354</v>
      </c>
      <c r="CP229" s="24">
        <f t="shared" ref="CP229" si="1808">CO181-CP181+CO196+CO197-CP196-CP197</f>
        <v>-86.9762518184898</v>
      </c>
      <c r="CQ229" s="24">
        <f t="shared" ref="CQ229" si="1809">CP181-CQ181+CP196+CP197-CQ196-CQ197</f>
        <v>585.96854513604194</v>
      </c>
      <c r="CR229" s="24">
        <f t="shared" ref="CR229" si="1810">CQ181-CR181+CQ196+CQ197-CR196-CR197</f>
        <v>-177.19892856493152</v>
      </c>
      <c r="CS229" s="24">
        <f t="shared" ref="CS229" si="1811">CR181-CS181+CR196+CR197-CS196-CS197</f>
        <v>-281.89493714691616</v>
      </c>
      <c r="CT229" s="24">
        <f t="shared" ref="CT229" si="1812">CS181-CT181+CS196+CS197-CT196-CT197</f>
        <v>-129.55722513703677</v>
      </c>
      <c r="CU229" s="24">
        <f t="shared" ref="CU229" si="1813">CT181-CU181+CT196+CT197-CU196-CU197</f>
        <v>589.2315305082393</v>
      </c>
      <c r="CV229" s="24">
        <f t="shared" ref="CV229" si="1814">CU181-CV181+CU196+CU197-CV196-CV197</f>
        <v>-154.44185284564583</v>
      </c>
      <c r="CW229" s="24">
        <f t="shared" ref="CW229" si="1815">CV181-CW181+CV196+CV197-CW196-CW197</f>
        <v>-257.43245979448648</v>
      </c>
      <c r="CX229" s="24">
        <f t="shared" ref="CX229" si="1816">CW181-CX181+CW196+CW197-CX196-CX197</f>
        <v>-106.54947007706141</v>
      </c>
      <c r="CY229" s="24">
        <f t="shared" ref="CY229" si="1817">CX181-CY181+CX196+CX197-CY196-CY197</f>
        <v>573.13263424450361</v>
      </c>
      <c r="CZ229" s="24">
        <f t="shared" ref="CZ229" si="1818">CY181-CZ181+CY196+CY197-CZ196-CZ197</f>
        <v>-150.09069714380712</v>
      </c>
      <c r="DA229" s="24">
        <f t="shared" ref="DA229" si="1819">CZ181-DA181+CZ196+CZ197-DA196-DA197</f>
        <v>-251.10655209052129</v>
      </c>
      <c r="DB229" s="24">
        <f t="shared" ref="DB229" si="1820">DA181-DB181+DA196+DA197-DB196-DB197</f>
        <v>-103.25186965285957</v>
      </c>
      <c r="DE229" s="123"/>
      <c r="DF229" s="23">
        <v>-3208.859911869944</v>
      </c>
    </row>
    <row r="230" spans="1:110" s="23" customFormat="1" x14ac:dyDescent="0.2">
      <c r="A230" s="23" t="s">
        <v>73</v>
      </c>
      <c r="C230" s="23">
        <f t="shared" ref="C230:AA230" si="1821">B189-C189</f>
        <v>51.674699999999973</v>
      </c>
      <c r="D230" s="23">
        <f t="shared" si="1821"/>
        <v>-4.8079999999999359</v>
      </c>
      <c r="E230" s="23">
        <f>D189-E189</f>
        <v>-126.50200000000001</v>
      </c>
      <c r="F230" s="23">
        <f t="shared" si="1821"/>
        <v>-85.875999999999976</v>
      </c>
      <c r="G230" s="23">
        <f t="shared" si="1821"/>
        <v>-91.450000000000102</v>
      </c>
      <c r="H230" s="23">
        <f t="shared" si="1821"/>
        <v>-223.57999999999993</v>
      </c>
      <c r="I230" s="23">
        <f t="shared" si="1821"/>
        <v>-71.680000000000064</v>
      </c>
      <c r="J230" s="23">
        <f>I189-J189</f>
        <v>-102.50999999999999</v>
      </c>
      <c r="K230" s="23">
        <f>J189-K189</f>
        <v>-324.84999999999991</v>
      </c>
      <c r="L230" s="23">
        <f t="shared" si="1821"/>
        <v>-248.88000000000034</v>
      </c>
      <c r="M230" s="23">
        <f t="shared" si="1821"/>
        <v>80.150000000000318</v>
      </c>
      <c r="N230" s="23">
        <f t="shared" si="1821"/>
        <v>-415.28</v>
      </c>
      <c r="O230" s="23">
        <f t="shared" si="1821"/>
        <v>-691.13999999999987</v>
      </c>
      <c r="P230" s="23">
        <f t="shared" si="1821"/>
        <v>-519.36000000000058</v>
      </c>
      <c r="Q230" s="23">
        <f t="shared" si="1821"/>
        <v>-12689.689999999999</v>
      </c>
      <c r="R230" s="23">
        <f t="shared" si="1821"/>
        <v>2728</v>
      </c>
      <c r="S230" s="23">
        <f t="shared" si="1821"/>
        <v>6082</v>
      </c>
      <c r="T230" s="23">
        <f t="shared" si="1821"/>
        <v>685</v>
      </c>
      <c r="U230" s="23">
        <f t="shared" si="1821"/>
        <v>261</v>
      </c>
      <c r="V230" s="23">
        <f t="shared" si="1821"/>
        <v>-183</v>
      </c>
      <c r="W230" s="23">
        <f t="shared" si="1821"/>
        <v>-107</v>
      </c>
      <c r="X230" s="23">
        <f t="shared" si="1821"/>
        <v>-1729</v>
      </c>
      <c r="Y230" s="23">
        <f t="shared" si="1821"/>
        <v>539</v>
      </c>
      <c r="Z230" s="23">
        <f t="shared" si="1821"/>
        <v>-118</v>
      </c>
      <c r="AA230" s="23">
        <f t="shared" si="1821"/>
        <v>-1467</v>
      </c>
      <c r="AB230" s="24">
        <f t="shared" ref="AB230" si="1822">AA189-AB189</f>
        <v>434.42172954981288</v>
      </c>
      <c r="AC230" s="24">
        <f t="shared" ref="AC230" si="1823">AB189-AC189</f>
        <v>-5.2775893302568875</v>
      </c>
      <c r="AD230" s="24">
        <f t="shared" ref="AD230" si="1824">AC189-AD189</f>
        <v>139.30581404537588</v>
      </c>
      <c r="AE230" s="24">
        <f t="shared" ref="AE230" si="1825">AD189-AE189</f>
        <v>135.12663962401348</v>
      </c>
      <c r="AI230" s="23">
        <f t="shared" ref="AI230" si="1826">AH189-AI189</f>
        <v>0</v>
      </c>
      <c r="AJ230" s="23">
        <f t="shared" ref="AJ230" si="1827">AI189-AJ189</f>
        <v>-1982.7600000000002</v>
      </c>
      <c r="AK230" s="23">
        <f t="shared" ref="AK230" si="1828">AJ189-AK189</f>
        <v>0</v>
      </c>
      <c r="AL230" s="23">
        <f t="shared" ref="AL230" si="1829">AK189-AL189</f>
        <v>72.950000000000273</v>
      </c>
      <c r="AM230" s="23">
        <f t="shared" ref="AM230" si="1830">AL189-AM189</f>
        <v>95.430386527317523</v>
      </c>
      <c r="AN230" s="23">
        <f t="shared" ref="AN230" si="1831">AM189-AN189</f>
        <v>-337.8803865273178</v>
      </c>
      <c r="AO230" s="23">
        <f t="shared" ref="AO230" si="1832">AN189-AO189</f>
        <v>17.269092221975825</v>
      </c>
      <c r="AP230" s="23">
        <f t="shared" ref="AP230" si="1833">AO189-AP189</f>
        <v>-465.95909222197542</v>
      </c>
      <c r="AQ230" s="23">
        <f t="shared" ref="AQ230" si="1834">AP189-AQ189</f>
        <v>89.028752676600561</v>
      </c>
      <c r="AR230" s="23">
        <f t="shared" ref="AR230" si="1835">AQ189-AR189</f>
        <v>485.14124732339906</v>
      </c>
      <c r="AS230" s="23">
        <f t="shared" ref="AS230" si="1836">AR189-AS189</f>
        <v>-7.8347078408783091</v>
      </c>
      <c r="AT230" s="23">
        <f t="shared" ref="AT230" si="1837">AS189-AT189</f>
        <v>-1085.6952921591219</v>
      </c>
      <c r="AU230" s="23">
        <f t="shared" ref="AU230" si="1838">AT189-AU189</f>
        <v>75.760299611216396</v>
      </c>
      <c r="AV230" s="23">
        <f t="shared" ref="AV230" si="1839">AU189-AV189</f>
        <v>-2260.8602996112159</v>
      </c>
      <c r="AW230" s="23">
        <f t="shared" ref="AW230" si="1840">AV189-AW189</f>
        <v>135.34314047197222</v>
      </c>
      <c r="AX230" s="23">
        <f t="shared" ref="AX230" si="1841">AW189-AX189</f>
        <v>-10639.543140471971</v>
      </c>
      <c r="AY230" s="23">
        <f t="shared" ref="AY230" si="1842">AX189-AY189</f>
        <v>175.03770105889816</v>
      </c>
      <c r="AZ230" s="23">
        <f t="shared" ref="AZ230" si="1843">AY189-AZ189</f>
        <v>11905.182298941101</v>
      </c>
      <c r="BA230" s="23">
        <f t="shared" ref="BA230" si="1844">AZ189-BA189</f>
        <v>-181.07846573208735</v>
      </c>
      <c r="BB230" s="23">
        <f t="shared" ref="BB230" si="1845">BA189-BB189</f>
        <v>-9171.5315342679132</v>
      </c>
      <c r="BC230" s="23">
        <f t="shared" ref="BC230" si="1846">BB189-BC189</f>
        <v>221.18241406874586</v>
      </c>
      <c r="BD230" s="23">
        <f t="shared" ref="BD230" si="1847">BC189-BD189</f>
        <v>8267.8175859312541</v>
      </c>
      <c r="BE230" s="23">
        <f t="shared" ref="BE230" si="1848">BD189-BE189</f>
        <v>-149.29534752307427</v>
      </c>
      <c r="BF230" s="23">
        <f t="shared" ref="BF230" si="1849">BE189-BF189</f>
        <v>-2257.7046524769257</v>
      </c>
      <c r="BG230" s="23">
        <f t="shared" ref="BG230" si="1850">BF189-BG189</f>
        <v>145.88959694121422</v>
      </c>
      <c r="BH230" s="23">
        <f t="shared" ref="BH230" si="1851">BG189-BH189</f>
        <v>1241.1104030587858</v>
      </c>
      <c r="BI230" s="23">
        <f t="shared" ref="BI230" si="1852">BH189-BI189</f>
        <v>-161.80008373456167</v>
      </c>
      <c r="BJ230" s="23">
        <f t="shared" ref="BJ230" si="1853">BI189-BJ189</f>
        <v>-540.19991626543833</v>
      </c>
      <c r="BK230" s="23">
        <f t="shared" ref="BK230" si="1854">BJ189-BK189</f>
        <v>107.75742123474811</v>
      </c>
      <c r="BL230" s="23">
        <f t="shared" ref="BL230" si="1855">BK189-BL189</f>
        <v>554.24257876525189</v>
      </c>
      <c r="BM230" s="23">
        <f t="shared" ref="BM230" si="1856">BL189-BM189</f>
        <v>-46.397694524495819</v>
      </c>
      <c r="BN230" s="23">
        <f t="shared" ref="BN230" si="1857">BM189-BN189</f>
        <v>-354.60230547550418</v>
      </c>
      <c r="BO230" s="23">
        <f t="shared" ref="BO230" si="1858">BN189-BO189</f>
        <v>136.22773855613741</v>
      </c>
      <c r="BP230" s="23">
        <f t="shared" ref="BP230" si="1859">BO189-BP189</f>
        <v>-96.22773855613741</v>
      </c>
      <c r="BQ230" s="23">
        <f t="shared" ref="BQ230" si="1860">BP189-BQ189</f>
        <v>-97.665371024735578</v>
      </c>
      <c r="BR230" s="23">
        <f t="shared" ref="BR230" si="1861">BQ189-BR189</f>
        <v>-125.33462897526442</v>
      </c>
      <c r="BS230" s="23">
        <f t="shared" ref="BS230" si="1862">BR189-BS189</f>
        <v>92.517633510868109</v>
      </c>
      <c r="BT230" s="23">
        <f t="shared" ref="BT230" si="1863">BS189-BT189</f>
        <v>603.48236648913189</v>
      </c>
      <c r="BU230" s="23">
        <f t="shared" ref="BU230" si="1864">BT189-BU189</f>
        <v>-397.27801372100657</v>
      </c>
      <c r="BV230" s="23">
        <f t="shared" ref="BV230" si="1865">BU189-BV189</f>
        <v>-685.72198627899343</v>
      </c>
      <c r="BW230" s="23">
        <f t="shared" ref="BW230" si="1866">BV189-BW189</f>
        <v>-136.68523360236486</v>
      </c>
      <c r="BX230" s="23">
        <f t="shared" ref="BX230" si="1867">BW189-BX189</f>
        <v>-688.31476639763514</v>
      </c>
      <c r="BY230" s="23">
        <f t="shared" ref="BY230" si="1868">BX189-BY189</f>
        <v>88.068618042227172</v>
      </c>
      <c r="BZ230" s="23">
        <f t="shared" ref="BZ230" si="1869">BY189-BZ189</f>
        <v>-1019.0686180422272</v>
      </c>
      <c r="CA230" s="23">
        <f t="shared" ref="CA230" si="1870">BZ189-CA189</f>
        <v>301.09013985192178</v>
      </c>
      <c r="CB230" s="23">
        <f t="shared" ref="CB230" si="1871">CA189-CB189</f>
        <v>-20.090139851921776</v>
      </c>
      <c r="CC230" s="23">
        <f t="shared" ref="CC230" si="1872">CB189-CC189</f>
        <v>-139.01649241643463</v>
      </c>
      <c r="CD230" s="23">
        <f t="shared" ref="CD230" si="1873">CC189-CD189</f>
        <v>305.01649241643463</v>
      </c>
      <c r="CE230" s="23">
        <f t="shared" ref="CE230" si="1874">CD189-CE189</f>
        <v>-162.08583918399836</v>
      </c>
      <c r="CF230" s="23">
        <f t="shared" ref="CF230" si="1875">CE189-CF189</f>
        <v>-940.91416081600164</v>
      </c>
      <c r="CG230" s="23">
        <f t="shared" ref="CG230" si="1876">CF189-CG189</f>
        <v>-104.84488608821994</v>
      </c>
      <c r="CH230" s="23">
        <f t="shared" ref="CH230:CL230" si="1877">CG189-CH189</f>
        <v>1488.8448860882199</v>
      </c>
      <c r="CI230" s="23">
        <f t="shared" si="1877"/>
        <v>1108.1800374160875</v>
      </c>
      <c r="CJ230" s="23">
        <f t="shared" si="1877"/>
        <v>-2464.1800374160875</v>
      </c>
      <c r="CK230" s="23">
        <f t="shared" ref="CK230" si="1878">CJ189-CK189</f>
        <v>-2561.5215814715193</v>
      </c>
      <c r="CL230" s="23">
        <f t="shared" si="1877"/>
        <v>2345.5215814715193</v>
      </c>
      <c r="CM230" s="24">
        <f t="shared" ref="CM230" si="1879">CL189-CM189</f>
        <v>1476.7511572563944</v>
      </c>
      <c r="CN230" s="24">
        <f t="shared" ref="CN230" si="1880">CM189-CN189</f>
        <v>-282.24982938762241</v>
      </c>
      <c r="CO230" s="24">
        <f t="shared" ref="CO230" si="1881">CN189-CO189</f>
        <v>-483.964177476234</v>
      </c>
      <c r="CP230" s="24">
        <f t="shared" ref="CP230" si="1882">CO189-CP189</f>
        <v>-171.11542084272514</v>
      </c>
      <c r="CQ230" s="24">
        <f t="shared" ref="CQ230" si="1883">CP189-CQ189</f>
        <v>1152.8233524112038</v>
      </c>
      <c r="CR230" s="24">
        <f t="shared" ref="CR230" si="1884">CQ189-CR189</f>
        <v>-348.61779624104383</v>
      </c>
      <c r="CS230" s="24">
        <f t="shared" ref="CS230" si="1885">CR189-CS189</f>
        <v>-554.59472896109946</v>
      </c>
      <c r="CT230" s="24">
        <f t="shared" ref="CT230" si="1886">CS189-CT189</f>
        <v>-254.8884165393174</v>
      </c>
      <c r="CU230" s="24">
        <f t="shared" ref="CU230" si="1887">CT189-CU189</f>
        <v>1159.2428876693175</v>
      </c>
      <c r="CV230" s="24">
        <f t="shared" ref="CV230" si="1888">CU189-CV189</f>
        <v>-303.84595901607645</v>
      </c>
      <c r="CW230" s="24">
        <f t="shared" ref="CW230" si="1889">CV189-CW189</f>
        <v>-506.46771705269748</v>
      </c>
      <c r="CX230" s="24">
        <f t="shared" ref="CX230" si="1890">CW189-CX189</f>
        <v>-209.62339755516768</v>
      </c>
      <c r="CY230" s="24">
        <f t="shared" ref="CY230" si="1891">CX189-CY189</f>
        <v>1127.5702258601887</v>
      </c>
      <c r="CZ230" s="24">
        <f t="shared" ref="CZ230" si="1892">CY189-CZ189</f>
        <v>-295.28557818216541</v>
      </c>
      <c r="DA230" s="24">
        <f t="shared" ref="DA230" si="1893">CZ189-DA189</f>
        <v>-494.02224675081379</v>
      </c>
      <c r="DB230" s="24">
        <f t="shared" ref="DB230" si="1894">DA189-DB189</f>
        <v>-203.13576130319598</v>
      </c>
      <c r="DE230" s="123"/>
      <c r="DF230" s="23">
        <v>-627.57470994732648</v>
      </c>
    </row>
    <row r="231" spans="1:110" s="22" customFormat="1" x14ac:dyDescent="0.2">
      <c r="A231" s="22" t="s">
        <v>90</v>
      </c>
      <c r="C231" s="22">
        <f t="shared" ref="C231:W231" si="1895">C229-C230</f>
        <v>26.706700000000012</v>
      </c>
      <c r="D231" s="22">
        <f t="shared" si="1895"/>
        <v>68.990999999999929</v>
      </c>
      <c r="E231" s="22">
        <f t="shared" si="1895"/>
        <v>54.60400000000007</v>
      </c>
      <c r="F231" s="22">
        <f t="shared" si="1895"/>
        <v>103.92199999999981</v>
      </c>
      <c r="G231" s="22">
        <f t="shared" si="1895"/>
        <v>-295.84999999999974</v>
      </c>
      <c r="H231" s="22">
        <f t="shared" si="1895"/>
        <v>156.92999999999984</v>
      </c>
      <c r="I231" s="22">
        <f t="shared" si="1895"/>
        <v>243.13000000000017</v>
      </c>
      <c r="J231" s="22">
        <f>J229-J230</f>
        <v>485.78999999999991</v>
      </c>
      <c r="K231" s="22">
        <f t="shared" si="1895"/>
        <v>474.24999999999989</v>
      </c>
      <c r="L231" s="22">
        <f t="shared" si="1895"/>
        <v>-686.3599999999999</v>
      </c>
      <c r="M231" s="22">
        <f t="shared" si="1895"/>
        <v>-256.65000000000009</v>
      </c>
      <c r="N231" s="22">
        <f t="shared" si="1895"/>
        <v>-1254.4699999999993</v>
      </c>
      <c r="O231" s="22">
        <f t="shared" si="1895"/>
        <v>36.559999999999263</v>
      </c>
      <c r="P231" s="22">
        <f t="shared" si="1895"/>
        <v>74.520000000001346</v>
      </c>
      <c r="Q231" s="22">
        <f t="shared" si="1895"/>
        <v>11819.089999999998</v>
      </c>
      <c r="R231" s="22">
        <f t="shared" si="1895"/>
        <v>-4188</v>
      </c>
      <c r="S231" s="22">
        <f t="shared" si="1895"/>
        <v>-5738</v>
      </c>
      <c r="T231" s="22">
        <f t="shared" si="1895"/>
        <v>-376</v>
      </c>
      <c r="U231" s="22">
        <f t="shared" si="1895"/>
        <v>-116</v>
      </c>
      <c r="V231" s="22">
        <f t="shared" si="1895"/>
        <v>1289</v>
      </c>
      <c r="W231" s="22">
        <f t="shared" si="1895"/>
        <v>1329</v>
      </c>
      <c r="X231" s="22">
        <f t="shared" ref="X231:Y231" si="1896">X229-X230</f>
        <v>3396</v>
      </c>
      <c r="Y231" s="22">
        <f t="shared" si="1896"/>
        <v>126</v>
      </c>
      <c r="Z231" s="22">
        <f t="shared" ref="Z231:AA231" si="1897">Z229-Z230</f>
        <v>393</v>
      </c>
      <c r="AA231" s="22">
        <f t="shared" si="1897"/>
        <v>330</v>
      </c>
      <c r="AB231" s="21">
        <f t="shared" ref="AA231:AD231" si="1898">AB229-AB230</f>
        <v>-611.70574245780881</v>
      </c>
      <c r="AC231" s="21">
        <f t="shared" si="1898"/>
        <v>2.5950436174143761</v>
      </c>
      <c r="AD231" s="21">
        <f t="shared" si="1898"/>
        <v>-68.498066254330297</v>
      </c>
      <c r="AE231" s="21">
        <f t="shared" ref="AE231" si="1899">AE229-AE230</f>
        <v>-66.443124266697851</v>
      </c>
      <c r="AI231" s="22">
        <f t="shared" ref="AI231" si="1900">AI229-AI230</f>
        <v>0</v>
      </c>
      <c r="AJ231" s="22">
        <f t="shared" ref="AJ231:AL231" si="1901">AJ229-AJ230</f>
        <v>-916.02999999999975</v>
      </c>
      <c r="AK231" s="22">
        <f t="shared" si="1901"/>
        <v>-250.2565580395476</v>
      </c>
      <c r="AL231" s="22">
        <f t="shared" si="1901"/>
        <v>-61.883441960452046</v>
      </c>
      <c r="AM231" s="22">
        <f t="shared" ref="AM231" si="1902">AM229-AM230</f>
        <v>262.65766955342565</v>
      </c>
      <c r="AN231" s="22">
        <f t="shared" ref="AN231:CD231" si="1903">AN229-AN230</f>
        <v>-198.80766955342619</v>
      </c>
      <c r="AO231" s="22">
        <f t="shared" si="1903"/>
        <v>32.18454785298627</v>
      </c>
      <c r="AP231" s="22">
        <f t="shared" si="1903"/>
        <v>-59.474547852986916</v>
      </c>
      <c r="AQ231" s="22">
        <f t="shared" si="1903"/>
        <v>189.70946959381581</v>
      </c>
      <c r="AR231" s="22">
        <f t="shared" si="1903"/>
        <v>-834.06946959381526</v>
      </c>
      <c r="AS231" s="22">
        <f t="shared" si="1903"/>
        <v>-16.857924668235228</v>
      </c>
      <c r="AT231" s="22">
        <f t="shared" si="1903"/>
        <v>735.73792466823579</v>
      </c>
      <c r="AU231" s="22">
        <f t="shared" si="1903"/>
        <v>148.90233556649946</v>
      </c>
      <c r="AV231" s="22">
        <f t="shared" si="1903"/>
        <v>1819.8076644334997</v>
      </c>
      <c r="AW231" s="22">
        <f t="shared" si="1903"/>
        <v>212.95079740607889</v>
      </c>
      <c r="AX231" s="22">
        <f t="shared" si="1903"/>
        <v>9637.7392025939207</v>
      </c>
      <c r="AY231" s="22">
        <f t="shared" si="1903"/>
        <v>44.09046583410327</v>
      </c>
      <c r="AZ231" s="22">
        <f t="shared" si="1903"/>
        <v>-12842.910465834102</v>
      </c>
      <c r="BA231" s="22">
        <f t="shared" si="1903"/>
        <v>-334.11488836967783</v>
      </c>
      <c r="BB231" s="22">
        <f t="shared" si="1903"/>
        <v>8944.624888369679</v>
      </c>
      <c r="BC231" s="22">
        <f t="shared" si="1903"/>
        <v>334.99472422062263</v>
      </c>
      <c r="BD231" s="22">
        <f t="shared" si="1903"/>
        <v>-9366.9947242206217</v>
      </c>
      <c r="BE231" s="22">
        <f t="shared" si="1903"/>
        <v>-83.365228856658177</v>
      </c>
      <c r="BF231" s="22">
        <f t="shared" si="1903"/>
        <v>3377.3652288566582</v>
      </c>
      <c r="BG231" s="22">
        <f t="shared" si="1903"/>
        <v>94.897562529870356</v>
      </c>
      <c r="BH231" s="22">
        <f t="shared" si="1903"/>
        <v>-1234.8975625298704</v>
      </c>
      <c r="BI231" s="22">
        <f t="shared" si="1903"/>
        <v>-107.33431023654975</v>
      </c>
      <c r="BJ231" s="22">
        <f t="shared" si="1903"/>
        <v>871.33431023654975</v>
      </c>
      <c r="BK231" s="22">
        <f t="shared" si="1903"/>
        <v>51.951192861045001</v>
      </c>
      <c r="BL231" s="22">
        <f t="shared" si="1903"/>
        <v>-328.951192861045</v>
      </c>
      <c r="BM231" s="22">
        <f t="shared" si="1903"/>
        <v>-22.556417645754664</v>
      </c>
      <c r="BN231" s="22">
        <f t="shared" si="1903"/>
        <v>183.55641764575466</v>
      </c>
      <c r="BO231" s="22">
        <f t="shared" si="1903"/>
        <v>66.465953085858018</v>
      </c>
      <c r="BP231" s="22">
        <f t="shared" si="1903"/>
        <v>375.53404691414198</v>
      </c>
      <c r="BQ231" s="22">
        <f t="shared" si="1903"/>
        <v>-35.059363957596361</v>
      </c>
      <c r="BR231" s="22">
        <f t="shared" si="1903"/>
        <v>882.05936395759636</v>
      </c>
      <c r="BS231" s="22">
        <f t="shared" si="1903"/>
        <v>17.126241543111973</v>
      </c>
      <c r="BT231" s="22">
        <f t="shared" si="1903"/>
        <v>-4.1262415431119734</v>
      </c>
      <c r="BU231" s="22">
        <f t="shared" si="1903"/>
        <v>-270.34433191767312</v>
      </c>
      <c r="BV231" s="22">
        <f t="shared" si="1903"/>
        <v>1866.3443319176731</v>
      </c>
      <c r="BW231" s="22">
        <f t="shared" si="1903"/>
        <v>-42.320109128110744</v>
      </c>
      <c r="BX231" s="22">
        <f t="shared" si="1903"/>
        <v>1211.3201091281107</v>
      </c>
      <c r="BY231" s="22">
        <f t="shared" si="1903"/>
        <v>76.059261036467433</v>
      </c>
      <c r="BZ231" s="22">
        <f t="shared" si="1903"/>
        <v>2177.9407389635326</v>
      </c>
      <c r="CA231" s="22">
        <f t="shared" si="1903"/>
        <v>22.206839816664797</v>
      </c>
      <c r="CB231" s="22">
        <f t="shared" si="1903"/>
        <v>63.793160183335203</v>
      </c>
      <c r="CC231" s="22">
        <f t="shared" si="1903"/>
        <v>-14.138565748784004</v>
      </c>
      <c r="CD231" s="22">
        <f t="shared" si="1903"/>
        <v>146.138565748784</v>
      </c>
      <c r="CE231" s="22">
        <f t="shared" ref="CE231:CF231" si="1904">CE229-CE230</f>
        <v>1.9240959067433323</v>
      </c>
      <c r="CF231" s="22">
        <f t="shared" si="1904"/>
        <v>945.07590409325667</v>
      </c>
      <c r="CG231" s="22">
        <f t="shared" ref="CG231:CH231" si="1905">CG229-CG230</f>
        <v>18.293019873969115</v>
      </c>
      <c r="CH231" s="22">
        <f t="shared" si="1905"/>
        <v>-971.29301987396911</v>
      </c>
      <c r="CI231" s="22">
        <f t="shared" ref="CI231:CJ231" si="1906">CI229-CI230</f>
        <v>-655.32078793881237</v>
      </c>
      <c r="CJ231" s="22">
        <f t="shared" si="1906"/>
        <v>446.32078793881283</v>
      </c>
      <c r="CK231" s="22">
        <f t="shared" ref="CK231:DB231" si="1907">CK229-CK230</f>
        <v>1256.5901275002943</v>
      </c>
      <c r="CL231" s="22">
        <f t="shared" si="1907"/>
        <v>-612.59012750029433</v>
      </c>
      <c r="CM231" s="21">
        <f t="shared" si="1907"/>
        <v>-798.41262155655204</v>
      </c>
      <c r="CN231" s="21">
        <f t="shared" si="1907"/>
        <v>152.59972887641743</v>
      </c>
      <c r="CO231" s="21">
        <f t="shared" si="1907"/>
        <v>-155.03201880190954</v>
      </c>
      <c r="CP231" s="21">
        <f t="shared" si="1907"/>
        <v>84.139169024235343</v>
      </c>
      <c r="CQ231" s="21">
        <f t="shared" si="1907"/>
        <v>-566.85480727516187</v>
      </c>
      <c r="CR231" s="21">
        <f t="shared" si="1907"/>
        <v>171.41886767611231</v>
      </c>
      <c r="CS231" s="21">
        <f t="shared" si="1907"/>
        <v>272.6997918141833</v>
      </c>
      <c r="CT231" s="21">
        <f t="shared" si="1907"/>
        <v>125.33119140228064</v>
      </c>
      <c r="CU231" s="21">
        <f t="shared" si="1907"/>
        <v>-570.01135716107819</v>
      </c>
      <c r="CV231" s="21">
        <f t="shared" si="1907"/>
        <v>149.40410617043062</v>
      </c>
      <c r="CW231" s="21">
        <f t="shared" si="1907"/>
        <v>249.035257258211</v>
      </c>
      <c r="CX231" s="21">
        <f t="shared" si="1907"/>
        <v>103.07392747810627</v>
      </c>
      <c r="CY231" s="21">
        <f t="shared" si="1907"/>
        <v>-554.43759161568505</v>
      </c>
      <c r="CZ231" s="21">
        <f t="shared" si="1907"/>
        <v>145.19488103835829</v>
      </c>
      <c r="DA231" s="21">
        <f t="shared" si="1907"/>
        <v>242.9156946602925</v>
      </c>
      <c r="DB231" s="21">
        <f t="shared" si="1907"/>
        <v>99.883891650336409</v>
      </c>
      <c r="DE231" s="126"/>
      <c r="DF231" s="22">
        <v>-2581.2852019226175</v>
      </c>
    </row>
    <row r="232" spans="1:110" s="22" customFormat="1" x14ac:dyDescent="0.2">
      <c r="A232" s="22" t="s">
        <v>91</v>
      </c>
      <c r="C232" s="22">
        <f t="shared" ref="C232:W232" si="1908">C228+C231</f>
        <v>161.23869999999994</v>
      </c>
      <c r="D232" s="22">
        <f>D228+D231</f>
        <v>281.90599999999995</v>
      </c>
      <c r="E232" s="22">
        <f t="shared" si="1908"/>
        <v>530.95100000000002</v>
      </c>
      <c r="F232" s="22">
        <f t="shared" si="1908"/>
        <v>845.62199999999996</v>
      </c>
      <c r="G232" s="22">
        <f t="shared" si="1908"/>
        <v>1314.8999999999999</v>
      </c>
      <c r="H232" s="22">
        <f t="shared" si="1908"/>
        <v>4754.8200000000033</v>
      </c>
      <c r="I232" s="22">
        <f t="shared" si="1908"/>
        <v>4859.71</v>
      </c>
      <c r="J232" s="22">
        <f>J228+J231</f>
        <v>3498.67</v>
      </c>
      <c r="K232" s="22">
        <f t="shared" si="1908"/>
        <v>4849.9100000000008</v>
      </c>
      <c r="L232" s="22">
        <f t="shared" si="1908"/>
        <v>4688.87</v>
      </c>
      <c r="M232" s="22">
        <f t="shared" si="1908"/>
        <v>5880.0599999999977</v>
      </c>
      <c r="N232" s="22">
        <f t="shared" si="1908"/>
        <v>6292.0500000000011</v>
      </c>
      <c r="O232" s="22">
        <f t="shared" si="1908"/>
        <v>7725.7699999999986</v>
      </c>
      <c r="P232" s="22">
        <f t="shared" si="1908"/>
        <v>8896.7099999999991</v>
      </c>
      <c r="Q232" s="22">
        <f t="shared" si="1908"/>
        <v>20739.089999999997</v>
      </c>
      <c r="R232" s="22">
        <f t="shared" si="1908"/>
        <v>5939</v>
      </c>
      <c r="S232" s="22">
        <f t="shared" si="1908"/>
        <v>5021</v>
      </c>
      <c r="T232" s="22">
        <f t="shared" si="1908"/>
        <v>9463</v>
      </c>
      <c r="U232" s="22">
        <f t="shared" si="1908"/>
        <v>8968</v>
      </c>
      <c r="V232" s="22">
        <f t="shared" si="1908"/>
        <v>11800</v>
      </c>
      <c r="W232" s="22">
        <f t="shared" si="1908"/>
        <v>13875</v>
      </c>
      <c r="X232" s="22">
        <f t="shared" ref="X232:Y232" si="1909">X228+X231</f>
        <v>17171</v>
      </c>
      <c r="Y232" s="22">
        <f t="shared" si="1909"/>
        <v>11353</v>
      </c>
      <c r="Z232" s="22">
        <f t="shared" ref="Z232:AA232" si="1910">Z228+Z231</f>
        <v>14386</v>
      </c>
      <c r="AA232" s="22">
        <f t="shared" si="1910"/>
        <v>17952</v>
      </c>
      <c r="AB232" s="21">
        <f t="shared" ref="AA232:AD232" si="1911">AB228+AB231</f>
        <v>21969.760717151559</v>
      </c>
      <c r="AC232" s="21">
        <f t="shared" si="1911"/>
        <v>23688.625849326123</v>
      </c>
      <c r="AD232" s="21">
        <f t="shared" si="1911"/>
        <v>24087.029700728606</v>
      </c>
      <c r="AE232" s="21">
        <f t="shared" ref="AE232" si="1912">AE228+AE231</f>
        <v>24261.261222641722</v>
      </c>
      <c r="AI232" s="22">
        <f t="shared" ref="AI232" si="1913">AI228+AI231</f>
        <v>1754.7200000000003</v>
      </c>
      <c r="AJ232" s="22">
        <f t="shared" ref="AJ232:AL232" si="1914">AJ228+AJ231</f>
        <v>798.33000000000061</v>
      </c>
      <c r="AK232" s="22">
        <f t="shared" si="1914"/>
        <v>1539.4934419604526</v>
      </c>
      <c r="AL232" s="22">
        <f t="shared" si="1914"/>
        <v>2225.8065580395478</v>
      </c>
      <c r="AM232" s="22">
        <f t="shared" ref="AM232" si="1915">AM228+AM231</f>
        <v>2107.4376695534256</v>
      </c>
      <c r="AN232" s="22">
        <f t="shared" ref="AN232:CD232" si="1916">AN228+AN231</f>
        <v>1627.9123304465734</v>
      </c>
      <c r="AO232" s="22">
        <f t="shared" si="1916"/>
        <v>1964.5845478529864</v>
      </c>
      <c r="AP232" s="22">
        <f t="shared" si="1916"/>
        <v>2025.835452147013</v>
      </c>
      <c r="AQ232" s="22">
        <f t="shared" si="1916"/>
        <v>2009.6694695938161</v>
      </c>
      <c r="AR232" s="22">
        <f t="shared" si="1916"/>
        <v>1555.5405304061849</v>
      </c>
      <c r="AS232" s="22">
        <f t="shared" si="1916"/>
        <v>2571.5220753317649</v>
      </c>
      <c r="AT232" s="22">
        <f t="shared" si="1916"/>
        <v>2759.9779246682356</v>
      </c>
      <c r="AU232" s="22">
        <f t="shared" si="1916"/>
        <v>2261.962335566499</v>
      </c>
      <c r="AV232" s="22">
        <f t="shared" si="1916"/>
        <v>4251.3576644335008</v>
      </c>
      <c r="AW232" s="22">
        <f t="shared" si="1916"/>
        <v>2232.2707974060786</v>
      </c>
      <c r="AX232" s="22">
        <f t="shared" si="1916"/>
        <v>11986.069202593921</v>
      </c>
      <c r="AY232" s="22">
        <f t="shared" si="1916"/>
        <v>1470.0904658341033</v>
      </c>
      <c r="AZ232" s="22">
        <f t="shared" si="1916"/>
        <v>-10508.910465834102</v>
      </c>
      <c r="BA232" s="22">
        <f t="shared" si="1916"/>
        <v>2443.8851116303222</v>
      </c>
      <c r="BB232" s="22">
        <f t="shared" si="1916"/>
        <v>12533.624888369679</v>
      </c>
      <c r="BC232" s="22">
        <f t="shared" si="1916"/>
        <v>2549.9947242206226</v>
      </c>
      <c r="BD232" s="22">
        <f t="shared" si="1916"/>
        <v>-6457.9947242206217</v>
      </c>
      <c r="BE232" s="22">
        <f t="shared" si="1916"/>
        <v>2587.6347711433418</v>
      </c>
      <c r="BF232" s="22">
        <f t="shared" si="1916"/>
        <v>6341.3652288566582</v>
      </c>
      <c r="BG232" s="22">
        <f t="shared" si="1916"/>
        <v>2399.8975625298704</v>
      </c>
      <c r="BH232" s="22">
        <f t="shared" si="1916"/>
        <v>1034.1024374701296</v>
      </c>
      <c r="BI232" s="22">
        <f t="shared" si="1916"/>
        <v>2592.6656897634502</v>
      </c>
      <c r="BJ232" s="22">
        <f t="shared" si="1916"/>
        <v>3436.3343102365498</v>
      </c>
      <c r="BK232" s="22">
        <f t="shared" si="1916"/>
        <v>2350.951192861045</v>
      </c>
      <c r="BL232" s="22">
        <f t="shared" si="1916"/>
        <v>2347.048807138955</v>
      </c>
      <c r="BM232" s="22">
        <f t="shared" si="1916"/>
        <v>2194.4435823542453</v>
      </c>
      <c r="BN232" s="22">
        <f t="shared" si="1916"/>
        <v>2075.5564176457547</v>
      </c>
      <c r="BO232" s="22">
        <f t="shared" si="1916"/>
        <v>1969.465953085858</v>
      </c>
      <c r="BP232" s="22">
        <f t="shared" si="1916"/>
        <v>2967.534046914142</v>
      </c>
      <c r="BQ232" s="22">
        <f t="shared" si="1916"/>
        <v>2803.9406360424036</v>
      </c>
      <c r="BR232" s="22">
        <f t="shared" si="1916"/>
        <v>4059.0593639575964</v>
      </c>
      <c r="BS232" s="22">
        <f t="shared" si="1916"/>
        <v>2658.126241543112</v>
      </c>
      <c r="BT232" s="22">
        <f t="shared" si="1916"/>
        <v>2714.873758456888</v>
      </c>
      <c r="BU232" s="22">
        <f t="shared" si="1916"/>
        <v>3171.6556680823269</v>
      </c>
      <c r="BV232" s="22">
        <f t="shared" si="1916"/>
        <v>5610.3443319176731</v>
      </c>
      <c r="BW232" s="22">
        <f t="shared" si="1916"/>
        <v>3780.6798908718893</v>
      </c>
      <c r="BX232" s="22">
        <f t="shared" si="1916"/>
        <v>4689.3201091281107</v>
      </c>
      <c r="BY232" s="22">
        <f t="shared" si="1916"/>
        <v>3039.0592610364674</v>
      </c>
      <c r="BZ232" s="22">
        <f t="shared" si="1916"/>
        <v>5688.9407389635326</v>
      </c>
      <c r="CA232" s="22">
        <f t="shared" si="1916"/>
        <v>2787.2068398166648</v>
      </c>
      <c r="CB232" s="22">
        <f t="shared" si="1916"/>
        <v>2617.7931601833352</v>
      </c>
      <c r="CC232" s="22">
        <f t="shared" si="1916"/>
        <v>2918.861434251216</v>
      </c>
      <c r="CD232" s="22">
        <f t="shared" si="1916"/>
        <v>3121.138565748784</v>
      </c>
      <c r="CE232" s="22">
        <f t="shared" ref="CE232:CF232" si="1917">CE228+CE231</f>
        <v>3190.9240959067433</v>
      </c>
      <c r="CF232" s="22">
        <f t="shared" si="1917"/>
        <v>4149.0759040932571</v>
      </c>
      <c r="CG232" s="22">
        <f t="shared" ref="CG232:CH232" si="1918">CG228+CG231</f>
        <v>3601.2930198739691</v>
      </c>
      <c r="CH232" s="22">
        <f t="shared" si="1918"/>
        <v>3045.7069801260309</v>
      </c>
      <c r="CI232" s="22">
        <f t="shared" ref="CI232:CJ232" si="1919">CI228+CI231</f>
        <v>2491.6792120611876</v>
      </c>
      <c r="CJ232" s="22">
        <f t="shared" si="1919"/>
        <v>3977.3207879388128</v>
      </c>
      <c r="CK232" s="22">
        <f t="shared" ref="CK232:DB232" si="1920">CK228+CK231</f>
        <v>6119.5901275002943</v>
      </c>
      <c r="CL232" s="22">
        <f t="shared" si="1920"/>
        <v>5468.4098724997057</v>
      </c>
      <c r="CM232" s="21">
        <f t="shared" si="1920"/>
        <v>4320.475737558103</v>
      </c>
      <c r="CN232" s="21">
        <f t="shared" si="1920"/>
        <v>5636.5919221632194</v>
      </c>
      <c r="CO232" s="21">
        <f t="shared" si="1920"/>
        <v>5749.5692314879552</v>
      </c>
      <c r="CP232" s="21">
        <f t="shared" si="1920"/>
        <v>6158.1238259422771</v>
      </c>
      <c r="CQ232" s="21">
        <f t="shared" si="1920"/>
        <v>4802.2316960362723</v>
      </c>
      <c r="CR232" s="21">
        <f t="shared" si="1920"/>
        <v>5874.801122620046</v>
      </c>
      <c r="CS232" s="21">
        <f t="shared" si="1920"/>
        <v>6443.5005402469951</v>
      </c>
      <c r="CT232" s="21">
        <f t="shared" si="1920"/>
        <v>6568.0924904228114</v>
      </c>
      <c r="CU232" s="21">
        <f t="shared" si="1920"/>
        <v>5048.2417257447714</v>
      </c>
      <c r="CV232" s="21">
        <f t="shared" si="1920"/>
        <v>6015.3317016693945</v>
      </c>
      <c r="CW232" s="21">
        <f t="shared" si="1920"/>
        <v>6496.9594384995489</v>
      </c>
      <c r="CX232" s="21">
        <f t="shared" si="1920"/>
        <v>6526.4968348148859</v>
      </c>
      <c r="CY232" s="21">
        <f t="shared" si="1920"/>
        <v>5129.7035015165411</v>
      </c>
      <c r="CZ232" s="21">
        <f t="shared" si="1920"/>
        <v>6058.1115477394833</v>
      </c>
      <c r="DA232" s="21">
        <f t="shared" si="1920"/>
        <v>6522.3859841987714</v>
      </c>
      <c r="DB232" s="21">
        <f t="shared" si="1920"/>
        <v>6551.0601891869328</v>
      </c>
      <c r="DE232" s="126"/>
      <c r="DF232" s="22">
        <v>2744.3493909412418</v>
      </c>
    </row>
    <row r="233" spans="1:110" s="23" customFormat="1" x14ac:dyDescent="0.2">
      <c r="AB233" s="24"/>
      <c r="AC233" s="24"/>
      <c r="AD233" s="24"/>
      <c r="AE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E233" s="123"/>
    </row>
    <row r="234" spans="1:110" s="22" customFormat="1" x14ac:dyDescent="0.2">
      <c r="A234" s="22" t="s">
        <v>92</v>
      </c>
      <c r="C234" s="22">
        <f t="shared" ref="C234:W234" si="1921">C235+C236</f>
        <v>-11.494300000000024</v>
      </c>
      <c r="D234" s="22">
        <f>D235+D236</f>
        <v>-38.670999999999935</v>
      </c>
      <c r="E234" s="22">
        <f t="shared" si="1921"/>
        <v>-303.5100000000001</v>
      </c>
      <c r="F234" s="22">
        <f t="shared" si="1921"/>
        <v>-1038.6400000000001</v>
      </c>
      <c r="G234" s="22">
        <f t="shared" si="1921"/>
        <v>-212.22999999999979</v>
      </c>
      <c r="H234" s="22">
        <f t="shared" si="1921"/>
        <v>-1108.5800000000004</v>
      </c>
      <c r="I234" s="22">
        <f t="shared" si="1921"/>
        <v>-1513.9199999999992</v>
      </c>
      <c r="J234" s="22">
        <f t="shared" si="1921"/>
        <v>-1336.3800000000006</v>
      </c>
      <c r="K234" s="22">
        <f t="shared" si="1921"/>
        <v>-2398.2600000000002</v>
      </c>
      <c r="L234" s="22">
        <f t="shared" si="1921"/>
        <v>-1046.7199999999993</v>
      </c>
      <c r="M234" s="22">
        <f t="shared" si="1921"/>
        <v>-1719.9299999999992</v>
      </c>
      <c r="N234" s="22">
        <f t="shared" si="1921"/>
        <v>-1254.9600000000021</v>
      </c>
      <c r="O234" s="22">
        <f t="shared" si="1921"/>
        <v>-1907.3000000000004</v>
      </c>
      <c r="P234" s="22">
        <f t="shared" si="1921"/>
        <v>-1404.0700000000011</v>
      </c>
      <c r="Q234" s="22">
        <f t="shared" si="1921"/>
        <v>-2107.119999999999</v>
      </c>
      <c r="R234" s="22">
        <f t="shared" si="1921"/>
        <v>-2062</v>
      </c>
      <c r="S234" s="22">
        <f t="shared" si="1921"/>
        <v>-2941</v>
      </c>
      <c r="T234" s="22">
        <f t="shared" si="1921"/>
        <v>-4393</v>
      </c>
      <c r="U234" s="22">
        <f t="shared" si="1921"/>
        <v>-4205</v>
      </c>
      <c r="V234" s="22">
        <f t="shared" si="1921"/>
        <v>-2303</v>
      </c>
      <c r="W234" s="22">
        <f t="shared" si="1921"/>
        <v>-3658</v>
      </c>
      <c r="X234" s="22">
        <f t="shared" ref="X234:Y234" si="1922">X235+X236</f>
        <v>-3909</v>
      </c>
      <c r="Y234" s="22">
        <f t="shared" si="1922"/>
        <v>-3777</v>
      </c>
      <c r="Z234" s="22">
        <f t="shared" ref="Z234:AA234" si="1923">Z235+Z236</f>
        <v>-5252</v>
      </c>
      <c r="AA234" s="22">
        <f t="shared" si="1923"/>
        <v>-6213</v>
      </c>
      <c r="AB234" s="21">
        <f t="shared" ref="AA234:AD234" si="1924">AB235+AB236</f>
        <v>-16000.000000000004</v>
      </c>
      <c r="AC234" s="21">
        <f t="shared" si="1924"/>
        <v>-16000</v>
      </c>
      <c r="AD234" s="21">
        <f t="shared" si="1924"/>
        <v>0</v>
      </c>
      <c r="AE234" s="21">
        <f t="shared" ref="AE234" si="1925">AE235+AE236</f>
        <v>0</v>
      </c>
      <c r="AI234" s="22">
        <f t="shared" ref="AI234" si="1926">AI235+AI236</f>
        <v>-173.38</v>
      </c>
      <c r="AJ234" s="22">
        <f t="shared" ref="AJ234:AL234" si="1927">AJ235+AJ236</f>
        <v>-9325.9600000000009</v>
      </c>
      <c r="AK234" s="22">
        <f t="shared" si="1927"/>
        <v>-177.20999999999913</v>
      </c>
      <c r="AL234" s="22">
        <f t="shared" si="1927"/>
        <v>-538.77999999999884</v>
      </c>
      <c r="AM234" s="22">
        <f t="shared" ref="AM234" si="1928">AM235+AM236</f>
        <v>-184.32999999999993</v>
      </c>
      <c r="AN234" s="22">
        <f t="shared" ref="AN234:CD234" si="1929">AN235+AN236</f>
        <v>-588.68999999999994</v>
      </c>
      <c r="AO234" s="22">
        <f t="shared" si="1929"/>
        <v>-209.68000000000029</v>
      </c>
      <c r="AP234" s="22">
        <f t="shared" si="1929"/>
        <v>-924.60000000000036</v>
      </c>
      <c r="AQ234" s="22">
        <f t="shared" si="1929"/>
        <v>-202.29000000000087</v>
      </c>
      <c r="AR234" s="22">
        <f t="shared" si="1929"/>
        <v>-478.91999999999956</v>
      </c>
      <c r="AS234" s="22">
        <f t="shared" si="1929"/>
        <v>-209.01000000000022</v>
      </c>
      <c r="AT234" s="22">
        <f t="shared" si="1929"/>
        <v>-513.84999999999854</v>
      </c>
      <c r="AU234" s="22">
        <f t="shared" si="1929"/>
        <v>-172.92000000000007</v>
      </c>
      <c r="AV234" s="22">
        <f t="shared" si="1929"/>
        <v>-644.86000000000058</v>
      </c>
      <c r="AW234" s="22">
        <f t="shared" si="1929"/>
        <v>-179.73999999999978</v>
      </c>
      <c r="AX234" s="22">
        <f t="shared" si="1929"/>
        <v>-1101.9799999999996</v>
      </c>
      <c r="AY234" s="22">
        <f t="shared" si="1929"/>
        <v>-389</v>
      </c>
      <c r="AZ234" s="22">
        <f t="shared" si="1929"/>
        <v>-754.22000000000116</v>
      </c>
      <c r="BA234" s="22">
        <f t="shared" si="1929"/>
        <v>-458</v>
      </c>
      <c r="BB234" s="22">
        <f t="shared" si="1929"/>
        <v>-460.29999999999927</v>
      </c>
      <c r="BC234" s="22">
        <f t="shared" si="1929"/>
        <v>-326</v>
      </c>
      <c r="BD234" s="22">
        <f t="shared" si="1929"/>
        <v>-531</v>
      </c>
      <c r="BE234" s="22">
        <f t="shared" si="1929"/>
        <v>-373</v>
      </c>
      <c r="BF234" s="22">
        <f t="shared" si="1929"/>
        <v>-1711</v>
      </c>
      <c r="BG234" s="22">
        <f t="shared" si="1929"/>
        <v>-387</v>
      </c>
      <c r="BH234" s="22">
        <f t="shared" si="1929"/>
        <v>-1829</v>
      </c>
      <c r="BI234" s="22">
        <f t="shared" si="1929"/>
        <v>-489</v>
      </c>
      <c r="BJ234" s="22">
        <f t="shared" si="1929"/>
        <v>-1688</v>
      </c>
      <c r="BK234" s="22">
        <f t="shared" si="1929"/>
        <v>-534</v>
      </c>
      <c r="BL234" s="22">
        <f t="shared" si="1929"/>
        <v>-1439</v>
      </c>
      <c r="BM234" s="22">
        <f t="shared" si="1929"/>
        <v>-597</v>
      </c>
      <c r="BN234" s="22">
        <f t="shared" si="1929"/>
        <v>-1635</v>
      </c>
      <c r="BO234" s="22">
        <f t="shared" si="1929"/>
        <v>-544</v>
      </c>
      <c r="BP234" s="22">
        <f t="shared" si="1929"/>
        <v>-501</v>
      </c>
      <c r="BQ234" s="22">
        <f t="shared" si="1929"/>
        <v>-639</v>
      </c>
      <c r="BR234" s="22">
        <f t="shared" si="1929"/>
        <v>-619</v>
      </c>
      <c r="BS234" s="22">
        <f t="shared" si="1929"/>
        <v>-658</v>
      </c>
      <c r="BT234" s="22">
        <f t="shared" si="1929"/>
        <v>-761</v>
      </c>
      <c r="BU234" s="22">
        <f t="shared" si="1929"/>
        <v>-741</v>
      </c>
      <c r="BV234" s="22">
        <f t="shared" si="1929"/>
        <v>-1498</v>
      </c>
      <c r="BW234" s="22">
        <f t="shared" si="1929"/>
        <v>-731</v>
      </c>
      <c r="BX234" s="22">
        <f t="shared" si="1929"/>
        <v>-1233</v>
      </c>
      <c r="BY234" s="22">
        <f t="shared" si="1929"/>
        <v>-807</v>
      </c>
      <c r="BZ234" s="22">
        <f t="shared" si="1929"/>
        <v>-1138</v>
      </c>
      <c r="CA234" s="22">
        <f t="shared" si="1929"/>
        <v>-801</v>
      </c>
      <c r="CB234" s="22">
        <f t="shared" si="1929"/>
        <v>-1117</v>
      </c>
      <c r="CC234" s="22">
        <f t="shared" si="1929"/>
        <v>-905</v>
      </c>
      <c r="CD234" s="22">
        <f t="shared" si="1929"/>
        <v>-954</v>
      </c>
      <c r="CE234" s="22">
        <f t="shared" ref="CE234:CF234" si="1930">CE235+CE236</f>
        <v>-844</v>
      </c>
      <c r="CF234" s="22">
        <f t="shared" si="1930"/>
        <v>-1670</v>
      </c>
      <c r="CG234" s="22">
        <f t="shared" ref="CG234:CH234" si="1931">CG235+CG236</f>
        <v>-905</v>
      </c>
      <c r="CH234" s="22">
        <f t="shared" si="1931"/>
        <v>-1833</v>
      </c>
      <c r="CI234" s="22">
        <f t="shared" ref="CI234:CJ234" si="1932">CI235+CI236</f>
        <v>0</v>
      </c>
      <c r="CJ234" s="22">
        <f t="shared" si="1932"/>
        <v>-2774</v>
      </c>
      <c r="CK234" s="22">
        <f t="shared" ref="CK234:DB234" si="1933">CK235+CK236</f>
        <v>0</v>
      </c>
      <c r="CL234" s="22">
        <f t="shared" si="1933"/>
        <v>-3439</v>
      </c>
      <c r="CM234" s="21">
        <f t="shared" si="1933"/>
        <v>-4000</v>
      </c>
      <c r="CN234" s="21">
        <f t="shared" si="1933"/>
        <v>-4000</v>
      </c>
      <c r="CO234" s="21">
        <f t="shared" si="1933"/>
        <v>-4000.0000000000036</v>
      </c>
      <c r="CP234" s="21">
        <f t="shared" si="1933"/>
        <v>-4000</v>
      </c>
      <c r="CQ234" s="21">
        <f t="shared" si="1933"/>
        <v>-4000</v>
      </c>
      <c r="CR234" s="21">
        <f t="shared" si="1933"/>
        <v>-4000</v>
      </c>
      <c r="CS234" s="21">
        <f t="shared" si="1933"/>
        <v>-4000</v>
      </c>
      <c r="CT234" s="21">
        <f t="shared" si="1933"/>
        <v>-4000</v>
      </c>
      <c r="CU234" s="21">
        <f t="shared" si="1933"/>
        <v>0</v>
      </c>
      <c r="CV234" s="21">
        <f t="shared" si="1933"/>
        <v>0</v>
      </c>
      <c r="CW234" s="21">
        <f t="shared" si="1933"/>
        <v>0</v>
      </c>
      <c r="CX234" s="21">
        <f t="shared" si="1933"/>
        <v>0</v>
      </c>
      <c r="CY234" s="21">
        <f t="shared" si="1933"/>
        <v>0</v>
      </c>
      <c r="CZ234" s="21">
        <f t="shared" si="1933"/>
        <v>0</v>
      </c>
      <c r="DA234" s="21">
        <f t="shared" si="1933"/>
        <v>0</v>
      </c>
      <c r="DB234" s="21">
        <f t="shared" si="1933"/>
        <v>0</v>
      </c>
      <c r="DE234" s="126"/>
      <c r="DF234" s="22">
        <v>-4500</v>
      </c>
    </row>
    <row r="235" spans="1:110" s="23" customFormat="1" x14ac:dyDescent="0.2">
      <c r="A235" s="23" t="s">
        <v>93</v>
      </c>
      <c r="C235" s="23">
        <f t="shared" ref="C235:AA235" si="1934">B173-C173</f>
        <v>83.043199999999999</v>
      </c>
      <c r="D235" s="23">
        <f t="shared" si="1934"/>
        <v>0</v>
      </c>
      <c r="E235" s="23">
        <f>D173-E173</f>
        <v>0</v>
      </c>
      <c r="F235" s="23">
        <f t="shared" si="1934"/>
        <v>0</v>
      </c>
      <c r="G235" s="23">
        <f t="shared" si="1934"/>
        <v>0</v>
      </c>
      <c r="H235" s="23">
        <f t="shared" si="1934"/>
        <v>-1.00000000002183E-2</v>
      </c>
      <c r="I235" s="23">
        <f t="shared" si="1934"/>
        <v>-1.3799999999992016</v>
      </c>
      <c r="J235" s="23">
        <f>I173-J173</f>
        <v>-0.4200000000000701</v>
      </c>
      <c r="K235" s="23">
        <f>J173-K173</f>
        <v>-0.27000000000043989</v>
      </c>
      <c r="L235" s="23">
        <f t="shared" si="1934"/>
        <v>-7.0166095156309893E-14</v>
      </c>
      <c r="M235" s="23">
        <f t="shared" si="1934"/>
        <v>-0.50999999999999979</v>
      </c>
      <c r="N235" s="23">
        <f t="shared" si="1934"/>
        <v>-0.11000000000000032</v>
      </c>
      <c r="O235" s="23">
        <f t="shared" si="1934"/>
        <v>-0.10999999999999988</v>
      </c>
      <c r="P235" s="23">
        <f t="shared" si="1934"/>
        <v>2.81</v>
      </c>
      <c r="Q235" s="23">
        <f t="shared" si="1934"/>
        <v>0</v>
      </c>
      <c r="R235" s="23">
        <f t="shared" si="1934"/>
        <v>0</v>
      </c>
      <c r="S235" s="23">
        <f t="shared" si="1934"/>
        <v>0</v>
      </c>
      <c r="T235" s="23">
        <f t="shared" si="1934"/>
        <v>0</v>
      </c>
      <c r="U235" s="23">
        <f t="shared" si="1934"/>
        <v>0</v>
      </c>
      <c r="V235" s="23">
        <f t="shared" si="1934"/>
        <v>0</v>
      </c>
      <c r="W235" s="23">
        <f t="shared" si="1934"/>
        <v>0</v>
      </c>
      <c r="X235" s="23">
        <f t="shared" si="1934"/>
        <v>-257</v>
      </c>
      <c r="Y235" s="23">
        <f t="shared" si="1934"/>
        <v>-321</v>
      </c>
      <c r="Z235" s="23">
        <f t="shared" si="1934"/>
        <v>-245</v>
      </c>
      <c r="AA235" s="23">
        <f t="shared" si="1934"/>
        <v>-291</v>
      </c>
      <c r="AB235" s="24">
        <f t="shared" ref="AB235" si="1935">AA173-AB173</f>
        <v>0</v>
      </c>
      <c r="AC235" s="24">
        <f t="shared" ref="AC235" si="1936">AB173-AC173</f>
        <v>0</v>
      </c>
      <c r="AD235" s="24">
        <f t="shared" ref="AD235" si="1937">AC173-AD173</f>
        <v>0</v>
      </c>
      <c r="AE235" s="24">
        <f t="shared" ref="AE235" si="1938">AD173-AE173</f>
        <v>0</v>
      </c>
      <c r="AI235" s="23">
        <f t="shared" ref="AI235" si="1939">AH173-AI173</f>
        <v>0</v>
      </c>
      <c r="AJ235" s="23">
        <f t="shared" ref="AJ235" si="1940">AI173-AJ173</f>
        <v>-2.7</v>
      </c>
      <c r="AK235" s="23">
        <f t="shared" ref="AK235" si="1941">AJ173-AK173</f>
        <v>0</v>
      </c>
      <c r="AL235" s="23">
        <f t="shared" ref="AL235" si="1942">AK173-AL173</f>
        <v>0</v>
      </c>
      <c r="AM235" s="23">
        <f t="shared" ref="AM235" si="1943">AL173-AM173</f>
        <v>0</v>
      </c>
      <c r="AN235" s="23">
        <f t="shared" ref="AN235" si="1944">AM173-AN173</f>
        <v>-0.10999999999999988</v>
      </c>
      <c r="AO235" s="23">
        <f t="shared" ref="AO235" si="1945">AN173-AO173</f>
        <v>0</v>
      </c>
      <c r="AP235" s="23">
        <f t="shared" ref="AP235" si="1946">AO173-AP173</f>
        <v>0</v>
      </c>
      <c r="AQ235" s="23">
        <f t="shared" ref="AQ235" si="1947">AP173-AQ173</f>
        <v>0</v>
      </c>
      <c r="AR235" s="23">
        <f t="shared" ref="AR235" si="1948">AQ173-AR173</f>
        <v>2.81</v>
      </c>
      <c r="AS235" s="23">
        <f t="shared" ref="AS235" si="1949">AR173-AS173</f>
        <v>0</v>
      </c>
      <c r="AT235" s="23">
        <f t="shared" ref="AT235" si="1950">AS173-AT173</f>
        <v>0</v>
      </c>
      <c r="AU235" s="23">
        <f t="shared" ref="AU235" si="1951">AT173-AU173</f>
        <v>0</v>
      </c>
      <c r="AV235" s="23">
        <f t="shared" ref="AV235" si="1952">AU173-AV173</f>
        <v>0</v>
      </c>
      <c r="AW235" s="23">
        <f t="shared" ref="AW235" si="1953">AV173-AW173</f>
        <v>0</v>
      </c>
      <c r="AX235" s="23">
        <f t="shared" ref="AX235" si="1954">AW173-AX173</f>
        <v>0</v>
      </c>
      <c r="AY235" s="23">
        <f t="shared" ref="AY235" si="1955">AX173-AY173</f>
        <v>0</v>
      </c>
      <c r="AZ235" s="23">
        <f t="shared" ref="AZ235" si="1956">AY173-AZ173</f>
        <v>0</v>
      </c>
      <c r="BA235" s="23">
        <f t="shared" ref="BA235" si="1957">AZ173-BA173</f>
        <v>0</v>
      </c>
      <c r="BB235" s="23">
        <f t="shared" ref="BB235" si="1958">BA173-BB173</f>
        <v>0</v>
      </c>
      <c r="BC235" s="23">
        <f t="shared" ref="BC235" si="1959">BB173-BC173</f>
        <v>0</v>
      </c>
      <c r="BD235" s="23">
        <f t="shared" ref="BD235" si="1960">BC173-BD173</f>
        <v>0</v>
      </c>
      <c r="BE235" s="23">
        <f t="shared" ref="BE235" si="1961">BD173-BE173</f>
        <v>0</v>
      </c>
      <c r="BF235" s="23">
        <f t="shared" ref="BF235" si="1962">BE173-BF173</f>
        <v>0</v>
      </c>
      <c r="BG235" s="23">
        <f t="shared" ref="BG235" si="1963">BF173-BG173</f>
        <v>0</v>
      </c>
      <c r="BH235" s="23">
        <f t="shared" ref="BH235" si="1964">BG173-BH173</f>
        <v>0</v>
      </c>
      <c r="BI235" s="23">
        <f t="shared" ref="BI235" si="1965">BH173-BI173</f>
        <v>0</v>
      </c>
      <c r="BJ235" s="23">
        <f t="shared" ref="BJ235" si="1966">BI173-BJ173</f>
        <v>0</v>
      </c>
      <c r="BK235" s="23">
        <f t="shared" ref="BK235" si="1967">BJ173-BK173</f>
        <v>0</v>
      </c>
      <c r="BL235" s="23">
        <f t="shared" ref="BL235" si="1968">BK173-BL173</f>
        <v>0</v>
      </c>
      <c r="BM235" s="23">
        <f t="shared" ref="BM235" si="1969">BL173-BM173</f>
        <v>0</v>
      </c>
      <c r="BN235" s="23">
        <f t="shared" ref="BN235" si="1970">BM173-BN173</f>
        <v>0</v>
      </c>
      <c r="BO235" s="23">
        <f t="shared" ref="BO235" si="1971">BN173-BO173</f>
        <v>0</v>
      </c>
      <c r="BP235" s="23">
        <f t="shared" ref="BP235" si="1972">BO173-BP173</f>
        <v>0</v>
      </c>
      <c r="BQ235" s="23">
        <f t="shared" ref="BQ235" si="1973">BP173-BQ173</f>
        <v>0</v>
      </c>
      <c r="BR235" s="23">
        <f t="shared" ref="BR235" si="1974">BQ173-BR173</f>
        <v>0</v>
      </c>
      <c r="BS235" s="23">
        <f t="shared" ref="BS235" si="1975">BR173-BS173</f>
        <v>0</v>
      </c>
      <c r="BT235" s="23">
        <f t="shared" ref="BT235" si="1976">BS173-BT173</f>
        <v>0</v>
      </c>
      <c r="BU235" s="23">
        <f t="shared" ref="BU235" si="1977">BT173-BU173</f>
        <v>0</v>
      </c>
      <c r="BV235" s="23">
        <f t="shared" ref="BV235" si="1978">BU173-BV173</f>
        <v>0</v>
      </c>
      <c r="BW235" s="23">
        <f t="shared" ref="BW235" si="1979">BV173-BW173</f>
        <v>0</v>
      </c>
      <c r="BX235" s="23">
        <f t="shared" ref="BX235" si="1980">BW173-BX173</f>
        <v>-105</v>
      </c>
      <c r="BY235" s="23">
        <f t="shared" ref="BY235" si="1981">BX173-BY173</f>
        <v>0</v>
      </c>
      <c r="BZ235" s="23">
        <f t="shared" ref="BZ235" si="1982">BY173-BZ173</f>
        <v>-152</v>
      </c>
      <c r="CA235" s="23">
        <f t="shared" ref="CA235" si="1983">BZ173-CA173</f>
        <v>0</v>
      </c>
      <c r="CB235" s="23">
        <f t="shared" ref="CB235" si="1984">CA173-CB173</f>
        <v>-141</v>
      </c>
      <c r="CC235" s="23">
        <f t="shared" ref="CC235" si="1985">CB173-CC173</f>
        <v>0</v>
      </c>
      <c r="CD235" s="23">
        <f t="shared" ref="CD235" si="1986">CC173-CD173</f>
        <v>-180</v>
      </c>
      <c r="CE235" s="23">
        <f t="shared" ref="CE235" si="1987">CD173-CE173</f>
        <v>0</v>
      </c>
      <c r="CF235" s="23">
        <f t="shared" ref="CF235" si="1988">CE173-CF173</f>
        <v>-237</v>
      </c>
      <c r="CG235" s="23">
        <f t="shared" ref="CG235" si="1989">CF173-CG173</f>
        <v>0</v>
      </c>
      <c r="CH235" s="23">
        <f t="shared" ref="CH235:CL235" si="1990">CG173-CH173</f>
        <v>-8</v>
      </c>
      <c r="CI235" s="23">
        <f t="shared" si="1990"/>
        <v>0</v>
      </c>
      <c r="CJ235" s="23">
        <f t="shared" si="1990"/>
        <v>-58</v>
      </c>
      <c r="CK235" s="23">
        <f t="shared" ref="CK235" si="1991">CJ173-CK173</f>
        <v>0</v>
      </c>
      <c r="CL235" s="23">
        <f t="shared" si="1990"/>
        <v>-233</v>
      </c>
      <c r="CM235" s="24">
        <f t="shared" ref="CM235" si="1992">CL173-CM173</f>
        <v>0</v>
      </c>
      <c r="CN235" s="24">
        <f t="shared" ref="CN235" si="1993">CM173-CN173</f>
        <v>0</v>
      </c>
      <c r="CO235" s="24">
        <f t="shared" ref="CO235" si="1994">CN173-CO173</f>
        <v>0</v>
      </c>
      <c r="CP235" s="24">
        <f t="shared" ref="CP235" si="1995">CO173-CP173</f>
        <v>0</v>
      </c>
      <c r="CQ235" s="24">
        <f t="shared" ref="CQ235" si="1996">CP173-CQ173</f>
        <v>0</v>
      </c>
      <c r="CR235" s="24">
        <f t="shared" ref="CR235" si="1997">CQ173-CR173</f>
        <v>0</v>
      </c>
      <c r="CS235" s="24">
        <f t="shared" ref="CS235" si="1998">CR173-CS173</f>
        <v>0</v>
      </c>
      <c r="CT235" s="24">
        <f t="shared" ref="CT235" si="1999">CS173-CT173</f>
        <v>0</v>
      </c>
      <c r="CU235" s="24">
        <f t="shared" ref="CU235" si="2000">CT173-CU173</f>
        <v>0</v>
      </c>
      <c r="CV235" s="24">
        <f t="shared" ref="CV235" si="2001">CU173-CV173</f>
        <v>0</v>
      </c>
      <c r="CW235" s="24">
        <f t="shared" ref="CW235" si="2002">CV173-CW173</f>
        <v>0</v>
      </c>
      <c r="CX235" s="24">
        <f t="shared" ref="CX235" si="2003">CW173-CX173</f>
        <v>0</v>
      </c>
      <c r="CY235" s="24">
        <f t="shared" ref="CY235" si="2004">CX173-CY173</f>
        <v>0</v>
      </c>
      <c r="CZ235" s="24">
        <f t="shared" ref="CZ235" si="2005">CY173-CZ173</f>
        <v>0</v>
      </c>
      <c r="DA235" s="24">
        <f t="shared" ref="DA235" si="2006">CZ173-DA173</f>
        <v>0</v>
      </c>
      <c r="DB235" s="24">
        <f t="shared" ref="DB235" si="2007">DA173-DB173</f>
        <v>0</v>
      </c>
      <c r="DE235" s="123"/>
      <c r="DF235" s="23">
        <v>0</v>
      </c>
    </row>
    <row r="236" spans="1:110" s="23" customFormat="1" x14ac:dyDescent="0.2">
      <c r="A236" s="23" t="s">
        <v>94</v>
      </c>
      <c r="C236" s="23">
        <f t="shared" ref="C236:AE236" si="2008">B171-C60-C171</f>
        <v>-94.537500000000023</v>
      </c>
      <c r="D236" s="23">
        <f t="shared" si="2008"/>
        <v>-38.670999999999935</v>
      </c>
      <c r="E236" s="23">
        <f t="shared" si="2008"/>
        <v>-303.5100000000001</v>
      </c>
      <c r="F236" s="23">
        <f t="shared" si="2008"/>
        <v>-1038.6400000000001</v>
      </c>
      <c r="G236" s="23">
        <f t="shared" si="2008"/>
        <v>-212.22999999999979</v>
      </c>
      <c r="H236" s="23">
        <f t="shared" si="2008"/>
        <v>-1108.5700000000002</v>
      </c>
      <c r="I236" s="23">
        <f t="shared" si="2008"/>
        <v>-1512.54</v>
      </c>
      <c r="J236" s="23">
        <f t="shared" si="2008"/>
        <v>-1335.9600000000005</v>
      </c>
      <c r="K236" s="23">
        <f t="shared" si="2008"/>
        <v>-2397.9899999999998</v>
      </c>
      <c r="L236" s="23">
        <f t="shared" si="2008"/>
        <v>-1046.7199999999993</v>
      </c>
      <c r="M236" s="23">
        <f t="shared" si="2008"/>
        <v>-1719.4199999999992</v>
      </c>
      <c r="N236" s="23">
        <f t="shared" si="2008"/>
        <v>-1254.8500000000022</v>
      </c>
      <c r="O236" s="23">
        <f t="shared" si="2008"/>
        <v>-1907.1900000000005</v>
      </c>
      <c r="P236" s="23">
        <f t="shared" si="2008"/>
        <v>-1406.880000000001</v>
      </c>
      <c r="Q236" s="23">
        <f t="shared" si="2008"/>
        <v>-2107.119999999999</v>
      </c>
      <c r="R236" s="23">
        <f t="shared" si="2008"/>
        <v>-2062</v>
      </c>
      <c r="S236" s="23">
        <f t="shared" si="2008"/>
        <v>-2941</v>
      </c>
      <c r="T236" s="23">
        <f t="shared" si="2008"/>
        <v>-4393</v>
      </c>
      <c r="U236" s="23">
        <f t="shared" si="2008"/>
        <v>-4205</v>
      </c>
      <c r="V236" s="23">
        <f t="shared" si="2008"/>
        <v>-2303</v>
      </c>
      <c r="W236" s="23">
        <f t="shared" si="2008"/>
        <v>-3658</v>
      </c>
      <c r="X236" s="23">
        <f t="shared" si="2008"/>
        <v>-3652</v>
      </c>
      <c r="Y236" s="23">
        <f t="shared" si="2008"/>
        <v>-3456</v>
      </c>
      <c r="Z236" s="23">
        <f t="shared" si="2008"/>
        <v>-5007</v>
      </c>
      <c r="AA236" s="23">
        <f t="shared" si="2008"/>
        <v>-5922</v>
      </c>
      <c r="AB236" s="24">
        <f t="shared" si="2008"/>
        <v>-16000.000000000004</v>
      </c>
      <c r="AC236" s="24">
        <f t="shared" si="2008"/>
        <v>-16000</v>
      </c>
      <c r="AD236" s="24">
        <f t="shared" si="2008"/>
        <v>0</v>
      </c>
      <c r="AE236" s="24">
        <f t="shared" si="2008"/>
        <v>0</v>
      </c>
      <c r="AI236" s="23">
        <f t="shared" ref="AI236:BN236" si="2009">AH171-AI60-AI171</f>
        <v>-173.38</v>
      </c>
      <c r="AJ236" s="23">
        <f t="shared" si="2009"/>
        <v>-9323.26</v>
      </c>
      <c r="AK236" s="23">
        <f t="shared" si="2009"/>
        <v>-177.20999999999913</v>
      </c>
      <c r="AL236" s="23">
        <f t="shared" si="2009"/>
        <v>-538.77999999999884</v>
      </c>
      <c r="AM236" s="23">
        <f t="shared" si="2009"/>
        <v>-184.32999999999993</v>
      </c>
      <c r="AN236" s="23">
        <f t="shared" si="2009"/>
        <v>-588.57999999999993</v>
      </c>
      <c r="AO236" s="23">
        <f t="shared" si="2009"/>
        <v>-209.68000000000029</v>
      </c>
      <c r="AP236" s="23">
        <f t="shared" si="2009"/>
        <v>-924.60000000000036</v>
      </c>
      <c r="AQ236" s="23">
        <f t="shared" si="2009"/>
        <v>-202.29000000000087</v>
      </c>
      <c r="AR236" s="23">
        <f t="shared" si="2009"/>
        <v>-481.72999999999956</v>
      </c>
      <c r="AS236" s="23">
        <f t="shared" si="2009"/>
        <v>-209.01000000000022</v>
      </c>
      <c r="AT236" s="23">
        <f t="shared" si="2009"/>
        <v>-513.84999999999854</v>
      </c>
      <c r="AU236" s="23">
        <f t="shared" si="2009"/>
        <v>-172.92000000000007</v>
      </c>
      <c r="AV236" s="23">
        <f t="shared" si="2009"/>
        <v>-644.86000000000058</v>
      </c>
      <c r="AW236" s="23">
        <f t="shared" si="2009"/>
        <v>-179.73999999999978</v>
      </c>
      <c r="AX236" s="23">
        <f t="shared" si="2009"/>
        <v>-1101.9799999999996</v>
      </c>
      <c r="AY236" s="23">
        <f t="shared" si="2009"/>
        <v>-389</v>
      </c>
      <c r="AZ236" s="23">
        <f t="shared" si="2009"/>
        <v>-754.22000000000116</v>
      </c>
      <c r="BA236" s="23">
        <f t="shared" si="2009"/>
        <v>-458</v>
      </c>
      <c r="BB236" s="23">
        <f t="shared" si="2009"/>
        <v>-460.29999999999927</v>
      </c>
      <c r="BC236" s="23">
        <f t="shared" si="2009"/>
        <v>-326</v>
      </c>
      <c r="BD236" s="23">
        <f t="shared" si="2009"/>
        <v>-531</v>
      </c>
      <c r="BE236" s="23">
        <f t="shared" si="2009"/>
        <v>-373</v>
      </c>
      <c r="BF236" s="23">
        <f t="shared" si="2009"/>
        <v>-1711</v>
      </c>
      <c r="BG236" s="23">
        <f t="shared" si="2009"/>
        <v>-387</v>
      </c>
      <c r="BH236" s="23">
        <f t="shared" si="2009"/>
        <v>-1829</v>
      </c>
      <c r="BI236" s="23">
        <f t="shared" si="2009"/>
        <v>-489</v>
      </c>
      <c r="BJ236" s="23">
        <f t="shared" si="2009"/>
        <v>-1688</v>
      </c>
      <c r="BK236" s="23">
        <f t="shared" si="2009"/>
        <v>-534</v>
      </c>
      <c r="BL236" s="23">
        <f t="shared" si="2009"/>
        <v>-1439</v>
      </c>
      <c r="BM236" s="23">
        <f t="shared" si="2009"/>
        <v>-597</v>
      </c>
      <c r="BN236" s="23">
        <f t="shared" si="2009"/>
        <v>-1635</v>
      </c>
      <c r="BO236" s="23">
        <f t="shared" ref="BO236:CT236" si="2010">BN171-BO60-BO171</f>
        <v>-544</v>
      </c>
      <c r="BP236" s="23">
        <f t="shared" si="2010"/>
        <v>-501</v>
      </c>
      <c r="BQ236" s="23">
        <f t="shared" si="2010"/>
        <v>-639</v>
      </c>
      <c r="BR236" s="23">
        <f t="shared" si="2010"/>
        <v>-619</v>
      </c>
      <c r="BS236" s="23">
        <f t="shared" si="2010"/>
        <v>-658</v>
      </c>
      <c r="BT236" s="23">
        <f t="shared" si="2010"/>
        <v>-761</v>
      </c>
      <c r="BU236" s="23">
        <f t="shared" si="2010"/>
        <v>-741</v>
      </c>
      <c r="BV236" s="23">
        <f t="shared" si="2010"/>
        <v>-1498</v>
      </c>
      <c r="BW236" s="23">
        <f t="shared" si="2010"/>
        <v>-731</v>
      </c>
      <c r="BX236" s="23">
        <f t="shared" si="2010"/>
        <v>-1128</v>
      </c>
      <c r="BY236" s="23">
        <f t="shared" si="2010"/>
        <v>-807</v>
      </c>
      <c r="BZ236" s="23">
        <f t="shared" si="2010"/>
        <v>-986</v>
      </c>
      <c r="CA236" s="23">
        <f t="shared" si="2010"/>
        <v>-801</v>
      </c>
      <c r="CB236" s="23">
        <f t="shared" si="2010"/>
        <v>-976</v>
      </c>
      <c r="CC236" s="23">
        <f t="shared" si="2010"/>
        <v>-905</v>
      </c>
      <c r="CD236" s="23">
        <f t="shared" si="2010"/>
        <v>-774</v>
      </c>
      <c r="CE236" s="23">
        <f t="shared" si="2010"/>
        <v>-844</v>
      </c>
      <c r="CF236" s="23">
        <f t="shared" si="2010"/>
        <v>-1433</v>
      </c>
      <c r="CG236" s="23">
        <f t="shared" si="2010"/>
        <v>-905</v>
      </c>
      <c r="CH236" s="23">
        <f t="shared" si="2010"/>
        <v>-1825</v>
      </c>
      <c r="CI236" s="23">
        <f t="shared" si="2010"/>
        <v>0</v>
      </c>
      <c r="CJ236" s="23">
        <f t="shared" si="2010"/>
        <v>-2716</v>
      </c>
      <c r="CK236" s="23">
        <f t="shared" si="2010"/>
        <v>0</v>
      </c>
      <c r="CL236" s="23">
        <f t="shared" si="2010"/>
        <v>-3206</v>
      </c>
      <c r="CM236" s="24">
        <f t="shared" si="2010"/>
        <v>-4000</v>
      </c>
      <c r="CN236" s="24">
        <f t="shared" si="2010"/>
        <v>-4000</v>
      </c>
      <c r="CO236" s="24">
        <f t="shared" si="2010"/>
        <v>-4000.0000000000036</v>
      </c>
      <c r="CP236" s="24">
        <f t="shared" si="2010"/>
        <v>-4000</v>
      </c>
      <c r="CQ236" s="24">
        <f t="shared" si="2010"/>
        <v>-4000</v>
      </c>
      <c r="CR236" s="24">
        <f t="shared" si="2010"/>
        <v>-4000</v>
      </c>
      <c r="CS236" s="24">
        <f t="shared" si="2010"/>
        <v>-4000</v>
      </c>
      <c r="CT236" s="24">
        <f t="shared" si="2010"/>
        <v>-4000</v>
      </c>
      <c r="CU236" s="24">
        <f t="shared" ref="CU236:DB236" si="2011">CT171-CU60-CU171</f>
        <v>0</v>
      </c>
      <c r="CV236" s="24">
        <f t="shared" si="2011"/>
        <v>0</v>
      </c>
      <c r="CW236" s="24">
        <f t="shared" si="2011"/>
        <v>0</v>
      </c>
      <c r="CX236" s="24">
        <f t="shared" si="2011"/>
        <v>0</v>
      </c>
      <c r="CY236" s="24">
        <f t="shared" si="2011"/>
        <v>0</v>
      </c>
      <c r="CZ236" s="24">
        <f t="shared" si="2011"/>
        <v>0</v>
      </c>
      <c r="DA236" s="24">
        <f t="shared" si="2011"/>
        <v>0</v>
      </c>
      <c r="DB236" s="24">
        <f t="shared" si="2011"/>
        <v>0</v>
      </c>
      <c r="DE236" s="123"/>
      <c r="DF236" s="23">
        <v>-4500</v>
      </c>
    </row>
    <row r="237" spans="1:110" s="23" customFormat="1" x14ac:dyDescent="0.2">
      <c r="AB237" s="24"/>
      <c r="AC237" s="24"/>
      <c r="AD237" s="24"/>
      <c r="AE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E237" s="123"/>
    </row>
    <row r="238" spans="1:110" s="22" customFormat="1" x14ac:dyDescent="0.2">
      <c r="A238" s="22" t="s">
        <v>95</v>
      </c>
      <c r="C238" s="22">
        <f t="shared" ref="C238:W238" si="2012">C239+C240</f>
        <v>-162.84569999999985</v>
      </c>
      <c r="D238" s="22">
        <f t="shared" si="2012"/>
        <v>-42.695000000000057</v>
      </c>
      <c r="E238" s="22">
        <f t="shared" si="2012"/>
        <v>539.58699999999999</v>
      </c>
      <c r="F238" s="22">
        <f t="shared" si="2012"/>
        <v>-120.93000000000029</v>
      </c>
      <c r="G238" s="22">
        <f t="shared" si="2012"/>
        <v>-133.74999999999977</v>
      </c>
      <c r="H238" s="22">
        <f t="shared" si="2012"/>
        <v>-802.16000000000338</v>
      </c>
      <c r="I238" s="22">
        <f t="shared" si="2012"/>
        <v>-174.93999999999869</v>
      </c>
      <c r="J238" s="22">
        <f t="shared" si="2012"/>
        <v>-209.92000000000115</v>
      </c>
      <c r="K238" s="22">
        <f t="shared" si="2012"/>
        <v>-223.24000000000225</v>
      </c>
      <c r="L238" s="22">
        <f t="shared" si="2012"/>
        <v>-551.3499999999932</v>
      </c>
      <c r="M238" s="22">
        <f t="shared" si="2012"/>
        <v>-1177.9699999999975</v>
      </c>
      <c r="N238" s="22">
        <f t="shared" si="2012"/>
        <v>-1505.39</v>
      </c>
      <c r="O238" s="22">
        <f t="shared" si="2012"/>
        <v>-1762.75</v>
      </c>
      <c r="P238" s="22">
        <f t="shared" si="2012"/>
        <v>-2242.5400000000009</v>
      </c>
      <c r="Q238" s="22">
        <f t="shared" si="2012"/>
        <v>-14143.07</v>
      </c>
      <c r="R238" s="22">
        <f t="shared" si="2012"/>
        <v>-6988</v>
      </c>
      <c r="S238" s="22">
        <f t="shared" si="2012"/>
        <v>-12057</v>
      </c>
      <c r="T238" s="22">
        <f t="shared" si="2012"/>
        <v>-7745</v>
      </c>
      <c r="U238" s="22">
        <f t="shared" si="2012"/>
        <v>-2027</v>
      </c>
      <c r="V238" s="22">
        <f t="shared" si="2012"/>
        <v>-9411</v>
      </c>
      <c r="W238" s="22">
        <f t="shared" si="2012"/>
        <v>-11735</v>
      </c>
      <c r="X238" s="22">
        <f t="shared" ref="X238:Y238" si="2013">X239+X240</f>
        <v>-22815</v>
      </c>
      <c r="Y238" s="22">
        <f t="shared" si="2013"/>
        <v>-8789</v>
      </c>
      <c r="Z238" s="22">
        <f t="shared" ref="Z238:AA238" si="2014">Z239+Z240</f>
        <v>-9857</v>
      </c>
      <c r="AA238" s="22">
        <f t="shared" si="2014"/>
        <v>-7392</v>
      </c>
      <c r="AB238" s="21">
        <f t="shared" ref="AA238:AD238" si="2015">AB239+AB240</f>
        <v>-105.00000000000728</v>
      </c>
      <c r="AC238" s="21">
        <f t="shared" si="2015"/>
        <v>0</v>
      </c>
      <c r="AD238" s="21">
        <f t="shared" si="2015"/>
        <v>7.2759576141834259E-12</v>
      </c>
      <c r="AE238" s="21">
        <f t="shared" ref="AE238" si="2016">AE239+AE240</f>
        <v>0</v>
      </c>
      <c r="AI238" s="22">
        <f t="shared" ref="AI238" si="2017">AI239+AI240</f>
        <v>-1581.3400000000001</v>
      </c>
      <c r="AJ238" s="22">
        <f t="shared" ref="AJ238:AL238" si="2018">AJ239+AJ240</f>
        <v>27663.25</v>
      </c>
      <c r="AK238" s="22">
        <f t="shared" si="2018"/>
        <v>0</v>
      </c>
      <c r="AL238" s="22">
        <f t="shared" si="2018"/>
        <v>-705.65000000000202</v>
      </c>
      <c r="AM238" s="22">
        <f t="shared" ref="AM238" si="2019">AM239+AM240</f>
        <v>-7.2759576141834259E-12</v>
      </c>
      <c r="AN238" s="22">
        <f t="shared" ref="AN238:CD238" si="2020">AN239+AN240</f>
        <v>-809.95999999999856</v>
      </c>
      <c r="AO238" s="22">
        <f t="shared" si="2020"/>
        <v>0</v>
      </c>
      <c r="AP238" s="22">
        <f t="shared" si="2020"/>
        <v>-952.78999999999417</v>
      </c>
      <c r="AQ238" s="22">
        <f t="shared" si="2020"/>
        <v>0</v>
      </c>
      <c r="AR238" s="22">
        <f t="shared" si="2020"/>
        <v>-940.41999999999825</v>
      </c>
      <c r="AS238" s="22">
        <f t="shared" si="2020"/>
        <v>0</v>
      </c>
      <c r="AT238" s="22">
        <f t="shared" si="2020"/>
        <v>-1302.1200000000026</v>
      </c>
      <c r="AU238" s="22">
        <f t="shared" si="2020"/>
        <v>0</v>
      </c>
      <c r="AV238" s="22">
        <f t="shared" si="2020"/>
        <v>-1912.2900000000009</v>
      </c>
      <c r="AW238" s="22">
        <f t="shared" si="2020"/>
        <v>0</v>
      </c>
      <c r="AX238" s="22">
        <f t="shared" si="2020"/>
        <v>-12230.950000000004</v>
      </c>
      <c r="AY238" s="22">
        <f t="shared" si="2020"/>
        <v>0</v>
      </c>
      <c r="AZ238" s="22">
        <f t="shared" si="2020"/>
        <v>2001.6800000000035</v>
      </c>
      <c r="BA238" s="22">
        <f t="shared" si="2020"/>
        <v>0</v>
      </c>
      <c r="BB238" s="22">
        <f t="shared" si="2020"/>
        <v>-8989.869999999999</v>
      </c>
      <c r="BC238" s="22">
        <f t="shared" si="2020"/>
        <v>0</v>
      </c>
      <c r="BD238" s="22">
        <f t="shared" si="2020"/>
        <v>-7414</v>
      </c>
      <c r="BE238" s="22">
        <f t="shared" si="2020"/>
        <v>0</v>
      </c>
      <c r="BF238" s="22">
        <f t="shared" si="2020"/>
        <v>-4643</v>
      </c>
      <c r="BG238" s="22">
        <f t="shared" si="2020"/>
        <v>0</v>
      </c>
      <c r="BH238" s="22">
        <f t="shared" si="2020"/>
        <v>-89</v>
      </c>
      <c r="BI238" s="22">
        <f t="shared" si="2020"/>
        <v>0</v>
      </c>
      <c r="BJ238" s="22">
        <f t="shared" si="2020"/>
        <v>-7656</v>
      </c>
      <c r="BK238" s="22">
        <f t="shared" si="2020"/>
        <v>0</v>
      </c>
      <c r="BL238" s="22">
        <f t="shared" si="2020"/>
        <v>-2587</v>
      </c>
      <c r="BM238" s="22">
        <f t="shared" si="2020"/>
        <v>0</v>
      </c>
      <c r="BN238" s="22">
        <f t="shared" si="2020"/>
        <v>560</v>
      </c>
      <c r="BO238" s="22">
        <f t="shared" si="2020"/>
        <v>0</v>
      </c>
      <c r="BP238" s="22">
        <f t="shared" si="2020"/>
        <v>1515</v>
      </c>
      <c r="BQ238" s="22">
        <f t="shared" si="2020"/>
        <v>0</v>
      </c>
      <c r="BR238" s="22">
        <f t="shared" si="2020"/>
        <v>-10926</v>
      </c>
      <c r="BS238" s="22">
        <f t="shared" si="2020"/>
        <v>0</v>
      </c>
      <c r="BT238" s="22">
        <f t="shared" si="2020"/>
        <v>-2601</v>
      </c>
      <c r="BU238" s="22">
        <f t="shared" si="2020"/>
        <v>0</v>
      </c>
      <c r="BV238" s="22">
        <f t="shared" si="2020"/>
        <v>-9414</v>
      </c>
      <c r="BW238" s="22">
        <f t="shared" si="2020"/>
        <v>0</v>
      </c>
      <c r="BX238" s="22">
        <f t="shared" si="2020"/>
        <v>-9489</v>
      </c>
      <c r="BY238" s="22">
        <f t="shared" si="2020"/>
        <v>0</v>
      </c>
      <c r="BZ238" s="22">
        <f t="shared" si="2020"/>
        <v>-13353</v>
      </c>
      <c r="CA238" s="22">
        <f t="shared" si="2020"/>
        <v>0</v>
      </c>
      <c r="CB238" s="22">
        <f t="shared" si="2020"/>
        <v>-3487</v>
      </c>
      <c r="CC238" s="22">
        <f t="shared" si="2020"/>
        <v>0</v>
      </c>
      <c r="CD238" s="22">
        <f t="shared" si="2020"/>
        <v>-5394</v>
      </c>
      <c r="CE238" s="22">
        <f t="shared" ref="CE238:CF238" si="2021">CE239+CE240</f>
        <v>0</v>
      </c>
      <c r="CF238" s="22">
        <f t="shared" si="2021"/>
        <v>-7034</v>
      </c>
      <c r="CG238" s="22">
        <f t="shared" ref="CG238:CH238" si="2022">CG239+CG240</f>
        <v>0</v>
      </c>
      <c r="CH238" s="22">
        <f t="shared" si="2022"/>
        <v>-2424</v>
      </c>
      <c r="CI238" s="22">
        <f t="shared" ref="CI238:CJ238" si="2023">CI239+CI240</f>
        <v>0</v>
      </c>
      <c r="CJ238" s="22">
        <f t="shared" si="2023"/>
        <v>-5031</v>
      </c>
      <c r="CK238" s="22">
        <f t="shared" ref="CK238:DB238" si="2024">CK239+CK240</f>
        <v>0</v>
      </c>
      <c r="CL238" s="22">
        <f t="shared" si="2024"/>
        <v>-2466</v>
      </c>
      <c r="CM238" s="21">
        <f t="shared" si="2024"/>
        <v>0</v>
      </c>
      <c r="CN238" s="21">
        <f t="shared" si="2024"/>
        <v>0</v>
      </c>
      <c r="CO238" s="21">
        <f t="shared" si="2024"/>
        <v>-3.637978807091713E-12</v>
      </c>
      <c r="CP238" s="21">
        <f t="shared" si="2024"/>
        <v>0</v>
      </c>
      <c r="CQ238" s="21">
        <f t="shared" si="2024"/>
        <v>0</v>
      </c>
      <c r="CR238" s="21">
        <f t="shared" si="2024"/>
        <v>0</v>
      </c>
      <c r="CS238" s="21">
        <f t="shared" si="2024"/>
        <v>0</v>
      </c>
      <c r="CT238" s="21">
        <f t="shared" si="2024"/>
        <v>0</v>
      </c>
      <c r="CU238" s="21">
        <f t="shared" si="2024"/>
        <v>0</v>
      </c>
      <c r="CV238" s="21">
        <f t="shared" si="2024"/>
        <v>7.2759576141834259E-12</v>
      </c>
      <c r="CW238" s="21">
        <f t="shared" si="2024"/>
        <v>0</v>
      </c>
      <c r="CX238" s="21">
        <f t="shared" si="2024"/>
        <v>0</v>
      </c>
      <c r="CY238" s="21">
        <f t="shared" si="2024"/>
        <v>0</v>
      </c>
      <c r="CZ238" s="21">
        <f t="shared" si="2024"/>
        <v>0</v>
      </c>
      <c r="DA238" s="21">
        <f t="shared" si="2024"/>
        <v>0</v>
      </c>
      <c r="DB238" s="21">
        <f t="shared" si="2024"/>
        <v>0</v>
      </c>
      <c r="DE238" s="126"/>
      <c r="DF238" s="22">
        <v>0</v>
      </c>
    </row>
    <row r="239" spans="1:110" s="23" customFormat="1" x14ac:dyDescent="0.2">
      <c r="A239" s="23" t="s">
        <v>49</v>
      </c>
      <c r="C239" s="23">
        <f t="shared" ref="C239:AA239" si="2025">C161-B161</f>
        <v>-1.8994</v>
      </c>
      <c r="D239" s="23">
        <f t="shared" si="2025"/>
        <v>-3.0049999999999999</v>
      </c>
      <c r="E239" s="23">
        <f>E161-D161</f>
        <v>607.03800000000001</v>
      </c>
      <c r="F239" s="23">
        <f t="shared" si="2025"/>
        <v>-36.476000000000113</v>
      </c>
      <c r="G239" s="23">
        <f t="shared" si="2025"/>
        <v>-13.299999999999955</v>
      </c>
      <c r="H239" s="23">
        <f t="shared" si="2025"/>
        <v>-557.63</v>
      </c>
      <c r="I239" s="23">
        <f t="shared" si="2025"/>
        <v>0</v>
      </c>
      <c r="J239" s="23">
        <f>J161-I161</f>
        <v>8.3000000000000007</v>
      </c>
      <c r="K239" s="23">
        <f>K161-J161</f>
        <v>51.78</v>
      </c>
      <c r="L239" s="23">
        <f t="shared" si="2025"/>
        <v>-60.08</v>
      </c>
      <c r="M239" s="23">
        <f t="shared" si="2025"/>
        <v>0</v>
      </c>
      <c r="N239" s="23">
        <f t="shared" si="2025"/>
        <v>-0.39</v>
      </c>
      <c r="O239" s="23">
        <f t="shared" si="2025"/>
        <v>0</v>
      </c>
      <c r="P239" s="23">
        <f t="shared" si="2025"/>
        <v>0</v>
      </c>
      <c r="Q239" s="23">
        <f t="shared" si="2025"/>
        <v>0</v>
      </c>
      <c r="R239" s="23">
        <f t="shared" si="2025"/>
        <v>7908</v>
      </c>
      <c r="S239" s="23">
        <f t="shared" si="2025"/>
        <v>-7908</v>
      </c>
      <c r="T239" s="23">
        <f t="shared" si="2025"/>
        <v>2538</v>
      </c>
      <c r="U239" s="23">
        <f t="shared" si="2025"/>
        <v>-1927</v>
      </c>
      <c r="V239" s="23">
        <f t="shared" si="2025"/>
        <v>6566</v>
      </c>
      <c r="W239" s="23">
        <f t="shared" si="2025"/>
        <v>-4074</v>
      </c>
      <c r="X239" s="23">
        <f t="shared" si="2025"/>
        <v>9045</v>
      </c>
      <c r="Y239" s="23">
        <f t="shared" si="2025"/>
        <v>-3293</v>
      </c>
      <c r="Z239" s="23">
        <f t="shared" si="2025"/>
        <v>2365</v>
      </c>
      <c r="AA239" s="23">
        <f t="shared" si="2025"/>
        <v>-2863</v>
      </c>
      <c r="AB239" s="24">
        <f t="shared" ref="AB239" si="2026">AB161-AA161</f>
        <v>-105</v>
      </c>
      <c r="AC239" s="24">
        <f t="shared" ref="AC239" si="2027">AC161-AB161</f>
        <v>0</v>
      </c>
      <c r="AD239" s="24">
        <f t="shared" ref="AD239" si="2028">AD161-AC161</f>
        <v>0</v>
      </c>
      <c r="AE239" s="24">
        <f t="shared" ref="AE239" si="2029">AE161-AD161</f>
        <v>0</v>
      </c>
      <c r="AI239" s="23">
        <f t="shared" ref="AI239" si="2030">AI161-AH161</f>
        <v>0</v>
      </c>
      <c r="AJ239" s="23">
        <f t="shared" ref="AJ239" si="2031">AJ161-AI161</f>
        <v>0.39</v>
      </c>
      <c r="AK239" s="23">
        <f t="shared" ref="AK239" si="2032">AK161-AJ161</f>
        <v>0</v>
      </c>
      <c r="AL239" s="23">
        <f t="shared" ref="AL239" si="2033">AL161-AK161</f>
        <v>-0.39</v>
      </c>
      <c r="AM239" s="23">
        <f t="shared" ref="AM239" si="2034">AM161-AL161</f>
        <v>0</v>
      </c>
      <c r="AN239" s="23">
        <f t="shared" ref="AN239" si="2035">AN161-AM161</f>
        <v>0.39</v>
      </c>
      <c r="AO239" s="23">
        <f t="shared" ref="AO239" si="2036">AO161-AN161</f>
        <v>0</v>
      </c>
      <c r="AP239" s="23">
        <f t="shared" ref="AP239" si="2037">AP161-AO161</f>
        <v>-0.39</v>
      </c>
      <c r="AQ239" s="23">
        <f t="shared" ref="AQ239" si="2038">AQ161-AP161</f>
        <v>0</v>
      </c>
      <c r="AR239" s="23">
        <f t="shared" ref="AR239" si="2039">AR161-AQ161</f>
        <v>0</v>
      </c>
      <c r="AS239" s="23">
        <f t="shared" ref="AS239" si="2040">AS161-AR161</f>
        <v>0</v>
      </c>
      <c r="AT239" s="23">
        <f t="shared" ref="AT239" si="2041">AT161-AS161</f>
        <v>0</v>
      </c>
      <c r="AU239" s="23">
        <f t="shared" ref="AU239" si="2042">AU161-AT161</f>
        <v>0</v>
      </c>
      <c r="AV239" s="23">
        <f t="shared" ref="AV239" si="2043">AV161-AU161</f>
        <v>0</v>
      </c>
      <c r="AW239" s="23">
        <f t="shared" ref="AW239" si="2044">AW161-AV161</f>
        <v>0</v>
      </c>
      <c r="AX239" s="23">
        <f t="shared" ref="AX239" si="2045">AX161-AW161</f>
        <v>0</v>
      </c>
      <c r="AY239" s="23">
        <f t="shared" ref="AY239" si="2046">AY161-AX161</f>
        <v>0</v>
      </c>
      <c r="AZ239" s="23">
        <f t="shared" ref="AZ239" si="2047">AZ161-AY161</f>
        <v>1928.02</v>
      </c>
      <c r="BA239" s="23">
        <f t="shared" ref="BA239" si="2048">BA161-AZ161</f>
        <v>0</v>
      </c>
      <c r="BB239" s="23">
        <f t="shared" ref="BB239" si="2049">BB161-BA161</f>
        <v>5979.98</v>
      </c>
      <c r="BC239" s="23">
        <f t="shared" ref="BC239" si="2050">BC161-BB161</f>
        <v>0</v>
      </c>
      <c r="BD239" s="23">
        <f t="shared" ref="BD239" si="2051">BD161-BC161</f>
        <v>-7315</v>
      </c>
      <c r="BE239" s="23">
        <f t="shared" ref="BE239" si="2052">BE161-BD161</f>
        <v>0</v>
      </c>
      <c r="BF239" s="23">
        <f t="shared" ref="BF239" si="2053">BF161-BE161</f>
        <v>-593</v>
      </c>
      <c r="BG239" s="23">
        <f t="shared" ref="BG239" si="2054">BG161-BF161</f>
        <v>0</v>
      </c>
      <c r="BH239" s="23">
        <f t="shared" ref="BH239" si="2055">BH161-BG161</f>
        <v>0</v>
      </c>
      <c r="BI239" s="23">
        <f t="shared" ref="BI239" si="2056">BI161-BH161</f>
        <v>0</v>
      </c>
      <c r="BJ239" s="23">
        <f t="shared" ref="BJ239" si="2057">BJ161-BI161</f>
        <v>2538</v>
      </c>
      <c r="BK239" s="23">
        <f t="shared" ref="BK239" si="2058">BK161-BJ161</f>
        <v>0</v>
      </c>
      <c r="BL239" s="23">
        <f t="shared" ref="BL239" si="2059">BL161-BK161</f>
        <v>-2538</v>
      </c>
      <c r="BM239" s="23">
        <f t="shared" ref="BM239" si="2060">BM161-BL161</f>
        <v>0</v>
      </c>
      <c r="BN239" s="23">
        <f t="shared" ref="BN239" si="2061">BN161-BM161</f>
        <v>611</v>
      </c>
      <c r="BO239" s="23">
        <f t="shared" ref="BO239" si="2062">BO161-BN161</f>
        <v>0</v>
      </c>
      <c r="BP239" s="23">
        <f t="shared" ref="BP239" si="2063">BP161-BO161</f>
        <v>8483</v>
      </c>
      <c r="BQ239" s="23">
        <f t="shared" ref="BQ239" si="2064">BQ161-BP161</f>
        <v>0</v>
      </c>
      <c r="BR239" s="23">
        <f t="shared" ref="BR239" si="2065">BR161-BQ161</f>
        <v>-1917</v>
      </c>
      <c r="BS239" s="23">
        <f t="shared" ref="BS239" si="2066">BS161-BR161</f>
        <v>0</v>
      </c>
      <c r="BT239" s="23">
        <f t="shared" ref="BT239" si="2067">BT161-BS161</f>
        <v>-2618</v>
      </c>
      <c r="BU239" s="23">
        <f t="shared" ref="BU239" si="2068">BU161-BT161</f>
        <v>0</v>
      </c>
      <c r="BV239" s="23">
        <f t="shared" ref="BV239" si="2069">BV161-BU161</f>
        <v>-1736</v>
      </c>
      <c r="BW239" s="23">
        <f t="shared" ref="BW239" si="2070">BW161-BV161</f>
        <v>0</v>
      </c>
      <c r="BX239" s="23">
        <f t="shared" ref="BX239" si="2071">BX161-BW161</f>
        <v>-712</v>
      </c>
      <c r="BY239" s="23">
        <f t="shared" ref="BY239" si="2072">BY161-BX161</f>
        <v>0</v>
      </c>
      <c r="BZ239" s="23">
        <f t="shared" ref="BZ239" si="2073">BZ161-BY161</f>
        <v>9730</v>
      </c>
      <c r="CA239" s="23">
        <f t="shared" ref="CA239" si="2074">CA161-BZ161</f>
        <v>0</v>
      </c>
      <c r="CB239" s="23">
        <f t="shared" ref="CB239" si="2075">CB161-CA161</f>
        <v>-517</v>
      </c>
      <c r="CC239" s="23">
        <f t="shared" ref="CC239" si="2076">CC161-CB161</f>
        <v>0</v>
      </c>
      <c r="CD239" s="23">
        <f t="shared" ref="CD239" si="2077">CD161-CC161</f>
        <v>-2868</v>
      </c>
      <c r="CE239" s="23">
        <f t="shared" ref="CE239" si="2078">CE161-CD161</f>
        <v>0</v>
      </c>
      <c r="CF239" s="23">
        <f t="shared" ref="CF239" si="2079">CF161-CE161</f>
        <v>5213</v>
      </c>
      <c r="CG239" s="23">
        <f t="shared" ref="CG239" si="2080">CG161-CF161</f>
        <v>0</v>
      </c>
      <c r="CH239" s="23">
        <f t="shared" ref="CH239:CL239" si="2081">CH161-CG161</f>
        <v>-2449</v>
      </c>
      <c r="CI239" s="23">
        <f t="shared" si="2081"/>
        <v>0</v>
      </c>
      <c r="CJ239" s="23">
        <f t="shared" si="2081"/>
        <v>-519</v>
      </c>
      <c r="CK239" s="23">
        <f t="shared" ref="CK239" si="2082">CK161-CJ161</f>
        <v>0</v>
      </c>
      <c r="CL239" s="23">
        <f t="shared" si="2081"/>
        <v>-2449</v>
      </c>
      <c r="CM239" s="24">
        <f t="shared" ref="CM239" si="2083">CM161-CL161</f>
        <v>0</v>
      </c>
      <c r="CN239" s="24">
        <f t="shared" ref="CN239" si="2084">CN161-CM161</f>
        <v>0</v>
      </c>
      <c r="CO239" s="24">
        <f t="shared" ref="CO239" si="2085">CO161-CN161</f>
        <v>0</v>
      </c>
      <c r="CP239" s="24">
        <f t="shared" ref="CP239" si="2086">CP161-CO161</f>
        <v>0</v>
      </c>
      <c r="CQ239" s="24">
        <f t="shared" ref="CQ239" si="2087">CQ161-CP161</f>
        <v>0</v>
      </c>
      <c r="CR239" s="24">
        <f t="shared" ref="CR239" si="2088">CR161-CQ161</f>
        <v>0</v>
      </c>
      <c r="CS239" s="24">
        <f t="shared" ref="CS239" si="2089">CS161-CR161</f>
        <v>0</v>
      </c>
      <c r="CT239" s="24">
        <f t="shared" ref="CT239" si="2090">CT161-CS161</f>
        <v>0</v>
      </c>
      <c r="CU239" s="24">
        <f t="shared" ref="CU239" si="2091">CU161-CT161</f>
        <v>0</v>
      </c>
      <c r="CV239" s="24">
        <f t="shared" ref="CV239" si="2092">CV161-CU161</f>
        <v>0</v>
      </c>
      <c r="CW239" s="24">
        <f t="shared" ref="CW239" si="2093">CW161-CV161</f>
        <v>0</v>
      </c>
      <c r="CX239" s="24">
        <f t="shared" ref="CX239" si="2094">CX161-CW161</f>
        <v>0</v>
      </c>
      <c r="CY239" s="24">
        <f t="shared" ref="CY239" si="2095">CY161-CX161</f>
        <v>0</v>
      </c>
      <c r="CZ239" s="24">
        <f t="shared" ref="CZ239" si="2096">CZ161-CY161</f>
        <v>0</v>
      </c>
      <c r="DA239" s="24">
        <f t="shared" ref="DA239" si="2097">DA161-CZ161</f>
        <v>0</v>
      </c>
      <c r="DB239" s="24">
        <f t="shared" ref="DB239" si="2098">DB161-DA161</f>
        <v>0</v>
      </c>
      <c r="DE239" s="123"/>
      <c r="DF239" s="23">
        <v>0</v>
      </c>
    </row>
    <row r="240" spans="1:110" s="23" customFormat="1" x14ac:dyDescent="0.2">
      <c r="A240" s="23" t="s">
        <v>27</v>
      </c>
      <c r="C240" s="23">
        <f t="shared" ref="C240:AE240" si="2099">C153-C76-B153+C155-B155</f>
        <v>-160.94629999999984</v>
      </c>
      <c r="D240" s="23">
        <f t="shared" si="2099"/>
        <v>-39.690000000000055</v>
      </c>
      <c r="E240" s="23">
        <f t="shared" si="2099"/>
        <v>-67.451000000000022</v>
      </c>
      <c r="F240" s="23">
        <f t="shared" si="2099"/>
        <v>-84.454000000000178</v>
      </c>
      <c r="G240" s="23">
        <f t="shared" si="2099"/>
        <v>-120.44999999999982</v>
      </c>
      <c r="H240" s="23">
        <f t="shared" si="2099"/>
        <v>-244.53000000000338</v>
      </c>
      <c r="I240" s="23">
        <f t="shared" si="2099"/>
        <v>-174.93999999999869</v>
      </c>
      <c r="J240" s="23">
        <f t="shared" si="2099"/>
        <v>-218.22000000000116</v>
      </c>
      <c r="K240" s="23">
        <f t="shared" si="2099"/>
        <v>-275.02000000000226</v>
      </c>
      <c r="L240" s="23">
        <f t="shared" si="2099"/>
        <v>-491.26999999999316</v>
      </c>
      <c r="M240" s="23">
        <f t="shared" si="2099"/>
        <v>-1177.9699999999975</v>
      </c>
      <c r="N240" s="23">
        <f t="shared" si="2099"/>
        <v>-1505</v>
      </c>
      <c r="O240" s="23">
        <f t="shared" si="2099"/>
        <v>-1762.75</v>
      </c>
      <c r="P240" s="23">
        <f t="shared" si="2099"/>
        <v>-2242.5400000000009</v>
      </c>
      <c r="Q240" s="23">
        <f t="shared" si="2099"/>
        <v>-14143.07</v>
      </c>
      <c r="R240" s="23">
        <f t="shared" si="2099"/>
        <v>-14896</v>
      </c>
      <c r="S240" s="23">
        <f t="shared" si="2099"/>
        <v>-4149</v>
      </c>
      <c r="T240" s="23">
        <f t="shared" si="2099"/>
        <v>-10283</v>
      </c>
      <c r="U240" s="23">
        <f t="shared" si="2099"/>
        <v>-100</v>
      </c>
      <c r="V240" s="23">
        <f t="shared" si="2099"/>
        <v>-15977</v>
      </c>
      <c r="W240" s="23">
        <f t="shared" si="2099"/>
        <v>-7661</v>
      </c>
      <c r="X240" s="23">
        <f t="shared" si="2099"/>
        <v>-31860</v>
      </c>
      <c r="Y240" s="23">
        <f t="shared" si="2099"/>
        <v>-5496</v>
      </c>
      <c r="Z240" s="23">
        <f t="shared" si="2099"/>
        <v>-12222</v>
      </c>
      <c r="AA240" s="23">
        <f t="shared" si="2099"/>
        <v>-4529</v>
      </c>
      <c r="AB240" s="24">
        <f t="shared" si="2099"/>
        <v>-7.2759576141834259E-12</v>
      </c>
      <c r="AC240" s="24">
        <f t="shared" si="2099"/>
        <v>0</v>
      </c>
      <c r="AD240" s="24">
        <f t="shared" si="2099"/>
        <v>7.2759576141834259E-12</v>
      </c>
      <c r="AE240" s="24">
        <f t="shared" si="2099"/>
        <v>0</v>
      </c>
      <c r="AI240" s="23">
        <f t="shared" ref="AI240:BN240" si="2100">AI153-AI76-AH153+AI155-AH155</f>
        <v>-1581.3400000000001</v>
      </c>
      <c r="AJ240" s="23">
        <f t="shared" si="2100"/>
        <v>27662.86</v>
      </c>
      <c r="AK240" s="23">
        <f t="shared" si="2100"/>
        <v>0</v>
      </c>
      <c r="AL240" s="23">
        <f t="shared" si="2100"/>
        <v>-705.26000000000204</v>
      </c>
      <c r="AM240" s="23">
        <f t="shared" si="2100"/>
        <v>-7.2759576141834259E-12</v>
      </c>
      <c r="AN240" s="23">
        <f t="shared" si="2100"/>
        <v>-810.34999999999854</v>
      </c>
      <c r="AO240" s="23">
        <f t="shared" si="2100"/>
        <v>0</v>
      </c>
      <c r="AP240" s="23">
        <f t="shared" si="2100"/>
        <v>-952.39999999999418</v>
      </c>
      <c r="AQ240" s="23">
        <f t="shared" si="2100"/>
        <v>0</v>
      </c>
      <c r="AR240" s="23">
        <f t="shared" si="2100"/>
        <v>-940.41999999999825</v>
      </c>
      <c r="AS240" s="23">
        <f t="shared" si="2100"/>
        <v>0</v>
      </c>
      <c r="AT240" s="23">
        <f t="shared" si="2100"/>
        <v>-1302.1200000000026</v>
      </c>
      <c r="AU240" s="23">
        <f t="shared" si="2100"/>
        <v>0</v>
      </c>
      <c r="AV240" s="23">
        <f t="shared" si="2100"/>
        <v>-1912.2900000000009</v>
      </c>
      <c r="AW240" s="23">
        <f t="shared" si="2100"/>
        <v>0</v>
      </c>
      <c r="AX240" s="23">
        <f t="shared" si="2100"/>
        <v>-12230.950000000004</v>
      </c>
      <c r="AY240" s="23">
        <f t="shared" si="2100"/>
        <v>0</v>
      </c>
      <c r="AZ240" s="23">
        <f t="shared" si="2100"/>
        <v>73.660000000003492</v>
      </c>
      <c r="BA240" s="23">
        <f t="shared" si="2100"/>
        <v>0</v>
      </c>
      <c r="BB240" s="23">
        <f t="shared" si="2100"/>
        <v>-14969.849999999999</v>
      </c>
      <c r="BC240" s="23">
        <f t="shared" si="2100"/>
        <v>0</v>
      </c>
      <c r="BD240" s="23">
        <f t="shared" si="2100"/>
        <v>-99</v>
      </c>
      <c r="BE240" s="23">
        <f t="shared" si="2100"/>
        <v>0</v>
      </c>
      <c r="BF240" s="23">
        <f t="shared" si="2100"/>
        <v>-4050</v>
      </c>
      <c r="BG240" s="23">
        <f t="shared" si="2100"/>
        <v>0</v>
      </c>
      <c r="BH240" s="23">
        <f t="shared" si="2100"/>
        <v>-89</v>
      </c>
      <c r="BI240" s="23">
        <f t="shared" si="2100"/>
        <v>0</v>
      </c>
      <c r="BJ240" s="23">
        <f t="shared" si="2100"/>
        <v>-10194</v>
      </c>
      <c r="BK240" s="23">
        <f t="shared" si="2100"/>
        <v>0</v>
      </c>
      <c r="BL240" s="23">
        <f t="shared" si="2100"/>
        <v>-49</v>
      </c>
      <c r="BM240" s="23">
        <f t="shared" si="2100"/>
        <v>0</v>
      </c>
      <c r="BN240" s="23">
        <f t="shared" si="2100"/>
        <v>-51</v>
      </c>
      <c r="BO240" s="23">
        <f t="shared" ref="BO240:CT240" si="2101">BO153-BO76-BN153+BO155-BN155</f>
        <v>0</v>
      </c>
      <c r="BP240" s="23">
        <f t="shared" si="2101"/>
        <v>-6968</v>
      </c>
      <c r="BQ240" s="23">
        <f t="shared" si="2101"/>
        <v>0</v>
      </c>
      <c r="BR240" s="23">
        <f t="shared" si="2101"/>
        <v>-9009</v>
      </c>
      <c r="BS240" s="23">
        <f t="shared" si="2101"/>
        <v>0</v>
      </c>
      <c r="BT240" s="23">
        <f t="shared" si="2101"/>
        <v>17</v>
      </c>
      <c r="BU240" s="23">
        <f t="shared" si="2101"/>
        <v>0</v>
      </c>
      <c r="BV240" s="23">
        <f t="shared" si="2101"/>
        <v>-7678</v>
      </c>
      <c r="BW240" s="23">
        <f t="shared" si="2101"/>
        <v>0</v>
      </c>
      <c r="BX240" s="23">
        <f t="shared" si="2101"/>
        <v>-8777</v>
      </c>
      <c r="BY240" s="23">
        <f t="shared" si="2101"/>
        <v>0</v>
      </c>
      <c r="BZ240" s="23">
        <f t="shared" si="2101"/>
        <v>-23083</v>
      </c>
      <c r="CA240" s="23">
        <f t="shared" si="2101"/>
        <v>0</v>
      </c>
      <c r="CB240" s="23">
        <f t="shared" si="2101"/>
        <v>-2970</v>
      </c>
      <c r="CC240" s="23">
        <f t="shared" si="2101"/>
        <v>0</v>
      </c>
      <c r="CD240" s="23">
        <f t="shared" si="2101"/>
        <v>-2526</v>
      </c>
      <c r="CE240" s="23">
        <f t="shared" si="2101"/>
        <v>0</v>
      </c>
      <c r="CF240" s="23">
        <f t="shared" si="2101"/>
        <v>-12247</v>
      </c>
      <c r="CG240" s="23">
        <f t="shared" si="2101"/>
        <v>0</v>
      </c>
      <c r="CH240" s="23">
        <f t="shared" si="2101"/>
        <v>25</v>
      </c>
      <c r="CI240" s="23">
        <f t="shared" si="2101"/>
        <v>0</v>
      </c>
      <c r="CJ240" s="23">
        <f t="shared" si="2101"/>
        <v>-4512</v>
      </c>
      <c r="CK240" s="23">
        <f t="shared" si="2101"/>
        <v>0</v>
      </c>
      <c r="CL240" s="23">
        <f t="shared" si="2101"/>
        <v>-17</v>
      </c>
      <c r="CM240" s="24">
        <f t="shared" si="2101"/>
        <v>0</v>
      </c>
      <c r="CN240" s="24">
        <f t="shared" si="2101"/>
        <v>0</v>
      </c>
      <c r="CO240" s="24">
        <f t="shared" si="2101"/>
        <v>-3.637978807091713E-12</v>
      </c>
      <c r="CP240" s="24">
        <f t="shared" si="2101"/>
        <v>0</v>
      </c>
      <c r="CQ240" s="24">
        <f t="shared" si="2101"/>
        <v>0</v>
      </c>
      <c r="CR240" s="24">
        <f t="shared" si="2101"/>
        <v>0</v>
      </c>
      <c r="CS240" s="24">
        <f t="shared" si="2101"/>
        <v>0</v>
      </c>
      <c r="CT240" s="24">
        <f t="shared" si="2101"/>
        <v>0</v>
      </c>
      <c r="CU240" s="24">
        <f t="shared" ref="CU240:DB240" si="2102">CU153-CU76-CT153+CU155-CT155</f>
        <v>0</v>
      </c>
      <c r="CV240" s="24">
        <f t="shared" si="2102"/>
        <v>7.2759576141834259E-12</v>
      </c>
      <c r="CW240" s="24">
        <f t="shared" si="2102"/>
        <v>0</v>
      </c>
      <c r="CX240" s="24">
        <f t="shared" si="2102"/>
        <v>0</v>
      </c>
      <c r="CY240" s="24">
        <f t="shared" si="2102"/>
        <v>0</v>
      </c>
      <c r="CZ240" s="24">
        <f t="shared" si="2102"/>
        <v>0</v>
      </c>
      <c r="DA240" s="24">
        <f t="shared" si="2102"/>
        <v>0</v>
      </c>
      <c r="DB240" s="24">
        <f t="shared" si="2102"/>
        <v>0</v>
      </c>
      <c r="DE240" s="123"/>
      <c r="DF240" s="23">
        <v>0</v>
      </c>
    </row>
    <row r="241" spans="1:110" s="23" customFormat="1" x14ac:dyDescent="0.2">
      <c r="AB241" s="24"/>
      <c r="AC241" s="24"/>
      <c r="AD241" s="24"/>
      <c r="AE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E241" s="123"/>
    </row>
    <row r="242" spans="1:110" s="23" customFormat="1" x14ac:dyDescent="0.2">
      <c r="A242" s="23" t="s">
        <v>442</v>
      </c>
      <c r="C242" s="23">
        <f t="shared" ref="C242" si="2103">B194</f>
        <v>69.471299999999999</v>
      </c>
      <c r="D242" s="23">
        <f t="shared" ref="D242" si="2104">C194</f>
        <v>56.37</v>
      </c>
      <c r="E242" s="23">
        <f>D194</f>
        <v>256.91000000000003</v>
      </c>
      <c r="F242" s="23">
        <f t="shared" ref="F242" si="2105">E194</f>
        <v>1023.9380000000001</v>
      </c>
      <c r="G242" s="23">
        <f t="shared" ref="G242" si="2106">F194</f>
        <v>709.99</v>
      </c>
      <c r="H242" s="23">
        <f t="shared" ref="H242" si="2107">G194</f>
        <v>1678.91</v>
      </c>
      <c r="I242" s="23">
        <f t="shared" ref="I242" si="2108">H194</f>
        <v>4522.99</v>
      </c>
      <c r="J242" s="23">
        <f>I194</f>
        <v>7693.84</v>
      </c>
      <c r="K242" s="23">
        <f>J194</f>
        <v>9646.2100000000009</v>
      </c>
      <c r="L242" s="23">
        <f t="shared" ref="L242" si="2109">K194</f>
        <v>11874.62</v>
      </c>
      <c r="M242" s="23">
        <f t="shared" ref="M242" si="2110">L194</f>
        <v>14965.42</v>
      </c>
      <c r="N242" s="23">
        <f t="shared" ref="N242" si="2111">M194</f>
        <v>17947.580000000002</v>
      </c>
      <c r="O242" s="23">
        <f t="shared" ref="O242" si="2112">N194</f>
        <v>21479.279999999999</v>
      </c>
      <c r="P242" s="23">
        <f t="shared" ref="P242" si="2113">O194</f>
        <v>25535</v>
      </c>
      <c r="Q242" s="23">
        <f t="shared" ref="Q242" si="2114">P194</f>
        <v>30785.1</v>
      </c>
      <c r="R242" s="23">
        <f t="shared" ref="R242" si="2115">Q194</f>
        <v>35274</v>
      </c>
      <c r="S242" s="23">
        <f t="shared" ref="S242" si="2116">R194</f>
        <v>32163</v>
      </c>
      <c r="T242" s="23">
        <f t="shared" ref="T242" si="2117">S194</f>
        <v>22186</v>
      </c>
      <c r="U242" s="23">
        <f t="shared" ref="U242" si="2118">T194</f>
        <v>19511</v>
      </c>
      <c r="V242" s="23">
        <f t="shared" ref="V242" si="2119">U194</f>
        <v>22247</v>
      </c>
      <c r="W242" s="23">
        <f t="shared" ref="W242:AA242" si="2120">V194</f>
        <v>22333</v>
      </c>
      <c r="X242" s="23">
        <f t="shared" si="2120"/>
        <v>20815</v>
      </c>
      <c r="Y242" s="23">
        <f t="shared" si="2120"/>
        <v>11262</v>
      </c>
      <c r="Z242" s="23">
        <f t="shared" si="2120"/>
        <v>10049</v>
      </c>
      <c r="AA242" s="23">
        <f t="shared" si="2120"/>
        <v>9326</v>
      </c>
      <c r="AB242" s="24">
        <f t="shared" ref="AB242" si="2121">AA194</f>
        <v>13673</v>
      </c>
      <c r="AC242" s="24">
        <f t="shared" ref="AC242" si="2122">AB194</f>
        <v>19537.760717151548</v>
      </c>
      <c r="AD242" s="24">
        <f t="shared" ref="AD242" si="2123">AC194</f>
        <v>27226.386566477675</v>
      </c>
      <c r="AE242" s="24">
        <f t="shared" ref="AE242" si="2124">AD194</f>
        <v>51313.416267206281</v>
      </c>
      <c r="AI242" s="23">
        <f t="shared" ref="AI242" si="2125">AH194</f>
        <v>0</v>
      </c>
      <c r="AJ242" s="23">
        <f t="shared" ref="AJ242" si="2126">AI194</f>
        <v>0</v>
      </c>
      <c r="AK242" s="23">
        <f t="shared" ref="AK242" si="2127">AJ194</f>
        <v>19135.62</v>
      </c>
      <c r="AL242" s="23">
        <f t="shared" ref="AL242" si="2128">AK194</f>
        <v>20497.903441960454</v>
      </c>
      <c r="AM242" s="23">
        <f t="shared" ref="AM242" si="2129">AL194</f>
        <v>21479.279999999999</v>
      </c>
      <c r="AN242" s="23">
        <f t="shared" ref="AN242" si="2130">AM194</f>
        <v>23402.387669553416</v>
      </c>
      <c r="AO242" s="23">
        <f t="shared" ref="AO242" si="2131">AN194</f>
        <v>23631.65</v>
      </c>
      <c r="AP242" s="23">
        <f t="shared" ref="AP242" si="2132">AO194</f>
        <v>25386.554547852989</v>
      </c>
      <c r="AQ242" s="23">
        <f t="shared" ref="AQ242" si="2133">AP194</f>
        <v>25535</v>
      </c>
      <c r="AR242" s="23">
        <f t="shared" ref="AR242" si="2134">AQ194</f>
        <v>27342.379469593816</v>
      </c>
      <c r="AS242" s="23">
        <f t="shared" ref="AS242" si="2135">AR194</f>
        <v>27478.579999999998</v>
      </c>
      <c r="AT242" s="23">
        <f t="shared" ref="AT242" si="2136">AS194</f>
        <v>29841.092075331766</v>
      </c>
      <c r="AU242" s="23">
        <f t="shared" ref="AU242" si="2137">AT194</f>
        <v>30785.1</v>
      </c>
      <c r="AV242" s="23">
        <f t="shared" ref="AV242" si="2138">AU194</f>
        <v>32874.142335566503</v>
      </c>
      <c r="AW242" s="23">
        <f t="shared" ref="AW242" si="2139">AV194</f>
        <v>34568.35</v>
      </c>
      <c r="AX242" s="23">
        <f t="shared" ref="AX242" si="2140">AW194</f>
        <v>36620.880797406076</v>
      </c>
      <c r="AY242" s="23">
        <f t="shared" ref="AY242" si="2141">AX194</f>
        <v>35274.019999999997</v>
      </c>
      <c r="AZ242" s="23">
        <f t="shared" ref="AZ242" si="2142">AY194</f>
        <v>36355.110465834099</v>
      </c>
      <c r="BA242" s="23">
        <f t="shared" ref="BA242" si="2143">AZ194</f>
        <v>27093.66</v>
      </c>
      <c r="BB242" s="23">
        <f t="shared" ref="BB242" si="2144">BA194</f>
        <v>29079.545111630323</v>
      </c>
      <c r="BC242" s="23">
        <f t="shared" ref="BC242" si="2145">BB194</f>
        <v>32163</v>
      </c>
      <c r="BD242" s="23">
        <f t="shared" ref="BD242" si="2146">BC194</f>
        <v>34386.994724220625</v>
      </c>
      <c r="BE242" s="23">
        <f t="shared" ref="BE242" si="2147">BD194</f>
        <v>19984</v>
      </c>
      <c r="BF242" s="23">
        <f t="shared" ref="BF242" si="2148">BE194</f>
        <v>22198.634771143341</v>
      </c>
      <c r="BG242" s="23">
        <f t="shared" ref="BG242" si="2149">BF194</f>
        <v>22186</v>
      </c>
      <c r="BH242" s="23">
        <f t="shared" ref="BH242" si="2150">BG194</f>
        <v>24198.89756252987</v>
      </c>
      <c r="BI242" s="23">
        <f t="shared" ref="BI242" si="2151">BH194</f>
        <v>23315</v>
      </c>
      <c r="BJ242" s="23">
        <f t="shared" ref="BJ242" si="2152">BI194</f>
        <v>25418.665689763449</v>
      </c>
      <c r="BK242" s="23">
        <f t="shared" ref="BK242" si="2153">BJ194</f>
        <v>19511</v>
      </c>
      <c r="BL242" s="23">
        <f t="shared" ref="BL242" si="2154">BK194</f>
        <v>21327.951192861045</v>
      </c>
      <c r="BM242" s="23">
        <f t="shared" ref="BM242" si="2155">BL194</f>
        <v>19649</v>
      </c>
      <c r="BN242" s="23">
        <f t="shared" ref="BN242" si="2156">BM194</f>
        <v>21246.443582354244</v>
      </c>
      <c r="BO242" s="23">
        <f t="shared" ref="BO242" si="2157">BN194</f>
        <v>22247</v>
      </c>
      <c r="BP242" s="23">
        <f t="shared" ref="BP242" si="2158">BO194</f>
        <v>23672.465953085859</v>
      </c>
      <c r="BQ242" s="23">
        <f t="shared" ref="BQ242" si="2159">BP194</f>
        <v>27654</v>
      </c>
      <c r="BR242" s="23">
        <f t="shared" ref="BR242" si="2160">BQ194</f>
        <v>29818.940636042404</v>
      </c>
      <c r="BS242" s="23">
        <f t="shared" ref="BS242" si="2161">BR194</f>
        <v>22333</v>
      </c>
      <c r="BT242" s="23">
        <f t="shared" ref="BT242" si="2162">BS194</f>
        <v>24333.126241543112</v>
      </c>
      <c r="BU242" s="23">
        <f t="shared" ref="BU242" si="2163">BT194</f>
        <v>23686</v>
      </c>
      <c r="BV242" s="23">
        <f t="shared" ref="BV242" si="2164">BU194</f>
        <v>26116.655668082327</v>
      </c>
      <c r="BW242" s="23">
        <f t="shared" ref="BW242" si="2165">BV194</f>
        <v>20815</v>
      </c>
      <c r="BX242" s="23">
        <f t="shared" ref="BX242" si="2166">BW194</f>
        <v>23864.679890871888</v>
      </c>
      <c r="BY242" s="23">
        <f t="shared" ref="BY242" si="2167">BX194</f>
        <v>17832</v>
      </c>
      <c r="BZ242" s="23">
        <f t="shared" ref="BZ242" si="2168">BY194</f>
        <v>20064.059261036469</v>
      </c>
      <c r="CA242" s="23">
        <f t="shared" ref="CA242" si="2169">BZ194</f>
        <v>11262</v>
      </c>
      <c r="CB242" s="23">
        <f t="shared" ref="CB242" si="2170">CA194</f>
        <v>13248.206839816665</v>
      </c>
      <c r="CC242" s="23">
        <f t="shared" ref="CC242" si="2171">CB194</f>
        <v>11262</v>
      </c>
      <c r="CD242" s="23">
        <f t="shared" ref="CD242" si="2172">CC194</f>
        <v>13275.861434251216</v>
      </c>
      <c r="CE242" s="23">
        <f t="shared" ref="CE242" si="2173">CD194</f>
        <v>10049</v>
      </c>
      <c r="CF242" s="23">
        <f t="shared" ref="CF242" si="2174">CE194</f>
        <v>12395.924095906743</v>
      </c>
      <c r="CG242" s="23">
        <f t="shared" ref="CG242" si="2175">CF194</f>
        <v>7841</v>
      </c>
      <c r="CH242" s="23">
        <f t="shared" ref="CH242:CL242" si="2176">CG194</f>
        <v>10537.293019873969</v>
      </c>
      <c r="CI242" s="23">
        <f t="shared" si="2176"/>
        <v>9326</v>
      </c>
      <c r="CJ242" s="23">
        <f t="shared" si="2176"/>
        <v>11817.679212061188</v>
      </c>
      <c r="CK242" s="23">
        <f t="shared" ref="CK242" si="2177">CJ194</f>
        <v>7990</v>
      </c>
      <c r="CL242" s="23">
        <f t="shared" si="2176"/>
        <v>14109.590127500294</v>
      </c>
      <c r="CM242" s="24">
        <f t="shared" ref="CM242" si="2178">CL194</f>
        <v>13673</v>
      </c>
      <c r="CN242" s="24">
        <f t="shared" ref="CN242" si="2179">CM194</f>
        <v>13993.475737558103</v>
      </c>
      <c r="CO242" s="24">
        <f t="shared" ref="CO242" si="2180">CN194</f>
        <v>15630.067659721322</v>
      </c>
      <c r="CP242" s="24">
        <f t="shared" ref="CP242" si="2181">CO194</f>
        <v>17379.636891209269</v>
      </c>
      <c r="CQ242" s="24">
        <f t="shared" ref="CQ242" si="2182">CP194</f>
        <v>19537.760717151548</v>
      </c>
      <c r="CR242" s="24">
        <f t="shared" ref="CR242" si="2183">CQ194</f>
        <v>20339.992413187822</v>
      </c>
      <c r="CS242" s="24">
        <f t="shared" ref="CS242" si="2184">CR194</f>
        <v>22214.793535807868</v>
      </c>
      <c r="CT242" s="24">
        <f t="shared" ref="CT242" si="2185">CS194</f>
        <v>24658.294076054863</v>
      </c>
      <c r="CU242" s="24">
        <f t="shared" ref="CU242" si="2186">CT194</f>
        <v>27226.386566477675</v>
      </c>
      <c r="CV242" s="24">
        <f t="shared" ref="CV242" si="2187">CU194</f>
        <v>32274.628292222445</v>
      </c>
      <c r="CW242" s="24">
        <f t="shared" ref="CW242" si="2188">CV194</f>
        <v>38289.959993891847</v>
      </c>
      <c r="CX242" s="24">
        <f t="shared" ref="CX242" si="2189">CW194</f>
        <v>44786.919432391398</v>
      </c>
      <c r="CY242" s="24">
        <f t="shared" ref="CY242" si="2190">CX194</f>
        <v>51313.416267206281</v>
      </c>
      <c r="CZ242" s="24">
        <f t="shared" ref="CZ242" si="2191">CY194</f>
        <v>56443.11976872282</v>
      </c>
      <c r="DA242" s="24">
        <f t="shared" ref="DA242" si="2192">CZ194</f>
        <v>62501.231316462305</v>
      </c>
      <c r="DB242" s="24">
        <f t="shared" ref="DB242" si="2193">DA194</f>
        <v>69023.617300661077</v>
      </c>
      <c r="DE242" s="123"/>
      <c r="DF242" s="23">
        <v>14109.590127500294</v>
      </c>
    </row>
    <row r="243" spans="1:110" s="23" customFormat="1" x14ac:dyDescent="0.2">
      <c r="A243" s="23" t="s">
        <v>443</v>
      </c>
      <c r="C243" s="23">
        <f t="shared" ref="C243:W243" si="2194">C242+C238+C234+C232</f>
        <v>56.370000000000061</v>
      </c>
      <c r="D243" s="23">
        <f t="shared" si="2194"/>
        <v>256.90999999999997</v>
      </c>
      <c r="E243" s="23">
        <f t="shared" si="2194"/>
        <v>1023.938</v>
      </c>
      <c r="F243" s="23">
        <f t="shared" si="2194"/>
        <v>709.98999999999967</v>
      </c>
      <c r="G243" s="23">
        <f t="shared" si="2194"/>
        <v>1678.9100000000003</v>
      </c>
      <c r="H243" s="23">
        <f t="shared" si="2194"/>
        <v>4522.99</v>
      </c>
      <c r="I243" s="23">
        <f t="shared" si="2194"/>
        <v>7693.840000000002</v>
      </c>
      <c r="J243" s="23">
        <f>J242+J238+J234+J232</f>
        <v>9646.2099999999991</v>
      </c>
      <c r="K243" s="23">
        <f>K242+K238+K234+K232</f>
        <v>11874.619999999999</v>
      </c>
      <c r="L243" s="23">
        <f>L242+L238+L234+L232</f>
        <v>14965.420000000009</v>
      </c>
      <c r="M243" s="23">
        <f>M242+M238+M234+M232</f>
        <v>17947.580000000002</v>
      </c>
      <c r="N243" s="23">
        <f t="shared" si="2194"/>
        <v>21479.279999999999</v>
      </c>
      <c r="O243" s="23">
        <f t="shared" si="2194"/>
        <v>25535</v>
      </c>
      <c r="P243" s="23">
        <f t="shared" si="2194"/>
        <v>30785.1</v>
      </c>
      <c r="Q243" s="23">
        <f t="shared" si="2194"/>
        <v>35274</v>
      </c>
      <c r="R243" s="23">
        <f t="shared" si="2194"/>
        <v>32163</v>
      </c>
      <c r="S243" s="23">
        <f t="shared" si="2194"/>
        <v>22186</v>
      </c>
      <c r="T243" s="23">
        <f t="shared" si="2194"/>
        <v>19511</v>
      </c>
      <c r="U243" s="23">
        <f t="shared" si="2194"/>
        <v>22247</v>
      </c>
      <c r="V243" s="23">
        <f t="shared" si="2194"/>
        <v>22333</v>
      </c>
      <c r="W243" s="23">
        <f t="shared" si="2194"/>
        <v>20815</v>
      </c>
      <c r="X243" s="23">
        <f t="shared" ref="X243:Y243" si="2195">X242+X238+X234+X232</f>
        <v>11262</v>
      </c>
      <c r="Y243" s="23">
        <f t="shared" si="2195"/>
        <v>10049</v>
      </c>
      <c r="Z243" s="23">
        <f t="shared" ref="Z243:AA243" si="2196">Z242+Z238+Z234+Z232</f>
        <v>9326</v>
      </c>
      <c r="AA243" s="23">
        <f t="shared" si="2196"/>
        <v>13673</v>
      </c>
      <c r="AB243" s="24">
        <f t="shared" ref="AA243:AD243" si="2197">AB242+AB238+AB234+AB232</f>
        <v>19537.760717151548</v>
      </c>
      <c r="AC243" s="24">
        <f t="shared" si="2197"/>
        <v>27226.386566477671</v>
      </c>
      <c r="AD243" s="24">
        <f t="shared" si="2197"/>
        <v>51313.416267206288</v>
      </c>
      <c r="AE243" s="24">
        <f t="shared" ref="AE243" si="2198">AE242+AE238+AE234+AE232</f>
        <v>75574.677489848007</v>
      </c>
      <c r="AI243" s="23">
        <f t="shared" ref="AI243" si="2199">AI242+AI238+AI234+AI232</f>
        <v>0</v>
      </c>
      <c r="AJ243" s="23">
        <f t="shared" ref="AJ243:AL243" si="2200">AJ242+AJ238+AJ234+AJ232</f>
        <v>19135.620000000003</v>
      </c>
      <c r="AK243" s="23">
        <f t="shared" si="2200"/>
        <v>20497.903441960454</v>
      </c>
      <c r="AL243" s="23">
        <f t="shared" si="2200"/>
        <v>21479.280000000002</v>
      </c>
      <c r="AM243" s="23">
        <f t="shared" ref="AM243" si="2201">AM242+AM238+AM234+AM232</f>
        <v>23402.387669553416</v>
      </c>
      <c r="AN243" s="23">
        <f t="shared" ref="AN243:CD243" si="2202">AN242+AN238+AN234+AN232</f>
        <v>23631.649999999991</v>
      </c>
      <c r="AO243" s="23">
        <f t="shared" si="2202"/>
        <v>25386.554547852989</v>
      </c>
      <c r="AP243" s="23">
        <f t="shared" si="2202"/>
        <v>25535.000000000011</v>
      </c>
      <c r="AQ243" s="23">
        <f t="shared" si="2202"/>
        <v>27342.379469593816</v>
      </c>
      <c r="AR243" s="23">
        <f t="shared" si="2202"/>
        <v>27478.580000000005</v>
      </c>
      <c r="AS243" s="23">
        <f t="shared" si="2202"/>
        <v>29841.092075331766</v>
      </c>
      <c r="AT243" s="23">
        <f t="shared" si="2202"/>
        <v>30785.1</v>
      </c>
      <c r="AU243" s="23">
        <f t="shared" si="2202"/>
        <v>32874.142335566503</v>
      </c>
      <c r="AV243" s="23">
        <f t="shared" si="2202"/>
        <v>34568.350000000006</v>
      </c>
      <c r="AW243" s="23">
        <f t="shared" si="2202"/>
        <v>36620.880797406076</v>
      </c>
      <c r="AX243" s="23">
        <f t="shared" si="2202"/>
        <v>35274.01999999999</v>
      </c>
      <c r="AY243" s="23">
        <f t="shared" si="2202"/>
        <v>36355.110465834099</v>
      </c>
      <c r="AZ243" s="23">
        <f t="shared" si="2202"/>
        <v>27093.659999999996</v>
      </c>
      <c r="BA243" s="23">
        <f t="shared" si="2202"/>
        <v>29079.545111630323</v>
      </c>
      <c r="BB243" s="23">
        <f t="shared" si="2202"/>
        <v>32163.000000000004</v>
      </c>
      <c r="BC243" s="23">
        <f t="shared" si="2202"/>
        <v>34386.994724220625</v>
      </c>
      <c r="BD243" s="23">
        <f t="shared" si="2202"/>
        <v>19984.000000000004</v>
      </c>
      <c r="BE243" s="23">
        <f t="shared" si="2202"/>
        <v>22198.634771143341</v>
      </c>
      <c r="BF243" s="23">
        <f t="shared" si="2202"/>
        <v>22186</v>
      </c>
      <c r="BG243" s="23">
        <f t="shared" si="2202"/>
        <v>24198.89756252987</v>
      </c>
      <c r="BH243" s="23">
        <f t="shared" si="2202"/>
        <v>23315</v>
      </c>
      <c r="BI243" s="23">
        <f t="shared" si="2202"/>
        <v>25418.665689763449</v>
      </c>
      <c r="BJ243" s="23">
        <f t="shared" si="2202"/>
        <v>19511</v>
      </c>
      <c r="BK243" s="23">
        <f t="shared" si="2202"/>
        <v>21327.951192861045</v>
      </c>
      <c r="BL243" s="23">
        <f t="shared" si="2202"/>
        <v>19649</v>
      </c>
      <c r="BM243" s="23">
        <f t="shared" si="2202"/>
        <v>21246.443582354244</v>
      </c>
      <c r="BN243" s="23">
        <f t="shared" si="2202"/>
        <v>22247</v>
      </c>
      <c r="BO243" s="23">
        <f t="shared" si="2202"/>
        <v>23672.465953085859</v>
      </c>
      <c r="BP243" s="23">
        <f t="shared" si="2202"/>
        <v>27654</v>
      </c>
      <c r="BQ243" s="23">
        <f t="shared" si="2202"/>
        <v>29818.940636042404</v>
      </c>
      <c r="BR243" s="23">
        <f t="shared" si="2202"/>
        <v>22333</v>
      </c>
      <c r="BS243" s="23">
        <f t="shared" si="2202"/>
        <v>24333.126241543112</v>
      </c>
      <c r="BT243" s="23">
        <f t="shared" si="2202"/>
        <v>23686</v>
      </c>
      <c r="BU243" s="23">
        <f t="shared" si="2202"/>
        <v>26116.655668082327</v>
      </c>
      <c r="BV243" s="23">
        <f t="shared" si="2202"/>
        <v>20815</v>
      </c>
      <c r="BW243" s="23">
        <f t="shared" si="2202"/>
        <v>23864.679890871888</v>
      </c>
      <c r="BX243" s="23">
        <f t="shared" si="2202"/>
        <v>17832</v>
      </c>
      <c r="BY243" s="23">
        <f t="shared" si="2202"/>
        <v>20064.059261036469</v>
      </c>
      <c r="BZ243" s="23">
        <f t="shared" si="2202"/>
        <v>11262.000000000002</v>
      </c>
      <c r="CA243" s="23">
        <f t="shared" si="2202"/>
        <v>13248.206839816665</v>
      </c>
      <c r="CB243" s="23">
        <f t="shared" si="2202"/>
        <v>11262</v>
      </c>
      <c r="CC243" s="23">
        <f t="shared" si="2202"/>
        <v>13275.861434251216</v>
      </c>
      <c r="CD243" s="23">
        <f t="shared" si="2202"/>
        <v>10049</v>
      </c>
      <c r="CE243" s="23">
        <f t="shared" ref="CE243:CF243" si="2203">CE242+CE238+CE234+CE232</f>
        <v>12395.924095906743</v>
      </c>
      <c r="CF243" s="23">
        <f t="shared" si="2203"/>
        <v>7841</v>
      </c>
      <c r="CG243" s="23">
        <f t="shared" ref="CG243:CH243" si="2204">CG242+CG238+CG234+CG232</f>
        <v>10537.293019873969</v>
      </c>
      <c r="CH243" s="23">
        <f t="shared" si="2204"/>
        <v>9326</v>
      </c>
      <c r="CI243" s="23">
        <f t="shared" ref="CI243:CJ243" si="2205">CI242+CI238+CI234+CI232</f>
        <v>11817.679212061188</v>
      </c>
      <c r="CJ243" s="23">
        <f t="shared" si="2205"/>
        <v>7990.0000000000009</v>
      </c>
      <c r="CK243" s="23">
        <f t="shared" ref="CK243:DB243" si="2206">CK242+CK238+CK234+CK232</f>
        <v>14109.590127500294</v>
      </c>
      <c r="CL243" s="23">
        <f t="shared" si="2206"/>
        <v>13673</v>
      </c>
      <c r="CM243" s="24">
        <f t="shared" si="2206"/>
        <v>13993.475737558103</v>
      </c>
      <c r="CN243" s="24">
        <f t="shared" si="2206"/>
        <v>15630.067659721322</v>
      </c>
      <c r="CO243" s="24">
        <f t="shared" si="2206"/>
        <v>17379.636891209269</v>
      </c>
      <c r="CP243" s="24">
        <f t="shared" si="2206"/>
        <v>19537.760717151548</v>
      </c>
      <c r="CQ243" s="24">
        <f t="shared" si="2206"/>
        <v>20339.992413187822</v>
      </c>
      <c r="CR243" s="24">
        <f t="shared" si="2206"/>
        <v>22214.793535807868</v>
      </c>
      <c r="CS243" s="24">
        <f t="shared" si="2206"/>
        <v>24658.294076054863</v>
      </c>
      <c r="CT243" s="24">
        <f t="shared" si="2206"/>
        <v>27226.386566477675</v>
      </c>
      <c r="CU243" s="24">
        <f t="shared" si="2206"/>
        <v>32274.628292222445</v>
      </c>
      <c r="CV243" s="24">
        <f t="shared" si="2206"/>
        <v>38289.959993891847</v>
      </c>
      <c r="CW243" s="24">
        <f t="shared" si="2206"/>
        <v>44786.919432391398</v>
      </c>
      <c r="CX243" s="24">
        <f t="shared" si="2206"/>
        <v>51313.416267206281</v>
      </c>
      <c r="CY243" s="24">
        <f t="shared" si="2206"/>
        <v>56443.11976872282</v>
      </c>
      <c r="CZ243" s="24">
        <f t="shared" si="2206"/>
        <v>62501.231316462305</v>
      </c>
      <c r="DA243" s="24">
        <f t="shared" si="2206"/>
        <v>69023.617300661077</v>
      </c>
      <c r="DB243" s="24">
        <f t="shared" si="2206"/>
        <v>75574.677489848007</v>
      </c>
      <c r="DE243" s="123"/>
      <c r="DF243" s="23">
        <v>12353.939518441537</v>
      </c>
    </row>
    <row r="244" spans="1:110" s="28" customFormat="1" x14ac:dyDescent="0.2">
      <c r="A244" s="28" t="s">
        <v>444</v>
      </c>
      <c r="C244" s="28">
        <f t="shared" ref="C244:W244" si="2207">C243-C194</f>
        <v>6.3948846218409017E-14</v>
      </c>
      <c r="D244" s="28">
        <f t="shared" si="2207"/>
        <v>0</v>
      </c>
      <c r="E244" s="28">
        <f t="shared" si="2207"/>
        <v>0</v>
      </c>
      <c r="F244" s="28">
        <f t="shared" si="2207"/>
        <v>0</v>
      </c>
      <c r="G244" s="28">
        <f t="shared" si="2207"/>
        <v>0</v>
      </c>
      <c r="H244" s="28">
        <f t="shared" si="2207"/>
        <v>0</v>
      </c>
      <c r="I244" s="28">
        <f t="shared" si="2207"/>
        <v>0</v>
      </c>
      <c r="J244" s="28">
        <f>J243-J194</f>
        <v>0</v>
      </c>
      <c r="K244" s="28">
        <f t="shared" si="2207"/>
        <v>0</v>
      </c>
      <c r="L244" s="28">
        <f t="shared" si="2207"/>
        <v>0</v>
      </c>
      <c r="M244" s="28">
        <f t="shared" si="2207"/>
        <v>0</v>
      </c>
      <c r="N244" s="28">
        <f t="shared" si="2207"/>
        <v>0</v>
      </c>
      <c r="O244" s="28">
        <f t="shared" si="2207"/>
        <v>0</v>
      </c>
      <c r="P244" s="28">
        <f t="shared" si="2207"/>
        <v>0</v>
      </c>
      <c r="Q244" s="28">
        <f t="shared" si="2207"/>
        <v>0</v>
      </c>
      <c r="R244" s="28">
        <f t="shared" si="2207"/>
        <v>0</v>
      </c>
      <c r="S244" s="28">
        <f t="shared" si="2207"/>
        <v>0</v>
      </c>
      <c r="T244" s="28">
        <f t="shared" si="2207"/>
        <v>0</v>
      </c>
      <c r="U244" s="28">
        <f t="shared" si="2207"/>
        <v>0</v>
      </c>
      <c r="V244" s="28">
        <f t="shared" si="2207"/>
        <v>0</v>
      </c>
      <c r="W244" s="28">
        <f t="shared" si="2207"/>
        <v>0</v>
      </c>
      <c r="X244" s="28">
        <f t="shared" ref="X244:Y244" si="2208">X243-X194</f>
        <v>0</v>
      </c>
      <c r="Y244" s="28">
        <f t="shared" si="2208"/>
        <v>0</v>
      </c>
      <c r="Z244" s="28">
        <f t="shared" ref="Z244:AA244" si="2209">Z243-Z194</f>
        <v>0</v>
      </c>
      <c r="AA244" s="28">
        <f t="shared" si="2209"/>
        <v>0</v>
      </c>
      <c r="AB244" s="30">
        <f t="shared" ref="AA244:AD244" si="2210">AB243-AB194</f>
        <v>0</v>
      </c>
      <c r="AC244" s="30">
        <f t="shared" si="2210"/>
        <v>0</v>
      </c>
      <c r="AD244" s="30">
        <f t="shared" si="2210"/>
        <v>0</v>
      </c>
      <c r="AE244" s="30">
        <f t="shared" ref="AE244" si="2211">AE243-AE194</f>
        <v>0</v>
      </c>
      <c r="AI244" s="28">
        <f t="shared" ref="AI244" si="2212">AI243-AI194</f>
        <v>0</v>
      </c>
      <c r="AJ244" s="28">
        <f t="shared" ref="AJ244:AL244" si="2213">AJ243-AJ194</f>
        <v>0</v>
      </c>
      <c r="AK244" s="28">
        <f t="shared" si="2213"/>
        <v>0</v>
      </c>
      <c r="AL244" s="28">
        <f t="shared" si="2213"/>
        <v>0</v>
      </c>
      <c r="AM244" s="28">
        <f t="shared" ref="AM244" si="2214">AM243-AM194</f>
        <v>0</v>
      </c>
      <c r="AN244" s="28">
        <f t="shared" ref="AN244:CD244" si="2215">AN243-AN194</f>
        <v>0</v>
      </c>
      <c r="AO244" s="28">
        <f t="shared" si="2215"/>
        <v>0</v>
      </c>
      <c r="AP244" s="28">
        <f t="shared" si="2215"/>
        <v>0</v>
      </c>
      <c r="AQ244" s="28">
        <f t="shared" si="2215"/>
        <v>0</v>
      </c>
      <c r="AR244" s="28">
        <f t="shared" si="2215"/>
        <v>0</v>
      </c>
      <c r="AS244" s="28">
        <f t="shared" si="2215"/>
        <v>0</v>
      </c>
      <c r="AT244" s="28">
        <f t="shared" si="2215"/>
        <v>0</v>
      </c>
      <c r="AU244" s="28">
        <f t="shared" si="2215"/>
        <v>0</v>
      </c>
      <c r="AV244" s="28">
        <f t="shared" si="2215"/>
        <v>0</v>
      </c>
      <c r="AW244" s="28">
        <f t="shared" si="2215"/>
        <v>0</v>
      </c>
      <c r="AX244" s="28">
        <f t="shared" si="2215"/>
        <v>0</v>
      </c>
      <c r="AY244" s="28">
        <f t="shared" si="2215"/>
        <v>0</v>
      </c>
      <c r="AZ244" s="28">
        <f t="shared" si="2215"/>
        <v>0</v>
      </c>
      <c r="BA244" s="28">
        <f t="shared" si="2215"/>
        <v>0</v>
      </c>
      <c r="BB244" s="28">
        <f t="shared" si="2215"/>
        <v>0</v>
      </c>
      <c r="BC244" s="28">
        <f t="shared" si="2215"/>
        <v>0</v>
      </c>
      <c r="BD244" s="28">
        <f t="shared" si="2215"/>
        <v>0</v>
      </c>
      <c r="BE244" s="28">
        <f t="shared" si="2215"/>
        <v>0</v>
      </c>
      <c r="BF244" s="28">
        <f t="shared" si="2215"/>
        <v>0</v>
      </c>
      <c r="BG244" s="28">
        <f t="shared" si="2215"/>
        <v>0</v>
      </c>
      <c r="BH244" s="28">
        <f t="shared" si="2215"/>
        <v>0</v>
      </c>
      <c r="BI244" s="28">
        <f t="shared" si="2215"/>
        <v>0</v>
      </c>
      <c r="BJ244" s="28">
        <f t="shared" si="2215"/>
        <v>0</v>
      </c>
      <c r="BK244" s="28">
        <f t="shared" si="2215"/>
        <v>0</v>
      </c>
      <c r="BL244" s="28">
        <f t="shared" si="2215"/>
        <v>0</v>
      </c>
      <c r="BM244" s="28">
        <f t="shared" si="2215"/>
        <v>0</v>
      </c>
      <c r="BN244" s="28">
        <f t="shared" si="2215"/>
        <v>0</v>
      </c>
      <c r="BO244" s="28">
        <f t="shared" si="2215"/>
        <v>0</v>
      </c>
      <c r="BP244" s="28">
        <f t="shared" si="2215"/>
        <v>0</v>
      </c>
      <c r="BQ244" s="28">
        <f t="shared" si="2215"/>
        <v>0</v>
      </c>
      <c r="BR244" s="28">
        <f t="shared" si="2215"/>
        <v>0</v>
      </c>
      <c r="BS244" s="28">
        <f t="shared" si="2215"/>
        <v>0</v>
      </c>
      <c r="BT244" s="28">
        <f t="shared" si="2215"/>
        <v>0</v>
      </c>
      <c r="BU244" s="28">
        <f t="shared" si="2215"/>
        <v>0</v>
      </c>
      <c r="BV244" s="28">
        <f t="shared" si="2215"/>
        <v>0</v>
      </c>
      <c r="BW244" s="28">
        <f t="shared" si="2215"/>
        <v>0</v>
      </c>
      <c r="BX244" s="28">
        <f t="shared" si="2215"/>
        <v>0</v>
      </c>
      <c r="BY244" s="28">
        <f t="shared" si="2215"/>
        <v>0</v>
      </c>
      <c r="BZ244" s="28">
        <f t="shared" si="2215"/>
        <v>0</v>
      </c>
      <c r="CA244" s="28">
        <f t="shared" si="2215"/>
        <v>0</v>
      </c>
      <c r="CB244" s="28">
        <f t="shared" si="2215"/>
        <v>0</v>
      </c>
      <c r="CC244" s="28">
        <f t="shared" si="2215"/>
        <v>0</v>
      </c>
      <c r="CD244" s="28">
        <f t="shared" si="2215"/>
        <v>0</v>
      </c>
      <c r="CE244" s="28">
        <f t="shared" ref="CE244:CF244" si="2216">CE243-CE194</f>
        <v>0</v>
      </c>
      <c r="CF244" s="28">
        <f t="shared" si="2216"/>
        <v>0</v>
      </c>
      <c r="CG244" s="28">
        <f t="shared" ref="CG244:CH244" si="2217">CG243-CG194</f>
        <v>0</v>
      </c>
      <c r="CH244" s="28">
        <f t="shared" si="2217"/>
        <v>0</v>
      </c>
      <c r="CI244" s="28">
        <f t="shared" ref="CI244:CJ244" si="2218">CI243-CI194</f>
        <v>0</v>
      </c>
      <c r="CJ244" s="28">
        <f t="shared" si="2218"/>
        <v>0</v>
      </c>
      <c r="CK244" s="28">
        <f t="shared" ref="CK244:DB244" si="2219">CK243-CK194</f>
        <v>0</v>
      </c>
      <c r="CL244" s="28">
        <f t="shared" si="2219"/>
        <v>0</v>
      </c>
      <c r="CM244" s="30">
        <f t="shared" si="2219"/>
        <v>0</v>
      </c>
      <c r="CN244" s="30">
        <f t="shared" si="2219"/>
        <v>0</v>
      </c>
      <c r="CO244" s="30">
        <f t="shared" si="2219"/>
        <v>0</v>
      </c>
      <c r="CP244" s="30">
        <f t="shared" si="2219"/>
        <v>0</v>
      </c>
      <c r="CQ244" s="30">
        <f t="shared" si="2219"/>
        <v>0</v>
      </c>
      <c r="CR244" s="30">
        <f t="shared" si="2219"/>
        <v>0</v>
      </c>
      <c r="CS244" s="30">
        <f t="shared" si="2219"/>
        <v>0</v>
      </c>
      <c r="CT244" s="30">
        <f t="shared" si="2219"/>
        <v>0</v>
      </c>
      <c r="CU244" s="30">
        <f t="shared" si="2219"/>
        <v>0</v>
      </c>
      <c r="CV244" s="30">
        <f t="shared" si="2219"/>
        <v>0</v>
      </c>
      <c r="CW244" s="30">
        <f t="shared" si="2219"/>
        <v>0</v>
      </c>
      <c r="CX244" s="30">
        <f t="shared" si="2219"/>
        <v>0</v>
      </c>
      <c r="CY244" s="30">
        <f t="shared" si="2219"/>
        <v>0</v>
      </c>
      <c r="CZ244" s="30">
        <f t="shared" si="2219"/>
        <v>0</v>
      </c>
      <c r="DA244" s="30">
        <f t="shared" si="2219"/>
        <v>0</v>
      </c>
      <c r="DB244" s="30">
        <f t="shared" si="2219"/>
        <v>0</v>
      </c>
      <c r="DE244" s="139"/>
      <c r="DF244" s="28">
        <v>0</v>
      </c>
    </row>
    <row r="245" spans="1:110" s="23" customFormat="1" x14ac:dyDescent="0.2">
      <c r="AB245" s="24"/>
      <c r="AC245" s="24"/>
      <c r="AD245" s="24"/>
      <c r="AE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E245" s="123"/>
    </row>
    <row r="246" spans="1:110" s="22" customFormat="1" x14ac:dyDescent="0.2">
      <c r="A246" s="22" t="s">
        <v>96</v>
      </c>
      <c r="C246" s="22">
        <f t="shared" ref="C246:W246" si="2220">C232+C234</f>
        <v>149.74439999999993</v>
      </c>
      <c r="D246" s="22">
        <f t="shared" si="2220"/>
        <v>243.23500000000001</v>
      </c>
      <c r="E246" s="22">
        <f t="shared" si="2220"/>
        <v>227.44099999999992</v>
      </c>
      <c r="F246" s="22">
        <f t="shared" si="2220"/>
        <v>-193.01800000000014</v>
      </c>
      <c r="G246" s="22">
        <f t="shared" si="2220"/>
        <v>1102.67</v>
      </c>
      <c r="H246" s="22">
        <f t="shared" si="2220"/>
        <v>3646.240000000003</v>
      </c>
      <c r="I246" s="22">
        <f t="shared" si="2220"/>
        <v>3345.7900000000009</v>
      </c>
      <c r="J246" s="22">
        <f>J232+J234</f>
        <v>2162.2899999999995</v>
      </c>
      <c r="K246" s="22">
        <f t="shared" si="2220"/>
        <v>2451.6500000000005</v>
      </c>
      <c r="L246" s="22">
        <f t="shared" si="2220"/>
        <v>3642.1500000000005</v>
      </c>
      <c r="M246" s="22">
        <f t="shared" si="2220"/>
        <v>4160.1299999999983</v>
      </c>
      <c r="N246" s="22">
        <f t="shared" si="2220"/>
        <v>5037.0899999999992</v>
      </c>
      <c r="O246" s="22">
        <f t="shared" si="2220"/>
        <v>5818.4699999999984</v>
      </c>
      <c r="P246" s="22">
        <f t="shared" si="2220"/>
        <v>7492.6399999999976</v>
      </c>
      <c r="Q246" s="22">
        <f t="shared" si="2220"/>
        <v>18631.969999999998</v>
      </c>
      <c r="R246" s="22">
        <f t="shared" si="2220"/>
        <v>3877</v>
      </c>
      <c r="S246" s="22">
        <f t="shared" si="2220"/>
        <v>2080</v>
      </c>
      <c r="T246" s="22">
        <f t="shared" si="2220"/>
        <v>5070</v>
      </c>
      <c r="U246" s="22">
        <f t="shared" si="2220"/>
        <v>4763</v>
      </c>
      <c r="V246" s="22">
        <f t="shared" si="2220"/>
        <v>9497</v>
      </c>
      <c r="W246" s="22">
        <f t="shared" si="2220"/>
        <v>10217</v>
      </c>
      <c r="X246" s="22">
        <f t="shared" ref="X246:Y246" si="2221">X232+X234</f>
        <v>13262</v>
      </c>
      <c r="Y246" s="22">
        <f t="shared" si="2221"/>
        <v>7576</v>
      </c>
      <c r="Z246" s="22">
        <f t="shared" ref="Z246:AA246" si="2222">Z232+Z234</f>
        <v>9134</v>
      </c>
      <c r="AA246" s="22">
        <f t="shared" si="2222"/>
        <v>11739</v>
      </c>
      <c r="AB246" s="21">
        <f t="shared" ref="AA246:AD246" si="2223">AB232+AB234</f>
        <v>5969.7607171515556</v>
      </c>
      <c r="AC246" s="21">
        <f t="shared" si="2223"/>
        <v>7688.625849326123</v>
      </c>
      <c r="AD246" s="21">
        <f t="shared" si="2223"/>
        <v>24087.029700728606</v>
      </c>
      <c r="AE246" s="21">
        <f t="shared" ref="AE246" si="2224">AE232+AE234</f>
        <v>24261.261222641722</v>
      </c>
      <c r="AI246" s="22">
        <f t="shared" ref="AI246" si="2225">AI232+AI234</f>
        <v>1581.3400000000001</v>
      </c>
      <c r="AJ246" s="22">
        <f t="shared" ref="AJ246:AL246" si="2226">AJ232+AJ234</f>
        <v>-8527.630000000001</v>
      </c>
      <c r="AK246" s="22">
        <f t="shared" si="2226"/>
        <v>1362.2834419604535</v>
      </c>
      <c r="AL246" s="22">
        <f t="shared" si="2226"/>
        <v>1687.0265580395489</v>
      </c>
      <c r="AM246" s="22">
        <f t="shared" ref="AM246" si="2227">AM232+AM234</f>
        <v>1923.1076695534257</v>
      </c>
      <c r="AN246" s="22">
        <f t="shared" ref="AN246:CD246" si="2228">AN232+AN234</f>
        <v>1039.2223304465733</v>
      </c>
      <c r="AO246" s="22">
        <f t="shared" si="2228"/>
        <v>1754.9045478529861</v>
      </c>
      <c r="AP246" s="22">
        <f t="shared" si="2228"/>
        <v>1101.2354521470127</v>
      </c>
      <c r="AQ246" s="22">
        <f t="shared" si="2228"/>
        <v>1807.3794695938152</v>
      </c>
      <c r="AR246" s="22">
        <f t="shared" si="2228"/>
        <v>1076.6205304061853</v>
      </c>
      <c r="AS246" s="22">
        <f t="shared" si="2228"/>
        <v>2362.5120753317647</v>
      </c>
      <c r="AT246" s="22">
        <f t="shared" si="2228"/>
        <v>2246.127924668237</v>
      </c>
      <c r="AU246" s="22">
        <f t="shared" si="2228"/>
        <v>2089.0423355664989</v>
      </c>
      <c r="AV246" s="22">
        <f t="shared" si="2228"/>
        <v>3606.4976644335002</v>
      </c>
      <c r="AW246" s="22">
        <f t="shared" si="2228"/>
        <v>2052.5307974060788</v>
      </c>
      <c r="AX246" s="22">
        <f t="shared" si="2228"/>
        <v>10884.089202593921</v>
      </c>
      <c r="AY246" s="22">
        <f t="shared" si="2228"/>
        <v>1081.0904658341033</v>
      </c>
      <c r="AZ246" s="22">
        <f t="shared" si="2228"/>
        <v>-11263.130465834103</v>
      </c>
      <c r="BA246" s="22">
        <f t="shared" si="2228"/>
        <v>1985.8851116303222</v>
      </c>
      <c r="BB246" s="22">
        <f t="shared" si="2228"/>
        <v>12073.32488836968</v>
      </c>
      <c r="BC246" s="22">
        <f t="shared" si="2228"/>
        <v>2223.9947242206226</v>
      </c>
      <c r="BD246" s="22">
        <f t="shared" si="2228"/>
        <v>-6988.9947242206217</v>
      </c>
      <c r="BE246" s="22">
        <f t="shared" si="2228"/>
        <v>2214.6347711433418</v>
      </c>
      <c r="BF246" s="22">
        <f t="shared" si="2228"/>
        <v>4630.3652288566582</v>
      </c>
      <c r="BG246" s="22">
        <f t="shared" si="2228"/>
        <v>2012.8975625298704</v>
      </c>
      <c r="BH246" s="22">
        <f t="shared" si="2228"/>
        <v>-794.89756252987036</v>
      </c>
      <c r="BI246" s="22">
        <f t="shared" si="2228"/>
        <v>2103.6656897634502</v>
      </c>
      <c r="BJ246" s="22">
        <f t="shared" si="2228"/>
        <v>1748.3343102365498</v>
      </c>
      <c r="BK246" s="22">
        <f t="shared" si="2228"/>
        <v>1816.951192861045</v>
      </c>
      <c r="BL246" s="22">
        <f t="shared" si="2228"/>
        <v>908.048807138955</v>
      </c>
      <c r="BM246" s="22">
        <f t="shared" si="2228"/>
        <v>1597.4435823542453</v>
      </c>
      <c r="BN246" s="22">
        <f t="shared" si="2228"/>
        <v>440.55641764575466</v>
      </c>
      <c r="BO246" s="22">
        <f t="shared" si="2228"/>
        <v>1425.465953085858</v>
      </c>
      <c r="BP246" s="22">
        <f t="shared" si="2228"/>
        <v>2466.534046914142</v>
      </c>
      <c r="BQ246" s="22">
        <f t="shared" si="2228"/>
        <v>2164.9406360424036</v>
      </c>
      <c r="BR246" s="22">
        <f t="shared" si="2228"/>
        <v>3440.0593639575964</v>
      </c>
      <c r="BS246" s="22">
        <f t="shared" si="2228"/>
        <v>2000.126241543112</v>
      </c>
      <c r="BT246" s="22">
        <f t="shared" si="2228"/>
        <v>1953.873758456888</v>
      </c>
      <c r="BU246" s="22">
        <f t="shared" si="2228"/>
        <v>2430.6556680823269</v>
      </c>
      <c r="BV246" s="22">
        <f t="shared" si="2228"/>
        <v>4112.3443319176731</v>
      </c>
      <c r="BW246" s="22">
        <f t="shared" si="2228"/>
        <v>3049.6798908718893</v>
      </c>
      <c r="BX246" s="22">
        <f t="shared" si="2228"/>
        <v>3456.3201091281107</v>
      </c>
      <c r="BY246" s="22">
        <f t="shared" si="2228"/>
        <v>2232.0592610364674</v>
      </c>
      <c r="BZ246" s="22">
        <f t="shared" si="2228"/>
        <v>4550.9407389635326</v>
      </c>
      <c r="CA246" s="22">
        <f t="shared" si="2228"/>
        <v>1986.2068398166648</v>
      </c>
      <c r="CB246" s="22">
        <f t="shared" si="2228"/>
        <v>1500.7931601833352</v>
      </c>
      <c r="CC246" s="22">
        <f t="shared" si="2228"/>
        <v>2013.861434251216</v>
      </c>
      <c r="CD246" s="22">
        <f t="shared" si="2228"/>
        <v>2167.138565748784</v>
      </c>
      <c r="CE246" s="22">
        <f t="shared" ref="CE246:CF246" si="2229">CE232+CE234</f>
        <v>2346.9240959067433</v>
      </c>
      <c r="CF246" s="22">
        <f t="shared" si="2229"/>
        <v>2479.0759040932571</v>
      </c>
      <c r="CG246" s="22">
        <f t="shared" ref="CG246:CH246" si="2230">CG232+CG234</f>
        <v>2696.2930198739691</v>
      </c>
      <c r="CH246" s="22">
        <f t="shared" si="2230"/>
        <v>1212.7069801260309</v>
      </c>
      <c r="CI246" s="22">
        <f t="shared" ref="CI246:CJ246" si="2231">CI232+CI234</f>
        <v>2491.6792120611876</v>
      </c>
      <c r="CJ246" s="22">
        <f t="shared" si="2231"/>
        <v>1203.3207879388128</v>
      </c>
      <c r="CK246" s="22">
        <f t="shared" ref="CK246:DB246" si="2232">CK232+CK234</f>
        <v>6119.5901275002943</v>
      </c>
      <c r="CL246" s="22">
        <f t="shared" si="2232"/>
        <v>2029.4098724997057</v>
      </c>
      <c r="CM246" s="21">
        <f t="shared" si="2232"/>
        <v>320.47573755810299</v>
      </c>
      <c r="CN246" s="21">
        <f t="shared" si="2232"/>
        <v>1636.5919221632194</v>
      </c>
      <c r="CO246" s="21">
        <f t="shared" si="2232"/>
        <v>1749.5692314879516</v>
      </c>
      <c r="CP246" s="21">
        <f t="shared" si="2232"/>
        <v>2158.1238259422771</v>
      </c>
      <c r="CQ246" s="21">
        <f t="shared" si="2232"/>
        <v>802.2316960362723</v>
      </c>
      <c r="CR246" s="21">
        <f t="shared" si="2232"/>
        <v>1874.801122620046</v>
      </c>
      <c r="CS246" s="21">
        <f t="shared" si="2232"/>
        <v>2443.5005402469951</v>
      </c>
      <c r="CT246" s="21">
        <f t="shared" si="2232"/>
        <v>2568.0924904228114</v>
      </c>
      <c r="CU246" s="21">
        <f t="shared" si="2232"/>
        <v>5048.2417257447714</v>
      </c>
      <c r="CV246" s="21">
        <f t="shared" si="2232"/>
        <v>6015.3317016693945</v>
      </c>
      <c r="CW246" s="21">
        <f t="shared" si="2232"/>
        <v>6496.9594384995489</v>
      </c>
      <c r="CX246" s="21">
        <f t="shared" si="2232"/>
        <v>6526.4968348148859</v>
      </c>
      <c r="CY246" s="21">
        <f t="shared" si="2232"/>
        <v>5129.7035015165411</v>
      </c>
      <c r="CZ246" s="21">
        <f t="shared" si="2232"/>
        <v>6058.1115477394833</v>
      </c>
      <c r="DA246" s="21">
        <f t="shared" si="2232"/>
        <v>6522.3859841987714</v>
      </c>
      <c r="DB246" s="21">
        <f t="shared" si="2232"/>
        <v>6551.0601891869328</v>
      </c>
      <c r="DE246" s="126"/>
      <c r="DF246" s="22">
        <v>-1755.6506090587582</v>
      </c>
    </row>
    <row r="247" spans="1:110" x14ac:dyDescent="0.2">
      <c r="A247" s="152" t="s">
        <v>496</v>
      </c>
      <c r="AA247" s="2"/>
      <c r="CL247" s="2"/>
    </row>
    <row r="248" spans="1:110" x14ac:dyDescent="0.2">
      <c r="AA248" s="2"/>
      <c r="CL248" s="2"/>
    </row>
    <row r="249" spans="1:110" s="7" customFormat="1" hidden="1" outlineLevel="1" x14ac:dyDescent="0.2">
      <c r="A249" s="61" t="s">
        <v>97</v>
      </c>
      <c r="AB249" s="77"/>
      <c r="AC249" s="77"/>
      <c r="AD249" s="77"/>
      <c r="AE249" s="77"/>
      <c r="CM249" s="50"/>
      <c r="CN249" s="50"/>
      <c r="CO249" s="50"/>
      <c r="CP249" s="50"/>
      <c r="CQ249" s="50"/>
      <c r="CR249" s="50"/>
      <c r="CS249" s="50"/>
      <c r="CT249" s="50"/>
      <c r="CU249" s="50"/>
      <c r="CV249" s="50"/>
      <c r="CW249" s="50"/>
      <c r="CX249" s="50"/>
      <c r="CY249" s="50"/>
      <c r="CZ249" s="50"/>
      <c r="DA249" s="50"/>
      <c r="DB249" s="50"/>
      <c r="DE249" s="138"/>
    </row>
    <row r="250" spans="1:110" s="62" customFormat="1" hidden="1" outlineLevel="1" x14ac:dyDescent="0.2">
      <c r="A250" s="62" t="s">
        <v>98</v>
      </c>
      <c r="AB250" s="63"/>
      <c r="AC250" s="63"/>
      <c r="AD250" s="63"/>
      <c r="AE250" s="63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2" customFormat="1" hidden="1" outlineLevel="1" x14ac:dyDescent="0.2">
      <c r="A251" s="62" t="s">
        <v>99</v>
      </c>
      <c r="AB251" s="63"/>
      <c r="AC251" s="63"/>
      <c r="AD251" s="63"/>
      <c r="AE251" s="63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2" customFormat="1" hidden="1" outlineLevel="1" x14ac:dyDescent="0.2">
      <c r="A252" s="62" t="s">
        <v>100</v>
      </c>
      <c r="AB252" s="63"/>
      <c r="AC252" s="63"/>
      <c r="AD252" s="63"/>
      <c r="AE252" s="63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2" customFormat="1" hidden="1" outlineLevel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2" customFormat="1" hidden="1" outlineLevel="1" x14ac:dyDescent="0.2"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2" customFormat="1" hidden="1" outlineLevel="1" x14ac:dyDescent="0.2"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11" customFormat="1" collapsed="1" x14ac:dyDescent="0.2">
      <c r="AB256" s="63"/>
      <c r="AC256" s="63"/>
      <c r="AD256" s="63"/>
      <c r="AE256" s="63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83" customFormat="1" x14ac:dyDescent="0.2">
      <c r="A257" s="82" t="s">
        <v>101</v>
      </c>
      <c r="AB257" s="72"/>
      <c r="AC257" s="72"/>
      <c r="AD257" s="72"/>
      <c r="AE257" s="72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66" customFormat="1" x14ac:dyDescent="0.2">
      <c r="A258" s="66" t="s">
        <v>471</v>
      </c>
      <c r="AB258" s="50"/>
      <c r="AC258" s="50"/>
      <c r="AD258" s="50"/>
      <c r="AE258" s="50"/>
      <c r="AL258" s="66">
        <f t="shared" ref="AL258:BQ258" si="2233">SUM(AI38:AL38)</f>
        <v>12699.84</v>
      </c>
      <c r="AM258" s="66">
        <f t="shared" si="2233"/>
        <v>12936.289999999999</v>
      </c>
      <c r="AN258" s="66">
        <f t="shared" si="2233"/>
        <v>13629.96</v>
      </c>
      <c r="AO258" s="66">
        <f t="shared" si="2233"/>
        <v>13902.009999999998</v>
      </c>
      <c r="AP258" s="66">
        <f t="shared" si="2233"/>
        <v>13636.039999999999</v>
      </c>
      <c r="AQ258" s="66">
        <f t="shared" si="2233"/>
        <v>13659.07</v>
      </c>
      <c r="AR258" s="66">
        <f t="shared" si="2233"/>
        <v>13902.32</v>
      </c>
      <c r="AS258" s="66">
        <f t="shared" si="2233"/>
        <v>14305.39</v>
      </c>
      <c r="AT258" s="66">
        <f t="shared" si="2233"/>
        <v>14788.39</v>
      </c>
      <c r="AU258" s="66">
        <f t="shared" si="2233"/>
        <v>15411.37</v>
      </c>
      <c r="AV258" s="66">
        <f t="shared" si="2233"/>
        <v>15642.29</v>
      </c>
      <c r="AW258" s="66">
        <f t="shared" si="2233"/>
        <v>15219.730000000001</v>
      </c>
      <c r="AX258" s="66">
        <f t="shared" si="2233"/>
        <v>14547.64</v>
      </c>
      <c r="AY258" s="66">
        <f t="shared" si="2233"/>
        <v>13721.470000000001</v>
      </c>
      <c r="AZ258" s="66">
        <f t="shared" si="2233"/>
        <v>13188.17</v>
      </c>
      <c r="BA258" s="66">
        <f t="shared" si="2233"/>
        <v>14744.59</v>
      </c>
      <c r="BB258" s="66">
        <f t="shared" si="2233"/>
        <v>17546</v>
      </c>
      <c r="BC258" s="66">
        <f t="shared" si="2233"/>
        <v>19318</v>
      </c>
      <c r="BD258" s="66">
        <f t="shared" si="2233"/>
        <v>21127</v>
      </c>
      <c r="BE258" s="66">
        <f t="shared" si="2233"/>
        <v>22062</v>
      </c>
      <c r="BF258" s="66">
        <f t="shared" si="2233"/>
        <v>22084</v>
      </c>
      <c r="BG258" s="66">
        <f t="shared" si="2233"/>
        <v>22818</v>
      </c>
      <c r="BH258" s="66">
        <f t="shared" si="2233"/>
        <v>22286</v>
      </c>
      <c r="BI258" s="66">
        <f t="shared" si="2233"/>
        <v>21904</v>
      </c>
      <c r="BJ258" s="66">
        <f t="shared" si="2233"/>
        <v>21118</v>
      </c>
      <c r="BK258" s="66">
        <f t="shared" si="2233"/>
        <v>20795</v>
      </c>
      <c r="BL258" s="66">
        <f t="shared" si="2233"/>
        <v>20529</v>
      </c>
      <c r="BM258" s="66">
        <f t="shared" si="2233"/>
        <v>19661</v>
      </c>
      <c r="BN258" s="66">
        <f t="shared" si="2233"/>
        <v>18561</v>
      </c>
      <c r="BO258" s="66">
        <f t="shared" si="2233"/>
        <v>17563</v>
      </c>
      <c r="BP258" s="66">
        <f t="shared" si="2233"/>
        <v>18712</v>
      </c>
      <c r="BQ258" s="66">
        <f t="shared" si="2233"/>
        <v>20073</v>
      </c>
      <c r="BR258" s="66">
        <f t="shared" ref="BR258:CW258" si="2234">SUM(BO38:BR38)</f>
        <v>22629</v>
      </c>
      <c r="BS258" s="66">
        <f t="shared" si="2234"/>
        <v>25171</v>
      </c>
      <c r="BT258" s="66">
        <f t="shared" si="2234"/>
        <v>25633</v>
      </c>
      <c r="BU258" s="66">
        <f t="shared" si="2234"/>
        <v>27590</v>
      </c>
      <c r="BV258" s="66">
        <f t="shared" si="2234"/>
        <v>29440</v>
      </c>
      <c r="BW258" s="66">
        <f t="shared" si="2234"/>
        <v>32296</v>
      </c>
      <c r="BX258" s="66">
        <f t="shared" si="2234"/>
        <v>34510</v>
      </c>
      <c r="BY258" s="66">
        <f t="shared" si="2234"/>
        <v>34386</v>
      </c>
      <c r="BZ258" s="66">
        <f t="shared" si="2234"/>
        <v>34098</v>
      </c>
      <c r="CA258" s="66">
        <f t="shared" si="2234"/>
        <v>31993</v>
      </c>
      <c r="CB258" s="66">
        <f t="shared" si="2234"/>
        <v>30448</v>
      </c>
      <c r="CC258" s="66">
        <f t="shared" si="2234"/>
        <v>29892</v>
      </c>
      <c r="CD258" s="66">
        <f t="shared" si="2234"/>
        <v>28932</v>
      </c>
      <c r="CE258" s="66">
        <f t="shared" si="2234"/>
        <v>29780</v>
      </c>
      <c r="CF258" s="66">
        <f t="shared" si="2234"/>
        <v>31241</v>
      </c>
      <c r="CG258" s="66">
        <f t="shared" si="2234"/>
        <v>32545</v>
      </c>
      <c r="CH258" s="66">
        <f t="shared" si="2234"/>
        <v>34083</v>
      </c>
      <c r="CI258" s="66">
        <f t="shared" si="2234"/>
        <v>33724</v>
      </c>
      <c r="CJ258" s="66">
        <f t="shared" si="2234"/>
        <v>34021</v>
      </c>
      <c r="CK258" s="66">
        <f t="shared" si="2234"/>
        <v>36387</v>
      </c>
      <c r="CL258" s="66">
        <f t="shared" si="2234"/>
        <v>40844</v>
      </c>
      <c r="CM258" s="50">
        <f t="shared" si="2234"/>
        <v>44448.622108208954</v>
      </c>
      <c r="CN258" s="50">
        <f t="shared" si="2234"/>
        <v>47689.683905189151</v>
      </c>
      <c r="CO258" s="50">
        <f t="shared" si="2234"/>
        <v>49210.371333103663</v>
      </c>
      <c r="CP258" s="50">
        <f t="shared" si="2234"/>
        <v>48418.314968725666</v>
      </c>
      <c r="CQ258" s="50">
        <f t="shared" si="2234"/>
        <v>48101.895875469003</v>
      </c>
      <c r="CR258" s="50">
        <f t="shared" si="2234"/>
        <v>47882.927751755138</v>
      </c>
      <c r="CS258" s="50">
        <f t="shared" si="2234"/>
        <v>47767.669535815672</v>
      </c>
      <c r="CT258" s="50">
        <f t="shared" si="2234"/>
        <v>47775.418849550391</v>
      </c>
      <c r="CU258" s="50">
        <f t="shared" si="2234"/>
        <v>47773.742080724842</v>
      </c>
      <c r="CV258" s="50">
        <f t="shared" si="2234"/>
        <v>47706.324877882056</v>
      </c>
      <c r="CW258" s="50">
        <f t="shared" si="2234"/>
        <v>47568.240692245752</v>
      </c>
      <c r="CX258" s="50">
        <f t="shared" ref="CX258:DB258" si="2235">SUM(CU38:CX38)</f>
        <v>47363.69191238554</v>
      </c>
      <c r="CY258" s="50">
        <f t="shared" si="2235"/>
        <v>47205.649478095889</v>
      </c>
      <c r="CZ258" s="50">
        <f t="shared" si="2235"/>
        <v>47035.037464663299</v>
      </c>
      <c r="DA258" s="50">
        <f t="shared" si="2235"/>
        <v>46846.151226407557</v>
      </c>
      <c r="DB258" s="50">
        <f t="shared" si="2235"/>
        <v>46647.738909943153</v>
      </c>
      <c r="DE258" s="138"/>
      <c r="DF258" s="66">
        <v>40240.126384154777</v>
      </c>
    </row>
    <row r="259" spans="1:110" s="66" customFormat="1" x14ac:dyDescent="0.2">
      <c r="A259" s="66" t="s">
        <v>472</v>
      </c>
      <c r="AB259" s="50"/>
      <c r="AC259" s="50"/>
      <c r="AD259" s="50"/>
      <c r="AE259" s="50"/>
      <c r="AL259" s="66">
        <f t="shared" ref="AL259:BQ259" si="2236">SUM(AI56:AL56)</f>
        <v>6502.89</v>
      </c>
      <c r="AM259" s="66">
        <f t="shared" si="2236"/>
        <v>6582.6</v>
      </c>
      <c r="AN259" s="66">
        <f t="shared" si="2236"/>
        <v>6996.57</v>
      </c>
      <c r="AO259" s="66">
        <f t="shared" si="2236"/>
        <v>7321.8899999999994</v>
      </c>
      <c r="AP259" s="66">
        <f t="shared" si="2236"/>
        <v>6961.14</v>
      </c>
      <c r="AQ259" s="66">
        <f t="shared" si="2236"/>
        <v>6814.7800000000007</v>
      </c>
      <c r="AR259" s="66">
        <f t="shared" si="2236"/>
        <v>6930.93</v>
      </c>
      <c r="AS259" s="66">
        <f t="shared" si="2236"/>
        <v>7196.38</v>
      </c>
      <c r="AT259" s="66">
        <f t="shared" si="2236"/>
        <v>7446.6399999999994</v>
      </c>
      <c r="AU259" s="66">
        <f t="shared" si="2236"/>
        <v>7761.5599999999995</v>
      </c>
      <c r="AV259" s="66">
        <f t="shared" si="2236"/>
        <v>7955.7300000000005</v>
      </c>
      <c r="AW259" s="66">
        <f t="shared" si="2236"/>
        <v>7344.6</v>
      </c>
      <c r="AX259" s="66">
        <f t="shared" si="2236"/>
        <v>6652.93</v>
      </c>
      <c r="AY259" s="66">
        <f t="shared" si="2236"/>
        <v>6116.6</v>
      </c>
      <c r="AZ259" s="66">
        <f t="shared" si="2236"/>
        <v>5999.8799999999992</v>
      </c>
      <c r="BA259" s="66">
        <f t="shared" si="2236"/>
        <v>7309.8099999999995</v>
      </c>
      <c r="BB259" s="66">
        <f t="shared" si="2236"/>
        <v>9739</v>
      </c>
      <c r="BC259" s="66">
        <f t="shared" si="2236"/>
        <v>10992</v>
      </c>
      <c r="BD259" s="66">
        <f t="shared" si="2236"/>
        <v>11939</v>
      </c>
      <c r="BE259" s="66">
        <f t="shared" si="2236"/>
        <v>12395</v>
      </c>
      <c r="BF259" s="66">
        <f t="shared" si="2236"/>
        <v>12272</v>
      </c>
      <c r="BG259" s="66">
        <f t="shared" si="2236"/>
        <v>12601</v>
      </c>
      <c r="BH259" s="66">
        <f t="shared" si="2236"/>
        <v>11907</v>
      </c>
      <c r="BI259" s="66">
        <f t="shared" si="2236"/>
        <v>11501</v>
      </c>
      <c r="BJ259" s="66">
        <f t="shared" si="2236"/>
        <v>10670</v>
      </c>
      <c r="BK259" s="66">
        <f t="shared" si="2236"/>
        <v>10434</v>
      </c>
      <c r="BL259" s="66">
        <f t="shared" si="2236"/>
        <v>10221</v>
      </c>
      <c r="BM259" s="66">
        <f t="shared" si="2236"/>
        <v>9672</v>
      </c>
      <c r="BN259" s="66">
        <f t="shared" si="2236"/>
        <v>8847</v>
      </c>
      <c r="BO259" s="66">
        <f t="shared" si="2236"/>
        <v>7946</v>
      </c>
      <c r="BP259" s="66">
        <f t="shared" si="2236"/>
        <v>8781</v>
      </c>
      <c r="BQ259" s="66">
        <f t="shared" si="2236"/>
        <v>9761</v>
      </c>
      <c r="BR259" s="66">
        <f t="shared" ref="BR259:CW259" si="2237">SUM(BO56:BR56)</f>
        <v>11672</v>
      </c>
      <c r="BS259" s="66">
        <f t="shared" si="2237"/>
        <v>13654</v>
      </c>
      <c r="BT259" s="66">
        <f t="shared" si="2237"/>
        <v>14037</v>
      </c>
      <c r="BU259" s="66">
        <f t="shared" si="2237"/>
        <v>15138</v>
      </c>
      <c r="BV259" s="66">
        <f t="shared" si="2237"/>
        <v>16225</v>
      </c>
      <c r="BW259" s="66">
        <f t="shared" si="2237"/>
        <v>17804</v>
      </c>
      <c r="BX259" s="66">
        <f t="shared" si="2237"/>
        <v>18876</v>
      </c>
      <c r="BY259" s="66">
        <f t="shared" si="2237"/>
        <v>18213</v>
      </c>
      <c r="BZ259" s="66">
        <f t="shared" si="2237"/>
        <v>17506</v>
      </c>
      <c r="CA259" s="66">
        <f t="shared" si="2237"/>
        <v>15716</v>
      </c>
      <c r="CB259" s="66">
        <f t="shared" si="2237"/>
        <v>14448</v>
      </c>
      <c r="CC259" s="66">
        <f t="shared" si="2237"/>
        <v>14262</v>
      </c>
      <c r="CD259" s="66">
        <f t="shared" si="2237"/>
        <v>13656</v>
      </c>
      <c r="CE259" s="66">
        <f t="shared" si="2237"/>
        <v>14255</v>
      </c>
      <c r="CF259" s="66">
        <f t="shared" si="2237"/>
        <v>15239</v>
      </c>
      <c r="CG259" s="66">
        <f t="shared" si="2237"/>
        <v>16217</v>
      </c>
      <c r="CH259" s="66">
        <f t="shared" si="2237"/>
        <v>17388</v>
      </c>
      <c r="CI259" s="66">
        <f t="shared" si="2237"/>
        <v>17301</v>
      </c>
      <c r="CJ259" s="66">
        <f t="shared" si="2237"/>
        <v>17623</v>
      </c>
      <c r="CK259" s="66">
        <f t="shared" si="2237"/>
        <v>19178</v>
      </c>
      <c r="CL259" s="66">
        <f t="shared" si="2237"/>
        <v>22064</v>
      </c>
      <c r="CM259" s="50">
        <f t="shared" si="2237"/>
        <v>24663.251568660649</v>
      </c>
      <c r="CN259" s="50">
        <f t="shared" si="2237"/>
        <v>27113.145979133813</v>
      </c>
      <c r="CO259" s="50">
        <f t="shared" si="2237"/>
        <v>28454.062419101156</v>
      </c>
      <c r="CP259" s="50">
        <f t="shared" si="2237"/>
        <v>28307.760988118429</v>
      </c>
      <c r="CQ259" s="50">
        <f t="shared" si="2237"/>
        <v>28503.177791355502</v>
      </c>
      <c r="CR259" s="50">
        <f t="shared" si="2237"/>
        <v>28664.770477442773</v>
      </c>
      <c r="CS259" s="50">
        <f t="shared" si="2237"/>
        <v>28897.868023306932</v>
      </c>
      <c r="CT259" s="50">
        <f t="shared" si="2237"/>
        <v>29271.440755335214</v>
      </c>
      <c r="CU259" s="50">
        <f t="shared" si="2237"/>
        <v>29388.044668663017</v>
      </c>
      <c r="CV259" s="50">
        <f t="shared" si="2237"/>
        <v>29405.587054996249</v>
      </c>
      <c r="CW259" s="50">
        <f t="shared" si="2237"/>
        <v>29324.52337400394</v>
      </c>
      <c r="CX259" s="50">
        <f t="shared" ref="CX259:DB259" si="2238">SUM(CU56:CX56)</f>
        <v>29128.891757579273</v>
      </c>
      <c r="CY259" s="50">
        <f t="shared" si="2238"/>
        <v>29061.031461545288</v>
      </c>
      <c r="CZ259" s="50">
        <f t="shared" si="2238"/>
        <v>28963.549251252141</v>
      </c>
      <c r="DA259" s="50">
        <f t="shared" si="2238"/>
        <v>28841.670665538302</v>
      </c>
      <c r="DB259" s="50">
        <f t="shared" si="2238"/>
        <v>28711.361099535752</v>
      </c>
      <c r="DE259" s="138"/>
      <c r="DF259" s="66">
        <v>21208.466103669231</v>
      </c>
    </row>
    <row r="260" spans="1:110" s="66" customFormat="1" x14ac:dyDescent="0.2">
      <c r="A260" s="66" t="s">
        <v>473</v>
      </c>
      <c r="AB260" s="50"/>
      <c r="AC260" s="50"/>
      <c r="AD260" s="50"/>
      <c r="AE260" s="50"/>
      <c r="AL260" s="66">
        <f t="shared" ref="AL260:BQ260" si="2239">SUM(AI69:AL69)</f>
        <v>6917.0100000000011</v>
      </c>
      <c r="AM260" s="66">
        <f t="shared" si="2239"/>
        <v>6996.6400000000012</v>
      </c>
      <c r="AN260" s="66">
        <f t="shared" si="2239"/>
        <v>7158.25</v>
      </c>
      <c r="AO260" s="66">
        <f t="shared" si="2239"/>
        <v>7268.43</v>
      </c>
      <c r="AP260" s="66">
        <f t="shared" si="2239"/>
        <v>6966.29</v>
      </c>
      <c r="AQ260" s="66">
        <f t="shared" si="2239"/>
        <v>6922.99</v>
      </c>
      <c r="AR260" s="66">
        <f t="shared" si="2239"/>
        <v>7407.92</v>
      </c>
      <c r="AS260" s="66">
        <f t="shared" si="2239"/>
        <v>8064.5700000000006</v>
      </c>
      <c r="AT260" s="66">
        <f t="shared" si="2239"/>
        <v>8207.869999999999</v>
      </c>
      <c r="AU260" s="66">
        <f t="shared" si="2239"/>
        <v>8537.32</v>
      </c>
      <c r="AV260" s="66">
        <f t="shared" si="2239"/>
        <v>8621.380000000001</v>
      </c>
      <c r="AW260" s="66">
        <f t="shared" si="2239"/>
        <v>8082.34</v>
      </c>
      <c r="AX260" s="66">
        <f t="shared" si="2239"/>
        <v>8205.4699999999993</v>
      </c>
      <c r="AY260" s="66">
        <f t="shared" si="2239"/>
        <v>7295.35</v>
      </c>
      <c r="AZ260" s="66">
        <f t="shared" si="2239"/>
        <v>6926.9599999999991</v>
      </c>
      <c r="BA260" s="66">
        <f t="shared" si="2239"/>
        <v>7406.6299999999992</v>
      </c>
      <c r="BB260" s="66">
        <f t="shared" si="2239"/>
        <v>8316</v>
      </c>
      <c r="BC260" s="66">
        <f t="shared" si="2239"/>
        <v>9168</v>
      </c>
      <c r="BD260" s="66">
        <f t="shared" si="2239"/>
        <v>9559</v>
      </c>
      <c r="BE260" s="66">
        <f t="shared" si="2239"/>
        <v>9537</v>
      </c>
      <c r="BF260" s="66">
        <f t="shared" si="2239"/>
        <v>9036</v>
      </c>
      <c r="BG260" s="66">
        <f t="shared" si="2239"/>
        <v>9065</v>
      </c>
      <c r="BH260" s="66">
        <f t="shared" si="2239"/>
        <v>8587</v>
      </c>
      <c r="BI260" s="66">
        <f t="shared" si="2239"/>
        <v>8500</v>
      </c>
      <c r="BJ260" s="66">
        <f t="shared" si="2239"/>
        <v>7956</v>
      </c>
      <c r="BK260" s="66">
        <f t="shared" si="2239"/>
        <v>7803</v>
      </c>
      <c r="BL260" s="66">
        <f t="shared" si="2239"/>
        <v>8069</v>
      </c>
      <c r="BM260" s="66">
        <f t="shared" si="2239"/>
        <v>7478</v>
      </c>
      <c r="BN260" s="66">
        <f t="shared" si="2239"/>
        <v>6805</v>
      </c>
      <c r="BO260" s="66">
        <f t="shared" si="2239"/>
        <v>6399</v>
      </c>
      <c r="BP260" s="66">
        <f t="shared" si="2239"/>
        <v>6258</v>
      </c>
      <c r="BQ260" s="66">
        <f t="shared" si="2239"/>
        <v>6838</v>
      </c>
      <c r="BR260" s="66">
        <f t="shared" ref="BR260:CW260" si="2240">SUM(BO69:BR69)</f>
        <v>7980</v>
      </c>
      <c r="BS260" s="66">
        <f t="shared" si="2240"/>
        <v>8738</v>
      </c>
      <c r="BT260" s="66">
        <f t="shared" si="2240"/>
        <v>8815</v>
      </c>
      <c r="BU260" s="66">
        <f t="shared" si="2240"/>
        <v>9316</v>
      </c>
      <c r="BV260" s="66">
        <f t="shared" si="2240"/>
        <v>9763</v>
      </c>
      <c r="BW260" s="66">
        <f t="shared" si="2240"/>
        <v>10738</v>
      </c>
      <c r="BX260" s="66">
        <f t="shared" si="2240"/>
        <v>11401</v>
      </c>
      <c r="BY260" s="66">
        <f t="shared" si="2240"/>
        <v>10856</v>
      </c>
      <c r="BZ260" s="66">
        <f t="shared" si="2240"/>
        <v>10511</v>
      </c>
      <c r="CA260" s="66">
        <f t="shared" si="2240"/>
        <v>9383</v>
      </c>
      <c r="CB260" s="66">
        <f t="shared" si="2240"/>
        <v>8432</v>
      </c>
      <c r="CC260" s="66">
        <f t="shared" si="2240"/>
        <v>8304</v>
      </c>
      <c r="CD260" s="66">
        <f t="shared" si="2240"/>
        <v>7759</v>
      </c>
      <c r="CE260" s="66">
        <f t="shared" si="2240"/>
        <v>8140</v>
      </c>
      <c r="CF260" s="66">
        <f t="shared" si="2240"/>
        <v>8821</v>
      </c>
      <c r="CG260" s="66">
        <f t="shared" si="2240"/>
        <v>9471</v>
      </c>
      <c r="CH260" s="66">
        <f t="shared" si="2240"/>
        <v>10436</v>
      </c>
      <c r="CI260" s="66">
        <f t="shared" si="2240"/>
        <v>10325</v>
      </c>
      <c r="CJ260" s="66">
        <f t="shared" si="2240"/>
        <v>10564</v>
      </c>
      <c r="CK260" s="66">
        <f t="shared" si="2240"/>
        <v>11777</v>
      </c>
      <c r="CL260" s="66">
        <f t="shared" si="2240"/>
        <v>13807</v>
      </c>
      <c r="CM260" s="50">
        <f t="shared" si="2240"/>
        <v>15695.038359114655</v>
      </c>
      <c r="CN260" s="50">
        <f t="shared" si="2240"/>
        <v>17383.023052401455</v>
      </c>
      <c r="CO260" s="50">
        <f t="shared" si="2240"/>
        <v>18106.96717769132</v>
      </c>
      <c r="CP260" s="50">
        <f t="shared" si="2240"/>
        <v>17722.77756585936</v>
      </c>
      <c r="CQ260" s="50">
        <f t="shared" si="2240"/>
        <v>17726.693265806141</v>
      </c>
      <c r="CR260" s="50">
        <f t="shared" si="2240"/>
        <v>17739.683680983275</v>
      </c>
      <c r="CS260" s="50">
        <f t="shared" si="2240"/>
        <v>17836.269443505422</v>
      </c>
      <c r="CT260" s="50">
        <f t="shared" si="2240"/>
        <v>18069.320328161943</v>
      </c>
      <c r="CU260" s="50">
        <f t="shared" si="2240"/>
        <v>17903.155326858228</v>
      </c>
      <c r="CV260" s="50">
        <f t="shared" si="2240"/>
        <v>17826.982349751052</v>
      </c>
      <c r="CW260" s="50">
        <f t="shared" si="2240"/>
        <v>17834.936197603864</v>
      </c>
      <c r="CX260" s="50">
        <f t="shared" ref="CX260:DB260" si="2241">SUM(CU69:CX69)</f>
        <v>17909.195004362628</v>
      </c>
      <c r="CY260" s="50">
        <f t="shared" si="2241"/>
        <v>18224.936325093819</v>
      </c>
      <c r="CZ260" s="50">
        <f t="shared" si="2241"/>
        <v>18511.784574380596</v>
      </c>
      <c r="DA260" s="50">
        <f t="shared" si="2241"/>
        <v>18773.595493638975</v>
      </c>
      <c r="DB260" s="50">
        <f t="shared" si="2241"/>
        <v>19022.403102361575</v>
      </c>
      <c r="DE260" s="138"/>
      <c r="DF260" s="66">
        <v>13199.492265678531</v>
      </c>
    </row>
    <row r="261" spans="1:110" s="93" customFormat="1" x14ac:dyDescent="0.2">
      <c r="AB261" s="30"/>
      <c r="AC261" s="30"/>
      <c r="AD261" s="30"/>
      <c r="AE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11" customFormat="1" x14ac:dyDescent="0.2">
      <c r="AB262" s="63"/>
      <c r="AC262" s="63"/>
      <c r="AD262" s="63"/>
      <c r="AE262" s="63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62" customFormat="1" hidden="1" outlineLevel="1" x14ac:dyDescent="0.2">
      <c r="A263" s="61" t="s">
        <v>339</v>
      </c>
      <c r="AB263" s="63"/>
      <c r="AC263" s="63"/>
      <c r="AD263" s="63"/>
      <c r="AE263" s="63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E263" s="139"/>
    </row>
    <row r="264" spans="1:110" s="64" customFormat="1" hidden="1" outlineLevel="1" x14ac:dyDescent="0.2">
      <c r="A264" s="64" t="s">
        <v>474</v>
      </c>
      <c r="B264" s="64">
        <f t="shared" ref="B264:Z264" si="2242">B36-B270</f>
        <v>1613.0481</v>
      </c>
      <c r="C264" s="64">
        <f t="shared" si="2242"/>
        <v>1418.4069999999999</v>
      </c>
      <c r="D264" s="64">
        <f t="shared" si="2242"/>
        <v>1649.492</v>
      </c>
      <c r="E264" s="64">
        <f t="shared" si="2242"/>
        <v>2079.0129999999999</v>
      </c>
      <c r="F264" s="64">
        <f t="shared" si="2242"/>
        <v>2456.11</v>
      </c>
      <c r="G264" s="64">
        <f t="shared" si="2242"/>
        <v>4326.26</v>
      </c>
      <c r="H264" s="64">
        <f t="shared" si="2242"/>
        <v>9220.4500000000007</v>
      </c>
      <c r="I264" s="64">
        <f t="shared" si="2242"/>
        <v>8736.91</v>
      </c>
      <c r="J264" s="64">
        <f t="shared" si="2242"/>
        <v>6141.47</v>
      </c>
      <c r="K264" s="64">
        <f t="shared" si="2242"/>
        <v>8437.8700000000008</v>
      </c>
      <c r="L264" s="64">
        <f t="shared" si="2242"/>
        <v>10616.85</v>
      </c>
      <c r="M264" s="64">
        <f t="shared" si="2242"/>
        <v>12061.09</v>
      </c>
      <c r="N264" s="64">
        <f t="shared" si="2242"/>
        <v>13658.14</v>
      </c>
      <c r="O264" s="64">
        <f t="shared" si="2242"/>
        <v>14933.05</v>
      </c>
      <c r="P264" s="64">
        <f t="shared" si="2242"/>
        <v>16100.08</v>
      </c>
      <c r="Q264" s="64">
        <f t="shared" si="2242"/>
        <v>15463</v>
      </c>
      <c r="R264" s="64">
        <f t="shared" si="2242"/>
        <v>18798</v>
      </c>
      <c r="S264" s="64">
        <f t="shared" si="2242"/>
        <v>22519</v>
      </c>
      <c r="T264" s="64">
        <f t="shared" si="2242"/>
        <v>21118</v>
      </c>
      <c r="U264" s="64">
        <f t="shared" si="2242"/>
        <v>18561</v>
      </c>
      <c r="V264" s="64">
        <f t="shared" si="2242"/>
        <v>22629</v>
      </c>
      <c r="W264" s="64">
        <f t="shared" si="2242"/>
        <v>29440</v>
      </c>
      <c r="X264" s="64">
        <f t="shared" si="2242"/>
        <v>34098</v>
      </c>
      <c r="Y264" s="64">
        <f t="shared" si="2242"/>
        <v>28932</v>
      </c>
      <c r="Z264" s="64">
        <f t="shared" si="2242"/>
        <v>34083</v>
      </c>
      <c r="AA264" s="64">
        <f t="shared" ref="AA264" si="2243">AA36-AA270</f>
        <v>40844</v>
      </c>
      <c r="AB264" s="30"/>
      <c r="AC264" s="30"/>
      <c r="AD264" s="30"/>
      <c r="AE264" s="30"/>
      <c r="AI264" s="64">
        <f t="shared" ref="AI264:BN264" si="2244">AI36-AI270</f>
        <v>2747.71</v>
      </c>
      <c r="AJ264" s="64">
        <f t="shared" si="2244"/>
        <v>2865.46</v>
      </c>
      <c r="AK264" s="64">
        <f t="shared" si="2244"/>
        <v>3178.02</v>
      </c>
      <c r="AL264" s="64">
        <f t="shared" si="2244"/>
        <v>3908.65</v>
      </c>
      <c r="AM264" s="64">
        <f t="shared" si="2244"/>
        <v>2984.16</v>
      </c>
      <c r="AN264" s="64">
        <f t="shared" si="2244"/>
        <v>3559.1299999999997</v>
      </c>
      <c r="AO264" s="64">
        <f t="shared" si="2244"/>
        <v>3450.07</v>
      </c>
      <c r="AP264" s="64">
        <f t="shared" si="2244"/>
        <v>3642.68</v>
      </c>
      <c r="AQ264" s="64">
        <f t="shared" si="2244"/>
        <v>3007.19</v>
      </c>
      <c r="AR264" s="64">
        <f t="shared" si="2244"/>
        <v>3802.3799999999997</v>
      </c>
      <c r="AS264" s="64">
        <f t="shared" si="2244"/>
        <v>3853.14</v>
      </c>
      <c r="AT264" s="64">
        <f t="shared" si="2244"/>
        <v>4125.68</v>
      </c>
      <c r="AU264" s="64">
        <f t="shared" si="2244"/>
        <v>3630.17</v>
      </c>
      <c r="AV264" s="64">
        <f t="shared" si="2244"/>
        <v>4357.88</v>
      </c>
      <c r="AW264" s="64">
        <f t="shared" si="2244"/>
        <v>3721.5</v>
      </c>
      <c r="AX264" s="64">
        <f t="shared" si="2244"/>
        <v>3453.59</v>
      </c>
      <c r="AY264" s="64">
        <f t="shared" si="2244"/>
        <v>2804</v>
      </c>
      <c r="AZ264" s="64">
        <f t="shared" si="2244"/>
        <v>3852</v>
      </c>
      <c r="BA264" s="64">
        <f t="shared" si="2244"/>
        <v>5391</v>
      </c>
      <c r="BB264" s="64">
        <f t="shared" si="2244"/>
        <v>6255</v>
      </c>
      <c r="BC264" s="64">
        <f t="shared" si="2244"/>
        <v>5013</v>
      </c>
      <c r="BD264" s="64">
        <f t="shared" si="2244"/>
        <v>5309</v>
      </c>
      <c r="BE264" s="64">
        <f t="shared" si="2244"/>
        <v>5922</v>
      </c>
      <c r="BF264" s="64">
        <f t="shared" si="2244"/>
        <v>6277</v>
      </c>
      <c r="BG264" s="64">
        <f t="shared" si="2244"/>
        <v>5310</v>
      </c>
      <c r="BH264" s="64">
        <f t="shared" si="2244"/>
        <v>4777</v>
      </c>
      <c r="BI264" s="64">
        <f t="shared" si="2244"/>
        <v>5540</v>
      </c>
      <c r="BJ264" s="64">
        <f t="shared" si="2244"/>
        <v>5491</v>
      </c>
      <c r="BK264" s="64">
        <f t="shared" si="2244"/>
        <v>4987</v>
      </c>
      <c r="BL264" s="64">
        <f t="shared" si="2244"/>
        <v>4511</v>
      </c>
      <c r="BM264" s="64">
        <f t="shared" si="2244"/>
        <v>4672</v>
      </c>
      <c r="BN264" s="64">
        <f t="shared" si="2244"/>
        <v>4391</v>
      </c>
      <c r="BO264" s="64">
        <f t="shared" ref="BO264:CT264" si="2245">BO36-BO270</f>
        <v>3989</v>
      </c>
      <c r="BP264" s="64">
        <f t="shared" si="2245"/>
        <v>5660</v>
      </c>
      <c r="BQ264" s="64">
        <f t="shared" si="2245"/>
        <v>6033</v>
      </c>
      <c r="BR264" s="64">
        <f t="shared" si="2245"/>
        <v>6947</v>
      </c>
      <c r="BS264" s="64">
        <f t="shared" si="2245"/>
        <v>6531</v>
      </c>
      <c r="BT264" s="64">
        <f t="shared" si="2245"/>
        <v>6122</v>
      </c>
      <c r="BU264" s="64">
        <f t="shared" si="2245"/>
        <v>7990</v>
      </c>
      <c r="BV264" s="64">
        <f t="shared" si="2245"/>
        <v>8797</v>
      </c>
      <c r="BW264" s="64">
        <f t="shared" si="2245"/>
        <v>9387</v>
      </c>
      <c r="BX264" s="64">
        <f t="shared" si="2245"/>
        <v>8336</v>
      </c>
      <c r="BY264" s="64">
        <f t="shared" si="2245"/>
        <v>7866</v>
      </c>
      <c r="BZ264" s="64">
        <f t="shared" si="2245"/>
        <v>8509</v>
      </c>
      <c r="CA264" s="64">
        <f t="shared" si="2245"/>
        <v>7282</v>
      </c>
      <c r="CB264" s="64">
        <f t="shared" si="2245"/>
        <v>6791</v>
      </c>
      <c r="CC264" s="64">
        <f t="shared" si="2245"/>
        <v>7310</v>
      </c>
      <c r="CD264" s="64">
        <f t="shared" si="2245"/>
        <v>7549</v>
      </c>
      <c r="CE264" s="64">
        <f t="shared" si="2245"/>
        <v>8130</v>
      </c>
      <c r="CF264" s="64">
        <f t="shared" si="2245"/>
        <v>8252</v>
      </c>
      <c r="CG264" s="64">
        <f t="shared" si="2245"/>
        <v>8614</v>
      </c>
      <c r="CH264" s="64">
        <f t="shared" si="2245"/>
        <v>9087</v>
      </c>
      <c r="CI264" s="64">
        <f t="shared" si="2245"/>
        <v>7771</v>
      </c>
      <c r="CJ264" s="64">
        <f t="shared" si="2245"/>
        <v>8549</v>
      </c>
      <c r="CK264" s="64">
        <f t="shared" si="2245"/>
        <v>10980</v>
      </c>
      <c r="CL264" s="64">
        <f t="shared" ref="CL264" si="2246">CL36-CL270</f>
        <v>13544</v>
      </c>
      <c r="CM264" s="30">
        <f t="shared" si="2245"/>
        <v>11375.622108208954</v>
      </c>
      <c r="CN264" s="30">
        <f t="shared" si="2245"/>
        <v>11790.061796980197</v>
      </c>
      <c r="CO264" s="30">
        <f t="shared" si="2245"/>
        <v>12500.687427914512</v>
      </c>
      <c r="CP264" s="30">
        <f t="shared" si="2245"/>
        <v>12751.943635621999</v>
      </c>
      <c r="CQ264" s="30">
        <f t="shared" si="2245"/>
        <v>11059.203014952296</v>
      </c>
      <c r="CR264" s="30">
        <f t="shared" si="2245"/>
        <v>11571.093673266336</v>
      </c>
      <c r="CS264" s="30">
        <f t="shared" si="2245"/>
        <v>12385.429211975046</v>
      </c>
      <c r="CT264" s="30">
        <f t="shared" si="2245"/>
        <v>12759.692949356711</v>
      </c>
      <c r="CU264" s="30">
        <f t="shared" ref="CU264:DB264" si="2247">CU36-CU270</f>
        <v>11057.526246126745</v>
      </c>
      <c r="CV264" s="30">
        <f t="shared" si="2247"/>
        <v>11503.67647042355</v>
      </c>
      <c r="CW264" s="30">
        <f t="shared" si="2247"/>
        <v>12247.345026338742</v>
      </c>
      <c r="CX264" s="30">
        <f t="shared" si="2247"/>
        <v>12555.144169496503</v>
      </c>
      <c r="CY264" s="30">
        <f t="shared" si="2247"/>
        <v>10899.483811837094</v>
      </c>
      <c r="CZ264" s="30">
        <f t="shared" si="2247"/>
        <v>11333.06445699096</v>
      </c>
      <c r="DA264" s="30">
        <f t="shared" si="2247"/>
        <v>12058.458788083004</v>
      </c>
      <c r="DB264" s="30">
        <f t="shared" si="2247"/>
        <v>12356.731853032101</v>
      </c>
      <c r="DE264" s="139"/>
      <c r="DF264" s="64">
        <v>12940.126384154781</v>
      </c>
    </row>
    <row r="265" spans="1:110" s="64" customFormat="1" hidden="1" outlineLevel="1" x14ac:dyDescent="0.2">
      <c r="A265" s="64" t="s">
        <v>475</v>
      </c>
      <c r="B265" s="64">
        <f t="shared" ref="B265:Z265" si="2248">B56-B271</f>
        <v>263.36689999999999</v>
      </c>
      <c r="C265" s="64">
        <f t="shared" si="2248"/>
        <v>144.87899999999991</v>
      </c>
      <c r="D265" s="64">
        <f t="shared" si="2248"/>
        <v>224.46199999999999</v>
      </c>
      <c r="E265" s="64">
        <f t="shared" si="2248"/>
        <v>773.73599999999988</v>
      </c>
      <c r="F265" s="64">
        <f t="shared" si="2248"/>
        <v>880</v>
      </c>
      <c r="G265" s="64">
        <f t="shared" si="2248"/>
        <v>2299.4299999999998</v>
      </c>
      <c r="H265" s="64">
        <f t="shared" si="2248"/>
        <v>6406.9100000000017</v>
      </c>
      <c r="I265" s="64">
        <f t="shared" si="2248"/>
        <v>5378.3899999999994</v>
      </c>
      <c r="J265" s="64">
        <f t="shared" si="2248"/>
        <v>2734.1600000000003</v>
      </c>
      <c r="K265" s="64">
        <f t="shared" si="2248"/>
        <v>4670.0800000000008</v>
      </c>
      <c r="L265" s="64">
        <f t="shared" si="2248"/>
        <v>5607.71</v>
      </c>
      <c r="M265" s="64">
        <f t="shared" si="2248"/>
        <v>6069.4599999999982</v>
      </c>
      <c r="N265" s="64">
        <f t="shared" si="2248"/>
        <v>6508.3600000000006</v>
      </c>
      <c r="O265" s="64">
        <f t="shared" si="2248"/>
        <v>6728.8199999999988</v>
      </c>
      <c r="P265" s="64">
        <f t="shared" si="2248"/>
        <v>7127.64</v>
      </c>
      <c r="Q265" s="64">
        <f t="shared" si="2248"/>
        <v>6652</v>
      </c>
      <c r="R265" s="64">
        <f t="shared" si="2248"/>
        <v>9739</v>
      </c>
      <c r="S265" s="64">
        <f t="shared" si="2248"/>
        <v>12270</v>
      </c>
      <c r="T265" s="64">
        <f t="shared" si="2248"/>
        <v>10670</v>
      </c>
      <c r="U265" s="64">
        <f t="shared" si="2248"/>
        <v>8847</v>
      </c>
      <c r="V265" s="64">
        <f t="shared" si="2248"/>
        <v>11672</v>
      </c>
      <c r="W265" s="64">
        <f t="shared" si="2248"/>
        <v>16225</v>
      </c>
      <c r="X265" s="64">
        <f t="shared" si="2248"/>
        <v>17506</v>
      </c>
      <c r="Y265" s="64">
        <f t="shared" si="2248"/>
        <v>13656</v>
      </c>
      <c r="Z265" s="64">
        <f t="shared" si="2248"/>
        <v>17388</v>
      </c>
      <c r="AA265" s="64">
        <f t="shared" ref="AA265" si="2249">AA56-AA271</f>
        <v>22064</v>
      </c>
      <c r="AB265" s="30"/>
      <c r="AC265" s="30"/>
      <c r="AD265" s="30"/>
      <c r="AE265" s="30"/>
      <c r="AI265" s="64">
        <f t="shared" ref="AI265:BN265" si="2250">AI56-AI271</f>
        <v>1419.0600000000002</v>
      </c>
      <c r="AJ265" s="64">
        <f t="shared" si="2250"/>
        <v>1469.43</v>
      </c>
      <c r="AK265" s="64">
        <f t="shared" si="2250"/>
        <v>1498.43</v>
      </c>
      <c r="AL265" s="64">
        <f t="shared" si="2250"/>
        <v>2115.9700000000003</v>
      </c>
      <c r="AM265" s="64">
        <f t="shared" si="2250"/>
        <v>1498.77</v>
      </c>
      <c r="AN265" s="64">
        <f t="shared" si="2250"/>
        <v>1883.3999999999996</v>
      </c>
      <c r="AO265" s="64">
        <f t="shared" si="2250"/>
        <v>1823.75</v>
      </c>
      <c r="AP265" s="64">
        <f t="shared" si="2250"/>
        <v>1755.2200000000003</v>
      </c>
      <c r="AQ265" s="64">
        <f t="shared" si="2250"/>
        <v>1352.4100000000003</v>
      </c>
      <c r="AR265" s="64">
        <f t="shared" si="2250"/>
        <v>1999.5499999999995</v>
      </c>
      <c r="AS265" s="64">
        <f t="shared" si="2250"/>
        <v>2089.1999999999998</v>
      </c>
      <c r="AT265" s="64">
        <f t="shared" si="2250"/>
        <v>2005.48</v>
      </c>
      <c r="AU265" s="64">
        <f t="shared" si="2250"/>
        <v>1667.33</v>
      </c>
      <c r="AV265" s="64">
        <f t="shared" si="2250"/>
        <v>2193.7200000000003</v>
      </c>
      <c r="AW265" s="64">
        <f t="shared" si="2250"/>
        <v>1478.0699999999997</v>
      </c>
      <c r="AX265" s="64">
        <f t="shared" si="2250"/>
        <v>1313.81</v>
      </c>
      <c r="AY265" s="64">
        <f t="shared" si="2250"/>
        <v>1131</v>
      </c>
      <c r="AZ265" s="64">
        <f t="shared" si="2250"/>
        <v>2077</v>
      </c>
      <c r="BA265" s="64">
        <f t="shared" si="2250"/>
        <v>2788</v>
      </c>
      <c r="BB265" s="64">
        <f t="shared" si="2250"/>
        <v>3743</v>
      </c>
      <c r="BC265" s="64">
        <f t="shared" si="2250"/>
        <v>2384</v>
      </c>
      <c r="BD265" s="64">
        <f t="shared" si="2250"/>
        <v>3024</v>
      </c>
      <c r="BE265" s="64">
        <f t="shared" si="2250"/>
        <v>3244</v>
      </c>
      <c r="BF265" s="64">
        <f t="shared" si="2250"/>
        <v>3620</v>
      </c>
      <c r="BG265" s="64">
        <f t="shared" si="2250"/>
        <v>2713</v>
      </c>
      <c r="BH265" s="64">
        <f t="shared" si="2250"/>
        <v>2330</v>
      </c>
      <c r="BI265" s="64">
        <f t="shared" si="2250"/>
        <v>2838</v>
      </c>
      <c r="BJ265" s="64">
        <f t="shared" si="2250"/>
        <v>2789</v>
      </c>
      <c r="BK265" s="64">
        <f t="shared" si="2250"/>
        <v>2477</v>
      </c>
      <c r="BL265" s="64">
        <f t="shared" si="2250"/>
        <v>2117</v>
      </c>
      <c r="BM265" s="64">
        <f t="shared" si="2250"/>
        <v>2289</v>
      </c>
      <c r="BN265" s="64">
        <f t="shared" si="2250"/>
        <v>1964</v>
      </c>
      <c r="BO265" s="64">
        <f t="shared" ref="BO265:CT265" si="2251">BO56-BO271</f>
        <v>1576</v>
      </c>
      <c r="BP265" s="64">
        <f t="shared" si="2251"/>
        <v>2952</v>
      </c>
      <c r="BQ265" s="64">
        <f t="shared" si="2251"/>
        <v>3269</v>
      </c>
      <c r="BR265" s="64">
        <f t="shared" si="2251"/>
        <v>3875</v>
      </c>
      <c r="BS265" s="64">
        <f t="shared" si="2251"/>
        <v>3558</v>
      </c>
      <c r="BT265" s="64">
        <f t="shared" si="2251"/>
        <v>3335</v>
      </c>
      <c r="BU265" s="64">
        <f t="shared" si="2251"/>
        <v>4370</v>
      </c>
      <c r="BV265" s="64">
        <f t="shared" si="2251"/>
        <v>4962</v>
      </c>
      <c r="BW265" s="64">
        <f t="shared" si="2251"/>
        <v>5137</v>
      </c>
      <c r="BX265" s="64">
        <f t="shared" si="2251"/>
        <v>4407</v>
      </c>
      <c r="BY265" s="64">
        <f t="shared" si="2251"/>
        <v>3707</v>
      </c>
      <c r="BZ265" s="64">
        <f t="shared" si="2251"/>
        <v>4255</v>
      </c>
      <c r="CA265" s="64">
        <f t="shared" si="2251"/>
        <v>3347</v>
      </c>
      <c r="CB265" s="64">
        <f t="shared" si="2251"/>
        <v>3139</v>
      </c>
      <c r="CC265" s="64">
        <f t="shared" si="2251"/>
        <v>3521</v>
      </c>
      <c r="CD265" s="64">
        <f t="shared" si="2251"/>
        <v>3649</v>
      </c>
      <c r="CE265" s="64">
        <f t="shared" si="2251"/>
        <v>3946</v>
      </c>
      <c r="CF265" s="64">
        <f t="shared" si="2251"/>
        <v>4123</v>
      </c>
      <c r="CG265" s="64">
        <f t="shared" si="2251"/>
        <v>4499</v>
      </c>
      <c r="CH265" s="64">
        <f t="shared" si="2251"/>
        <v>4820</v>
      </c>
      <c r="CI265" s="64">
        <f t="shared" si="2251"/>
        <v>3859</v>
      </c>
      <c r="CJ265" s="64">
        <f t="shared" si="2251"/>
        <v>4445</v>
      </c>
      <c r="CK265" s="64">
        <f t="shared" si="2251"/>
        <v>6054</v>
      </c>
      <c r="CL265" s="64">
        <f t="shared" ref="CL265" si="2252">CL56-CL271</f>
        <v>7706</v>
      </c>
      <c r="CM265" s="30">
        <f t="shared" si="2251"/>
        <v>6458.2515686606494</v>
      </c>
      <c r="CN265" s="30">
        <f t="shared" si="2251"/>
        <v>6894.8944104731627</v>
      </c>
      <c r="CO265" s="30">
        <f t="shared" si="2251"/>
        <v>7394.9164399673427</v>
      </c>
      <c r="CP265" s="30">
        <f t="shared" si="2251"/>
        <v>7559.6985690172723</v>
      </c>
      <c r="CQ265" s="30">
        <f t="shared" si="2251"/>
        <v>6653.668371897722</v>
      </c>
      <c r="CR265" s="30">
        <f t="shared" si="2251"/>
        <v>7056.4870965604359</v>
      </c>
      <c r="CS265" s="30">
        <f t="shared" si="2251"/>
        <v>7628.0139858315006</v>
      </c>
      <c r="CT265" s="30">
        <f t="shared" si="2251"/>
        <v>7933.2713010455554</v>
      </c>
      <c r="CU265" s="30">
        <f t="shared" ref="CU265:DB265" si="2253">CU56-CU271</f>
        <v>6770.2722852255238</v>
      </c>
      <c r="CV265" s="30">
        <f t="shared" si="2253"/>
        <v>7074.0294828936667</v>
      </c>
      <c r="CW265" s="30">
        <f t="shared" si="2253"/>
        <v>7546.9503048391907</v>
      </c>
      <c r="CX265" s="30">
        <f t="shared" si="2253"/>
        <v>7737.6396846208918</v>
      </c>
      <c r="CY265" s="30">
        <f t="shared" si="2253"/>
        <v>6702.4119891915416</v>
      </c>
      <c r="CZ265" s="30">
        <f t="shared" si="2253"/>
        <v>6976.5472726005173</v>
      </c>
      <c r="DA265" s="30">
        <f t="shared" si="2253"/>
        <v>7425.0717191253516</v>
      </c>
      <c r="DB265" s="30">
        <f t="shared" si="2253"/>
        <v>7607.3301186183398</v>
      </c>
      <c r="DE265" s="139"/>
      <c r="DF265" s="64">
        <v>6850.4661036692314</v>
      </c>
    </row>
    <row r="266" spans="1:110" s="89" customFormat="1" hidden="1" outlineLevel="1" x14ac:dyDescent="0.2">
      <c r="A266" s="86" t="s">
        <v>476</v>
      </c>
      <c r="B266" s="86">
        <f>+B265/B264</f>
        <v>0.16327281250943476</v>
      </c>
      <c r="C266" s="86">
        <f t="shared" ref="C266" si="2254">+C265/C264</f>
        <v>0.10214205090640409</v>
      </c>
      <c r="D266" s="86">
        <f t="shared" ref="D266" si="2255">+D265/D264</f>
        <v>0.13607947174039037</v>
      </c>
      <c r="E266" s="86">
        <f t="shared" ref="E266" si="2256">+E265/E264</f>
        <v>0.37216506101693442</v>
      </c>
      <c r="F266" s="86">
        <f t="shared" ref="F266" si="2257">+F265/F264</f>
        <v>0.35829014172817991</v>
      </c>
      <c r="G266" s="86">
        <f t="shared" ref="G266" si="2258">+G265/G264</f>
        <v>0.53150527245241841</v>
      </c>
      <c r="H266" s="86">
        <f t="shared" ref="H266" si="2259">+H265/H264</f>
        <v>0.69485871080044914</v>
      </c>
      <c r="I266" s="86">
        <f t="shared" ref="I266" si="2260">+I265/I264</f>
        <v>0.61559407158823876</v>
      </c>
      <c r="J266" s="86">
        <f t="shared" ref="J266" si="2261">+J265/J264</f>
        <v>0.44519634550034443</v>
      </c>
      <c r="K266" s="86">
        <f t="shared" ref="K266" si="2262">+K265/K264</f>
        <v>0.55346669242356195</v>
      </c>
      <c r="L266" s="86">
        <f t="shared" ref="L266" si="2263">+L265/L264</f>
        <v>0.52818962309913009</v>
      </c>
      <c r="M266" s="86">
        <f t="shared" ref="M266" si="2264">+M265/M264</f>
        <v>0.50322649113803131</v>
      </c>
      <c r="N266" s="86">
        <f t="shared" ref="N266" si="2265">+N265/N264</f>
        <v>0.47651876463413034</v>
      </c>
      <c r="O266" s="86">
        <f t="shared" ref="O266" si="2266">+O265/O264</f>
        <v>0.45059917431469115</v>
      </c>
      <c r="P266" s="86">
        <f t="shared" ref="P266" si="2267">+P265/P264</f>
        <v>0.44270835921312196</v>
      </c>
      <c r="Q266" s="86">
        <f t="shared" ref="Q266" si="2268">+Q265/Q264</f>
        <v>0.4301881911660092</v>
      </c>
      <c r="R266" s="86">
        <f t="shared" ref="R266" si="2269">+R265/R264</f>
        <v>0.51808703053516336</v>
      </c>
      <c r="S266" s="86">
        <f t="shared" ref="S266" si="2270">+S265/S264</f>
        <v>0.54487321817132195</v>
      </c>
      <c r="T266" s="86">
        <f t="shared" ref="T266" si="2271">+T265/T264</f>
        <v>0.50525617956245861</v>
      </c>
      <c r="U266" s="86">
        <f t="shared" ref="U266" si="2272">+U265/U264</f>
        <v>0.47664457733958299</v>
      </c>
      <c r="V266" s="86">
        <f t="shared" ref="V266" si="2273">+V265/V264</f>
        <v>0.5157983119006585</v>
      </c>
      <c r="W266" s="86">
        <f t="shared" ref="W266" si="2274">+W265/W264</f>
        <v>0.55112092391304346</v>
      </c>
      <c r="X266" s="86">
        <f t="shared" ref="X266:Y266" si="2275">+X265/X264</f>
        <v>0.51340254560384768</v>
      </c>
      <c r="Y266" s="86">
        <f t="shared" si="2275"/>
        <v>0.47200331812525925</v>
      </c>
      <c r="Z266" s="86">
        <f t="shared" ref="Z266:AA266" si="2276">+Z265/Z264</f>
        <v>0.5101663585951941</v>
      </c>
      <c r="AA266" s="86">
        <f t="shared" si="2276"/>
        <v>0.54020174321809811</v>
      </c>
      <c r="AB266" s="87"/>
      <c r="AC266" s="87"/>
      <c r="AD266" s="87"/>
      <c r="AE266" s="87"/>
      <c r="AF266" s="86"/>
      <c r="AG266" s="86"/>
      <c r="AH266" s="86"/>
      <c r="AI266" s="86">
        <f t="shared" ref="AI266" si="2277">+AI265/AI264</f>
        <v>0.51645188174880174</v>
      </c>
      <c r="AJ266" s="86">
        <f t="shared" ref="AJ266" si="2278">+AJ265/AJ264</f>
        <v>0.51280771673657988</v>
      </c>
      <c r="AK266" s="86">
        <f t="shared" ref="AK266" si="2279">+AK265/AK264</f>
        <v>0.47149797672764804</v>
      </c>
      <c r="AL266" s="86">
        <f t="shared" ref="AL266" si="2280">+AL265/AL264</f>
        <v>0.54135571105113023</v>
      </c>
      <c r="AM266" s="86">
        <f t="shared" ref="AM266" si="2281">+AM265/AM264</f>
        <v>0.50224183689882584</v>
      </c>
      <c r="AN266" s="86">
        <f t="shared" ref="AN266" si="2282">+AN265/AN264</f>
        <v>0.5291742644972226</v>
      </c>
      <c r="AO266" s="86">
        <f t="shared" ref="AO266" si="2283">+AO265/AO264</f>
        <v>0.52861246293553465</v>
      </c>
      <c r="AP266" s="86">
        <f t="shared" ref="AP266" si="2284">+AP265/AP264</f>
        <v>0.4818485291049448</v>
      </c>
      <c r="AQ266" s="86">
        <f t="shared" ref="AQ266" si="2285">+AQ265/AQ264</f>
        <v>0.44972549123932981</v>
      </c>
      <c r="AR266" s="86">
        <f t="shared" ref="AR266" si="2286">+AR265/AR264</f>
        <v>0.52586800898384689</v>
      </c>
      <c r="AS266" s="86">
        <f t="shared" ref="AS266" si="2287">+AS265/AS264</f>
        <v>0.54220713496005857</v>
      </c>
      <c r="AT266" s="86">
        <f t="shared" ref="AT266" si="2288">+AT265/AT264</f>
        <v>0.48609683736983961</v>
      </c>
      <c r="AU266" s="86">
        <f t="shared" ref="AU266" si="2289">+AU265/AU264</f>
        <v>0.45929804940264501</v>
      </c>
      <c r="AV266" s="86">
        <f t="shared" ref="AV266" si="2290">+AV265/AV264</f>
        <v>0.50339155736275443</v>
      </c>
      <c r="AW266" s="86">
        <f t="shared" ref="AW266" si="2291">+AW265/AW264</f>
        <v>0.39717049576783547</v>
      </c>
      <c r="AX266" s="86">
        <f t="shared" ref="AX266" si="2292">+AX265/AX264</f>
        <v>0.38041863683876775</v>
      </c>
      <c r="AY266" s="86">
        <f t="shared" ref="AY266" si="2293">+AY265/AY264</f>
        <v>0.40335235378031381</v>
      </c>
      <c r="AZ266" s="86">
        <f t="shared" ref="AZ266" si="2294">+AZ265/AZ264</f>
        <v>0.53920041536863972</v>
      </c>
      <c r="BA266" s="86">
        <f t="shared" ref="BA266" si="2295">+BA265/BA264</f>
        <v>0.5171582266740864</v>
      </c>
      <c r="BB266" s="86">
        <f t="shared" ref="BB266" si="2296">+BB265/BB264</f>
        <v>0.5984012789768185</v>
      </c>
      <c r="BC266" s="86">
        <f t="shared" ref="BC266" si="2297">+BC265/BC264</f>
        <v>0.47556353480949531</v>
      </c>
      <c r="BD266" s="86">
        <f t="shared" ref="BD266" si="2298">+BD265/BD264</f>
        <v>0.5695987944999058</v>
      </c>
      <c r="BE266" s="86">
        <f t="shared" ref="BE266" si="2299">+BE265/BE264</f>
        <v>0.54778790949003719</v>
      </c>
      <c r="BF266" s="86">
        <f t="shared" ref="BF266" si="2300">+BF265/BF264</f>
        <v>0.57670861876692692</v>
      </c>
      <c r="BG266" s="86">
        <f t="shared" ref="BG266" si="2301">+BG265/BG264</f>
        <v>0.51092278719397366</v>
      </c>
      <c r="BH266" s="86">
        <f t="shared" ref="BH266" si="2302">+BH265/BH264</f>
        <v>0.48775382038936571</v>
      </c>
      <c r="BI266" s="86">
        <f t="shared" ref="BI266" si="2303">+BI265/BI264</f>
        <v>0.51227436823104688</v>
      </c>
      <c r="BJ266" s="86">
        <f t="shared" ref="BJ266" si="2304">+BJ265/BJ264</f>
        <v>0.50792205427062465</v>
      </c>
      <c r="BK266" s="86">
        <f t="shared" ref="BK266" si="2305">+BK265/BK264</f>
        <v>0.49669139763384801</v>
      </c>
      <c r="BL266" s="86">
        <f t="shared" ref="BL266" si="2306">+BL265/BL264</f>
        <v>0.46929727333185545</v>
      </c>
      <c r="BM266" s="86">
        <f t="shared" ref="BM266" si="2307">+BM265/BM264</f>
        <v>0.48994006849315069</v>
      </c>
      <c r="BN266" s="86">
        <f t="shared" ref="BN266" si="2308">+BN265/BN264</f>
        <v>0.44727852425415621</v>
      </c>
      <c r="BO266" s="86">
        <f t="shared" ref="BO266" si="2309">+BO265/BO264</f>
        <v>0.3950864878415643</v>
      </c>
      <c r="BP266" s="86">
        <f t="shared" ref="BP266" si="2310">+BP265/BP264</f>
        <v>0.52155477031802122</v>
      </c>
      <c r="BQ266" s="86">
        <f t="shared" ref="BQ266" si="2311">+BQ265/BQ264</f>
        <v>0.54185314105751703</v>
      </c>
      <c r="BR266" s="86">
        <f t="shared" ref="BR266" si="2312">+BR265/BR264</f>
        <v>0.55779473153879378</v>
      </c>
      <c r="BS266" s="86">
        <f t="shared" ref="BS266" si="2313">+BS265/BS264</f>
        <v>0.54478640330730366</v>
      </c>
      <c r="BT266" s="86">
        <f t="shared" ref="BT266" si="2314">+BT265/BT264</f>
        <v>0.54475661548513554</v>
      </c>
      <c r="BU266" s="86">
        <f t="shared" ref="BU266" si="2315">+BU265/BU264</f>
        <v>0.54693366708385482</v>
      </c>
      <c r="BV266" s="86">
        <f t="shared" ref="BV266" si="2316">+BV265/BV264</f>
        <v>0.56405592815732641</v>
      </c>
      <c r="BW266" s="86">
        <f t="shared" ref="BW266" si="2317">+BW265/BW264</f>
        <v>0.54724619154149357</v>
      </c>
      <c r="BX266" s="86">
        <f t="shared" ref="BX266" si="2318">+BX265/BX264</f>
        <v>0.52867082533589249</v>
      </c>
      <c r="BY266" s="86">
        <f t="shared" ref="BY266" si="2319">+BY265/BY264</f>
        <v>0.47126875158911774</v>
      </c>
      <c r="BZ266" s="86">
        <f t="shared" ref="BZ266" si="2320">+BZ265/BZ264</f>
        <v>0.50005876131155247</v>
      </c>
      <c r="CA266" s="86">
        <f t="shared" ref="CA266" si="2321">+CA265/CA264</f>
        <v>0.45962647624279046</v>
      </c>
      <c r="CB266" s="86">
        <f t="shared" ref="CB266:CC266" si="2322">+CB265/CB264</f>
        <v>0.46222942129288763</v>
      </c>
      <c r="CC266" s="86">
        <f t="shared" si="2322"/>
        <v>0.4816689466484268</v>
      </c>
      <c r="CD266" s="86">
        <f t="shared" ref="CD266" si="2323">+CD265/CD264</f>
        <v>0.48337528149423764</v>
      </c>
      <c r="CE266" s="86">
        <f t="shared" ref="CE266:CF266" si="2324">+CE265/CE264</f>
        <v>0.48536285362853626</v>
      </c>
      <c r="CF266" s="86">
        <f t="shared" si="2324"/>
        <v>0.49963645176926808</v>
      </c>
      <c r="CG266" s="86">
        <f t="shared" ref="CG266:CH266" si="2325">+CG265/CG264</f>
        <v>0.5222892964940794</v>
      </c>
      <c r="CH266" s="86">
        <f t="shared" si="2325"/>
        <v>0.53042808407615272</v>
      </c>
      <c r="CI266" s="86">
        <f t="shared" ref="CI266:CJ266" si="2326">+CI265/CI264</f>
        <v>0.49658988547162525</v>
      </c>
      <c r="CJ266" s="86">
        <f t="shared" si="2326"/>
        <v>0.51994385308223179</v>
      </c>
      <c r="CK266" s="86">
        <f t="shared" ref="CK266:DB266" si="2327">+CK265/CK264</f>
        <v>0.55136612021857923</v>
      </c>
      <c r="CL266" s="86">
        <f t="shared" si="2327"/>
        <v>0.56896042528056701</v>
      </c>
      <c r="CM266" s="47">
        <f t="shared" si="2327"/>
        <v>0.56772733018268973</v>
      </c>
      <c r="CN266" s="47">
        <f t="shared" si="2327"/>
        <v>0.58480562097131339</v>
      </c>
      <c r="CO266" s="47">
        <f t="shared" si="2327"/>
        <v>0.59156078276577106</v>
      </c>
      <c r="CP266" s="47">
        <f t="shared" si="2327"/>
        <v>0.59282716306082028</v>
      </c>
      <c r="CQ266" s="47">
        <f t="shared" si="2327"/>
        <v>0.60164085629875952</v>
      </c>
      <c r="CR266" s="47">
        <f t="shared" si="2327"/>
        <v>0.6098375223479201</v>
      </c>
      <c r="CS266" s="47">
        <f t="shared" si="2327"/>
        <v>0.61588612354719496</v>
      </c>
      <c r="CT266" s="47">
        <f t="shared" si="2327"/>
        <v>0.62174468715922482</v>
      </c>
      <c r="CU266" s="47">
        <f t="shared" si="2327"/>
        <v>0.61227729733827496</v>
      </c>
      <c r="CV266" s="47">
        <f t="shared" si="2327"/>
        <v>0.61493640759815371</v>
      </c>
      <c r="CW266" s="47">
        <f t="shared" si="2327"/>
        <v>0.61621112891071206</v>
      </c>
      <c r="CX266" s="47">
        <f t="shared" si="2327"/>
        <v>0.61629238025159161</v>
      </c>
      <c r="CY266" s="47">
        <f t="shared" si="2327"/>
        <v>0.61492930352468311</v>
      </c>
      <c r="CZ266" s="47">
        <f t="shared" si="2327"/>
        <v>0.61559230507128515</v>
      </c>
      <c r="DA266" s="47">
        <f t="shared" si="2327"/>
        <v>0.6157562794395679</v>
      </c>
      <c r="DB266" s="47">
        <f t="shared" si="2327"/>
        <v>0.615642567071782</v>
      </c>
      <c r="DE266" s="130"/>
      <c r="DF266" s="89">
        <v>0.529397155815854</v>
      </c>
    </row>
    <row r="267" spans="1:110" s="64" customFormat="1" hidden="1" outlineLevel="1" x14ac:dyDescent="0.2">
      <c r="A267" s="64" t="s">
        <v>477</v>
      </c>
      <c r="B267" s="64">
        <f t="shared" ref="B267:Z267" si="2328">B69-B273</f>
        <v>169.2199</v>
      </c>
      <c r="C267" s="64">
        <f t="shared" si="2328"/>
        <v>67.962999999999909</v>
      </c>
      <c r="D267" s="64">
        <f t="shared" si="2328"/>
        <v>142.15199999999999</v>
      </c>
      <c r="E267" s="64">
        <f t="shared" si="2328"/>
        <v>615.47499999999991</v>
      </c>
      <c r="F267" s="64">
        <f t="shared" si="2328"/>
        <v>655.33000000000015</v>
      </c>
      <c r="G267" s="64">
        <f t="shared" si="2328"/>
        <v>1472.4799999999996</v>
      </c>
      <c r="H267" s="64">
        <f t="shared" si="2328"/>
        <v>4441.8100000000031</v>
      </c>
      <c r="I267" s="64">
        <f t="shared" si="2328"/>
        <v>4396.07</v>
      </c>
      <c r="J267" s="64">
        <f t="shared" si="2328"/>
        <v>2727.61</v>
      </c>
      <c r="K267" s="64">
        <f t="shared" si="2328"/>
        <v>4041.4100000000008</v>
      </c>
      <c r="L267" s="64">
        <f t="shared" si="2328"/>
        <v>4921.6499999999996</v>
      </c>
      <c r="M267" s="64">
        <f t="shared" si="2328"/>
        <v>5569.1699999999983</v>
      </c>
      <c r="N267" s="64">
        <f t="shared" si="2328"/>
        <v>6917.01</v>
      </c>
      <c r="O267" s="64">
        <f t="shared" si="2328"/>
        <v>6904.619999999999</v>
      </c>
      <c r="P267" s="64">
        <f t="shared" si="2328"/>
        <v>8207.869999999999</v>
      </c>
      <c r="Q267" s="64">
        <f t="shared" si="2328"/>
        <v>8205</v>
      </c>
      <c r="R267" s="64">
        <f t="shared" si="2328"/>
        <v>8316</v>
      </c>
      <c r="S267" s="64">
        <f t="shared" si="2328"/>
        <v>9036</v>
      </c>
      <c r="T267" s="64">
        <f t="shared" si="2328"/>
        <v>7956</v>
      </c>
      <c r="U267" s="64">
        <f t="shared" si="2328"/>
        <v>6805</v>
      </c>
      <c r="V267" s="64">
        <f t="shared" si="2328"/>
        <v>7980</v>
      </c>
      <c r="W267" s="64">
        <f t="shared" si="2328"/>
        <v>9763</v>
      </c>
      <c r="X267" s="64">
        <f t="shared" si="2328"/>
        <v>10511</v>
      </c>
      <c r="Y267" s="64">
        <f t="shared" si="2328"/>
        <v>7759</v>
      </c>
      <c r="Z267" s="64">
        <f t="shared" si="2328"/>
        <v>10436</v>
      </c>
      <c r="AA267" s="64">
        <f t="shared" ref="AA267" si="2329">AA69-AA273</f>
        <v>13807</v>
      </c>
      <c r="AB267" s="30"/>
      <c r="AC267" s="30"/>
      <c r="AD267" s="30"/>
      <c r="AE267" s="30"/>
      <c r="AI267" s="64">
        <f t="shared" ref="AI267:BN267" si="2330">AI69-AI273</f>
        <v>1581.3400000000001</v>
      </c>
      <c r="AJ267" s="64">
        <f t="shared" si="2330"/>
        <v>1539.7900000000004</v>
      </c>
      <c r="AK267" s="64">
        <f t="shared" si="2330"/>
        <v>1612.5400000000002</v>
      </c>
      <c r="AL267" s="64">
        <f t="shared" si="2330"/>
        <v>2183.34</v>
      </c>
      <c r="AM267" s="64">
        <f t="shared" si="2330"/>
        <v>1660.97</v>
      </c>
      <c r="AN267" s="64">
        <f t="shared" si="2330"/>
        <v>1701.3999999999996</v>
      </c>
      <c r="AO267" s="64">
        <f t="shared" si="2330"/>
        <v>1722.72</v>
      </c>
      <c r="AP267" s="64">
        <f t="shared" si="2330"/>
        <v>1881.2</v>
      </c>
      <c r="AQ267" s="64">
        <f t="shared" si="2330"/>
        <v>1617.6700000000003</v>
      </c>
      <c r="AR267" s="64">
        <f t="shared" si="2330"/>
        <v>2186.33</v>
      </c>
      <c r="AS267" s="64">
        <f t="shared" si="2330"/>
        <v>2379.37</v>
      </c>
      <c r="AT267" s="64">
        <f t="shared" si="2330"/>
        <v>2024.5</v>
      </c>
      <c r="AU267" s="64">
        <f t="shared" si="2330"/>
        <v>1947.1199999999997</v>
      </c>
      <c r="AV267" s="64">
        <f t="shared" si="2330"/>
        <v>2270.3900000000003</v>
      </c>
      <c r="AW267" s="64">
        <f t="shared" si="2330"/>
        <v>1840.33</v>
      </c>
      <c r="AX267" s="64">
        <f t="shared" si="2330"/>
        <v>2147.6299999999997</v>
      </c>
      <c r="AY267" s="64">
        <f t="shared" si="2330"/>
        <v>1037</v>
      </c>
      <c r="AZ267" s="64">
        <f t="shared" si="2330"/>
        <v>1902</v>
      </c>
      <c r="BA267" s="64">
        <f t="shared" si="2330"/>
        <v>2320</v>
      </c>
      <c r="BB267" s="64">
        <f t="shared" si="2330"/>
        <v>3057</v>
      </c>
      <c r="BC267" s="64">
        <f t="shared" si="2330"/>
        <v>1889</v>
      </c>
      <c r="BD267" s="64">
        <f t="shared" si="2330"/>
        <v>2293</v>
      </c>
      <c r="BE267" s="64">
        <f t="shared" si="2330"/>
        <v>2298</v>
      </c>
      <c r="BF267" s="64">
        <f t="shared" si="2330"/>
        <v>2556</v>
      </c>
      <c r="BG267" s="64">
        <f t="shared" si="2330"/>
        <v>1918</v>
      </c>
      <c r="BH267" s="64">
        <f t="shared" si="2330"/>
        <v>1815</v>
      </c>
      <c r="BI267" s="64">
        <f t="shared" si="2330"/>
        <v>2211</v>
      </c>
      <c r="BJ267" s="64">
        <f t="shared" si="2330"/>
        <v>2012</v>
      </c>
      <c r="BK267" s="64">
        <f t="shared" si="2330"/>
        <v>1765</v>
      </c>
      <c r="BL267" s="64">
        <f t="shared" si="2330"/>
        <v>2081</v>
      </c>
      <c r="BM267" s="64">
        <f t="shared" si="2330"/>
        <v>1620</v>
      </c>
      <c r="BN267" s="64">
        <f t="shared" si="2330"/>
        <v>1339</v>
      </c>
      <c r="BO267" s="64">
        <f t="shared" ref="BO267:CT267" si="2331">BO69-BO273</f>
        <v>1359</v>
      </c>
      <c r="BP267" s="64">
        <f t="shared" si="2331"/>
        <v>1940</v>
      </c>
      <c r="BQ267" s="64">
        <f t="shared" si="2331"/>
        <v>2200</v>
      </c>
      <c r="BR267" s="64">
        <f t="shared" si="2331"/>
        <v>2481</v>
      </c>
      <c r="BS267" s="64">
        <f t="shared" si="2331"/>
        <v>2117</v>
      </c>
      <c r="BT267" s="64">
        <f t="shared" si="2331"/>
        <v>2017</v>
      </c>
      <c r="BU267" s="64">
        <f t="shared" si="2331"/>
        <v>2701</v>
      </c>
      <c r="BV267" s="64">
        <f t="shared" si="2331"/>
        <v>2928</v>
      </c>
      <c r="BW267" s="64">
        <f t="shared" si="2331"/>
        <v>3092</v>
      </c>
      <c r="BX267" s="64">
        <f t="shared" si="2331"/>
        <v>2680</v>
      </c>
      <c r="BY267" s="64">
        <f t="shared" si="2331"/>
        <v>2156</v>
      </c>
      <c r="BZ267" s="64">
        <f t="shared" si="2331"/>
        <v>2583</v>
      </c>
      <c r="CA267" s="64">
        <f t="shared" si="2331"/>
        <v>1964</v>
      </c>
      <c r="CB267" s="64">
        <f t="shared" si="2331"/>
        <v>1729</v>
      </c>
      <c r="CC267" s="64">
        <f t="shared" si="2331"/>
        <v>2028</v>
      </c>
      <c r="CD267" s="64">
        <f t="shared" si="2331"/>
        <v>2038</v>
      </c>
      <c r="CE267" s="64">
        <f t="shared" si="2331"/>
        <v>2345</v>
      </c>
      <c r="CF267" s="64">
        <f t="shared" si="2331"/>
        <v>2410</v>
      </c>
      <c r="CG267" s="64">
        <f t="shared" si="2331"/>
        <v>2678</v>
      </c>
      <c r="CH267" s="64">
        <f t="shared" si="2331"/>
        <v>3003</v>
      </c>
      <c r="CI267" s="64">
        <f t="shared" si="2331"/>
        <v>2234</v>
      </c>
      <c r="CJ267" s="64">
        <f t="shared" si="2331"/>
        <v>2649</v>
      </c>
      <c r="CK267" s="64">
        <f t="shared" si="2331"/>
        <v>3891</v>
      </c>
      <c r="CL267" s="64">
        <f t="shared" ref="CL267" si="2332">CL69-CL273</f>
        <v>5033</v>
      </c>
      <c r="CM267" s="30">
        <f t="shared" si="2331"/>
        <v>4122.0383591146547</v>
      </c>
      <c r="CN267" s="30">
        <f t="shared" si="2331"/>
        <v>4336.9846932868022</v>
      </c>
      <c r="CO267" s="30">
        <f t="shared" si="2331"/>
        <v>4614.9441252898641</v>
      </c>
      <c r="CP267" s="30">
        <f t="shared" si="2331"/>
        <v>4648.8103881680418</v>
      </c>
      <c r="CQ267" s="30">
        <f t="shared" si="2331"/>
        <v>4125.9540590614342</v>
      </c>
      <c r="CR267" s="30">
        <f t="shared" si="2331"/>
        <v>4349.9751084639338</v>
      </c>
      <c r="CS267" s="30">
        <f t="shared" si="2331"/>
        <v>4711.5298878120111</v>
      </c>
      <c r="CT267" s="30">
        <f t="shared" si="2331"/>
        <v>4881.8612728245625</v>
      </c>
      <c r="CU267" s="30">
        <f t="shared" ref="CU267:DB267" si="2333">CU69-CU273</f>
        <v>3959.78905775772</v>
      </c>
      <c r="CV267" s="30">
        <f t="shared" si="2333"/>
        <v>4273.8021313567606</v>
      </c>
      <c r="CW267" s="30">
        <f t="shared" si="2333"/>
        <v>4719.4837356648222</v>
      </c>
      <c r="CX267" s="30">
        <f t="shared" si="2333"/>
        <v>4956.1200795833247</v>
      </c>
      <c r="CY267" s="30">
        <f t="shared" si="2333"/>
        <v>4275.5303784889093</v>
      </c>
      <c r="CZ267" s="30">
        <f t="shared" si="2333"/>
        <v>4560.6503806435412</v>
      </c>
      <c r="DA267" s="30">
        <f t="shared" si="2333"/>
        <v>4981.2946549231983</v>
      </c>
      <c r="DB267" s="30">
        <f t="shared" si="2333"/>
        <v>5204.9276883059265</v>
      </c>
      <c r="DE267" s="139"/>
      <c r="DF267" s="64">
        <v>4425.4922656785311</v>
      </c>
    </row>
    <row r="268" spans="1:110" s="64" customFormat="1" hidden="1" outlineLevel="1" x14ac:dyDescent="0.2">
      <c r="AB268" s="30"/>
      <c r="AC268" s="30"/>
      <c r="AD268" s="30"/>
      <c r="AE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E268" s="139"/>
    </row>
    <row r="269" spans="1:110" s="64" customFormat="1" hidden="1" outlineLevel="1" x14ac:dyDescent="0.2">
      <c r="A269" s="65" t="s">
        <v>352</v>
      </c>
      <c r="AB269" s="30"/>
      <c r="AC269" s="30"/>
      <c r="AD269" s="30"/>
      <c r="AE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E269" s="139"/>
    </row>
    <row r="270" spans="1:110" s="64" customFormat="1" hidden="1" outlineLevel="1" x14ac:dyDescent="0.2">
      <c r="A270" s="64" t="s">
        <v>478</v>
      </c>
      <c r="AB270" s="30"/>
      <c r="AC270" s="30"/>
      <c r="AD270" s="30"/>
      <c r="AE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E270" s="139"/>
    </row>
    <row r="271" spans="1:110" s="64" customFormat="1" hidden="1" outlineLevel="1" x14ac:dyDescent="0.2">
      <c r="A271" s="64" t="s">
        <v>479</v>
      </c>
      <c r="AB271" s="30"/>
      <c r="AC271" s="30"/>
      <c r="AD271" s="30"/>
      <c r="AE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E271" s="139"/>
    </row>
    <row r="272" spans="1:110" s="89" customFormat="1" hidden="1" outlineLevel="1" x14ac:dyDescent="0.2">
      <c r="A272" s="86" t="s">
        <v>480</v>
      </c>
      <c r="B272" s="86" t="e">
        <f>+B271/B270</f>
        <v>#DIV/0!</v>
      </c>
      <c r="C272" s="86" t="e">
        <f t="shared" ref="C272:X272" si="2334">+C271/C270</f>
        <v>#DIV/0!</v>
      </c>
      <c r="D272" s="86" t="e">
        <f t="shared" si="2334"/>
        <v>#DIV/0!</v>
      </c>
      <c r="E272" s="86" t="e">
        <f t="shared" si="2334"/>
        <v>#DIV/0!</v>
      </c>
      <c r="F272" s="86" t="e">
        <f t="shared" si="2334"/>
        <v>#DIV/0!</v>
      </c>
      <c r="G272" s="86" t="e">
        <f t="shared" si="2334"/>
        <v>#DIV/0!</v>
      </c>
      <c r="H272" s="86" t="e">
        <f t="shared" si="2334"/>
        <v>#DIV/0!</v>
      </c>
      <c r="I272" s="86" t="e">
        <f t="shared" si="2334"/>
        <v>#DIV/0!</v>
      </c>
      <c r="J272" s="86" t="e">
        <f t="shared" si="2334"/>
        <v>#DIV/0!</v>
      </c>
      <c r="K272" s="86" t="e">
        <f t="shared" si="2334"/>
        <v>#DIV/0!</v>
      </c>
      <c r="L272" s="86" t="e">
        <f t="shared" si="2334"/>
        <v>#DIV/0!</v>
      </c>
      <c r="M272" s="86" t="e">
        <f t="shared" si="2334"/>
        <v>#DIV/0!</v>
      </c>
      <c r="N272" s="86" t="e">
        <f t="shared" si="2334"/>
        <v>#DIV/0!</v>
      </c>
      <c r="O272" s="86" t="e">
        <f t="shared" si="2334"/>
        <v>#DIV/0!</v>
      </c>
      <c r="P272" s="86" t="e">
        <f t="shared" si="2334"/>
        <v>#DIV/0!</v>
      </c>
      <c r="Q272" s="86" t="e">
        <f t="shared" si="2334"/>
        <v>#DIV/0!</v>
      </c>
      <c r="R272" s="86" t="e">
        <f t="shared" si="2334"/>
        <v>#DIV/0!</v>
      </c>
      <c r="S272" s="86" t="e">
        <f t="shared" si="2334"/>
        <v>#DIV/0!</v>
      </c>
      <c r="T272" s="86" t="e">
        <f t="shared" si="2334"/>
        <v>#DIV/0!</v>
      </c>
      <c r="U272" s="86" t="e">
        <f t="shared" si="2334"/>
        <v>#DIV/0!</v>
      </c>
      <c r="V272" s="86" t="e">
        <f t="shared" si="2334"/>
        <v>#DIV/0!</v>
      </c>
      <c r="W272" s="86" t="e">
        <f t="shared" si="2334"/>
        <v>#DIV/0!</v>
      </c>
      <c r="X272" s="86" t="e">
        <f t="shared" si="2334"/>
        <v>#DIV/0!</v>
      </c>
      <c r="Y272" s="86" t="e">
        <f t="shared" ref="Y272:Z272" si="2335">+Y271/Y270</f>
        <v>#DIV/0!</v>
      </c>
      <c r="Z272" s="86" t="e">
        <f t="shared" si="2335"/>
        <v>#DIV/0!</v>
      </c>
      <c r="AA272" s="86" t="e">
        <f t="shared" ref="AA272" si="2336">+AA271/AA270</f>
        <v>#DIV/0!</v>
      </c>
      <c r="AB272" s="87"/>
      <c r="AC272" s="87"/>
      <c r="AD272" s="87"/>
      <c r="AE272" s="87"/>
      <c r="AF272" s="86"/>
      <c r="AG272" s="86"/>
      <c r="AH272" s="86"/>
      <c r="AI272" s="86" t="e">
        <f t="shared" ref="AI272" si="2337">+AI271/AI270</f>
        <v>#DIV/0!</v>
      </c>
      <c r="AJ272" s="86" t="e">
        <f t="shared" ref="AJ272" si="2338">+AJ271/AJ270</f>
        <v>#DIV/0!</v>
      </c>
      <c r="AK272" s="86" t="e">
        <f t="shared" ref="AK272" si="2339">+AK271/AK270</f>
        <v>#DIV/0!</v>
      </c>
      <c r="AL272" s="86" t="e">
        <f t="shared" ref="AL272" si="2340">+AL271/AL270</f>
        <v>#DIV/0!</v>
      </c>
      <c r="AM272" s="86" t="e">
        <f t="shared" ref="AM272" si="2341">+AM271/AM270</f>
        <v>#DIV/0!</v>
      </c>
      <c r="AN272" s="86" t="e">
        <f t="shared" ref="AN272" si="2342">+AN271/AN270</f>
        <v>#DIV/0!</v>
      </c>
      <c r="AO272" s="86" t="e">
        <f t="shared" ref="AO272" si="2343">+AO271/AO270</f>
        <v>#DIV/0!</v>
      </c>
      <c r="AP272" s="86" t="e">
        <f t="shared" ref="AP272" si="2344">+AP271/AP270</f>
        <v>#DIV/0!</v>
      </c>
      <c r="AQ272" s="86" t="e">
        <f t="shared" ref="AQ272" si="2345">+AQ271/AQ270</f>
        <v>#DIV/0!</v>
      </c>
      <c r="AR272" s="86" t="e">
        <f t="shared" ref="AR272" si="2346">+AR271/AR270</f>
        <v>#DIV/0!</v>
      </c>
      <c r="AS272" s="86" t="e">
        <f t="shared" ref="AS272" si="2347">+AS271/AS270</f>
        <v>#DIV/0!</v>
      </c>
      <c r="AT272" s="86" t="e">
        <f t="shared" ref="AT272" si="2348">+AT271/AT270</f>
        <v>#DIV/0!</v>
      </c>
      <c r="AU272" s="86" t="e">
        <f t="shared" ref="AU272" si="2349">+AU271/AU270</f>
        <v>#DIV/0!</v>
      </c>
      <c r="AV272" s="86" t="e">
        <f t="shared" ref="AV272" si="2350">+AV271/AV270</f>
        <v>#DIV/0!</v>
      </c>
      <c r="AW272" s="86" t="e">
        <f t="shared" ref="AW272" si="2351">+AW271/AW270</f>
        <v>#DIV/0!</v>
      </c>
      <c r="AX272" s="86" t="e">
        <f t="shared" ref="AX272" si="2352">+AX271/AX270</f>
        <v>#DIV/0!</v>
      </c>
      <c r="AY272" s="86" t="e">
        <f t="shared" ref="AY272" si="2353">+AY271/AY270</f>
        <v>#DIV/0!</v>
      </c>
      <c r="AZ272" s="86" t="e">
        <f t="shared" ref="AZ272" si="2354">+AZ271/AZ270</f>
        <v>#DIV/0!</v>
      </c>
      <c r="BA272" s="86" t="e">
        <f t="shared" ref="BA272" si="2355">+BA271/BA270</f>
        <v>#DIV/0!</v>
      </c>
      <c r="BB272" s="86" t="e">
        <f t="shared" ref="BB272" si="2356">+BB271/BB270</f>
        <v>#DIV/0!</v>
      </c>
      <c r="BC272" s="86" t="e">
        <f t="shared" ref="BC272" si="2357">+BC271/BC270</f>
        <v>#DIV/0!</v>
      </c>
      <c r="BD272" s="86" t="e">
        <f t="shared" ref="BD272" si="2358">+BD271/BD270</f>
        <v>#DIV/0!</v>
      </c>
      <c r="BE272" s="86" t="e">
        <f t="shared" ref="BE272" si="2359">+BE271/BE270</f>
        <v>#DIV/0!</v>
      </c>
      <c r="BF272" s="86" t="e">
        <f t="shared" ref="BF272" si="2360">+BF271/BF270</f>
        <v>#DIV/0!</v>
      </c>
      <c r="BG272" s="86" t="e">
        <f t="shared" ref="BG272" si="2361">+BG271/BG270</f>
        <v>#DIV/0!</v>
      </c>
      <c r="BH272" s="86" t="e">
        <f t="shared" ref="BH272" si="2362">+BH271/BH270</f>
        <v>#DIV/0!</v>
      </c>
      <c r="BI272" s="86" t="e">
        <f t="shared" ref="BI272" si="2363">+BI271/BI270</f>
        <v>#DIV/0!</v>
      </c>
      <c r="BJ272" s="86" t="e">
        <f t="shared" ref="BJ272" si="2364">+BJ271/BJ270</f>
        <v>#DIV/0!</v>
      </c>
      <c r="BK272" s="86" t="e">
        <f t="shared" ref="BK272" si="2365">+BK271/BK270</f>
        <v>#DIV/0!</v>
      </c>
      <c r="BL272" s="86" t="e">
        <f t="shared" ref="BL272" si="2366">+BL271/BL270</f>
        <v>#DIV/0!</v>
      </c>
      <c r="BM272" s="86" t="e">
        <f t="shared" ref="BM272" si="2367">+BM271/BM270</f>
        <v>#DIV/0!</v>
      </c>
      <c r="BN272" s="86" t="e">
        <f t="shared" ref="BN272" si="2368">+BN271/BN270</f>
        <v>#DIV/0!</v>
      </c>
      <c r="BO272" s="86" t="e">
        <f t="shared" ref="BO272" si="2369">+BO271/BO270</f>
        <v>#DIV/0!</v>
      </c>
      <c r="BP272" s="86" t="e">
        <f t="shared" ref="BP272" si="2370">+BP271/BP270</f>
        <v>#DIV/0!</v>
      </c>
      <c r="BQ272" s="86" t="e">
        <f t="shared" ref="BQ272" si="2371">+BQ271/BQ270</f>
        <v>#DIV/0!</v>
      </c>
      <c r="BR272" s="86" t="e">
        <f t="shared" ref="BR272" si="2372">+BR271/BR270</f>
        <v>#DIV/0!</v>
      </c>
      <c r="BS272" s="86" t="e">
        <f t="shared" ref="BS272" si="2373">+BS271/BS270</f>
        <v>#DIV/0!</v>
      </c>
      <c r="BT272" s="86" t="e">
        <f t="shared" ref="BT272" si="2374">+BT271/BT270</f>
        <v>#DIV/0!</v>
      </c>
      <c r="BU272" s="86" t="e">
        <f t="shared" ref="BU272" si="2375">+BU271/BU270</f>
        <v>#DIV/0!</v>
      </c>
      <c r="BV272" s="86" t="e">
        <f t="shared" ref="BV272" si="2376">+BV271/BV270</f>
        <v>#DIV/0!</v>
      </c>
      <c r="BW272" s="86" t="e">
        <f t="shared" ref="BW272" si="2377">+BW271/BW270</f>
        <v>#DIV/0!</v>
      </c>
      <c r="BX272" s="86" t="e">
        <f t="shared" ref="BX272" si="2378">+BX271/BX270</f>
        <v>#DIV/0!</v>
      </c>
      <c r="BY272" s="86" t="e">
        <f t="shared" ref="BY272" si="2379">+BY271/BY270</f>
        <v>#DIV/0!</v>
      </c>
      <c r="BZ272" s="86" t="e">
        <f t="shared" ref="BZ272" si="2380">+BZ271/BZ270</f>
        <v>#DIV/0!</v>
      </c>
      <c r="CA272" s="86" t="e">
        <f t="shared" ref="CA272" si="2381">+CA271/CA270</f>
        <v>#DIV/0!</v>
      </c>
      <c r="CB272" s="86" t="e">
        <f t="shared" ref="CB272:CC272" si="2382">+CB271/CB270</f>
        <v>#DIV/0!</v>
      </c>
      <c r="CC272" s="86" t="e">
        <f t="shared" si="2382"/>
        <v>#DIV/0!</v>
      </c>
      <c r="CD272" s="86" t="e">
        <f t="shared" ref="CD272" si="2383">+CD271/CD270</f>
        <v>#DIV/0!</v>
      </c>
      <c r="CE272" s="86" t="e">
        <f t="shared" ref="CE272:CF272" si="2384">+CE271/CE270</f>
        <v>#DIV/0!</v>
      </c>
      <c r="CF272" s="86" t="e">
        <f t="shared" si="2384"/>
        <v>#DIV/0!</v>
      </c>
      <c r="CG272" s="86" t="e">
        <f t="shared" ref="CG272:CH272" si="2385">+CG271/CG270</f>
        <v>#DIV/0!</v>
      </c>
      <c r="CH272" s="86" t="e">
        <f t="shared" si="2385"/>
        <v>#DIV/0!</v>
      </c>
      <c r="CI272" s="86" t="e">
        <f t="shared" ref="CI272:CJ272" si="2386">+CI271/CI270</f>
        <v>#DIV/0!</v>
      </c>
      <c r="CJ272" s="86" t="e">
        <f t="shared" si="2386"/>
        <v>#DIV/0!</v>
      </c>
      <c r="CK272" s="86" t="e">
        <f t="shared" ref="CK272:DB272" si="2387">+CK271/CK270</f>
        <v>#DIV/0!</v>
      </c>
      <c r="CL272" s="86" t="e">
        <f t="shared" si="2387"/>
        <v>#DIV/0!</v>
      </c>
      <c r="CM272" s="47" t="e">
        <f t="shared" si="2387"/>
        <v>#DIV/0!</v>
      </c>
      <c r="CN272" s="47" t="e">
        <f t="shared" si="2387"/>
        <v>#DIV/0!</v>
      </c>
      <c r="CO272" s="47" t="e">
        <f t="shared" si="2387"/>
        <v>#DIV/0!</v>
      </c>
      <c r="CP272" s="47" t="e">
        <f t="shared" si="2387"/>
        <v>#DIV/0!</v>
      </c>
      <c r="CQ272" s="47" t="e">
        <f t="shared" si="2387"/>
        <v>#DIV/0!</v>
      </c>
      <c r="CR272" s="47" t="e">
        <f t="shared" si="2387"/>
        <v>#DIV/0!</v>
      </c>
      <c r="CS272" s="47" t="e">
        <f t="shared" si="2387"/>
        <v>#DIV/0!</v>
      </c>
      <c r="CT272" s="47" t="e">
        <f t="shared" si="2387"/>
        <v>#DIV/0!</v>
      </c>
      <c r="CU272" s="47" t="e">
        <f t="shared" si="2387"/>
        <v>#DIV/0!</v>
      </c>
      <c r="CV272" s="47" t="e">
        <f t="shared" si="2387"/>
        <v>#DIV/0!</v>
      </c>
      <c r="CW272" s="47" t="e">
        <f t="shared" si="2387"/>
        <v>#DIV/0!</v>
      </c>
      <c r="CX272" s="47" t="e">
        <f t="shared" si="2387"/>
        <v>#DIV/0!</v>
      </c>
      <c r="CY272" s="47" t="e">
        <f t="shared" si="2387"/>
        <v>#DIV/0!</v>
      </c>
      <c r="CZ272" s="47" t="e">
        <f t="shared" si="2387"/>
        <v>#DIV/0!</v>
      </c>
      <c r="DA272" s="47" t="e">
        <f t="shared" si="2387"/>
        <v>#DIV/0!</v>
      </c>
      <c r="DB272" s="47" t="e">
        <f t="shared" si="2387"/>
        <v>#DIV/0!</v>
      </c>
      <c r="DE272" s="130"/>
    </row>
    <row r="273" spans="1:110" s="64" customFormat="1" hidden="1" outlineLevel="1" x14ac:dyDescent="0.2">
      <c r="A273" s="64" t="s">
        <v>481</v>
      </c>
      <c r="AB273" s="30"/>
      <c r="AC273" s="30"/>
      <c r="AD273" s="30"/>
      <c r="AE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E273" s="139"/>
    </row>
    <row r="274" spans="1:110" s="62" customFormat="1" hidden="1" outlineLevel="1" x14ac:dyDescent="0.2">
      <c r="AB274" s="63"/>
      <c r="AC274" s="63"/>
      <c r="AD274" s="63"/>
      <c r="AE274" s="63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E274" s="139"/>
    </row>
    <row r="275" spans="1:110" s="11" customFormat="1" collapsed="1" x14ac:dyDescent="0.2">
      <c r="AB275" s="63"/>
      <c r="AC275" s="63"/>
      <c r="AD275" s="63"/>
      <c r="AE275" s="63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E275" s="139"/>
    </row>
    <row r="276" spans="1:110" s="62" customFormat="1" x14ac:dyDescent="0.2">
      <c r="A276" s="154" t="s">
        <v>497</v>
      </c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63"/>
      <c r="AC276" s="63"/>
      <c r="AD276" s="63"/>
      <c r="AE276" s="63"/>
      <c r="AL276" s="180"/>
      <c r="CF276" s="180"/>
      <c r="CG276" s="180"/>
      <c r="CH276" s="180"/>
      <c r="CI276" s="180"/>
      <c r="CJ276" s="180"/>
      <c r="CK276" s="180"/>
      <c r="CL276" s="18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E276" s="139"/>
    </row>
    <row r="277" spans="1:110" s="84" customFormat="1" x14ac:dyDescent="0.2">
      <c r="A277" s="84" t="s">
        <v>512</v>
      </c>
      <c r="B277" s="84">
        <f>B36/B198</f>
        <v>1.3834972652942865</v>
      </c>
      <c r="C277" s="84">
        <f>C36/C198</f>
        <v>1.324329295505855</v>
      </c>
      <c r="D277" s="84">
        <f>D36/D198</f>
        <v>1.4092260112174764</v>
      </c>
      <c r="E277" s="84">
        <f t="shared" ref="E277:AE277" si="2388">E38/(E194+E181+E171)</f>
        <v>0.70659229932751688</v>
      </c>
      <c r="F277" s="84">
        <f t="shared" si="2388"/>
        <v>0.67365268545172552</v>
      </c>
      <c r="G277" s="84">
        <f t="shared" si="2388"/>
        <v>0.80229328940724609</v>
      </c>
      <c r="H277" s="84">
        <f t="shared" si="2388"/>
        <v>0.977771127480488</v>
      </c>
      <c r="I277" s="84">
        <f t="shared" si="2388"/>
        <v>0.59656077744483083</v>
      </c>
      <c r="J277" s="84">
        <f t="shared" si="2388"/>
        <v>0.3567052053249537</v>
      </c>
      <c r="K277" s="84">
        <f t="shared" si="2388"/>
        <v>0.39649910308866892</v>
      </c>
      <c r="L277" s="84">
        <f t="shared" si="2388"/>
        <v>0.40075119117571922</v>
      </c>
      <c r="M277" s="84">
        <f t="shared" si="2388"/>
        <v>0.38685147749165599</v>
      </c>
      <c r="N277" s="84">
        <f t="shared" si="2388"/>
        <v>0.35811814720307616</v>
      </c>
      <c r="O277" s="84">
        <f t="shared" si="2388"/>
        <v>0.32720847072961323</v>
      </c>
      <c r="P277" s="84">
        <f t="shared" si="2388"/>
        <v>0.30185315969954279</v>
      </c>
      <c r="Q277" s="84">
        <f t="shared" si="2388"/>
        <v>0.27972069353216167</v>
      </c>
      <c r="R277" s="84">
        <f t="shared" si="2388"/>
        <v>0.35217240605949396</v>
      </c>
      <c r="S277" s="84">
        <f t="shared" si="2388"/>
        <v>0.54223553678420588</v>
      </c>
      <c r="T277" s="84">
        <f t="shared" si="2388"/>
        <v>0.52100757407544473</v>
      </c>
      <c r="U277" s="84">
        <f t="shared" si="2388"/>
        <v>0.41106903195800942</v>
      </c>
      <c r="V277" s="84">
        <f t="shared" si="2388"/>
        <v>0.50659293917481918</v>
      </c>
      <c r="W277" s="84">
        <f t="shared" si="2388"/>
        <v>0.65905529438101629</v>
      </c>
      <c r="X277" s="84">
        <f t="shared" si="2388"/>
        <v>0.96841806305026978</v>
      </c>
      <c r="Y277" s="84">
        <f t="shared" si="2388"/>
        <v>0.86838550889936073</v>
      </c>
      <c r="Z277" s="84">
        <f t="shared" si="2388"/>
        <v>1.0123563133038287</v>
      </c>
      <c r="AA277" s="84">
        <f t="shared" ref="AA277" si="2389">AA38/(AA194+AA181+AA171)</f>
        <v>0.99001357378320731</v>
      </c>
      <c r="AB277" s="50">
        <f t="shared" si="2388"/>
        <v>0.82852239344230405</v>
      </c>
      <c r="AC277" s="50">
        <f t="shared" si="2388"/>
        <v>0.62440138701075265</v>
      </c>
      <c r="AD277" s="50">
        <f t="shared" si="2388"/>
        <v>0.50235215741532169</v>
      </c>
      <c r="AE277" s="50">
        <f t="shared" si="2388"/>
        <v>0.41218766019484088</v>
      </c>
      <c r="AL277" s="84">
        <f t="shared" ref="AL277:BQ277" si="2390">SUM(AI38:AL38)/(AL194+AL181+AL171)</f>
        <v>0.35811814720307616</v>
      </c>
      <c r="AM277" s="84">
        <f t="shared" si="2390"/>
        <v>0.34936762623688067</v>
      </c>
      <c r="AN277" s="84">
        <f t="shared" si="2390"/>
        <v>0.35543837963433805</v>
      </c>
      <c r="AO277" s="84">
        <f t="shared" si="2390"/>
        <v>0.34709598025868377</v>
      </c>
      <c r="AP277" s="84">
        <f t="shared" si="2390"/>
        <v>0.32720847072961323</v>
      </c>
      <c r="AQ277" s="84">
        <f t="shared" si="2390"/>
        <v>0.31616387027698412</v>
      </c>
      <c r="AR277" s="84">
        <f t="shared" si="2390"/>
        <v>0.31555210246332432</v>
      </c>
      <c r="AS277" s="84">
        <f t="shared" si="2390"/>
        <v>0.30801151722784648</v>
      </c>
      <c r="AT277" s="84">
        <f t="shared" si="2390"/>
        <v>0.30185315969954279</v>
      </c>
      <c r="AU277" s="84">
        <f t="shared" si="2390"/>
        <v>0.30303710352158997</v>
      </c>
      <c r="AV277" s="84">
        <f t="shared" si="2390"/>
        <v>0.29104848075956258</v>
      </c>
      <c r="AW277" s="84">
        <f t="shared" si="2390"/>
        <v>0.2744823042710704</v>
      </c>
      <c r="AX277" s="84">
        <f t="shared" si="2390"/>
        <v>0.28695296265357184</v>
      </c>
      <c r="AY277" s="84">
        <f t="shared" si="2390"/>
        <v>0.2661318749403061</v>
      </c>
      <c r="AZ277" s="84">
        <f t="shared" si="2390"/>
        <v>0.3032030873529985</v>
      </c>
      <c r="BA277" s="84">
        <f t="shared" si="2390"/>
        <v>0.32055380913757914</v>
      </c>
      <c r="BB277" s="84">
        <f t="shared" si="2390"/>
        <v>0.35773849572858685</v>
      </c>
      <c r="BC277" s="84">
        <f t="shared" si="2390"/>
        <v>0.3809143149784095</v>
      </c>
      <c r="BD277" s="84">
        <f t="shared" si="2390"/>
        <v>0.56057631076204628</v>
      </c>
      <c r="BE277" s="84">
        <f t="shared" si="2390"/>
        <v>0.54969073502436661</v>
      </c>
      <c r="BF277" s="84">
        <f t="shared" si="2390"/>
        <v>0.54228464787348984</v>
      </c>
      <c r="BG277" s="84">
        <f t="shared" si="2390"/>
        <v>0.53694325865544634</v>
      </c>
      <c r="BH277" s="84">
        <f t="shared" si="2390"/>
        <v>0.51698060684791691</v>
      </c>
      <c r="BI277" s="84">
        <f t="shared" si="2390"/>
        <v>0.48160982128002616</v>
      </c>
      <c r="BJ277" s="84">
        <f t="shared" si="2390"/>
        <v>0.52100757407544473</v>
      </c>
      <c r="BK277" s="84">
        <f t="shared" si="2390"/>
        <v>0.49288647632631349</v>
      </c>
      <c r="BL277" s="84">
        <f t="shared" si="2390"/>
        <v>0.5015881548084441</v>
      </c>
      <c r="BM277" s="84">
        <f t="shared" si="2390"/>
        <v>0.46158652461770622</v>
      </c>
      <c r="BN277" s="84">
        <f t="shared" si="2390"/>
        <v>0.41106903195800942</v>
      </c>
      <c r="BO277" s="84">
        <f t="shared" si="2390"/>
        <v>0.37871067463822311</v>
      </c>
      <c r="BP277" s="84">
        <f t="shared" si="2390"/>
        <v>0.37293472845042352</v>
      </c>
      <c r="BQ277" s="84">
        <f t="shared" si="2390"/>
        <v>0.38254203132368908</v>
      </c>
      <c r="BR277" s="84">
        <f t="shared" ref="BR277:CW277" si="2391">SUM(BO38:BR38)/(BR194+BR181+BR171)</f>
        <v>0.50659293917481918</v>
      </c>
      <c r="BS277" s="84">
        <f t="shared" si="2391"/>
        <v>0.54062027154573045</v>
      </c>
      <c r="BT277" s="84">
        <f t="shared" si="2391"/>
        <v>0.55422702702702697</v>
      </c>
      <c r="BU277" s="84">
        <f t="shared" si="2391"/>
        <v>0.55908739089799153</v>
      </c>
      <c r="BV277" s="84">
        <f t="shared" si="2391"/>
        <v>0.65905529438101629</v>
      </c>
      <c r="BW277" s="84">
        <f t="shared" si="2391"/>
        <v>0.67425650291844308</v>
      </c>
      <c r="BX277" s="84">
        <f t="shared" si="2391"/>
        <v>0.81310965552989967</v>
      </c>
      <c r="BY277" s="84">
        <f t="shared" si="2391"/>
        <v>0.77254668637701973</v>
      </c>
      <c r="BZ277" s="84">
        <f t="shared" si="2391"/>
        <v>0.96841806305026978</v>
      </c>
      <c r="CA277" s="84">
        <f t="shared" si="2391"/>
        <v>0.8676559599267688</v>
      </c>
      <c r="CB277" s="84">
        <f t="shared" si="2391"/>
        <v>0.87096312823593347</v>
      </c>
      <c r="CC277" s="84">
        <f t="shared" si="2391"/>
        <v>0.80514967195863596</v>
      </c>
      <c r="CD277" s="84">
        <f t="shared" si="2391"/>
        <v>0.86838550889936073</v>
      </c>
      <c r="CE277" s="84">
        <f t="shared" si="2391"/>
        <v>0.83128429665124781</v>
      </c>
      <c r="CF277" s="84">
        <f t="shared" si="2391"/>
        <v>0.98443359067275882</v>
      </c>
      <c r="CG277" s="84">
        <f t="shared" si="2391"/>
        <v>0.94284565294853218</v>
      </c>
      <c r="CH277" s="84">
        <f t="shared" si="2391"/>
        <v>1.0123563133038287</v>
      </c>
      <c r="CI277" s="84">
        <f t="shared" si="2391"/>
        <v>0.96928044453616247</v>
      </c>
      <c r="CJ277" s="84">
        <f t="shared" si="2391"/>
        <v>0.98003687273146278</v>
      </c>
      <c r="CK277" s="84">
        <f t="shared" si="2391"/>
        <v>0.88336139581615614</v>
      </c>
      <c r="CL277" s="84">
        <f t="shared" si="2391"/>
        <v>0.99001357378320731</v>
      </c>
      <c r="CM277" s="50">
        <f t="shared" si="2391"/>
        <v>1.0124673999610545</v>
      </c>
      <c r="CN277" s="50">
        <f t="shared" si="2391"/>
        <v>0.98287656872157148</v>
      </c>
      <c r="CO277" s="50">
        <f t="shared" si="2391"/>
        <v>0.91777125023614825</v>
      </c>
      <c r="CP277" s="50">
        <f t="shared" si="2391"/>
        <v>0.82852239344230405</v>
      </c>
      <c r="CQ277" s="50">
        <f t="shared" si="2391"/>
        <v>0.78325921295859524</v>
      </c>
      <c r="CR277" s="50">
        <f t="shared" si="2391"/>
        <v>0.7242799263270312</v>
      </c>
      <c r="CS277" s="50">
        <f t="shared" si="2391"/>
        <v>0.66922864466212506</v>
      </c>
      <c r="CT277" s="50">
        <f t="shared" si="2391"/>
        <v>0.62440138701075265</v>
      </c>
      <c r="CU277" s="50">
        <f t="shared" si="2391"/>
        <v>0.6023330176268944</v>
      </c>
      <c r="CV277" s="50">
        <f t="shared" si="2391"/>
        <v>0.56866257459245451</v>
      </c>
      <c r="CW277" s="50">
        <f t="shared" si="2391"/>
        <v>0.53376632779147681</v>
      </c>
      <c r="CX277" s="50">
        <f t="shared" ref="CX277:DB277" si="2392">SUM(CU38:CX38)/(CX194+CX181+CX171)</f>
        <v>0.50235215741532169</v>
      </c>
      <c r="CY277" s="50">
        <f t="shared" si="2392"/>
        <v>0.48449939319322333</v>
      </c>
      <c r="CZ277" s="50">
        <f t="shared" si="2392"/>
        <v>0.4598306492932544</v>
      </c>
      <c r="DA277" s="50">
        <f t="shared" si="2392"/>
        <v>0.43471439084831376</v>
      </c>
      <c r="DB277" s="50">
        <f t="shared" si="2392"/>
        <v>0.41218766019484088</v>
      </c>
      <c r="DE277" s="138"/>
      <c r="DF277" s="84">
        <v>0.87015859886981162</v>
      </c>
    </row>
    <row r="278" spans="1:110" s="84" customFormat="1" x14ac:dyDescent="0.2">
      <c r="A278" s="84" t="s">
        <v>513</v>
      </c>
      <c r="E278" s="181">
        <f t="shared" ref="E278:AE278" si="2393">+E70</f>
        <v>0.33422590570482441</v>
      </c>
      <c r="F278" s="181">
        <f t="shared" si="2393"/>
        <v>0.2975918550844418</v>
      </c>
      <c r="G278" s="181">
        <f t="shared" si="2393"/>
        <v>0.37980175239942521</v>
      </c>
      <c r="H278" s="181">
        <f t="shared" si="2393"/>
        <v>0.51888970143290736</v>
      </c>
      <c r="I278" s="181">
        <f t="shared" si="2393"/>
        <v>0.55803482457599041</v>
      </c>
      <c r="J278" s="181">
        <f t="shared" si="2393"/>
        <v>0.4801902022263026</v>
      </c>
      <c r="K278" s="181">
        <f t="shared" si="2393"/>
        <v>0.50410691321035261</v>
      </c>
      <c r="L278" s="181">
        <f t="shared" si="2393"/>
        <v>0.49024471146519083</v>
      </c>
      <c r="M278" s="181">
        <f t="shared" si="2393"/>
        <v>0.48829624096144675</v>
      </c>
      <c r="N278" s="181">
        <f t="shared" si="2393"/>
        <v>0.54465331846700427</v>
      </c>
      <c r="O278" s="181">
        <f t="shared" si="2393"/>
        <v>0.5063508173927328</v>
      </c>
      <c r="P278" s="181">
        <f t="shared" si="2393"/>
        <v>0.55502120244326791</v>
      </c>
      <c r="Q278" s="181">
        <f t="shared" si="2393"/>
        <v>0.57859107256187858</v>
      </c>
      <c r="R278" s="181">
        <f t="shared" si="2393"/>
        <v>0.48144502981531873</v>
      </c>
      <c r="S278" s="181">
        <f t="shared" si="2393"/>
        <v>0.40920206503034146</v>
      </c>
      <c r="T278" s="181">
        <f t="shared" si="2393"/>
        <v>0.37674022161189508</v>
      </c>
      <c r="U278" s="181">
        <f t="shared" si="2393"/>
        <v>0.36662895318140187</v>
      </c>
      <c r="V278" s="181">
        <f t="shared" si="2393"/>
        <v>0.3526448362720403</v>
      </c>
      <c r="W278" s="181">
        <f t="shared" si="2393"/>
        <v>0.33162364130434785</v>
      </c>
      <c r="X278" s="181">
        <f t="shared" si="2393"/>
        <v>0.30825854888849785</v>
      </c>
      <c r="Y278" s="181">
        <f t="shared" si="2393"/>
        <v>0.26818056131618967</v>
      </c>
      <c r="Z278" s="181">
        <f t="shared" si="2393"/>
        <v>0.30619370360590326</v>
      </c>
      <c r="AA278" s="181">
        <f t="shared" ref="AA278" si="2394">+AA70</f>
        <v>0.33804230731564</v>
      </c>
      <c r="AB278" s="182">
        <f t="shared" si="2393"/>
        <v>0.36603457962770608</v>
      </c>
      <c r="AC278" s="182">
        <f t="shared" si="2393"/>
        <v>0.37821375015181036</v>
      </c>
      <c r="AD278" s="182">
        <f t="shared" si="2393"/>
        <v>0.37812075624280889</v>
      </c>
      <c r="AE278" s="182">
        <f t="shared" si="2393"/>
        <v>0.40778832043897556</v>
      </c>
      <c r="AL278" s="181">
        <f t="shared" ref="AL278:BQ278" si="2395">+AL70</f>
        <v>0.55859184117278349</v>
      </c>
      <c r="AM278" s="181">
        <f t="shared" si="2395"/>
        <v>0.5565954908583991</v>
      </c>
      <c r="AN278" s="181">
        <f t="shared" si="2395"/>
        <v>0.47803817224995993</v>
      </c>
      <c r="AO278" s="181">
        <f t="shared" si="2395"/>
        <v>0.49932899912175693</v>
      </c>
      <c r="AP278" s="181">
        <f t="shared" si="2395"/>
        <v>0.51643295595550531</v>
      </c>
      <c r="AQ278" s="181">
        <f t="shared" si="2395"/>
        <v>0.53793408464380377</v>
      </c>
      <c r="AR278" s="181">
        <f t="shared" si="2395"/>
        <v>0.57498987476264873</v>
      </c>
      <c r="AS278" s="181">
        <f t="shared" si="2395"/>
        <v>0.61751454657759641</v>
      </c>
      <c r="AT278" s="181">
        <f t="shared" si="2395"/>
        <v>0.49070698648465222</v>
      </c>
      <c r="AU278" s="181">
        <f t="shared" si="2395"/>
        <v>0.5363715748849226</v>
      </c>
      <c r="AV278" s="181">
        <f t="shared" si="2395"/>
        <v>0.56291126372945233</v>
      </c>
      <c r="AW278" s="181">
        <f t="shared" si="2395"/>
        <v>0.53644864716753438</v>
      </c>
      <c r="AX278" s="181">
        <f t="shared" si="2395"/>
        <v>0.62185436024542562</v>
      </c>
      <c r="AY278" s="181">
        <f t="shared" si="2395"/>
        <v>0.36982881597717548</v>
      </c>
      <c r="AZ278" s="181">
        <f t="shared" si="2395"/>
        <v>0.54342857142857148</v>
      </c>
      <c r="BA278" s="181">
        <f t="shared" si="2395"/>
        <v>0.46520954481652294</v>
      </c>
      <c r="BB278" s="181">
        <f t="shared" si="2395"/>
        <v>0.48872901678657077</v>
      </c>
      <c r="BC278" s="181">
        <f t="shared" si="2395"/>
        <v>0.41280594405594406</v>
      </c>
      <c r="BD278" s="181">
        <f t="shared" si="2395"/>
        <v>0.43190808061781882</v>
      </c>
      <c r="BE278" s="181">
        <f t="shared" si="2395"/>
        <v>0.38804457953394123</v>
      </c>
      <c r="BF278" s="181">
        <f t="shared" si="2395"/>
        <v>0.40720089214592958</v>
      </c>
      <c r="BG278" s="181">
        <f t="shared" si="2395"/>
        <v>0.36120527306967987</v>
      </c>
      <c r="BH278" s="181">
        <f t="shared" si="2395"/>
        <v>0.37994557253506384</v>
      </c>
      <c r="BI278" s="181">
        <f t="shared" si="2395"/>
        <v>0.39909747292418774</v>
      </c>
      <c r="BJ278" s="181">
        <f t="shared" si="2395"/>
        <v>0.36641777454015662</v>
      </c>
      <c r="BK278" s="181">
        <f t="shared" si="2395"/>
        <v>0.35392019250050133</v>
      </c>
      <c r="BL278" s="181">
        <f t="shared" si="2395"/>
        <v>0.46131678120150743</v>
      </c>
      <c r="BM278" s="181">
        <f t="shared" si="2395"/>
        <v>0.34674657534246578</v>
      </c>
      <c r="BN278" s="181">
        <f t="shared" si="2395"/>
        <v>0.30494192666818493</v>
      </c>
      <c r="BO278" s="181">
        <f t="shared" si="2395"/>
        <v>0.34068688894459764</v>
      </c>
      <c r="BP278" s="181">
        <f t="shared" si="2395"/>
        <v>0.34275618374558303</v>
      </c>
      <c r="BQ278" s="181">
        <f t="shared" si="2395"/>
        <v>0.36466103099618763</v>
      </c>
      <c r="BR278" s="181">
        <f t="shared" ref="BR278:DB278" si="2396">+BR70</f>
        <v>0.35713257521232189</v>
      </c>
      <c r="BS278" s="181">
        <f t="shared" si="2396"/>
        <v>0.32414637880875824</v>
      </c>
      <c r="BT278" s="181">
        <f t="shared" si="2396"/>
        <v>0.32946749428291405</v>
      </c>
      <c r="BU278" s="181">
        <f t="shared" si="2396"/>
        <v>0.33804755944931164</v>
      </c>
      <c r="BV278" s="181">
        <f t="shared" si="2396"/>
        <v>0.33284074116175971</v>
      </c>
      <c r="BW278" s="181">
        <f t="shared" si="2396"/>
        <v>0.32939171194204753</v>
      </c>
      <c r="BX278" s="181">
        <f t="shared" si="2396"/>
        <v>0.32149712092130517</v>
      </c>
      <c r="BY278" s="181">
        <f t="shared" si="2396"/>
        <v>0.27409102466310703</v>
      </c>
      <c r="BZ278" s="181">
        <f t="shared" si="2396"/>
        <v>0.3035609354800799</v>
      </c>
      <c r="CA278" s="181">
        <f t="shared" si="2396"/>
        <v>0.26970612469101896</v>
      </c>
      <c r="CB278" s="181">
        <f t="shared" si="2396"/>
        <v>0.25460167869238698</v>
      </c>
      <c r="CC278" s="181">
        <f t="shared" si="2396"/>
        <v>0.27742818057455543</v>
      </c>
      <c r="CD278" s="181">
        <f t="shared" si="2396"/>
        <v>0.26996953238839583</v>
      </c>
      <c r="CE278" s="181">
        <f t="shared" si="2396"/>
        <v>0.28843788437884377</v>
      </c>
      <c r="CF278" s="181">
        <f t="shared" si="2396"/>
        <v>0.29205041202132814</v>
      </c>
      <c r="CG278" s="181">
        <f t="shared" si="2396"/>
        <v>0.31088925005804502</v>
      </c>
      <c r="CH278" s="181">
        <f t="shared" si="2396"/>
        <v>0.33047210300429186</v>
      </c>
      <c r="CI278" s="181">
        <f t="shared" si="2396"/>
        <v>0.28747908892034485</v>
      </c>
      <c r="CJ278" s="181">
        <f t="shared" si="2396"/>
        <v>0.3098608024330331</v>
      </c>
      <c r="CK278" s="181">
        <f t="shared" si="2396"/>
        <v>0.35437158469945357</v>
      </c>
      <c r="CL278" s="181">
        <f t="shared" ref="CL278" si="2397">+CL70</f>
        <v>0.37160366213821616</v>
      </c>
      <c r="CM278" s="182">
        <f t="shared" si="2396"/>
        <v>0.36235718098793746</v>
      </c>
      <c r="CN278" s="182">
        <f t="shared" si="2396"/>
        <v>0.36785088729540327</v>
      </c>
      <c r="CO278" s="182">
        <f t="shared" si="2396"/>
        <v>0.36917522751464993</v>
      </c>
      <c r="CP278" s="182">
        <f t="shared" si="2396"/>
        <v>0.36455700566161475</v>
      </c>
      <c r="CQ278" s="182">
        <f t="shared" si="2396"/>
        <v>0.37307878818058132</v>
      </c>
      <c r="CR278" s="182">
        <f t="shared" si="2396"/>
        <v>0.37593465503732326</v>
      </c>
      <c r="CS278" s="182">
        <f t="shared" si="2396"/>
        <v>0.38040909258571309</v>
      </c>
      <c r="CT278" s="182">
        <f t="shared" si="2396"/>
        <v>0.38260021555383</v>
      </c>
      <c r="CU278" s="182">
        <f t="shared" si="2396"/>
        <v>0.35810804058862294</v>
      </c>
      <c r="CV278" s="182">
        <f t="shared" si="2396"/>
        <v>0.37151619678673081</v>
      </c>
      <c r="CW278" s="182">
        <f t="shared" si="2396"/>
        <v>0.38534749576461297</v>
      </c>
      <c r="CX278" s="182">
        <f t="shared" si="2396"/>
        <v>0.39474816160411158</v>
      </c>
      <c r="CY278" s="182">
        <f t="shared" si="2396"/>
        <v>0.39226907001280037</v>
      </c>
      <c r="CZ278" s="182">
        <f t="shared" si="2396"/>
        <v>0.40241987486714065</v>
      </c>
      <c r="DA278" s="182">
        <f t="shared" si="2396"/>
        <v>0.41309546621713011</v>
      </c>
      <c r="DB278" s="182">
        <f t="shared" si="2396"/>
        <v>0.42122203105255041</v>
      </c>
      <c r="DE278" s="138"/>
      <c r="DF278" s="84">
        <v>0.34199760761978015</v>
      </c>
    </row>
    <row r="279" spans="1:110" s="84" customFormat="1" x14ac:dyDescent="0.2">
      <c r="A279" s="84" t="s">
        <v>514</v>
      </c>
      <c r="E279" s="84">
        <f>(E194+E181+E171+E173)/E153</f>
        <v>1.7295155401181517</v>
      </c>
      <c r="F279" s="84">
        <f t="shared" ref="F279:AE279" si="2398">(F194+F181+F171+F173)/F153</f>
        <v>1.5732932258452652</v>
      </c>
      <c r="G279" s="84">
        <f t="shared" si="2398"/>
        <v>1.4089416813906435</v>
      </c>
      <c r="H279" s="84">
        <f t="shared" si="2398"/>
        <v>1.1478656258112563</v>
      </c>
      <c r="I279" s="84">
        <f t="shared" si="2398"/>
        <v>1.1146597075165068</v>
      </c>
      <c r="J279" s="84">
        <f t="shared" si="2398"/>
        <v>1.1092454299401431</v>
      </c>
      <c r="K279" s="84">
        <f t="shared" si="2398"/>
        <v>1.115730714628197</v>
      </c>
      <c r="L279" s="84">
        <f t="shared" si="2398"/>
        <v>1.1118248237377839</v>
      </c>
      <c r="M279" s="84">
        <f t="shared" si="2398"/>
        <v>1.0968604150251886</v>
      </c>
      <c r="N279" s="84">
        <f t="shared" si="2398"/>
        <v>1.0988256194900565</v>
      </c>
      <c r="O279" s="84">
        <f t="shared" si="2398"/>
        <v>1.1138250144784767</v>
      </c>
      <c r="P279" s="84">
        <f t="shared" si="2398"/>
        <v>1.130069912003925</v>
      </c>
      <c r="Q279" s="84">
        <f t="shared" si="2398"/>
        <v>1.3560786411662431</v>
      </c>
      <c r="R279" s="84">
        <f t="shared" si="2398"/>
        <v>1.5921765947086512</v>
      </c>
      <c r="S279" s="84">
        <f t="shared" si="2398"/>
        <v>1.1333630190359567</v>
      </c>
      <c r="T279" s="84">
        <f t="shared" si="2398"/>
        <v>1.2061597976491594</v>
      </c>
      <c r="U279" s="84">
        <f t="shared" si="2398"/>
        <v>1.1201438848920864</v>
      </c>
      <c r="V279" s="84">
        <f t="shared" si="2398"/>
        <v>1.3823847986878346</v>
      </c>
      <c r="W279" s="84">
        <f t="shared" si="2398"/>
        <v>1.303054169948368</v>
      </c>
      <c r="X279" s="84">
        <f t="shared" si="2398"/>
        <v>2.7425765542839469</v>
      </c>
      <c r="Y279" s="84">
        <f t="shared" si="2398"/>
        <v>2.2306679828891083</v>
      </c>
      <c r="Z279" s="84">
        <f t="shared" si="2398"/>
        <v>2.5881734954224824</v>
      </c>
      <c r="AA279" s="84">
        <f t="shared" ref="AA279" si="2399">(AA194+AA181+AA171+AA173)/AA153</f>
        <v>1.8723761544920234</v>
      </c>
      <c r="AB279" s="50">
        <f t="shared" si="2398"/>
        <v>1.4758545825920732</v>
      </c>
      <c r="AC279" s="50">
        <f t="shared" si="2398"/>
        <v>1.3287657464880687</v>
      </c>
      <c r="AD279" s="50">
        <f t="shared" si="2398"/>
        <v>1.2498031819571174</v>
      </c>
      <c r="AE279" s="50">
        <f t="shared" si="2398"/>
        <v>1.1985515271216141</v>
      </c>
      <c r="AL279" s="84">
        <f t="shared" ref="AL279:CW279" si="2400">(AL194+AL181+AL171+AL173)/AL153</f>
        <v>1.0988256194900565</v>
      </c>
      <c r="AM279" s="84">
        <f t="shared" si="2400"/>
        <v>1.0911781674216425</v>
      </c>
      <c r="AN279" s="84">
        <f t="shared" si="2400"/>
        <v>1.1030780280439936</v>
      </c>
      <c r="AO279" s="84">
        <f t="shared" si="2400"/>
        <v>1.097738208173356</v>
      </c>
      <c r="AP279" s="84">
        <f t="shared" si="2400"/>
        <v>1.1138250144784767</v>
      </c>
      <c r="AQ279" s="84">
        <f t="shared" si="2400"/>
        <v>1.1068272405711808</v>
      </c>
      <c r="AR279" s="84">
        <f t="shared" si="2400"/>
        <v>1.0938158386707708</v>
      </c>
      <c r="AS279" s="84">
        <f t="shared" si="2400"/>
        <v>1.0887666299286973</v>
      </c>
      <c r="AT279" s="84">
        <f t="shared" si="2400"/>
        <v>1.1300699120039248</v>
      </c>
      <c r="AU279" s="84">
        <f t="shared" si="2400"/>
        <v>1.122825688450626</v>
      </c>
      <c r="AV279" s="84">
        <f t="shared" si="2400"/>
        <v>1.1778522327958283</v>
      </c>
      <c r="AW279" s="84">
        <f t="shared" si="2400"/>
        <v>1.168108666881994</v>
      </c>
      <c r="AX279" s="84">
        <f t="shared" si="2400"/>
        <v>1.3560704118395548</v>
      </c>
      <c r="AY279" s="84">
        <f t="shared" si="2400"/>
        <v>1.3419045686604825</v>
      </c>
      <c r="AZ279" s="84">
        <f t="shared" si="2400"/>
        <v>1.0766949231209089</v>
      </c>
      <c r="BA279" s="84">
        <f t="shared" si="2400"/>
        <v>1.0767685748634843</v>
      </c>
      <c r="BB279" s="84">
        <f t="shared" si="2400"/>
        <v>1.5921765947086512</v>
      </c>
      <c r="BC279" s="84">
        <f t="shared" si="2400"/>
        <v>1.5511964759873755</v>
      </c>
      <c r="BD279" s="84">
        <f t="shared" si="2400"/>
        <v>1.0713209585263936</v>
      </c>
      <c r="BE279" s="84">
        <f t="shared" si="2400"/>
        <v>1.0709313805139973</v>
      </c>
      <c r="BF279" s="84">
        <f t="shared" si="2400"/>
        <v>1.1333630190359567</v>
      </c>
      <c r="BG279" s="84">
        <f t="shared" si="2400"/>
        <v>1.1227506051006284</v>
      </c>
      <c r="BH279" s="84">
        <f t="shared" si="2400"/>
        <v>1.089246007681423</v>
      </c>
      <c r="BI279" s="84">
        <f t="shared" si="2400"/>
        <v>1.0883959146082409</v>
      </c>
      <c r="BJ279" s="84">
        <f t="shared" si="2400"/>
        <v>1.2061597976491594</v>
      </c>
      <c r="BK279" s="84">
        <f t="shared" si="2400"/>
        <v>1.1928256312910728</v>
      </c>
      <c r="BL279" s="84">
        <f t="shared" si="2400"/>
        <v>1.094273033527619</v>
      </c>
      <c r="BM279" s="84">
        <f t="shared" si="2400"/>
        <v>1.0915482982554583</v>
      </c>
      <c r="BN279" s="84">
        <f t="shared" si="2400"/>
        <v>1.1201438848920864</v>
      </c>
      <c r="BO279" s="84">
        <f t="shared" si="2400"/>
        <v>1.1129562087269642</v>
      </c>
      <c r="BP279" s="84">
        <f t="shared" si="2400"/>
        <v>1.3693676482628749</v>
      </c>
      <c r="BQ279" s="84">
        <f t="shared" si="2400"/>
        <v>1.3509607211715644</v>
      </c>
      <c r="BR279" s="84">
        <f t="shared" si="2400"/>
        <v>1.3823847986878346</v>
      </c>
      <c r="BS279" s="84">
        <f t="shared" si="2400"/>
        <v>1.3575776290672128</v>
      </c>
      <c r="BT279" s="84">
        <f t="shared" si="2400"/>
        <v>1.2730525736306084</v>
      </c>
      <c r="BU279" s="84">
        <f t="shared" si="2400"/>
        <v>1.2643354772801365</v>
      </c>
      <c r="BV279" s="84">
        <f t="shared" si="2400"/>
        <v>1.303054169948368</v>
      </c>
      <c r="BW279" s="84">
        <f t="shared" si="2400"/>
        <v>1.2816387561502252</v>
      </c>
      <c r="BX279" s="84">
        <f t="shared" si="2400"/>
        <v>1.3603721703542653</v>
      </c>
      <c r="BY279" s="84">
        <f t="shared" si="2400"/>
        <v>1.3344978278881841</v>
      </c>
      <c r="BZ279" s="84">
        <f t="shared" si="2400"/>
        <v>2.7425765542839469</v>
      </c>
      <c r="CA279" s="84">
        <f t="shared" si="2400"/>
        <v>2.4926094159605316</v>
      </c>
      <c r="CB279" s="84">
        <f t="shared" si="2400"/>
        <v>2.5893079458073966</v>
      </c>
      <c r="CC279" s="84">
        <f t="shared" si="2400"/>
        <v>2.3926555182309786</v>
      </c>
      <c r="CD279" s="84">
        <f t="shared" si="2400"/>
        <v>2.2306679828891083</v>
      </c>
      <c r="CE279" s="84">
        <f t="shared" si="2400"/>
        <v>2.0753754754380846</v>
      </c>
      <c r="CF279" s="84">
        <f t="shared" si="2400"/>
        <v>4.271653543307087</v>
      </c>
      <c r="CG279" s="84">
        <f t="shared" si="2400"/>
        <v>3.4310395111757837</v>
      </c>
      <c r="CH279" s="84">
        <f t="shared" si="2400"/>
        <v>2.5881734954224824</v>
      </c>
      <c r="CI279" s="84">
        <f t="shared" si="2400"/>
        <v>2.2889344448961384</v>
      </c>
      <c r="CJ279" s="84">
        <f t="shared" si="2400"/>
        <v>2.5987442505658174</v>
      </c>
      <c r="CK279" s="84">
        <f t="shared" si="2400"/>
        <v>2.388719785469342</v>
      </c>
      <c r="CL279" s="84">
        <f t="shared" ref="CL279" si="2401">(CL194+CL181+CL171+CL173)/CL153</f>
        <v>1.8723761544920234</v>
      </c>
      <c r="CM279" s="50">
        <f t="shared" si="2400"/>
        <v>1.6827491552872971</v>
      </c>
      <c r="CN279" s="50">
        <f t="shared" si="2400"/>
        <v>1.596580189125232</v>
      </c>
      <c r="CO279" s="50">
        <f t="shared" si="2400"/>
        <v>1.5330218845647785</v>
      </c>
      <c r="CP279" s="50">
        <f t="shared" si="2400"/>
        <v>1.4758545825920732</v>
      </c>
      <c r="CQ279" s="50">
        <f t="shared" si="2400"/>
        <v>1.4057930622506456</v>
      </c>
      <c r="CR279" s="50">
        <f t="shared" si="2400"/>
        <v>1.3767814207358888</v>
      </c>
      <c r="CS279" s="50">
        <f t="shared" si="2400"/>
        <v>1.3539827729956433</v>
      </c>
      <c r="CT279" s="50">
        <f t="shared" si="2400"/>
        <v>1.3287657464880687</v>
      </c>
      <c r="CU279" s="50">
        <f t="shared" si="2400"/>
        <v>1.2893131831559577</v>
      </c>
      <c r="CV279" s="50">
        <f t="shared" si="2400"/>
        <v>1.2753213492337823</v>
      </c>
      <c r="CW279" s="50">
        <f t="shared" si="2400"/>
        <v>1.2642121919374811</v>
      </c>
      <c r="CX279" s="50">
        <f t="shared" ref="CX279:DB279" si="2402">(CX194+CX181+CX171+CX173)/CX153</f>
        <v>1.2498031819571174</v>
      </c>
      <c r="CY279" s="50">
        <f t="shared" si="2402"/>
        <v>1.2225643147177203</v>
      </c>
      <c r="CZ279" s="50">
        <f t="shared" si="2402"/>
        <v>1.2141131904954441</v>
      </c>
      <c r="DA279" s="50">
        <f t="shared" si="2402"/>
        <v>1.2077620777021871</v>
      </c>
      <c r="DB279" s="50">
        <f t="shared" si="2402"/>
        <v>1.1985515271216141</v>
      </c>
      <c r="DE279" s="138"/>
      <c r="DF279" s="84">
        <v>2.1383308798527945</v>
      </c>
    </row>
    <row r="280" spans="1:110" s="84" customFormat="1" x14ac:dyDescent="0.2">
      <c r="A280" s="154" t="s">
        <v>498</v>
      </c>
      <c r="AB280" s="50"/>
      <c r="AC280" s="50"/>
      <c r="AD280" s="50"/>
      <c r="AE280" s="50"/>
      <c r="CM280" s="50"/>
      <c r="CN280" s="50"/>
      <c r="CO280" s="50"/>
      <c r="CP280" s="50"/>
      <c r="CQ280" s="50"/>
      <c r="CR280" s="50"/>
      <c r="CS280" s="50"/>
      <c r="CT280" s="50"/>
      <c r="CU280" s="50"/>
      <c r="CV280" s="50"/>
      <c r="CW280" s="50"/>
      <c r="CX280" s="50"/>
      <c r="CY280" s="50"/>
      <c r="CZ280" s="50"/>
      <c r="DA280" s="50"/>
      <c r="DB280" s="50"/>
      <c r="DE280" s="138"/>
    </row>
    <row r="281" spans="1:110" s="88" customFormat="1" x14ac:dyDescent="0.2">
      <c r="A281" s="88" t="s">
        <v>102</v>
      </c>
      <c r="B281" s="88">
        <f t="shared" ref="B281:AE281" si="2403">B194/B153</f>
        <v>5.9875719053248747E-2</v>
      </c>
      <c r="C281" s="88">
        <f t="shared" si="2403"/>
        <v>5.2816752945585715E-2</v>
      </c>
      <c r="D281" s="88">
        <f t="shared" si="2403"/>
        <v>0.21963056652905738</v>
      </c>
      <c r="F281" s="88">
        <f t="shared" si="2403"/>
        <v>0.34171098544098183</v>
      </c>
      <c r="G281" s="88">
        <f t="shared" si="2403"/>
        <v>0.4895095312235771</v>
      </c>
      <c r="H281" s="88">
        <f t="shared" si="2403"/>
        <v>0.59301880410013819</v>
      </c>
      <c r="I281" s="88">
        <f t="shared" si="2403"/>
        <v>0.64936838453806023</v>
      </c>
      <c r="J281" s="88">
        <f t="shared" si="2403"/>
        <v>0.67185486690654006</v>
      </c>
      <c r="K281" s="88">
        <f t="shared" si="2403"/>
        <v>0.65518868106711736</v>
      </c>
      <c r="L281" s="88">
        <f t="shared" si="2403"/>
        <v>0.66415008261147213</v>
      </c>
      <c r="M281" s="88">
        <f t="shared" si="2403"/>
        <v>0.66766141170465965</v>
      </c>
      <c r="N281" s="88">
        <f t="shared" si="2403"/>
        <v>0.66549302974927915</v>
      </c>
      <c r="O281" s="88">
        <f t="shared" si="2403"/>
        <v>0.68243268343435082</v>
      </c>
      <c r="P281" s="88">
        <f t="shared" si="2403"/>
        <v>0.71010196048399798</v>
      </c>
      <c r="Q281" s="88">
        <f t="shared" si="2403"/>
        <v>0.9435335027417413</v>
      </c>
      <c r="R281" s="88">
        <f t="shared" si="2403"/>
        <v>1.0440837526375588</v>
      </c>
      <c r="S281" s="88">
        <f t="shared" si="2403"/>
        <v>0.61744406100411886</v>
      </c>
      <c r="T281" s="88">
        <f t="shared" si="2403"/>
        <v>0.58059812527897636</v>
      </c>
      <c r="U281" s="88">
        <f t="shared" si="2403"/>
        <v>0.55189779211113865</v>
      </c>
      <c r="V281" s="88">
        <f t="shared" si="2403"/>
        <v>0.69114597839878689</v>
      </c>
      <c r="W281" s="88">
        <f t="shared" si="2403"/>
        <v>0.60718765496922489</v>
      </c>
      <c r="X281" s="88">
        <f t="shared" si="2403"/>
        <v>0.87086297556449122</v>
      </c>
      <c r="Y281" s="88">
        <f t="shared" si="2403"/>
        <v>0.66133596577821652</v>
      </c>
      <c r="Z281" s="88">
        <f t="shared" si="2403"/>
        <v>0.69983490920006008</v>
      </c>
      <c r="AA281" s="88">
        <f t="shared" ref="AA281" si="2404">AA194/AA153</f>
        <v>0.60422466746210612</v>
      </c>
      <c r="AB281" s="42">
        <f t="shared" si="2403"/>
        <v>0.48418587471799418</v>
      </c>
      <c r="AC281" s="42">
        <f t="shared" si="2403"/>
        <v>0.4660368864663868</v>
      </c>
      <c r="AD281" s="42">
        <f t="shared" si="2403"/>
        <v>0.67225493730933517</v>
      </c>
      <c r="AE281" s="42">
        <f t="shared" si="2403"/>
        <v>0.79258039530688396</v>
      </c>
      <c r="AL281" s="88">
        <f t="shared" ref="AL281:CW281" si="2405">AL194/AL153</f>
        <v>0.66549302974927915</v>
      </c>
      <c r="AM281" s="88">
        <f t="shared" si="2405"/>
        <v>0.68959973613871861</v>
      </c>
      <c r="AN281" s="88">
        <f t="shared" si="2405"/>
        <v>0.67973275108014741</v>
      </c>
      <c r="AO281" s="88">
        <f t="shared" si="2405"/>
        <v>0.6957353377063541</v>
      </c>
      <c r="AP281" s="88">
        <f t="shared" si="2405"/>
        <v>0.68243268343435082</v>
      </c>
      <c r="AQ281" s="88">
        <f t="shared" si="2405"/>
        <v>0.70045301249520475</v>
      </c>
      <c r="AR281" s="88">
        <f t="shared" si="2405"/>
        <v>0.68221661347849638</v>
      </c>
      <c r="AS281" s="88">
        <f t="shared" si="2405"/>
        <v>0.69954678986425134</v>
      </c>
      <c r="AT281" s="88">
        <f t="shared" si="2405"/>
        <v>0.71010196048399798</v>
      </c>
      <c r="AU281" s="88">
        <f t="shared" si="2405"/>
        <v>0.72580729728730875</v>
      </c>
      <c r="AV281" s="88">
        <f t="shared" si="2405"/>
        <v>0.75759040126374833</v>
      </c>
      <c r="AW281" s="88">
        <f t="shared" si="2405"/>
        <v>0.77147069698249038</v>
      </c>
      <c r="AX281" s="88">
        <f t="shared" si="2405"/>
        <v>0.94352924246205516</v>
      </c>
      <c r="AY281" s="88">
        <f t="shared" si="2405"/>
        <v>0.94620089239666205</v>
      </c>
      <c r="AZ281" s="88">
        <f t="shared" si="2405"/>
        <v>0.67067084015609746</v>
      </c>
      <c r="BA281" s="88">
        <f t="shared" si="2405"/>
        <v>0.68073522219939264</v>
      </c>
      <c r="BB281" s="88">
        <f t="shared" si="2405"/>
        <v>1.0440837526375588</v>
      </c>
      <c r="BC281" s="88">
        <f t="shared" si="2405"/>
        <v>1.0517830404423021</v>
      </c>
      <c r="BD281" s="88">
        <f t="shared" si="2405"/>
        <v>0.56806617584354302</v>
      </c>
      <c r="BE281" s="88">
        <f t="shared" si="2405"/>
        <v>0.59232688772162501</v>
      </c>
      <c r="BF281" s="88">
        <f t="shared" si="2405"/>
        <v>0.61744406100411886</v>
      </c>
      <c r="BG281" s="88">
        <f t="shared" si="2405"/>
        <v>0.63933679161241397</v>
      </c>
      <c r="BH281" s="88">
        <f t="shared" si="2405"/>
        <v>0.5891196684859511</v>
      </c>
      <c r="BI281" s="88">
        <f t="shared" si="2405"/>
        <v>0.60829123147781483</v>
      </c>
      <c r="BJ281" s="88">
        <f t="shared" si="2405"/>
        <v>0.58059812527897636</v>
      </c>
      <c r="BK281" s="88">
        <f t="shared" si="2405"/>
        <v>0.6029955101176433</v>
      </c>
      <c r="BL281" s="88">
        <f t="shared" si="2405"/>
        <v>0.52534623816908188</v>
      </c>
      <c r="BM281" s="88">
        <f t="shared" si="2405"/>
        <v>0.54447346579760758</v>
      </c>
      <c r="BN281" s="88">
        <f t="shared" si="2405"/>
        <v>0.55189779211113865</v>
      </c>
      <c r="BO281" s="88">
        <f t="shared" si="2405"/>
        <v>0.56810736886140434</v>
      </c>
      <c r="BP281" s="88">
        <f t="shared" si="2405"/>
        <v>0.75472830981687178</v>
      </c>
      <c r="BQ281" s="88">
        <f t="shared" si="2405"/>
        <v>0.76771814927634208</v>
      </c>
      <c r="BR281" s="88">
        <f t="shared" si="2405"/>
        <v>0.69114597839878689</v>
      </c>
      <c r="BS281" s="88">
        <f t="shared" si="2405"/>
        <v>0.70950333104569374</v>
      </c>
      <c r="BT281" s="88">
        <f t="shared" si="2405"/>
        <v>0.65196807046518024</v>
      </c>
      <c r="BU281" s="88">
        <f t="shared" si="2405"/>
        <v>0.66912596828373161</v>
      </c>
      <c r="BV281" s="88">
        <f t="shared" si="2405"/>
        <v>0.60718765496922489</v>
      </c>
      <c r="BW281" s="88">
        <f t="shared" si="2405"/>
        <v>0.63855403341642059</v>
      </c>
      <c r="BX281" s="88">
        <f t="shared" si="2405"/>
        <v>0.57014963550326125</v>
      </c>
      <c r="BY281" s="88">
        <f t="shared" si="2405"/>
        <v>0.60014534760219163</v>
      </c>
      <c r="BZ281" s="88">
        <f t="shared" si="2405"/>
        <v>0.87086297556449122</v>
      </c>
      <c r="CA281" s="88">
        <f t="shared" si="2405"/>
        <v>0.88938015841948614</v>
      </c>
      <c r="CB281" s="88">
        <f t="shared" si="2405"/>
        <v>0.82475283778835595</v>
      </c>
      <c r="CC281" s="88">
        <f t="shared" si="2405"/>
        <v>0.84651287599637925</v>
      </c>
      <c r="CD281" s="88">
        <f t="shared" si="2405"/>
        <v>0.66133596577821652</v>
      </c>
      <c r="CE281" s="88">
        <f t="shared" si="2405"/>
        <v>0.70672315256024765</v>
      </c>
      <c r="CF281" s="88">
        <f t="shared" si="2405"/>
        <v>1.0290026246719159</v>
      </c>
      <c r="CG281" s="88">
        <f t="shared" si="2405"/>
        <v>1.0232368440351494</v>
      </c>
      <c r="CH281" s="88">
        <f t="shared" si="2405"/>
        <v>0.69983490920006008</v>
      </c>
      <c r="CI281" s="88">
        <f t="shared" si="2405"/>
        <v>0.75949095193195293</v>
      </c>
      <c r="CJ281" s="88">
        <f t="shared" si="2405"/>
        <v>0.58333941739066952</v>
      </c>
      <c r="CK281" s="88">
        <f t="shared" si="2405"/>
        <v>0.80108954337706773</v>
      </c>
      <c r="CL281" s="88">
        <f t="shared" ref="CL281" si="2406">CL194/CL153</f>
        <v>0.60422466746210612</v>
      </c>
      <c r="CM281" s="42">
        <f t="shared" si="2405"/>
        <v>0.5231002830508904</v>
      </c>
      <c r="CN281" s="42">
        <f t="shared" si="2405"/>
        <v>0.50276814429066585</v>
      </c>
      <c r="CO281" s="42">
        <f t="shared" si="2405"/>
        <v>0.48678410409734185</v>
      </c>
      <c r="CP281" s="42">
        <f t="shared" si="2405"/>
        <v>0.48418587471799418</v>
      </c>
      <c r="CQ281" s="42">
        <f t="shared" si="2405"/>
        <v>0.4573073236898475</v>
      </c>
      <c r="CR281" s="42">
        <f t="shared" si="2405"/>
        <v>0.45496286887090392</v>
      </c>
      <c r="CS281" s="42">
        <f t="shared" si="2405"/>
        <v>0.46056491710030079</v>
      </c>
      <c r="CT281" s="42">
        <f t="shared" si="2405"/>
        <v>0.4660368864663868</v>
      </c>
      <c r="CU281" s="42">
        <f t="shared" si="2405"/>
        <v>0.51738008017056603</v>
      </c>
      <c r="CV281" s="42">
        <f t="shared" si="2405"/>
        <v>0.57445260821986999</v>
      </c>
      <c r="CW281" s="42">
        <f t="shared" si="2405"/>
        <v>0.62749475984951963</v>
      </c>
      <c r="CX281" s="42">
        <f t="shared" ref="CX281:DB281" si="2407">CX194/CX153</f>
        <v>0.67225493730933517</v>
      </c>
      <c r="CY281" s="42">
        <f t="shared" si="2407"/>
        <v>0.70023625433172998</v>
      </c>
      <c r="CZ281" s="42">
        <f t="shared" si="2407"/>
        <v>0.7338713067750251</v>
      </c>
      <c r="DA281" s="42">
        <f t="shared" si="2407"/>
        <v>0.76567194721265708</v>
      </c>
      <c r="DB281" s="42">
        <f t="shared" si="2407"/>
        <v>0.79258039530688396</v>
      </c>
      <c r="DE281" s="125"/>
      <c r="DF281" s="88">
        <v>0.56056191909647313</v>
      </c>
    </row>
    <row r="282" spans="1:110" s="89" customFormat="1" x14ac:dyDescent="0.2">
      <c r="A282" s="89" t="s">
        <v>103</v>
      </c>
      <c r="C282" s="89">
        <f t="shared" ref="C282:AE282" si="2408">C161/B161-1</f>
        <v>-0.33544080248657815</v>
      </c>
      <c r="D282" s="89">
        <f t="shared" si="2408"/>
        <v>-0.79856497475418542</v>
      </c>
      <c r="F282" s="89">
        <f t="shared" si="2408"/>
        <v>-6.0013557180369936E-2</v>
      </c>
      <c r="G282" s="89">
        <f t="shared" si="2408"/>
        <v>-2.3279423090387108E-2</v>
      </c>
      <c r="H282" s="89">
        <f t="shared" si="2408"/>
        <v>-0.999301100318985</v>
      </c>
      <c r="I282" s="89">
        <f t="shared" si="2408"/>
        <v>0</v>
      </c>
      <c r="J282" s="89">
        <f t="shared" si="2408"/>
        <v>21.282051282051285</v>
      </c>
      <c r="K282" s="89">
        <f>K161/J161-1</f>
        <v>5.9585730724971215</v>
      </c>
      <c r="L282" s="89">
        <f t="shared" si="2408"/>
        <v>-0.99355052091946416</v>
      </c>
      <c r="M282" s="89">
        <f t="shared" si="2408"/>
        <v>0</v>
      </c>
      <c r="N282" s="89">
        <f t="shared" si="2408"/>
        <v>-1</v>
      </c>
      <c r="O282" s="89" t="e">
        <f t="shared" si="2408"/>
        <v>#DIV/0!</v>
      </c>
      <c r="P282" s="89" t="e">
        <f t="shared" si="2408"/>
        <v>#DIV/0!</v>
      </c>
      <c r="Q282" s="89" t="e">
        <f t="shared" si="2408"/>
        <v>#DIV/0!</v>
      </c>
      <c r="R282" s="89" t="e">
        <f t="shared" si="2408"/>
        <v>#DIV/0!</v>
      </c>
      <c r="S282" s="89">
        <f t="shared" si="2408"/>
        <v>-1</v>
      </c>
      <c r="T282" s="89" t="e">
        <f t="shared" si="2408"/>
        <v>#DIV/0!</v>
      </c>
      <c r="U282" s="89">
        <f t="shared" si="2408"/>
        <v>-0.7592592592592593</v>
      </c>
      <c r="V282" s="89">
        <f t="shared" si="2408"/>
        <v>10.74631751227496</v>
      </c>
      <c r="W282" s="89">
        <f t="shared" si="2408"/>
        <v>-0.56764664901769546</v>
      </c>
      <c r="X282" s="89">
        <f t="shared" si="2408"/>
        <v>2.9149210441508218</v>
      </c>
      <c r="Y282" s="89">
        <f t="shared" si="2408"/>
        <v>-0.27107342772472831</v>
      </c>
      <c r="Z282" s="89">
        <f t="shared" si="2408"/>
        <v>0.26708074534161486</v>
      </c>
      <c r="AA282" s="89">
        <f t="shared" si="2408"/>
        <v>-0.25516934046345807</v>
      </c>
      <c r="AB282" s="47">
        <f t="shared" si="2408"/>
        <v>-1.2564317338757958E-2</v>
      </c>
      <c r="AC282" s="47">
        <f t="shared" si="2408"/>
        <v>0</v>
      </c>
      <c r="AD282" s="47">
        <f t="shared" si="2408"/>
        <v>0</v>
      </c>
      <c r="AE282" s="47">
        <f t="shared" si="2408"/>
        <v>0</v>
      </c>
      <c r="AL282" s="89">
        <f t="shared" ref="AL282:CW282" si="2409">AL161/AK161-1</f>
        <v>-1</v>
      </c>
      <c r="AM282" s="89" t="e">
        <f t="shared" si="2409"/>
        <v>#DIV/0!</v>
      </c>
      <c r="AN282" s="89" t="e">
        <f t="shared" si="2409"/>
        <v>#DIV/0!</v>
      </c>
      <c r="AO282" s="89">
        <f t="shared" si="2409"/>
        <v>0</v>
      </c>
      <c r="AP282" s="89">
        <f t="shared" si="2409"/>
        <v>-1</v>
      </c>
      <c r="AQ282" s="89" t="e">
        <f t="shared" si="2409"/>
        <v>#DIV/0!</v>
      </c>
      <c r="AR282" s="89" t="e">
        <f t="shared" si="2409"/>
        <v>#DIV/0!</v>
      </c>
      <c r="AS282" s="89" t="e">
        <f t="shared" si="2409"/>
        <v>#DIV/0!</v>
      </c>
      <c r="AT282" s="89" t="e">
        <f t="shared" si="2409"/>
        <v>#DIV/0!</v>
      </c>
      <c r="AU282" s="89" t="e">
        <f t="shared" si="2409"/>
        <v>#DIV/0!</v>
      </c>
      <c r="AV282" s="89" t="e">
        <f t="shared" si="2409"/>
        <v>#DIV/0!</v>
      </c>
      <c r="AW282" s="89" t="e">
        <f t="shared" si="2409"/>
        <v>#DIV/0!</v>
      </c>
      <c r="AX282" s="89" t="e">
        <f t="shared" si="2409"/>
        <v>#DIV/0!</v>
      </c>
      <c r="AY282" s="89" t="e">
        <f t="shared" si="2409"/>
        <v>#DIV/0!</v>
      </c>
      <c r="AZ282" s="89" t="e">
        <f t="shared" si="2409"/>
        <v>#DIV/0!</v>
      </c>
      <c r="BA282" s="89">
        <f t="shared" si="2409"/>
        <v>0</v>
      </c>
      <c r="BB282" s="89">
        <f t="shared" si="2409"/>
        <v>3.1016172031410463</v>
      </c>
      <c r="BC282" s="89">
        <f t="shared" si="2409"/>
        <v>0</v>
      </c>
      <c r="BD282" s="89">
        <f t="shared" si="2409"/>
        <v>-0.92501264542235706</v>
      </c>
      <c r="BE282" s="89">
        <f t="shared" si="2409"/>
        <v>0</v>
      </c>
      <c r="BF282" s="89">
        <f t="shared" si="2409"/>
        <v>-1</v>
      </c>
      <c r="BG282" s="89" t="e">
        <f t="shared" si="2409"/>
        <v>#DIV/0!</v>
      </c>
      <c r="BH282" s="89" t="e">
        <f t="shared" si="2409"/>
        <v>#DIV/0!</v>
      </c>
      <c r="BI282" s="89" t="e">
        <f t="shared" si="2409"/>
        <v>#DIV/0!</v>
      </c>
      <c r="BJ282" s="89" t="e">
        <f t="shared" si="2409"/>
        <v>#DIV/0!</v>
      </c>
      <c r="BK282" s="89">
        <f t="shared" si="2409"/>
        <v>0</v>
      </c>
      <c r="BL282" s="89">
        <f t="shared" si="2409"/>
        <v>-1</v>
      </c>
      <c r="BM282" s="89" t="e">
        <f t="shared" si="2409"/>
        <v>#DIV/0!</v>
      </c>
      <c r="BN282" s="89" t="e">
        <f t="shared" si="2409"/>
        <v>#DIV/0!</v>
      </c>
      <c r="BO282" s="89">
        <f t="shared" si="2409"/>
        <v>0</v>
      </c>
      <c r="BP282" s="89">
        <f t="shared" si="2409"/>
        <v>13.88379705400982</v>
      </c>
      <c r="BQ282" s="89">
        <f t="shared" si="2409"/>
        <v>0</v>
      </c>
      <c r="BR282" s="89">
        <f t="shared" si="2409"/>
        <v>-0.21079832856828673</v>
      </c>
      <c r="BS282" s="89">
        <f t="shared" si="2409"/>
        <v>0</v>
      </c>
      <c r="BT282" s="89">
        <f t="shared" si="2409"/>
        <v>-0.36477636895638843</v>
      </c>
      <c r="BU282" s="89">
        <f t="shared" si="2409"/>
        <v>0</v>
      </c>
      <c r="BV282" s="89">
        <f t="shared" si="2409"/>
        <v>-0.38078525992542223</v>
      </c>
      <c r="BW282" s="89">
        <f t="shared" si="2409"/>
        <v>0</v>
      </c>
      <c r="BX282" s="89">
        <f t="shared" si="2409"/>
        <v>-0.25221395678356362</v>
      </c>
      <c r="BY282" s="89">
        <f t="shared" si="2409"/>
        <v>0</v>
      </c>
      <c r="BZ282" s="89">
        <f t="shared" si="2409"/>
        <v>4.6091899573661772</v>
      </c>
      <c r="CA282" s="89">
        <f t="shared" si="2409"/>
        <v>0</v>
      </c>
      <c r="CB282" s="89">
        <f t="shared" si="2409"/>
        <v>-4.3661852884047003E-2</v>
      </c>
      <c r="CC282" s="89">
        <f t="shared" si="2409"/>
        <v>0</v>
      </c>
      <c r="CD282" s="89">
        <f t="shared" si="2409"/>
        <v>-0.25326739667961851</v>
      </c>
      <c r="CE282" s="89">
        <f t="shared" si="2409"/>
        <v>0</v>
      </c>
      <c r="CF282" s="89">
        <f t="shared" si="2409"/>
        <v>0.6164853358561968</v>
      </c>
      <c r="CG282" s="89">
        <f t="shared" si="2409"/>
        <v>0</v>
      </c>
      <c r="CH282" s="89">
        <f t="shared" si="2409"/>
        <v>-0.17916453288462941</v>
      </c>
      <c r="CI282" s="89">
        <f t="shared" si="2409"/>
        <v>0</v>
      </c>
      <c r="CJ282" s="89">
        <f t="shared" si="2409"/>
        <v>-4.6256684491978617E-2</v>
      </c>
      <c r="CK282" s="89">
        <f t="shared" si="2409"/>
        <v>0</v>
      </c>
      <c r="CL282" s="89">
        <f t="shared" si="2409"/>
        <v>-0.22885711615736848</v>
      </c>
      <c r="CM282" s="47">
        <f t="shared" si="2409"/>
        <v>0</v>
      </c>
      <c r="CN282" s="47">
        <f t="shared" si="2409"/>
        <v>0</v>
      </c>
      <c r="CO282" s="47">
        <f t="shared" si="2409"/>
        <v>0</v>
      </c>
      <c r="CP282" s="47">
        <f t="shared" si="2409"/>
        <v>0</v>
      </c>
      <c r="CQ282" s="47">
        <f t="shared" si="2409"/>
        <v>0</v>
      </c>
      <c r="CR282" s="47">
        <f t="shared" si="2409"/>
        <v>0</v>
      </c>
      <c r="CS282" s="47">
        <f t="shared" si="2409"/>
        <v>0</v>
      </c>
      <c r="CT282" s="47">
        <f t="shared" si="2409"/>
        <v>0</v>
      </c>
      <c r="CU282" s="47">
        <f t="shared" si="2409"/>
        <v>0</v>
      </c>
      <c r="CV282" s="47">
        <f t="shared" si="2409"/>
        <v>0</v>
      </c>
      <c r="CW282" s="47">
        <f t="shared" si="2409"/>
        <v>0</v>
      </c>
      <c r="CX282" s="47">
        <f t="shared" ref="CX282:DB282" si="2410">CX161/CW161-1</f>
        <v>0</v>
      </c>
      <c r="CY282" s="47">
        <f t="shared" si="2410"/>
        <v>0</v>
      </c>
      <c r="CZ282" s="47">
        <f t="shared" si="2410"/>
        <v>0</v>
      </c>
      <c r="DA282" s="47">
        <f t="shared" si="2410"/>
        <v>0</v>
      </c>
      <c r="DB282" s="47">
        <f t="shared" si="2410"/>
        <v>0</v>
      </c>
      <c r="DE282" s="130"/>
      <c r="DF282" s="89">
        <v>0</v>
      </c>
    </row>
    <row r="283" spans="1:110" s="89" customFormat="1" x14ac:dyDescent="0.2">
      <c r="A283" s="89" t="s">
        <v>104</v>
      </c>
      <c r="C283" s="89">
        <f>C56/B56-1</f>
        <v>-0.44989670304051155</v>
      </c>
      <c r="D283" s="89">
        <f>D56/C56-1</f>
        <v>0.54930666280137319</v>
      </c>
      <c r="F283" s="89">
        <f t="shared" ref="F283:AE283" si="2411">F56/E56-1</f>
        <v>0.13733883391751212</v>
      </c>
      <c r="G283" s="89">
        <f t="shared" si="2411"/>
        <v>1.6129886363636361</v>
      </c>
      <c r="H283" s="89">
        <f t="shared" si="2411"/>
        <v>1.7863035621871517</v>
      </c>
      <c r="I283" s="89">
        <f t="shared" si="2411"/>
        <v>-0.16053292460796265</v>
      </c>
      <c r="J283" s="89">
        <f t="shared" si="2411"/>
        <v>-0.4916396914318224</v>
      </c>
      <c r="K283" s="89">
        <f t="shared" si="2411"/>
        <v>0.7080492729028296</v>
      </c>
      <c r="L283" s="89">
        <f t="shared" si="2411"/>
        <v>0.20077386254625162</v>
      </c>
      <c r="M283" s="89">
        <f t="shared" si="2411"/>
        <v>8.2341989867521281E-2</v>
      </c>
      <c r="N283" s="89">
        <f t="shared" si="2411"/>
        <v>7.2312858145535674E-2</v>
      </c>
      <c r="O283" s="89">
        <f t="shared" si="2411"/>
        <v>3.3873356728883808E-2</v>
      </c>
      <c r="P283" s="89">
        <f t="shared" si="2411"/>
        <v>5.9270421857027245E-2</v>
      </c>
      <c r="Q283" s="89">
        <f t="shared" si="2411"/>
        <v>-6.6731765352907924E-2</v>
      </c>
      <c r="R283" s="89">
        <f t="shared" si="2411"/>
        <v>0.46407095610342752</v>
      </c>
      <c r="S283" s="89">
        <f t="shared" si="2411"/>
        <v>0.2598829448608686</v>
      </c>
      <c r="T283" s="89">
        <f t="shared" si="2411"/>
        <v>-0.13039934800326003</v>
      </c>
      <c r="U283" s="89">
        <f t="shared" si="2411"/>
        <v>-0.17085285848172449</v>
      </c>
      <c r="V283" s="89">
        <f t="shared" si="2411"/>
        <v>0.31931728269469883</v>
      </c>
      <c r="W283" s="89">
        <f t="shared" si="2411"/>
        <v>0.39007882111034964</v>
      </c>
      <c r="X283" s="89">
        <f t="shared" si="2411"/>
        <v>7.8952234206471461E-2</v>
      </c>
      <c r="Y283" s="89">
        <f t="shared" si="2411"/>
        <v>-0.21992459728093228</v>
      </c>
      <c r="Z283" s="89">
        <f t="shared" si="2411"/>
        <v>0.27328646748681895</v>
      </c>
      <c r="AA283" s="89">
        <f t="shared" si="2411"/>
        <v>0.26892109500805161</v>
      </c>
      <c r="AB283" s="47">
        <f t="shared" si="2411"/>
        <v>0.2829840911946353</v>
      </c>
      <c r="AC283" s="47">
        <f t="shared" si="2411"/>
        <v>3.4042952659564474E-2</v>
      </c>
      <c r="AD283" s="47">
        <f t="shared" si="2411"/>
        <v>-4.8699002877049535E-3</v>
      </c>
      <c r="AE283" s="47">
        <f t="shared" si="2411"/>
        <v>-1.4333901252349901E-2</v>
      </c>
      <c r="AL283" s="89">
        <f t="shared" ref="AL283:BQ283" si="2412">AL56/AK56-1</f>
        <v>0.41212469050940004</v>
      </c>
      <c r="AM283" s="89">
        <f t="shared" si="2412"/>
        <v>-0.29168655510238817</v>
      </c>
      <c r="AN283" s="89">
        <f t="shared" si="2412"/>
        <v>0.25663043695830567</v>
      </c>
      <c r="AO283" s="89">
        <f t="shared" si="2412"/>
        <v>-3.1671445258574682E-2</v>
      </c>
      <c r="AP283" s="89">
        <f t="shared" si="2412"/>
        <v>-3.7576422206990978E-2</v>
      </c>
      <c r="AQ283" s="89">
        <f t="shared" si="2412"/>
        <v>-0.22949259921833154</v>
      </c>
      <c r="AR283" s="89">
        <f t="shared" si="2412"/>
        <v>0.47850873625601631</v>
      </c>
      <c r="AS283" s="89">
        <f t="shared" si="2412"/>
        <v>4.4835087894776526E-2</v>
      </c>
      <c r="AT283" s="89">
        <f t="shared" si="2412"/>
        <v>-4.0072755121577597E-2</v>
      </c>
      <c r="AU283" s="89">
        <f t="shared" si="2412"/>
        <v>-0.16861300037896165</v>
      </c>
      <c r="AV283" s="89">
        <f t="shared" si="2412"/>
        <v>0.31570834807746539</v>
      </c>
      <c r="AW283" s="89">
        <f t="shared" si="2412"/>
        <v>-0.32622668344182504</v>
      </c>
      <c r="AX283" s="89">
        <f t="shared" si="2412"/>
        <v>-0.1111314078494251</v>
      </c>
      <c r="AY283" s="89">
        <f t="shared" si="2412"/>
        <v>-0.13914492963213854</v>
      </c>
      <c r="AZ283" s="89">
        <f t="shared" si="2412"/>
        <v>0.83642793987621578</v>
      </c>
      <c r="BA283" s="89">
        <f t="shared" si="2412"/>
        <v>0.34232065479056328</v>
      </c>
      <c r="BB283" s="89">
        <f t="shared" si="2412"/>
        <v>0.34253945480631276</v>
      </c>
      <c r="BC283" s="89">
        <f t="shared" si="2412"/>
        <v>-0.36307774512423185</v>
      </c>
      <c r="BD283" s="89">
        <f t="shared" si="2412"/>
        <v>0.26845637583892623</v>
      </c>
      <c r="BE283" s="89">
        <f t="shared" si="2412"/>
        <v>7.2751322751322789E-2</v>
      </c>
      <c r="BF283" s="89">
        <f t="shared" si="2412"/>
        <v>0.11590628853267582</v>
      </c>
      <c r="BG283" s="89">
        <f t="shared" si="2412"/>
        <v>-0.25055248618784531</v>
      </c>
      <c r="BH283" s="89">
        <f t="shared" si="2412"/>
        <v>-0.1411721341688168</v>
      </c>
      <c r="BI283" s="89">
        <f t="shared" si="2412"/>
        <v>0.21802575107296129</v>
      </c>
      <c r="BJ283" s="89">
        <f t="shared" si="2412"/>
        <v>-1.7265680056377741E-2</v>
      </c>
      <c r="BK283" s="89">
        <f t="shared" si="2412"/>
        <v>-0.11186805306561487</v>
      </c>
      <c r="BL283" s="89">
        <f t="shared" si="2412"/>
        <v>-0.14533710133225675</v>
      </c>
      <c r="BM283" s="89">
        <f t="shared" si="2412"/>
        <v>8.1247047709022135E-2</v>
      </c>
      <c r="BN283" s="89">
        <f t="shared" si="2412"/>
        <v>-0.1419833988641328</v>
      </c>
      <c r="BO283" s="89">
        <f t="shared" si="2412"/>
        <v>-0.19755600814663954</v>
      </c>
      <c r="BP283" s="89">
        <f t="shared" si="2412"/>
        <v>0.87309644670050757</v>
      </c>
      <c r="BQ283" s="89">
        <f t="shared" si="2412"/>
        <v>0.10738482384823844</v>
      </c>
      <c r="BR283" s="89">
        <f t="shared" ref="BR283:DB283" si="2413">BR56/BQ56-1</f>
        <v>0.18537779137350863</v>
      </c>
      <c r="BS283" s="89">
        <f t="shared" si="2413"/>
        <v>-8.180645161290323E-2</v>
      </c>
      <c r="BT283" s="89">
        <f t="shared" si="2413"/>
        <v>-6.2675660483417661E-2</v>
      </c>
      <c r="BU283" s="89">
        <f t="shared" si="2413"/>
        <v>0.31034482758620685</v>
      </c>
      <c r="BV283" s="89">
        <f t="shared" si="2413"/>
        <v>0.13546910755148733</v>
      </c>
      <c r="BW283" s="89">
        <f t="shared" si="2413"/>
        <v>3.5268037081821912E-2</v>
      </c>
      <c r="BX283" s="89">
        <f t="shared" si="2413"/>
        <v>-0.14210628771656608</v>
      </c>
      <c r="BY283" s="89">
        <f t="shared" si="2413"/>
        <v>-0.15883821193555703</v>
      </c>
      <c r="BZ283" s="89">
        <f t="shared" si="2413"/>
        <v>0.14782843269490153</v>
      </c>
      <c r="CA283" s="89">
        <f t="shared" si="2413"/>
        <v>-0.21339600470035258</v>
      </c>
      <c r="CB283" s="89">
        <f t="shared" si="2413"/>
        <v>-6.2145204660890352E-2</v>
      </c>
      <c r="CC283" s="89">
        <f t="shared" si="2413"/>
        <v>0.1216948072634596</v>
      </c>
      <c r="CD283" s="89">
        <f t="shared" si="2413"/>
        <v>3.6353308719113908E-2</v>
      </c>
      <c r="CE283" s="89">
        <f t="shared" si="2413"/>
        <v>8.1392162236229026E-2</v>
      </c>
      <c r="CF283" s="89">
        <f t="shared" si="2413"/>
        <v>4.4855549923973559E-2</v>
      </c>
      <c r="CG283" s="89">
        <f t="shared" si="2413"/>
        <v>9.1195731263642887E-2</v>
      </c>
      <c r="CH283" s="89">
        <f t="shared" si="2413"/>
        <v>7.1349188708601963E-2</v>
      </c>
      <c r="CI283" s="89">
        <f t="shared" si="2413"/>
        <v>-0.19937759336099581</v>
      </c>
      <c r="CJ283" s="89">
        <f t="shared" si="2413"/>
        <v>0.15185281160922526</v>
      </c>
      <c r="CK283" s="89">
        <f t="shared" si="2413"/>
        <v>0.36197975253093362</v>
      </c>
      <c r="CL283" s="89">
        <f t="shared" si="2413"/>
        <v>0.27287743640568229</v>
      </c>
      <c r="CM283" s="47">
        <f t="shared" si="2413"/>
        <v>-0.16191908011151712</v>
      </c>
      <c r="CN283" s="47">
        <f t="shared" si="2413"/>
        <v>6.7610070182364757E-2</v>
      </c>
      <c r="CO283" s="47">
        <f t="shared" si="2413"/>
        <v>7.2520621742177882E-2</v>
      </c>
      <c r="CP283" s="47">
        <f t="shared" si="2413"/>
        <v>2.2283163087459812E-2</v>
      </c>
      <c r="CQ283" s="47">
        <f t="shared" si="2413"/>
        <v>-0.11985004280895961</v>
      </c>
      <c r="CR283" s="47">
        <f t="shared" si="2413"/>
        <v>6.0540847867328385E-2</v>
      </c>
      <c r="CS283" s="47">
        <f t="shared" si="2413"/>
        <v>8.0993117602333076E-2</v>
      </c>
      <c r="CT283" s="47">
        <f t="shared" si="2413"/>
        <v>4.00179280978048E-2</v>
      </c>
      <c r="CU283" s="47">
        <f t="shared" si="2413"/>
        <v>-0.14659766087499815</v>
      </c>
      <c r="CV283" s="47">
        <f t="shared" si="2413"/>
        <v>4.4866319236675167E-2</v>
      </c>
      <c r="CW283" s="47">
        <f t="shared" si="2413"/>
        <v>6.6853103042493034E-2</v>
      </c>
      <c r="CX283" s="47">
        <f t="shared" si="2413"/>
        <v>2.5267077704146157E-2</v>
      </c>
      <c r="CY283" s="47">
        <f t="shared" si="2413"/>
        <v>-0.13379114789836222</v>
      </c>
      <c r="CZ283" s="47">
        <f t="shared" si="2413"/>
        <v>4.0900989651345254E-2</v>
      </c>
      <c r="DA283" s="47">
        <f t="shared" si="2413"/>
        <v>6.4290318548597236E-2</v>
      </c>
      <c r="DB283" s="47">
        <f t="shared" si="2413"/>
        <v>2.4546348693647024E-2</v>
      </c>
      <c r="DE283" s="130"/>
      <c r="DF283" s="89">
        <v>0.13156030784096995</v>
      </c>
    </row>
    <row r="284" spans="1:110" s="103" customFormat="1" x14ac:dyDescent="0.2">
      <c r="A284" s="147" t="s">
        <v>105</v>
      </c>
      <c r="C284" s="103" t="str">
        <f>IF(C282&gt;C283,"RF",0)</f>
        <v>RF</v>
      </c>
      <c r="D284" s="103">
        <f t="shared" ref="D284:U284" si="2414">IF(D282&gt;D283,"RF",0)</f>
        <v>0</v>
      </c>
      <c r="F284" s="103">
        <f t="shared" si="2414"/>
        <v>0</v>
      </c>
      <c r="G284" s="103">
        <f t="shared" si="2414"/>
        <v>0</v>
      </c>
      <c r="H284" s="103">
        <f t="shared" si="2414"/>
        <v>0</v>
      </c>
      <c r="I284" s="103" t="str">
        <f t="shared" si="2414"/>
        <v>RF</v>
      </c>
      <c r="J284" s="103" t="str">
        <f t="shared" si="2414"/>
        <v>RF</v>
      </c>
      <c r="K284" s="103" t="str">
        <f t="shared" si="2414"/>
        <v>RF</v>
      </c>
      <c r="L284" s="103">
        <f t="shared" si="2414"/>
        <v>0</v>
      </c>
      <c r="M284" s="103">
        <f t="shared" si="2414"/>
        <v>0</v>
      </c>
      <c r="N284" s="103">
        <f t="shared" si="2414"/>
        <v>0</v>
      </c>
      <c r="O284" s="103" t="e">
        <f t="shared" si="2414"/>
        <v>#DIV/0!</v>
      </c>
      <c r="P284" s="103" t="e">
        <f t="shared" si="2414"/>
        <v>#DIV/0!</v>
      </c>
      <c r="Q284" s="103" t="e">
        <f t="shared" si="2414"/>
        <v>#DIV/0!</v>
      </c>
      <c r="R284" s="103" t="e">
        <f t="shared" si="2414"/>
        <v>#DIV/0!</v>
      </c>
      <c r="S284" s="103">
        <f t="shared" si="2414"/>
        <v>0</v>
      </c>
      <c r="T284" s="103" t="e">
        <f t="shared" si="2414"/>
        <v>#DIV/0!</v>
      </c>
      <c r="U284" s="103">
        <f t="shared" si="2414"/>
        <v>0</v>
      </c>
      <c r="V284" s="103" t="str">
        <f>IF(V282&gt;V283,"RF",0)</f>
        <v>RF</v>
      </c>
      <c r="W284" s="103">
        <f t="shared" ref="W284:AE284" si="2415">IF(W282&gt;W283,"RF",0)</f>
        <v>0</v>
      </c>
      <c r="X284" s="103" t="str">
        <f t="shared" si="2415"/>
        <v>RF</v>
      </c>
      <c r="Y284" s="103">
        <f t="shared" si="2415"/>
        <v>0</v>
      </c>
      <c r="Z284" s="103">
        <f t="shared" si="2415"/>
        <v>0</v>
      </c>
      <c r="AA284" s="103">
        <f t="shared" ref="AA284" si="2416">IF(AA282&gt;AA283,"RF",0)</f>
        <v>0</v>
      </c>
      <c r="AB284" s="73">
        <f t="shared" si="2415"/>
        <v>0</v>
      </c>
      <c r="AC284" s="73">
        <f t="shared" si="2415"/>
        <v>0</v>
      </c>
      <c r="AD284" s="73" t="str">
        <f t="shared" si="2415"/>
        <v>RF</v>
      </c>
      <c r="AE284" s="73" t="str">
        <f t="shared" si="2415"/>
        <v>RF</v>
      </c>
      <c r="AL284" s="103">
        <f t="shared" ref="AL284:CW284" si="2417">IF(AL282&gt;AL283,"RF",0)</f>
        <v>0</v>
      </c>
      <c r="AM284" s="103" t="e">
        <f t="shared" si="2417"/>
        <v>#DIV/0!</v>
      </c>
      <c r="AN284" s="103" t="e">
        <f t="shared" si="2417"/>
        <v>#DIV/0!</v>
      </c>
      <c r="AO284" s="103" t="str">
        <f t="shared" si="2417"/>
        <v>RF</v>
      </c>
      <c r="AP284" s="103">
        <f t="shared" si="2417"/>
        <v>0</v>
      </c>
      <c r="AQ284" s="103" t="e">
        <f t="shared" si="2417"/>
        <v>#DIV/0!</v>
      </c>
      <c r="AR284" s="103" t="e">
        <f t="shared" si="2417"/>
        <v>#DIV/0!</v>
      </c>
      <c r="AS284" s="103" t="e">
        <f t="shared" si="2417"/>
        <v>#DIV/0!</v>
      </c>
      <c r="AT284" s="103" t="e">
        <f t="shared" si="2417"/>
        <v>#DIV/0!</v>
      </c>
      <c r="AU284" s="103" t="e">
        <f t="shared" si="2417"/>
        <v>#DIV/0!</v>
      </c>
      <c r="AV284" s="103" t="e">
        <f t="shared" si="2417"/>
        <v>#DIV/0!</v>
      </c>
      <c r="AW284" s="103" t="e">
        <f t="shared" si="2417"/>
        <v>#DIV/0!</v>
      </c>
      <c r="AX284" s="103" t="e">
        <f t="shared" si="2417"/>
        <v>#DIV/0!</v>
      </c>
      <c r="AY284" s="103" t="e">
        <f t="shared" si="2417"/>
        <v>#DIV/0!</v>
      </c>
      <c r="AZ284" s="103" t="e">
        <f t="shared" si="2417"/>
        <v>#DIV/0!</v>
      </c>
      <c r="BA284" s="103">
        <f t="shared" si="2417"/>
        <v>0</v>
      </c>
      <c r="BB284" s="103" t="str">
        <f t="shared" si="2417"/>
        <v>RF</v>
      </c>
      <c r="BC284" s="103" t="str">
        <f t="shared" si="2417"/>
        <v>RF</v>
      </c>
      <c r="BD284" s="103">
        <f t="shared" si="2417"/>
        <v>0</v>
      </c>
      <c r="BE284" s="103">
        <f t="shared" si="2417"/>
        <v>0</v>
      </c>
      <c r="BF284" s="103">
        <f t="shared" si="2417"/>
        <v>0</v>
      </c>
      <c r="BG284" s="103" t="e">
        <f t="shared" si="2417"/>
        <v>#DIV/0!</v>
      </c>
      <c r="BH284" s="103" t="e">
        <f t="shared" si="2417"/>
        <v>#DIV/0!</v>
      </c>
      <c r="BI284" s="103" t="e">
        <f t="shared" si="2417"/>
        <v>#DIV/0!</v>
      </c>
      <c r="BJ284" s="103" t="e">
        <f t="shared" si="2417"/>
        <v>#DIV/0!</v>
      </c>
      <c r="BK284" s="103" t="str">
        <f t="shared" si="2417"/>
        <v>RF</v>
      </c>
      <c r="BL284" s="103">
        <f t="shared" si="2417"/>
        <v>0</v>
      </c>
      <c r="BM284" s="103" t="e">
        <f t="shared" si="2417"/>
        <v>#DIV/0!</v>
      </c>
      <c r="BN284" s="103" t="e">
        <f t="shared" si="2417"/>
        <v>#DIV/0!</v>
      </c>
      <c r="BO284" s="103" t="str">
        <f t="shared" si="2417"/>
        <v>RF</v>
      </c>
      <c r="BP284" s="103" t="str">
        <f t="shared" si="2417"/>
        <v>RF</v>
      </c>
      <c r="BQ284" s="103">
        <f t="shared" si="2417"/>
        <v>0</v>
      </c>
      <c r="BR284" s="103">
        <f t="shared" si="2417"/>
        <v>0</v>
      </c>
      <c r="BS284" s="103" t="str">
        <f t="shared" si="2417"/>
        <v>RF</v>
      </c>
      <c r="BT284" s="103">
        <f t="shared" si="2417"/>
        <v>0</v>
      </c>
      <c r="BU284" s="103">
        <f t="shared" si="2417"/>
        <v>0</v>
      </c>
      <c r="BV284" s="103">
        <f t="shared" si="2417"/>
        <v>0</v>
      </c>
      <c r="BW284" s="103">
        <f t="shared" si="2417"/>
        <v>0</v>
      </c>
      <c r="BX284" s="103">
        <f t="shared" si="2417"/>
        <v>0</v>
      </c>
      <c r="BY284" s="103" t="str">
        <f t="shared" si="2417"/>
        <v>RF</v>
      </c>
      <c r="BZ284" s="103" t="str">
        <f t="shared" si="2417"/>
        <v>RF</v>
      </c>
      <c r="CA284" s="103" t="str">
        <f t="shared" si="2417"/>
        <v>RF</v>
      </c>
      <c r="CB284" s="103" t="str">
        <f t="shared" si="2417"/>
        <v>RF</v>
      </c>
      <c r="CC284" s="103">
        <f t="shared" si="2417"/>
        <v>0</v>
      </c>
      <c r="CD284" s="103">
        <f t="shared" si="2417"/>
        <v>0</v>
      </c>
      <c r="CE284" s="103">
        <f t="shared" si="2417"/>
        <v>0</v>
      </c>
      <c r="CF284" s="103" t="str">
        <f t="shared" si="2417"/>
        <v>RF</v>
      </c>
      <c r="CG284" s="103">
        <f t="shared" si="2417"/>
        <v>0</v>
      </c>
      <c r="CH284" s="103">
        <f t="shared" si="2417"/>
        <v>0</v>
      </c>
      <c r="CI284" s="103" t="str">
        <f t="shared" si="2417"/>
        <v>RF</v>
      </c>
      <c r="CJ284" s="103">
        <f t="shared" si="2417"/>
        <v>0</v>
      </c>
      <c r="CK284" s="103">
        <f t="shared" si="2417"/>
        <v>0</v>
      </c>
      <c r="CL284" s="103">
        <f t="shared" ref="CL284" si="2418">IF(CL282&gt;CL283,"RF",0)</f>
        <v>0</v>
      </c>
      <c r="CM284" s="73" t="str">
        <f t="shared" si="2417"/>
        <v>RF</v>
      </c>
      <c r="CN284" s="73">
        <f t="shared" si="2417"/>
        <v>0</v>
      </c>
      <c r="CO284" s="73">
        <f t="shared" si="2417"/>
        <v>0</v>
      </c>
      <c r="CP284" s="73">
        <f t="shared" si="2417"/>
        <v>0</v>
      </c>
      <c r="CQ284" s="73" t="str">
        <f t="shared" si="2417"/>
        <v>RF</v>
      </c>
      <c r="CR284" s="73">
        <f t="shared" si="2417"/>
        <v>0</v>
      </c>
      <c r="CS284" s="73">
        <f t="shared" si="2417"/>
        <v>0</v>
      </c>
      <c r="CT284" s="73">
        <f t="shared" si="2417"/>
        <v>0</v>
      </c>
      <c r="CU284" s="73" t="str">
        <f t="shared" si="2417"/>
        <v>RF</v>
      </c>
      <c r="CV284" s="73">
        <f t="shared" si="2417"/>
        <v>0</v>
      </c>
      <c r="CW284" s="73">
        <f t="shared" si="2417"/>
        <v>0</v>
      </c>
      <c r="CX284" s="73">
        <f t="shared" ref="CX284:DB284" si="2419">IF(CX282&gt;CX283,"RF",0)</f>
        <v>0</v>
      </c>
      <c r="CY284" s="73" t="str">
        <f t="shared" si="2419"/>
        <v>RF</v>
      </c>
      <c r="CZ284" s="73">
        <f t="shared" si="2419"/>
        <v>0</v>
      </c>
      <c r="DA284" s="73">
        <f t="shared" si="2419"/>
        <v>0</v>
      </c>
      <c r="DB284" s="73">
        <f t="shared" si="2419"/>
        <v>0</v>
      </c>
      <c r="DE284" s="142"/>
      <c r="DF284" s="103">
        <v>0</v>
      </c>
    </row>
    <row r="285" spans="1:110" s="86" customFormat="1" x14ac:dyDescent="0.2">
      <c r="A285" s="86" t="s">
        <v>432</v>
      </c>
      <c r="B285" s="86">
        <f>B64/B36</f>
        <v>1.5323163642795275E-3</v>
      </c>
      <c r="C285" s="86">
        <f>C64/C36</f>
        <v>1.2283498318888725E-2</v>
      </c>
      <c r="D285" s="86">
        <f>D64/D36</f>
        <v>1.8066168250588667E-4</v>
      </c>
      <c r="F285" s="86">
        <f t="shared" ref="F285:AE285" si="2420">F64/F36</f>
        <v>7.328661989894589E-4</v>
      </c>
      <c r="G285" s="86">
        <f t="shared" si="2420"/>
        <v>1.0956345665771357E-2</v>
      </c>
      <c r="H285" s="86">
        <f t="shared" si="2420"/>
        <v>3.0844481560010628E-3</v>
      </c>
      <c r="I285" s="86">
        <f t="shared" si="2420"/>
        <v>2.7664242850160988E-3</v>
      </c>
      <c r="J285" s="86">
        <f t="shared" si="2420"/>
        <v>3.5626649645768842E-3</v>
      </c>
      <c r="K285" s="86">
        <f t="shared" si="2420"/>
        <v>5.2051050798364983E-3</v>
      </c>
      <c r="L285" s="86">
        <f t="shared" si="2420"/>
        <v>1.7217913034468792E-3</v>
      </c>
      <c r="M285" s="86">
        <f t="shared" si="2420"/>
        <v>1.156611881679019E-3</v>
      </c>
      <c r="N285" s="86">
        <f t="shared" si="2420"/>
        <v>1.9665928157128277E-3</v>
      </c>
      <c r="O285" s="86">
        <f t="shared" si="2420"/>
        <v>3.0094320986000849E-3</v>
      </c>
      <c r="P285" s="86">
        <f t="shared" si="2420"/>
        <v>1.4602411913481176E-3</v>
      </c>
      <c r="Q285" s="86">
        <f t="shared" si="2420"/>
        <v>1.0993985643148159E-3</v>
      </c>
      <c r="R285" s="86">
        <f t="shared" si="2420"/>
        <v>1.0745824023832323E-2</v>
      </c>
      <c r="S285" s="86">
        <f t="shared" si="2420"/>
        <v>1.0924108530574182E-2</v>
      </c>
      <c r="T285" s="86">
        <f t="shared" si="2420"/>
        <v>5.3508855005208831E-3</v>
      </c>
      <c r="U285" s="86">
        <f t="shared" si="2420"/>
        <v>6.0341576423684068E-3</v>
      </c>
      <c r="V285" s="86">
        <f t="shared" si="2420"/>
        <v>1.7057757744487163E-2</v>
      </c>
      <c r="W285" s="86">
        <f t="shared" si="2420"/>
        <v>9.8505434782608699E-3</v>
      </c>
      <c r="X285" s="86">
        <f t="shared" si="2420"/>
        <v>9.7659686785148692E-3</v>
      </c>
      <c r="Y285" s="86">
        <f t="shared" si="2420"/>
        <v>3.3008433568367204E-2</v>
      </c>
      <c r="Z285" s="86">
        <f t="shared" si="2420"/>
        <v>3.2127453569228061E-2</v>
      </c>
      <c r="AA285" s="86">
        <f t="shared" ref="AA285" si="2421">AA64/AA36</f>
        <v>2.1569875624326707E-2</v>
      </c>
      <c r="AB285" s="87">
        <f t="shared" si="2420"/>
        <v>-5.7144037966542433E-3</v>
      </c>
      <c r="AC285" s="87">
        <f t="shared" si="2420"/>
        <v>-1.1249056949441661E-2</v>
      </c>
      <c r="AD285" s="87">
        <f t="shared" si="2420"/>
        <v>-2.313373173857906E-2</v>
      </c>
      <c r="AE285" s="87">
        <f t="shared" si="2420"/>
        <v>-4.4219374716377616E-2</v>
      </c>
      <c r="AL285" s="86">
        <f t="shared" ref="AL285:CW285" si="2422">AL64/AL36</f>
        <v>2.7707776342215341E-3</v>
      </c>
      <c r="AM285" s="86">
        <f t="shared" si="2422"/>
        <v>2.2317838185620074E-3</v>
      </c>
      <c r="AN285" s="86">
        <f t="shared" si="2422"/>
        <v>2.2561693447556005E-3</v>
      </c>
      <c r="AO285" s="86">
        <f t="shared" si="2422"/>
        <v>2.8984919146568039E-3</v>
      </c>
      <c r="AP285" s="86">
        <f t="shared" si="2422"/>
        <v>5.5590938539756447E-3</v>
      </c>
      <c r="AQ285" s="86">
        <f t="shared" si="2422"/>
        <v>2.5272762944808938E-3</v>
      </c>
      <c r="AR285" s="86">
        <f t="shared" si="2422"/>
        <v>3.4452106312362262E-4</v>
      </c>
      <c r="AS285" s="86">
        <f t="shared" si="2422"/>
        <v>2.0502758788935779E-4</v>
      </c>
      <c r="AT285" s="86">
        <f t="shared" si="2422"/>
        <v>3.3473269860968373E-3</v>
      </c>
      <c r="AU285" s="86">
        <f t="shared" si="2422"/>
        <v>4.4350540057352689E-4</v>
      </c>
      <c r="AV285" s="86">
        <f t="shared" si="2422"/>
        <v>2.7765794377082435E-4</v>
      </c>
      <c r="AW285" s="86">
        <f t="shared" si="2422"/>
        <v>1.3731022437189306E-3</v>
      </c>
      <c r="AX285" s="86">
        <f t="shared" si="2422"/>
        <v>2.6059839181836872E-3</v>
      </c>
      <c r="AY285" s="86">
        <f t="shared" si="2422"/>
        <v>2.5320970042796005E-2</v>
      </c>
      <c r="AZ285" s="86">
        <f t="shared" si="2422"/>
        <v>1.8431983385254414E-2</v>
      </c>
      <c r="BA285" s="86">
        <f t="shared" si="2422"/>
        <v>8.5327397514375816E-3</v>
      </c>
      <c r="BB285" s="86">
        <f t="shared" si="2422"/>
        <v>2.2382094324540367E-3</v>
      </c>
      <c r="BC285" s="86">
        <f t="shared" si="2422"/>
        <v>2.7328944743666466E-2</v>
      </c>
      <c r="BD285" s="86">
        <f t="shared" si="2422"/>
        <v>1.5822188736108495E-2</v>
      </c>
      <c r="BE285" s="86">
        <f t="shared" si="2422"/>
        <v>2.8706518068220195E-3</v>
      </c>
      <c r="BF285" s="86">
        <f t="shared" si="2422"/>
        <v>1.2744941851202804E-3</v>
      </c>
      <c r="BG285" s="86">
        <f t="shared" si="2422"/>
        <v>2.0715630885122412E-3</v>
      </c>
      <c r="BH285" s="86">
        <f t="shared" si="2422"/>
        <v>0</v>
      </c>
      <c r="BI285" s="86">
        <f t="shared" si="2422"/>
        <v>9.2057761732851993E-3</v>
      </c>
      <c r="BJ285" s="86">
        <f t="shared" si="2422"/>
        <v>9.2879256965944269E-3</v>
      </c>
      <c r="BK285" s="86">
        <f t="shared" si="2422"/>
        <v>5.8151193102065372E-3</v>
      </c>
      <c r="BL285" s="86">
        <f t="shared" si="2422"/>
        <v>5.5420084238528046E-3</v>
      </c>
      <c r="BM285" s="86">
        <f t="shared" si="2422"/>
        <v>8.9897260273972598E-3</v>
      </c>
      <c r="BN285" s="86">
        <f t="shared" si="2422"/>
        <v>3.6438168982008655E-3</v>
      </c>
      <c r="BO285" s="86">
        <f t="shared" si="2422"/>
        <v>1.3035848583604914E-2</v>
      </c>
      <c r="BP285" s="86">
        <f t="shared" si="2422"/>
        <v>1.2014134275618375E-2</v>
      </c>
      <c r="BQ285" s="86">
        <f t="shared" si="2422"/>
        <v>2.2376926902038786E-2</v>
      </c>
      <c r="BR285" s="86">
        <f t="shared" si="2422"/>
        <v>1.8857060601698575E-2</v>
      </c>
      <c r="BS285" s="86">
        <f t="shared" si="2422"/>
        <v>1.4086663604348492E-2</v>
      </c>
      <c r="BT285" s="86">
        <f t="shared" si="2422"/>
        <v>1.3394315583142764E-2</v>
      </c>
      <c r="BU285" s="86">
        <f t="shared" si="2422"/>
        <v>6.2578222778473091E-3</v>
      </c>
      <c r="BV285" s="86">
        <f t="shared" si="2422"/>
        <v>7.5025576901216326E-3</v>
      </c>
      <c r="BW285" s="86">
        <f t="shared" si="2422"/>
        <v>4.6873335463939493E-3</v>
      </c>
      <c r="BX285" s="86">
        <f t="shared" si="2422"/>
        <v>6.1180422264875238E-3</v>
      </c>
      <c r="BY285" s="86">
        <f t="shared" si="2422"/>
        <v>7.882023900330536E-3</v>
      </c>
      <c r="BZ285" s="86">
        <f t="shared" si="2422"/>
        <v>2.0683981666470796E-2</v>
      </c>
      <c r="CA285" s="86">
        <f t="shared" si="2422"/>
        <v>2.9936830541060149E-2</v>
      </c>
      <c r="CB285" s="86">
        <f t="shared" si="2422"/>
        <v>3.4162862612280957E-2</v>
      </c>
      <c r="CC285" s="86">
        <f t="shared" si="2422"/>
        <v>3.3242134062927496E-2</v>
      </c>
      <c r="CD285" s="86">
        <f t="shared" si="2422"/>
        <v>3.4706583653464032E-2</v>
      </c>
      <c r="CE285" s="86">
        <f t="shared" si="2422"/>
        <v>3.1488314883148828E-2</v>
      </c>
      <c r="CF285" s="86">
        <f t="shared" si="2422"/>
        <v>3.6718371303926321E-2</v>
      </c>
      <c r="CG285" s="86">
        <f t="shared" si="2422"/>
        <v>3.3085674483399115E-2</v>
      </c>
      <c r="CH285" s="86">
        <f t="shared" si="2422"/>
        <v>2.7621877407285132E-2</v>
      </c>
      <c r="CI285" s="86">
        <f t="shared" si="2422"/>
        <v>3.088405610603526E-2</v>
      </c>
      <c r="CJ285" s="86">
        <f t="shared" si="2422"/>
        <v>3.0295941045736345E-2</v>
      </c>
      <c r="CK285" s="86">
        <f t="shared" si="2422"/>
        <v>1.7759562841530054E-2</v>
      </c>
      <c r="CL285" s="86">
        <f t="shared" ref="CL285" si="2423">CL64/CL36</f>
        <v>1.3806851742468989E-2</v>
      </c>
      <c r="CM285" s="87">
        <f t="shared" si="2422"/>
        <v>-4.7654536590909262E-3</v>
      </c>
      <c r="CN285" s="87">
        <f t="shared" si="2422"/>
        <v>-4.8697588158771775E-3</v>
      </c>
      <c r="CO285" s="87">
        <f t="shared" si="2422"/>
        <v>-5.9021295446887315E-3</v>
      </c>
      <c r="CP285" s="87">
        <f t="shared" si="2422"/>
        <v>-7.1578397395920205E-3</v>
      </c>
      <c r="CQ285" s="87">
        <f t="shared" si="2422"/>
        <v>-1.0204858977534766E-2</v>
      </c>
      <c r="CR285" s="87">
        <f t="shared" si="2422"/>
        <v>-1.0446715543506246E-2</v>
      </c>
      <c r="CS285" s="87">
        <f t="shared" si="2422"/>
        <v>-1.1273564522340272E-2</v>
      </c>
      <c r="CT285" s="87">
        <f t="shared" si="2422"/>
        <v>-1.2857906644910289E-2</v>
      </c>
      <c r="CU285" s="87">
        <f t="shared" si="2422"/>
        <v>-1.7159702942712043E-2</v>
      </c>
      <c r="CV285" s="87">
        <f t="shared" si="2422"/>
        <v>-2.0882565981393569E-2</v>
      </c>
      <c r="CW285" s="87">
        <f t="shared" si="2422"/>
        <v>-2.452609927236735E-2</v>
      </c>
      <c r="CX285" s="87">
        <f t="shared" ref="CX285:DB285" si="2424">CX64/CX36</f>
        <v>-2.9099561852228856E-2</v>
      </c>
      <c r="CY285" s="87">
        <f t="shared" si="2424"/>
        <v>-3.9507757441174032E-2</v>
      </c>
      <c r="CZ285" s="87">
        <f t="shared" si="2424"/>
        <v>-4.2522585088621334E-2</v>
      </c>
      <c r="DA285" s="87">
        <f t="shared" si="2424"/>
        <v>-4.4988528194063335E-2</v>
      </c>
      <c r="DB285" s="87">
        <f t="shared" si="2424"/>
        <v>-4.9180979261720333E-2</v>
      </c>
      <c r="DE285" s="141"/>
      <c r="DF285" s="86">
        <v>9.5221018371434984E-3</v>
      </c>
    </row>
    <row r="286" spans="1:110" s="86" customFormat="1" x14ac:dyDescent="0.2">
      <c r="A286" s="86" t="s">
        <v>433</v>
      </c>
      <c r="B286" s="86">
        <f>B60/B36</f>
        <v>3.5796142718868711E-2</v>
      </c>
      <c r="C286" s="86">
        <f>C60/C36</f>
        <v>4.69322274918271E-2</v>
      </c>
      <c r="D286" s="86">
        <f>D60/D36</f>
        <v>4.2899874628067311E-2</v>
      </c>
      <c r="F286" s="86">
        <f t="shared" ref="F286:AE286" si="2425">F60/F36</f>
        <v>3.5165363114844202E-2</v>
      </c>
      <c r="G286" s="86">
        <f t="shared" si="2425"/>
        <v>3.1960631122493796E-2</v>
      </c>
      <c r="H286" s="86">
        <f t="shared" si="2425"/>
        <v>1.6927590301991768E-2</v>
      </c>
      <c r="I286" s="86">
        <f t="shared" si="2425"/>
        <v>2.523890025191973E-2</v>
      </c>
      <c r="J286" s="86">
        <f t="shared" si="2425"/>
        <v>4.644979133660182E-2</v>
      </c>
      <c r="K286" s="86">
        <f t="shared" si="2425"/>
        <v>3.9613077707999766E-2</v>
      </c>
      <c r="L286" s="86">
        <f t="shared" si="2425"/>
        <v>4.4715711345643949E-2</v>
      </c>
      <c r="M286" s="86">
        <f t="shared" si="2425"/>
        <v>5.0631410593901541E-2</v>
      </c>
      <c r="N286" s="86">
        <f t="shared" si="2425"/>
        <v>4.7373946964960091E-2</v>
      </c>
      <c r="O286" s="86">
        <f t="shared" si="2425"/>
        <v>5.254050579084648E-2</v>
      </c>
      <c r="P286" s="86">
        <f t="shared" si="2425"/>
        <v>4.0011602426820246E-2</v>
      </c>
      <c r="Q286" s="86">
        <f t="shared" si="2425"/>
        <v>4.8179525318502232E-2</v>
      </c>
      <c r="R286" s="86">
        <f t="shared" si="2425"/>
        <v>9.6340036174061075E-2</v>
      </c>
      <c r="S286" s="86">
        <f t="shared" si="2425"/>
        <v>6.5855499800168749E-2</v>
      </c>
      <c r="T286" s="86">
        <f t="shared" si="2425"/>
        <v>8.9165640685670997E-2</v>
      </c>
      <c r="U286" s="86">
        <f t="shared" si="2425"/>
        <v>0.12278433274069285</v>
      </c>
      <c r="V286" s="86">
        <f t="shared" si="2425"/>
        <v>0.11184762914843785</v>
      </c>
      <c r="W286" s="86">
        <f t="shared" si="2425"/>
        <v>9.9082880434782611E-2</v>
      </c>
      <c r="X286" s="86">
        <f t="shared" si="2425"/>
        <v>9.5724089389407005E-2</v>
      </c>
      <c r="Y286" s="86">
        <f t="shared" si="2425"/>
        <v>0.11986727498963086</v>
      </c>
      <c r="Z286" s="86">
        <f t="shared" si="2425"/>
        <v>0.10679811049496817</v>
      </c>
      <c r="AA286" s="86">
        <f t="shared" ref="AA286" si="2426">AA60/AA36</f>
        <v>9.2792086965037698E-2</v>
      </c>
      <c r="AB286" s="87">
        <f t="shared" si="2425"/>
        <v>0.10034816157663319</v>
      </c>
      <c r="AC286" s="87">
        <f t="shared" si="2425"/>
        <v>0.11756486102684638</v>
      </c>
      <c r="AD286" s="87">
        <f t="shared" si="2425"/>
        <v>0.13188019156477321</v>
      </c>
      <c r="AE286" s="87">
        <f t="shared" si="2425"/>
        <v>0.11373115543261639</v>
      </c>
      <c r="AL286" s="86">
        <f t="shared" ref="AL286:CW286" si="2427">AL60/AL36</f>
        <v>3.11821217044248E-2</v>
      </c>
      <c r="AM286" s="86">
        <f t="shared" si="2427"/>
        <v>6.1769476167497728E-2</v>
      </c>
      <c r="AN286" s="86">
        <f t="shared" si="2427"/>
        <v>5.2392017150258638E-2</v>
      </c>
      <c r="AO286" s="86">
        <f t="shared" si="2427"/>
        <v>6.0775578466523865E-2</v>
      </c>
      <c r="AP286" s="86">
        <f t="shared" si="2427"/>
        <v>5.6032920816541675E-2</v>
      </c>
      <c r="AQ286" s="86">
        <f t="shared" si="2427"/>
        <v>6.7268779159281589E-2</v>
      </c>
      <c r="AR286" s="86">
        <f t="shared" si="2427"/>
        <v>5.4200264045150673E-2</v>
      </c>
      <c r="AS286" s="86">
        <f t="shared" si="2427"/>
        <v>5.4244071069309709E-2</v>
      </c>
      <c r="AT286" s="86">
        <f t="shared" si="2427"/>
        <v>6.4958988578852454E-3</v>
      </c>
      <c r="AU286" s="86">
        <f t="shared" si="2427"/>
        <v>4.7634132836754196E-2</v>
      </c>
      <c r="AV286" s="86">
        <f t="shared" si="2427"/>
        <v>4.2022726646901702E-2</v>
      </c>
      <c r="AW286" s="86">
        <f t="shared" si="2427"/>
        <v>4.8297729410184065E-2</v>
      </c>
      <c r="AX286" s="86">
        <f t="shared" si="2427"/>
        <v>5.8232158420657924E-2</v>
      </c>
      <c r="AY286" s="86">
        <f t="shared" si="2427"/>
        <v>0.13873038516405137</v>
      </c>
      <c r="AZ286" s="86">
        <f t="shared" si="2427"/>
        <v>0.11214953271028037</v>
      </c>
      <c r="BA286" s="86">
        <f t="shared" si="2427"/>
        <v>8.4956408829530705E-2</v>
      </c>
      <c r="BB286" s="86">
        <f t="shared" si="2427"/>
        <v>8.5051958433253402E-2</v>
      </c>
      <c r="BC286" s="86">
        <f t="shared" si="2427"/>
        <v>6.5030919609016552E-2</v>
      </c>
      <c r="BD286" s="86">
        <f t="shared" si="2427"/>
        <v>6.1216801657562631E-2</v>
      </c>
      <c r="BE286" s="86">
        <f t="shared" si="2427"/>
        <v>6.2985477879094906E-2</v>
      </c>
      <c r="BF286" s="86">
        <f t="shared" si="2427"/>
        <v>7.3124103871276089E-2</v>
      </c>
      <c r="BG286" s="86">
        <f t="shared" si="2427"/>
        <v>7.2881355932203393E-2</v>
      </c>
      <c r="BH286" s="86">
        <f t="shared" si="2427"/>
        <v>9.5038727234666109E-2</v>
      </c>
      <c r="BI286" s="86">
        <f t="shared" si="2427"/>
        <v>8.8267148014440439E-2</v>
      </c>
      <c r="BJ286" s="86">
        <f t="shared" si="2427"/>
        <v>0.10071025314150428</v>
      </c>
      <c r="BK286" s="86">
        <f t="shared" si="2427"/>
        <v>0.10707840385001002</v>
      </c>
      <c r="BL286" s="86">
        <f t="shared" si="2427"/>
        <v>0.13189980048769673</v>
      </c>
      <c r="BM286" s="86">
        <f t="shared" si="2427"/>
        <v>0.12778253424657535</v>
      </c>
      <c r="BN286" s="86">
        <f t="shared" si="2427"/>
        <v>0.1259394215440674</v>
      </c>
      <c r="BO286" s="86">
        <f t="shared" si="2427"/>
        <v>0.13637503133617448</v>
      </c>
      <c r="BP286" s="86">
        <f t="shared" si="2427"/>
        <v>0.11519434628975266</v>
      </c>
      <c r="BQ286" s="86">
        <f t="shared" si="2427"/>
        <v>0.10591745400298359</v>
      </c>
      <c r="BR286" s="86">
        <f t="shared" si="2427"/>
        <v>0.10018713113574204</v>
      </c>
      <c r="BS286" s="86">
        <f t="shared" si="2427"/>
        <v>0.1007502679528403</v>
      </c>
      <c r="BT286" s="86">
        <f t="shared" si="2427"/>
        <v>0.11466840901666123</v>
      </c>
      <c r="BU286" s="86">
        <f t="shared" si="2427"/>
        <v>9.2740926157697121E-2</v>
      </c>
      <c r="BV286" s="86">
        <f t="shared" si="2427"/>
        <v>9.2758895077867456E-2</v>
      </c>
      <c r="BW286" s="86">
        <f t="shared" si="2427"/>
        <v>7.7873655054863114E-2</v>
      </c>
      <c r="BX286" s="86">
        <f t="shared" si="2427"/>
        <v>9.5729366602687146E-2</v>
      </c>
      <c r="BY286" s="86">
        <f t="shared" si="2427"/>
        <v>0.10259344012204424</v>
      </c>
      <c r="BZ286" s="86">
        <f t="shared" si="2427"/>
        <v>0.10906099424139147</v>
      </c>
      <c r="CA286" s="86">
        <f t="shared" si="2427"/>
        <v>0.10999725350178523</v>
      </c>
      <c r="CB286" s="86">
        <f t="shared" si="2427"/>
        <v>0.12148431747901635</v>
      </c>
      <c r="CC286" s="86">
        <f t="shared" si="2427"/>
        <v>0.1238030095759234</v>
      </c>
      <c r="CD286" s="86">
        <f t="shared" si="2427"/>
        <v>0.1241224003179229</v>
      </c>
      <c r="CE286" s="86">
        <f t="shared" si="2427"/>
        <v>0.1038130381303813</v>
      </c>
      <c r="CF286" s="86">
        <f t="shared" si="2427"/>
        <v>0.1062772661173049</v>
      </c>
      <c r="CG286" s="86">
        <f t="shared" si="2427"/>
        <v>0.10506152774553053</v>
      </c>
      <c r="CH286" s="86">
        <f t="shared" si="2427"/>
        <v>0.11158798283261803</v>
      </c>
      <c r="CI286" s="86">
        <f t="shared" si="2427"/>
        <v>0.11748809677004246</v>
      </c>
      <c r="CJ286" s="86">
        <f t="shared" si="2427"/>
        <v>0.10316996139899404</v>
      </c>
      <c r="CK286" s="86">
        <f t="shared" si="2427"/>
        <v>8.6247723132969037E-2</v>
      </c>
      <c r="CL286" s="86">
        <f t="shared" ref="CL286" si="2428">CL60/CL36</f>
        <v>7.7377436503248673E-2</v>
      </c>
      <c r="CM286" s="87">
        <f t="shared" si="2427"/>
        <v>8.7630372257236494E-2</v>
      </c>
      <c r="CN286" s="87">
        <f t="shared" si="2427"/>
        <v>9.7285961664236961E-2</v>
      </c>
      <c r="CO286" s="87">
        <f t="shared" si="2427"/>
        <v>0.10316689641564404</v>
      </c>
      <c r="CP286" s="87">
        <f t="shared" si="2427"/>
        <v>0.11176133689681923</v>
      </c>
      <c r="CQ286" s="87">
        <f t="shared" si="2427"/>
        <v>0.11240705524342547</v>
      </c>
      <c r="CR286" s="87">
        <f t="shared" si="2427"/>
        <v>0.11696449658919361</v>
      </c>
      <c r="CS286" s="87">
        <f t="shared" si="2427"/>
        <v>0.11782158176721735</v>
      </c>
      <c r="CT286" s="87">
        <f t="shared" si="2427"/>
        <v>0.12233053196430264</v>
      </c>
      <c r="CU286" s="87">
        <f t="shared" si="2427"/>
        <v>0.14998508601587629</v>
      </c>
      <c r="CV286" s="87">
        <f t="shared" si="2427"/>
        <v>0.13840144654933817</v>
      </c>
      <c r="CW286" s="87">
        <f t="shared" si="2427"/>
        <v>0.12479769634067642</v>
      </c>
      <c r="CX286" s="87">
        <f t="shared" ref="CX286:DB286" si="2429">CX60/CX36</f>
        <v>0.11686865622127685</v>
      </c>
      <c r="CY286" s="87">
        <f t="shared" si="2429"/>
        <v>0.12923646100685365</v>
      </c>
      <c r="CZ286" s="87">
        <f t="shared" si="2429"/>
        <v>0.11932044427960699</v>
      </c>
      <c r="DA286" s="87">
        <f t="shared" si="2429"/>
        <v>0.10765684549158364</v>
      </c>
      <c r="DB286" s="87">
        <f t="shared" si="2429"/>
        <v>0.10085584311881497</v>
      </c>
      <c r="DE286" s="141"/>
      <c r="DF286" s="86">
        <v>6.9562097035431966E-2</v>
      </c>
    </row>
    <row r="287" spans="1:110" s="85" customFormat="1" x14ac:dyDescent="0.2">
      <c r="AB287" s="58"/>
      <c r="AC287" s="58"/>
      <c r="AD287" s="58"/>
      <c r="AE287" s="58"/>
      <c r="CM287" s="72"/>
      <c r="CN287" s="72"/>
      <c r="CO287" s="72"/>
      <c r="CP287" s="72"/>
      <c r="CQ287" s="72"/>
      <c r="CR287" s="72"/>
      <c r="CS287" s="72"/>
      <c r="CT287" s="72"/>
      <c r="CU287" s="72"/>
      <c r="CV287" s="72"/>
      <c r="CW287" s="72"/>
      <c r="CX287" s="72"/>
      <c r="CY287" s="72"/>
      <c r="CZ287" s="72"/>
      <c r="DA287" s="72"/>
      <c r="DB287" s="72"/>
      <c r="DE287" s="143"/>
    </row>
  </sheetData>
  <sortState xmlns:xlrd2="http://schemas.microsoft.com/office/spreadsheetml/2017/richdata2" ref="A48:DE53">
    <sortCondition ref="A48:A5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100188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Hindustan Zinc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2712.67</v>
      </c>
      <c r="D6">
        <f>_xll.EQNXTDZ($A$1,$B6,D$1,$B$1)</f>
        <v>2822.3</v>
      </c>
      <c r="E6">
        <f>_xll.EQNXTDZ($A$1,$B6,E$1,$B$1)</f>
        <v>3140.43</v>
      </c>
      <c r="F6">
        <f>_xll.EQNXTDZ($A$1,$B6,F$1,$B$1)</f>
        <v>3850.29</v>
      </c>
      <c r="G6">
        <f>_xll.EQNXTDZ($A$1,$B6,G$1,$B$1)</f>
        <v>2939.41</v>
      </c>
      <c r="H6">
        <f>_xll.EQNXTDZ($A$1,$B6,H$1,$B$1)</f>
        <v>3520.45</v>
      </c>
      <c r="I6">
        <f>_xll.EQNXTDZ($A$1,$B6,I$1,$B$1)</f>
        <v>3410.4</v>
      </c>
      <c r="J6">
        <f>_xll.EQNXTDZ($A$1,$B6,J$1,$B$1)</f>
        <v>3588.69</v>
      </c>
      <c r="K6">
        <f>_xll.EQNXTDZ($A$1,$B6,K$1,$B$1)</f>
        <v>2962.65</v>
      </c>
      <c r="L6">
        <f>_xll.EQNXTDZ($A$1,$B6,L$1,$B$1)</f>
        <v>3749.22</v>
      </c>
      <c r="M6">
        <f>_xll.EQNXTDZ($A$1,$B6,M$1,$B$1)</f>
        <v>3803.73</v>
      </c>
      <c r="N6">
        <f>_xll.EQNXTDZ($A$1,$B6,N$1,$B$1)</f>
        <v>4073.11</v>
      </c>
      <c r="O6">
        <f>_xll.EQNXTDZ($A$1,$B6,O$1,$B$1)</f>
        <v>3595.8</v>
      </c>
      <c r="P6">
        <f>_xll.EQNXTDZ($A$1,$B6,P$1,$B$1)</f>
        <v>4232.8599999999997</v>
      </c>
      <c r="Q6">
        <f>_xll.EQNXTDZ($A$1,$B6,Q$1,$B$1)</f>
        <v>3676.11</v>
      </c>
      <c r="R6">
        <f>_xll.EQNXTDZ($A$1,$B6,R$1,$B$1)</f>
        <v>3453.59</v>
      </c>
      <c r="S6">
        <f>_xll.EQNXTDZ($A$1,$B6,S$1,$B$1)</f>
        <v>2804</v>
      </c>
      <c r="T6">
        <f>_xll.EQNXTDZ($A$1,$B6,T$1,$B$1)</f>
        <v>3852</v>
      </c>
      <c r="U6">
        <f>_xll.EQNXTDZ($A$1,$B6,U$1,$B$1)</f>
        <v>5391</v>
      </c>
      <c r="V6">
        <f>_xll.EQNXTDZ($A$1,$B6,V$1,$B$1)</f>
        <v>6255</v>
      </c>
      <c r="W6">
        <f>_xll.EQNXTDZ($A$1,$B6,W$1,$B$1)</f>
        <v>5013</v>
      </c>
      <c r="X6">
        <f>_xll.EQNXTDZ($A$1,$B6,X$1,$B$1)</f>
        <v>5309</v>
      </c>
      <c r="Y6">
        <f>_xll.EQNXTDZ($A$1,$B6,Y$1,$B$1)</f>
        <v>5922</v>
      </c>
      <c r="Z6">
        <f>_xll.EQNXTDZ($A$1,$B6,Z$1,$B$1)</f>
        <v>6174</v>
      </c>
      <c r="AA6">
        <f>_xll.EQNXTDZ($A$1,$B6,AA$1,$B$1)</f>
        <v>5258</v>
      </c>
      <c r="AB6">
        <f>_xll.EQNXTDZ($A$1,$B6,AB$1,$B$1)</f>
        <v>4707</v>
      </c>
      <c r="AC6">
        <f>_xll.EQNXTDZ($A$1,$B6,AC$1,$B$1)</f>
        <v>5485</v>
      </c>
      <c r="AD6">
        <f>_xll.EQNXTDZ($A$1,$B6,AD$1,$B$1)</f>
        <v>5384</v>
      </c>
      <c r="AE6">
        <f>_xll.EQNXTDZ($A$1,$B6,AE$1,$B$1)</f>
        <v>4924</v>
      </c>
      <c r="AF6">
        <f>_xll.EQNXTDZ($A$1,$B6,AF$1,$B$1)</f>
        <v>4461</v>
      </c>
      <c r="AG6">
        <f>_xll.EQNXTDZ($A$1,$B6,AG$1,$B$1)</f>
        <v>4626</v>
      </c>
      <c r="AH6">
        <f>_xll.EQNXTDZ($A$1,$B6,AH$1,$B$1)</f>
        <v>4321</v>
      </c>
      <c r="AI6">
        <f>_xll.EQNXTDZ($A$1,$B6,AI$1,$B$1)</f>
        <v>3898</v>
      </c>
      <c r="AJ6">
        <f>_xll.EQNXTDZ($A$1,$B6,AJ$1,$B$1)</f>
        <v>5533</v>
      </c>
      <c r="AK6">
        <f>_xll.EQNXTDZ($A$1,$B6,AK$1,$B$1)</f>
        <v>5915</v>
      </c>
      <c r="AL6">
        <f>_xll.EQNXTDZ($A$1,$B6,AL$1,$B$1)</f>
        <v>6725</v>
      </c>
      <c r="AM6">
        <f>_xll.EQNXTDZ($A$1,$B6,AM$1,$B$1)</f>
        <v>6378</v>
      </c>
      <c r="AN6">
        <f>_xll.EQNXTDZ($A$1,$B6,AN$1,$B$1)</f>
        <v>5958</v>
      </c>
      <c r="AO6">
        <f>_xll.EQNXTDZ($A$1,$B6,AO$1,$B$1)</f>
        <v>7841</v>
      </c>
      <c r="AP6">
        <f>_xll.EQNXTDZ($A$1,$B6,AP$1,$B$1)</f>
        <v>8613</v>
      </c>
      <c r="AQ6">
        <f>_xll.EQNXTDZ($A$1,$B6,AQ$1,$B$1)</f>
        <v>9236</v>
      </c>
      <c r="AR6">
        <f>_xll.EQNXTDZ($A$1,$B6,AR$1,$B$1)</f>
        <v>8127</v>
      </c>
      <c r="AS6">
        <f>_xll.EQNXTDZ($A$1,$B6,AS$1,$B$1)</f>
        <v>7628</v>
      </c>
      <c r="AT6">
        <f>_xll.EQNXTDZ($A$1,$B6,AT$1,$B$1)</f>
        <v>8281</v>
      </c>
      <c r="AU6">
        <f>_xll.EQNXTDZ($A$1,$B6,AU$1,$B$1)</f>
        <v>7111</v>
      </c>
      <c r="AV6">
        <f>_xll.EQNXTDZ($A$1,$B6,AV$1,$B$1)</f>
        <v>6619</v>
      </c>
      <c r="AW6">
        <f>_xll.EQNXTDZ($A$1,$B6,AW$1,$B$1)</f>
        <v>7067</v>
      </c>
      <c r="AX6">
        <f>_xll.EQNXTDZ($A$1,$B6,AX$1,$B$1)</f>
        <v>7285</v>
      </c>
      <c r="AY6">
        <f>_xll.EQNXTDZ($A$1,$B6,AY$1,$B$1)</f>
        <v>7893</v>
      </c>
      <c r="AZ6">
        <f>_xll.EQNXTDZ($A$1,$B6,AZ$1,$B$1)</f>
        <v>8004</v>
      </c>
      <c r="BA6">
        <f>_xll.EQNXTDZ($A$1,$B6,BA$1,$B$1)</f>
        <v>8315</v>
      </c>
      <c r="BB6">
        <f>_xll.EQNXTDZ($A$1,$B6,BB$1,$B$1)</f>
        <v>8829</v>
      </c>
      <c r="BC6">
        <f>_xll.EQNXTDZ($A$1,$B6,BC$1,$B$1)</f>
        <v>7591</v>
      </c>
      <c r="BD6">
        <f>_xll.EQNXTDZ($A$1,$B6,BD$1,$B$1)</f>
        <v>8282</v>
      </c>
      <c r="BE6">
        <f>_xll.EQNXTDZ($A$1,$B6,BE$1,$B$1)</f>
        <v>10627</v>
      </c>
      <c r="BF6">
        <f>_xll.EQNXTDZ($A$1,$B6,BF$1,$B$1)</f>
        <v>12692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324.58</v>
      </c>
      <c r="Q7">
        <f>_xll.EQNXTDZ($A$1,$B7,Q$1,$B$1)</f>
        <v>290.92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35.04</v>
      </c>
      <c r="D8">
        <f>_xll.EQNXTDZ($A$1,$B8,D$1,$B$1)</f>
        <v>43.16</v>
      </c>
      <c r="E8">
        <f>_xll.EQNXTDZ($A$1,$B8,E$1,$B$1)</f>
        <v>37.590000000000003</v>
      </c>
      <c r="F8">
        <f>_xll.EQNXTDZ($A$1,$B8,F$1,$B$1)</f>
        <v>58.36</v>
      </c>
      <c r="G8">
        <f>_xll.EQNXTDZ($A$1,$B8,G$1,$B$1)</f>
        <v>44.75</v>
      </c>
      <c r="H8">
        <f>_xll.EQNXTDZ($A$1,$B8,H$1,$B$1)</f>
        <v>38.68</v>
      </c>
      <c r="I8">
        <f>_xll.EQNXTDZ($A$1,$B8,I$1,$B$1)</f>
        <v>39.67</v>
      </c>
      <c r="J8">
        <f>_xll.EQNXTDZ($A$1,$B8,J$1,$B$1)</f>
        <v>53.99</v>
      </c>
      <c r="K8">
        <f>_xll.EQNXTDZ($A$1,$B8,K$1,$B$1)</f>
        <v>44.54</v>
      </c>
      <c r="L8">
        <f>_xll.EQNXTDZ($A$1,$B8,L$1,$B$1)</f>
        <v>53.16</v>
      </c>
      <c r="M8">
        <f>_xll.EQNXTDZ($A$1,$B8,M$1,$B$1)</f>
        <v>49.41</v>
      </c>
      <c r="N8">
        <f>_xll.EQNXTDZ($A$1,$B8,N$1,$B$1)</f>
        <v>52.57</v>
      </c>
      <c r="O8">
        <f>_xll.EQNXTDZ($A$1,$B8,O$1,$B$1)</f>
        <v>34.369999999999997</v>
      </c>
      <c r="P8">
        <f>_xll.EQNXTDZ($A$1,$B8,P$1,$B$1)</f>
        <v>125.02</v>
      </c>
      <c r="Q8">
        <f>_xll.EQNXTDZ($A$1,$B8,Q$1,$B$1)</f>
        <v>45.39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103</v>
      </c>
      <c r="AA8">
        <f>_xll.EQNXTDZ($A$1,$B8,AA$1,$B$1)</f>
        <v>52</v>
      </c>
      <c r="AB8">
        <f>_xll.EQNXTDZ($A$1,$B8,AB$1,$B$1)</f>
        <v>70</v>
      </c>
      <c r="AC8">
        <f>_xll.EQNXTDZ($A$1,$B8,AC$1,$B$1)</f>
        <v>55</v>
      </c>
      <c r="AD8">
        <f>_xll.EQNXTDZ($A$1,$B8,AD$1,$B$1)</f>
        <v>107</v>
      </c>
      <c r="AE8">
        <f>_xll.EQNXTDZ($A$1,$B8,AE$1,$B$1)</f>
        <v>63</v>
      </c>
      <c r="AF8">
        <f>_xll.EQNXTDZ($A$1,$B8,AF$1,$B$1)</f>
        <v>50</v>
      </c>
      <c r="AG8">
        <f>_xll.EQNXTDZ($A$1,$B8,AG$1,$B$1)</f>
        <v>46</v>
      </c>
      <c r="AH8">
        <f>_xll.EQNXTDZ($A$1,$B8,AH$1,$B$1)</f>
        <v>70</v>
      </c>
      <c r="AI8">
        <f>_xll.EQNXTDZ($A$1,$B8,AI$1,$B$1)</f>
        <v>91</v>
      </c>
      <c r="AJ8">
        <f>_xll.EQNXTDZ($A$1,$B8,AJ$1,$B$1)</f>
        <v>127</v>
      </c>
      <c r="AK8">
        <f>_xll.EQNXTDZ($A$1,$B8,AK$1,$B$1)</f>
        <v>118</v>
      </c>
      <c r="AL8">
        <f>_xll.EQNXTDZ($A$1,$B8,AL$1,$B$1)</f>
        <v>222</v>
      </c>
      <c r="AM8">
        <f>_xll.EQNXTDZ($A$1,$B8,AM$1,$B$1)</f>
        <v>153</v>
      </c>
      <c r="AN8">
        <f>_xll.EQNXTDZ($A$1,$B8,AN$1,$B$1)</f>
        <v>164</v>
      </c>
      <c r="AO8">
        <f>_xll.EQNXTDZ($A$1,$B8,AO$1,$B$1)</f>
        <v>149</v>
      </c>
      <c r="AP8">
        <f>_xll.EQNXTDZ($A$1,$B8,AP$1,$B$1)</f>
        <v>184</v>
      </c>
      <c r="AQ8">
        <f>_xll.EQNXTDZ($A$1,$B8,AQ$1,$B$1)</f>
        <v>151</v>
      </c>
      <c r="AR8">
        <f>_xll.EQNXTDZ($A$1,$B8,AR$1,$B$1)</f>
        <v>209</v>
      </c>
      <c r="AS8">
        <f>_xll.EQNXTDZ($A$1,$B8,AS$1,$B$1)</f>
        <v>238</v>
      </c>
      <c r="AT8">
        <f>_xll.EQNXTDZ($A$1,$B8,AT$1,$B$1)</f>
        <v>228</v>
      </c>
      <c r="AU8">
        <f>_xll.EQNXTDZ($A$1,$B8,AU$1,$B$1)</f>
        <v>171</v>
      </c>
      <c r="AV8">
        <f>_xll.EQNXTDZ($A$1,$B8,AV$1,$B$1)</f>
        <v>172</v>
      </c>
      <c r="AW8">
        <f>_xll.EQNXTDZ($A$1,$B8,AW$1,$B$1)</f>
        <v>243</v>
      </c>
      <c r="AX8">
        <f>_xll.EQNXTDZ($A$1,$B8,AX$1,$B$1)</f>
        <v>264</v>
      </c>
      <c r="AY8">
        <f>_xll.EQNXTDZ($A$1,$B8,AY$1,$B$1)</f>
        <v>237</v>
      </c>
      <c r="AZ8">
        <f>_xll.EQNXTDZ($A$1,$B8,AZ$1,$B$1)</f>
        <v>248</v>
      </c>
      <c r="BA8">
        <f>_xll.EQNXTDZ($A$1,$B8,BA$1,$B$1)</f>
        <v>299</v>
      </c>
      <c r="BB8">
        <f>_xll.EQNXTDZ($A$1,$B8,BB$1,$B$1)</f>
        <v>258</v>
      </c>
      <c r="BC8">
        <f>_xll.EQNXTDZ($A$1,$B8,BC$1,$B$1)</f>
        <v>180</v>
      </c>
      <c r="BD8">
        <f>_xll.EQNXTDZ($A$1,$B8,BD$1,$B$1)</f>
        <v>267</v>
      </c>
      <c r="BE8">
        <f>_xll.EQNXTDZ($A$1,$B8,BE$1,$B$1)</f>
        <v>353</v>
      </c>
      <c r="BF8">
        <f>_xll.EQNXTDZ($A$1,$B8,BF$1,$B$1)</f>
        <v>852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2747.71</v>
      </c>
      <c r="D9">
        <f>_xll.EQNXTDZ($A$1,$B9,D$1,$B$1)</f>
        <v>2865.46</v>
      </c>
      <c r="E9">
        <f>_xll.EQNXTDZ($A$1,$B9,E$1,$B$1)</f>
        <v>3178.02</v>
      </c>
      <c r="F9">
        <f>_xll.EQNXTDZ($A$1,$B9,F$1,$B$1)</f>
        <v>3908.65</v>
      </c>
      <c r="G9">
        <f>_xll.EQNXTDZ($A$1,$B9,G$1,$B$1)</f>
        <v>2984.16</v>
      </c>
      <c r="H9">
        <f>_xll.EQNXTDZ($A$1,$B9,H$1,$B$1)</f>
        <v>3559.13</v>
      </c>
      <c r="I9">
        <f>_xll.EQNXTDZ($A$1,$B9,I$1,$B$1)</f>
        <v>3450.07</v>
      </c>
      <c r="J9">
        <f>_xll.EQNXTDZ($A$1,$B9,J$1,$B$1)</f>
        <v>3642.68</v>
      </c>
      <c r="K9">
        <f>_xll.EQNXTDZ($A$1,$B9,K$1,$B$1)</f>
        <v>3007.19</v>
      </c>
      <c r="L9">
        <f>_xll.EQNXTDZ($A$1,$B9,L$1,$B$1)</f>
        <v>3802.38</v>
      </c>
      <c r="M9">
        <f>_xll.EQNXTDZ($A$1,$B9,M$1,$B$1)</f>
        <v>3853.14</v>
      </c>
      <c r="N9">
        <f>_xll.EQNXTDZ($A$1,$B9,N$1,$B$1)</f>
        <v>4125.68</v>
      </c>
      <c r="O9">
        <f>_xll.EQNXTDZ($A$1,$B9,O$1,$B$1)</f>
        <v>3630.17</v>
      </c>
      <c r="P9">
        <f>_xll.EQNXTDZ($A$1,$B9,P$1,$B$1)</f>
        <v>4033.3</v>
      </c>
      <c r="Q9">
        <f>_xll.EQNXTDZ($A$1,$B9,Q$1,$B$1)</f>
        <v>3430.58</v>
      </c>
      <c r="R9">
        <f>_xll.EQNXTDZ($A$1,$B9,R$1,$B$1)</f>
        <v>3453.59</v>
      </c>
      <c r="S9">
        <f>_xll.EQNXTDZ($A$1,$B9,S$1,$B$1)</f>
        <v>2804</v>
      </c>
      <c r="T9">
        <f>_xll.EQNXTDZ($A$1,$B9,T$1,$B$1)</f>
        <v>3852</v>
      </c>
      <c r="U9">
        <f>_xll.EQNXTDZ($A$1,$B9,U$1,$B$1)</f>
        <v>5391</v>
      </c>
      <c r="V9">
        <f>_xll.EQNXTDZ($A$1,$B9,V$1,$B$1)</f>
        <v>6255</v>
      </c>
      <c r="W9">
        <f>_xll.EQNXTDZ($A$1,$B9,W$1,$B$1)</f>
        <v>5013</v>
      </c>
      <c r="X9">
        <f>_xll.EQNXTDZ($A$1,$B9,X$1,$B$1)</f>
        <v>5309</v>
      </c>
      <c r="Y9">
        <f>_xll.EQNXTDZ($A$1,$B9,Y$1,$B$1)</f>
        <v>5922</v>
      </c>
      <c r="Z9">
        <f>_xll.EQNXTDZ($A$1,$B9,Z$1,$B$1)</f>
        <v>6277</v>
      </c>
      <c r="AA9">
        <f>_xll.EQNXTDZ($A$1,$B9,AA$1,$B$1)</f>
        <v>5310</v>
      </c>
      <c r="AB9">
        <f>_xll.EQNXTDZ($A$1,$B9,AB$1,$B$1)</f>
        <v>4777</v>
      </c>
      <c r="AC9">
        <f>_xll.EQNXTDZ($A$1,$B9,AC$1,$B$1)</f>
        <v>5540</v>
      </c>
      <c r="AD9">
        <f>_xll.EQNXTDZ($A$1,$B9,AD$1,$B$1)</f>
        <v>5491</v>
      </c>
      <c r="AE9">
        <f>_xll.EQNXTDZ($A$1,$B9,AE$1,$B$1)</f>
        <v>4987</v>
      </c>
      <c r="AF9">
        <f>_xll.EQNXTDZ($A$1,$B9,AF$1,$B$1)</f>
        <v>4511</v>
      </c>
      <c r="AG9">
        <f>_xll.EQNXTDZ($A$1,$B9,AG$1,$B$1)</f>
        <v>4672</v>
      </c>
      <c r="AH9">
        <f>_xll.EQNXTDZ($A$1,$B9,AH$1,$B$1)</f>
        <v>4391</v>
      </c>
      <c r="AI9">
        <f>_xll.EQNXTDZ($A$1,$B9,AI$1,$B$1)</f>
        <v>3989</v>
      </c>
      <c r="AJ9">
        <f>_xll.EQNXTDZ($A$1,$B9,AJ$1,$B$1)</f>
        <v>5660</v>
      </c>
      <c r="AK9">
        <f>_xll.EQNXTDZ($A$1,$B9,AK$1,$B$1)</f>
        <v>6033</v>
      </c>
      <c r="AL9">
        <f>_xll.EQNXTDZ($A$1,$B9,AL$1,$B$1)</f>
        <v>6947</v>
      </c>
      <c r="AM9">
        <f>_xll.EQNXTDZ($A$1,$B9,AM$1,$B$1)</f>
        <v>6531</v>
      </c>
      <c r="AN9">
        <f>_xll.EQNXTDZ($A$1,$B9,AN$1,$B$1)</f>
        <v>6122</v>
      </c>
      <c r="AO9">
        <f>_xll.EQNXTDZ($A$1,$B9,AO$1,$B$1)</f>
        <v>7990</v>
      </c>
      <c r="AP9">
        <f>_xll.EQNXTDZ($A$1,$B9,AP$1,$B$1)</f>
        <v>8797</v>
      </c>
      <c r="AQ9">
        <f>_xll.EQNXTDZ($A$1,$B9,AQ$1,$B$1)</f>
        <v>9387</v>
      </c>
      <c r="AR9">
        <f>_xll.EQNXTDZ($A$1,$B9,AR$1,$B$1)</f>
        <v>8336</v>
      </c>
      <c r="AS9">
        <f>_xll.EQNXTDZ($A$1,$B9,AS$1,$B$1)</f>
        <v>7866</v>
      </c>
      <c r="AT9">
        <f>_xll.EQNXTDZ($A$1,$B9,AT$1,$B$1)</f>
        <v>8509</v>
      </c>
      <c r="AU9">
        <f>_xll.EQNXTDZ($A$1,$B9,AU$1,$B$1)</f>
        <v>7282</v>
      </c>
      <c r="AV9">
        <f>_xll.EQNXTDZ($A$1,$B9,AV$1,$B$1)</f>
        <v>6791</v>
      </c>
      <c r="AW9">
        <f>_xll.EQNXTDZ($A$1,$B9,AW$1,$B$1)</f>
        <v>7310</v>
      </c>
      <c r="AX9">
        <f>_xll.EQNXTDZ($A$1,$B9,AX$1,$B$1)</f>
        <v>7549</v>
      </c>
      <c r="AY9">
        <f>_xll.EQNXTDZ($A$1,$B9,AY$1,$B$1)</f>
        <v>8130</v>
      </c>
      <c r="AZ9">
        <f>_xll.EQNXTDZ($A$1,$B9,AZ$1,$B$1)</f>
        <v>8252</v>
      </c>
      <c r="BA9">
        <f>_xll.EQNXTDZ($A$1,$B9,BA$1,$B$1)</f>
        <v>8614</v>
      </c>
      <c r="BB9">
        <f>_xll.EQNXTDZ($A$1,$B9,BB$1,$B$1)</f>
        <v>9087</v>
      </c>
      <c r="BC9">
        <f>_xll.EQNXTDZ($A$1,$B9,BC$1,$B$1)</f>
        <v>7771</v>
      </c>
      <c r="BD9">
        <f>_xll.EQNXTDZ($A$1,$B9,BD$1,$B$1)</f>
        <v>8549</v>
      </c>
      <c r="BE9">
        <f>_xll.EQNXTDZ($A$1,$B9,BE$1,$B$1)</f>
        <v>10980</v>
      </c>
      <c r="BF9">
        <f>_xll.EQNXTDZ($A$1,$B9,BF$1,$B$1)</f>
        <v>13544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8.08</v>
      </c>
      <c r="D10">
        <f>_xll.EQNXTDZ($A$1,$B10,D$1,$B$1)</f>
        <v>-188.23</v>
      </c>
      <c r="E10">
        <f>_xll.EQNXTDZ($A$1,$B10,E$1,$B$1)</f>
        <v>-54.43</v>
      </c>
      <c r="F10">
        <f>_xll.EQNXTDZ($A$1,$B10,F$1,$B$1)</f>
        <v>122.04</v>
      </c>
      <c r="G10">
        <f>_xll.EQNXTDZ($A$1,$B10,G$1,$B$1)</f>
        <v>-208.49</v>
      </c>
      <c r="H10">
        <f>_xll.EQNXTDZ($A$1,$B10,H$1,$B$1)</f>
        <v>82.31</v>
      </c>
      <c r="I10">
        <f>_xll.EQNXTDZ($A$1,$B10,I$1,$B$1)</f>
        <v>34.4</v>
      </c>
      <c r="J10">
        <f>_xll.EQNXTDZ($A$1,$B10,J$1,$B$1)</f>
        <v>-63.38</v>
      </c>
      <c r="K10">
        <f>_xll.EQNXTDZ($A$1,$B10,K$1,$B$1)</f>
        <v>72.989999999999995</v>
      </c>
      <c r="L10">
        <f>_xll.EQNXTDZ($A$1,$B10,L$1,$B$1)</f>
        <v>-38.47</v>
      </c>
      <c r="M10">
        <f>_xll.EQNXTDZ($A$1,$B10,M$1,$B$1)</f>
        <v>-186.65</v>
      </c>
      <c r="N10">
        <f>_xll.EQNXTDZ($A$1,$B10,N$1,$B$1)</f>
        <v>6.68</v>
      </c>
      <c r="O10">
        <f>_xll.EQNXTDZ($A$1,$B10,O$1,$B$1)</f>
        <v>-269.49</v>
      </c>
      <c r="P10">
        <f>_xll.EQNXTDZ($A$1,$B10,P$1,$B$1)</f>
        <v>138.58000000000001</v>
      </c>
      <c r="Q10">
        <f>_xll.EQNXTDZ($A$1,$B10,Q$1,$B$1)</f>
        <v>165.55</v>
      </c>
      <c r="R10">
        <f>_xll.EQNXTDZ($A$1,$B10,R$1,$B$1)</f>
        <v>148.82</v>
      </c>
      <c r="S10">
        <f>_xll.EQNXTDZ($A$1,$B10,S$1,$B$1)</f>
        <v>-176</v>
      </c>
      <c r="T10">
        <f>_xll.EQNXTDZ($A$1,$B10,T$1,$B$1)</f>
        <v>-66</v>
      </c>
      <c r="U10">
        <f>_xll.EQNXTDZ($A$1,$B10,U$1,$B$1)</f>
        <v>-234</v>
      </c>
      <c r="V10">
        <f>_xll.EQNXTDZ($A$1,$B10,V$1,$B$1)</f>
        <v>-200</v>
      </c>
      <c r="W10">
        <f>_xll.EQNXTDZ($A$1,$B10,W$1,$B$1)</f>
        <v>125</v>
      </c>
      <c r="X10">
        <f>_xll.EQNXTDZ($A$1,$B10,X$1,$B$1)</f>
        <v>124</v>
      </c>
      <c r="Y10">
        <f>_xll.EQNXTDZ($A$1,$B10,Y$1,$B$1)</f>
        <v>231</v>
      </c>
      <c r="Z10">
        <f>_xll.EQNXTDZ($A$1,$B10,Z$1,$B$1)</f>
        <v>18</v>
      </c>
      <c r="AA10">
        <f>_xll.EQNXTDZ($A$1,$B10,AA$1,$B$1)</f>
        <v>41</v>
      </c>
      <c r="AB10">
        <f>_xll.EQNXTDZ($A$1,$B10,AB$1,$B$1)</f>
        <v>-105</v>
      </c>
      <c r="AC10">
        <f>_xll.EQNXTDZ($A$1,$B10,AC$1,$B$1)</f>
        <v>-25</v>
      </c>
      <c r="AD10">
        <f>_xll.EQNXTDZ($A$1,$B10,AD$1,$B$1)</f>
        <v>25</v>
      </c>
      <c r="AE10">
        <f>_xll.EQNXTDZ($A$1,$B10,AE$1,$B$1)</f>
        <v>-6</v>
      </c>
      <c r="AF10">
        <f>_xll.EQNXTDZ($A$1,$B10,AF$1,$B$1)</f>
        <v>-14</v>
      </c>
      <c r="AG10">
        <f>_xll.EQNXTDZ($A$1,$B10,AG$1,$B$1)</f>
        <v>-171</v>
      </c>
      <c r="AH10">
        <f>_xll.EQNXTDZ($A$1,$B10,AH$1,$B$1)</f>
        <v>-100</v>
      </c>
      <c r="AI10">
        <f>_xll.EQNXTDZ($A$1,$B10,AI$1,$B$1)</f>
        <v>167</v>
      </c>
      <c r="AJ10">
        <f>_xll.EQNXTDZ($A$1,$B10,AJ$1,$B$1)</f>
        <v>142</v>
      </c>
      <c r="AK10">
        <f>_xll.EQNXTDZ($A$1,$B10,AK$1,$B$1)</f>
        <v>25</v>
      </c>
      <c r="AL10">
        <f>_xll.EQNXTDZ($A$1,$B10,AL$1,$B$1)</f>
        <v>-95</v>
      </c>
      <c r="AM10">
        <f>_xll.EQNXTDZ($A$1,$B10,AM$1,$B$1)</f>
        <v>164</v>
      </c>
      <c r="AN10">
        <f>_xll.EQNXTDZ($A$1,$B10,AN$1,$B$1)</f>
        <v>-291</v>
      </c>
      <c r="AO10">
        <f>_xll.EQNXTDZ($A$1,$B10,AO$1,$B$1)</f>
        <v>78</v>
      </c>
      <c r="AP10">
        <f>_xll.EQNXTDZ($A$1,$B10,AP$1,$B$1)</f>
        <v>-229</v>
      </c>
      <c r="AQ10">
        <f>_xll.EQNXTDZ($A$1,$B10,AQ$1,$B$1)</f>
        <v>86</v>
      </c>
      <c r="AR10">
        <f>_xll.EQNXTDZ($A$1,$B10,AR$1,$B$1)</f>
        <v>-28</v>
      </c>
      <c r="AS10">
        <f>_xll.EQNXTDZ($A$1,$B10,AS$1,$B$1)</f>
        <v>52</v>
      </c>
      <c r="AT10">
        <f>_xll.EQNXTDZ($A$1,$B10,AT$1,$B$1)</f>
        <v>-253</v>
      </c>
      <c r="AU10">
        <f>_xll.EQNXTDZ($A$1,$B10,AU$1,$B$1)</f>
        <v>142</v>
      </c>
      <c r="AV10">
        <f>_xll.EQNXTDZ($A$1,$B10,AV$1,$B$1)</f>
        <v>-44</v>
      </c>
      <c r="AW10">
        <f>_xll.EQNXTDZ($A$1,$B10,AW$1,$B$1)</f>
        <v>-48</v>
      </c>
      <c r="AX10">
        <f>_xll.EQNXTDZ($A$1,$B10,AX$1,$B$1)</f>
        <v>-207</v>
      </c>
      <c r="AY10">
        <f>_xll.EQNXTDZ($A$1,$B10,AY$1,$B$1)</f>
        <v>66</v>
      </c>
      <c r="AZ10">
        <f>_xll.EQNXTDZ($A$1,$B10,AZ$1,$B$1)</f>
        <v>173</v>
      </c>
      <c r="BA10">
        <f>_xll.EQNXTDZ($A$1,$B10,BA$1,$B$1)</f>
        <v>-46</v>
      </c>
      <c r="BB10">
        <f>_xll.EQNXTDZ($A$1,$B10,BB$1,$B$1)</f>
        <v>-257</v>
      </c>
      <c r="BC10">
        <f>_xll.EQNXTDZ($A$1,$B10,BC$1,$B$1)</f>
        <v>-12</v>
      </c>
      <c r="BD10">
        <f>_xll.EQNXTDZ($A$1,$B10,BD$1,$B$1)</f>
        <v>-40</v>
      </c>
      <c r="BE10">
        <f>_xll.EQNXTDZ($A$1,$B10,BE$1,$B$1)</f>
        <v>111</v>
      </c>
      <c r="BF10">
        <f>_xll.EQNXTDZ($A$1,$B10,BF$1,$B$1)</f>
        <v>-254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53.73</v>
      </c>
      <c r="D11">
        <f>_xll.EQNXTDZ($A$1,$B11,D$1,$B$1)</f>
        <v>294.35000000000002</v>
      </c>
      <c r="E11">
        <f>_xll.EQNXTDZ($A$1,$B11,E$1,$B$1)</f>
        <v>305.52</v>
      </c>
      <c r="F11">
        <f>_xll.EQNXTDZ($A$1,$B11,F$1,$B$1)</f>
        <v>118.21</v>
      </c>
      <c r="G11">
        <f>_xll.EQNXTDZ($A$1,$B11,G$1,$B$1)</f>
        <v>145.19999999999999</v>
      </c>
      <c r="H11">
        <f>_xll.EQNXTDZ($A$1,$B11,H$1,$B$1)</f>
        <v>18.63</v>
      </c>
      <c r="I11">
        <f>_xll.EQNXTDZ($A$1,$B11,I$1,$B$1)</f>
        <v>23.21</v>
      </c>
      <c r="J11">
        <f>_xll.EQNXTDZ($A$1,$B11,J$1,$B$1)</f>
        <v>314.22000000000003</v>
      </c>
      <c r="K11">
        <f>_xll.EQNXTDZ($A$1,$B11,K$1,$B$1)</f>
        <v>149.88999999999999</v>
      </c>
      <c r="L11">
        <f>_xll.EQNXTDZ($A$1,$B11,L$1,$B$1)</f>
        <v>120.38</v>
      </c>
      <c r="M11">
        <f>_xll.EQNXTDZ($A$1,$B11,M$1,$B$1)</f>
        <v>147.41</v>
      </c>
      <c r="N11">
        <f>_xll.EQNXTDZ($A$1,$B11,N$1,$B$1)</f>
        <v>50.77</v>
      </c>
      <c r="O11">
        <f>_xll.EQNXTDZ($A$1,$B11,O$1,$B$1)</f>
        <v>41.13</v>
      </c>
      <c r="P11">
        <f>_xll.EQNXTDZ($A$1,$B11,P$1,$B$1)</f>
        <v>9.0399999999999991</v>
      </c>
      <c r="Q11">
        <f>_xll.EQNXTDZ($A$1,$B11,Q$1,$B$1)</f>
        <v>0.63</v>
      </c>
      <c r="R11">
        <f>_xll.EQNXTDZ($A$1,$B11,R$1,$B$1)</f>
        <v>0.54</v>
      </c>
      <c r="S11">
        <f>_xll.EQNXTDZ($A$1,$B11,S$1,$B$1)</f>
        <v>13</v>
      </c>
      <c r="T11">
        <f>_xll.EQNXTDZ($A$1,$B11,T$1,$B$1)</f>
        <v>13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52.3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336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352</v>
      </c>
      <c r="U13">
        <f>_xll.EQNXTDZ($A$1,$B13,U$1,$B$1)</f>
        <v>404</v>
      </c>
      <c r="V13">
        <f>_xll.EQNXTDZ($A$1,$B13,V$1,$B$1)</f>
        <v>0</v>
      </c>
      <c r="W13">
        <f>_xll.EQNXTDZ($A$1,$B13,W$1,$B$1)</f>
        <v>437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846.18</v>
      </c>
      <c r="D14">
        <f>_xll.EQNXTDZ($A$1,$B14,D$1,$B$1)</f>
        <v>873.44</v>
      </c>
      <c r="E14">
        <f>_xll.EQNXTDZ($A$1,$B14,E$1,$B$1)</f>
        <v>998.42</v>
      </c>
      <c r="F14">
        <f>_xll.EQNXTDZ($A$1,$B14,F$1,$B$1)</f>
        <v>1099.27</v>
      </c>
      <c r="G14">
        <f>_xll.EQNXTDZ($A$1,$B14,G$1,$B$1)</f>
        <v>1105.78</v>
      </c>
      <c r="H14">
        <f>_xll.EQNXTDZ($A$1,$B14,H$1,$B$1)</f>
        <v>1088.5899999999999</v>
      </c>
      <c r="I14">
        <f>_xll.EQNXTDZ($A$1,$B14,I$1,$B$1)</f>
        <v>1120.33</v>
      </c>
      <c r="J14">
        <f>_xll.EQNXTDZ($A$1,$B14,J$1,$B$1)</f>
        <v>1178.9100000000001</v>
      </c>
      <c r="K14">
        <f>_xll.EQNXTDZ($A$1,$B14,K$1,$B$1)</f>
        <v>990.22</v>
      </c>
      <c r="L14">
        <f>_xll.EQNXTDZ($A$1,$B14,L$1,$B$1)</f>
        <v>1200.95</v>
      </c>
      <c r="M14">
        <f>_xll.EQNXTDZ($A$1,$B14,M$1,$B$1)</f>
        <v>1286.03</v>
      </c>
      <c r="N14">
        <f>_xll.EQNXTDZ($A$1,$B14,N$1,$B$1)</f>
        <v>1478.92</v>
      </c>
      <c r="O14">
        <f>_xll.EQNXTDZ($A$1,$B14,O$1,$B$1)</f>
        <v>1471.24</v>
      </c>
      <c r="P14">
        <f>_xll.EQNXTDZ($A$1,$B14,P$1,$B$1)</f>
        <v>1194.23</v>
      </c>
      <c r="Q14">
        <f>_xll.EQNXTDZ($A$1,$B14,Q$1,$B$1)</f>
        <v>1238.04</v>
      </c>
      <c r="R14">
        <f>_xll.EQNXTDZ($A$1,$B14,R$1,$B$1)</f>
        <v>1578.92</v>
      </c>
      <c r="S14">
        <f>_xll.EQNXTDZ($A$1,$B14,S$1,$B$1)</f>
        <v>1159</v>
      </c>
      <c r="T14">
        <f>_xll.EQNXTDZ($A$1,$B14,T$1,$B$1)</f>
        <v>1173</v>
      </c>
      <c r="U14">
        <f>_xll.EQNXTDZ($A$1,$B14,U$1,$B$1)</f>
        <v>1878</v>
      </c>
      <c r="V14">
        <f>_xll.EQNXTDZ($A$1,$B14,V$1,$B$1)</f>
        <v>2129</v>
      </c>
      <c r="W14">
        <f>_xll.EQNXTDZ($A$1,$B14,W$1,$B$1)</f>
        <v>1506</v>
      </c>
      <c r="X14">
        <f>_xll.EQNXTDZ($A$1,$B14,X$1,$B$1)</f>
        <v>1541</v>
      </c>
      <c r="Y14">
        <f>_xll.EQNXTDZ($A$1,$B14,Y$1,$B$1)</f>
        <v>1823</v>
      </c>
      <c r="Z14">
        <f>_xll.EQNXTDZ($A$1,$B14,Z$1,$B$1)</f>
        <v>2015</v>
      </c>
      <c r="AA14">
        <f>_xll.EQNXTDZ($A$1,$B14,AA$1,$B$1)</f>
        <v>1884</v>
      </c>
      <c r="AB14">
        <f>_xll.EQNXTDZ($A$1,$B14,AB$1,$B$1)</f>
        <v>1869</v>
      </c>
      <c r="AC14">
        <f>_xll.EQNXTDZ($A$1,$B14,AC$1,$B$1)</f>
        <v>2019</v>
      </c>
      <c r="AD14">
        <f>_xll.EQNXTDZ($A$1,$B14,AD$1,$B$1)</f>
        <v>2077</v>
      </c>
      <c r="AE14">
        <f>_xll.EQNXTDZ($A$1,$B14,AE$1,$B$1)</f>
        <v>1889</v>
      </c>
      <c r="AF14">
        <f>_xll.EQNXTDZ($A$1,$B14,AF$1,$B$1)</f>
        <v>1803</v>
      </c>
      <c r="AG14">
        <f>_xll.EQNXTDZ($A$1,$B14,AG$1,$B$1)</f>
        <v>1949</v>
      </c>
      <c r="AH14">
        <f>_xll.EQNXTDZ($A$1,$B14,AH$1,$B$1)</f>
        <v>1971</v>
      </c>
      <c r="AI14">
        <f>_xll.EQNXTDZ($A$1,$B14,AI$1,$B$1)</f>
        <v>1623</v>
      </c>
      <c r="AJ14">
        <f>_xll.EQNXTDZ($A$1,$B14,AJ$1,$B$1)</f>
        <v>1965</v>
      </c>
      <c r="AK14">
        <f>_xll.EQNXTDZ($A$1,$B14,AK$1,$B$1)</f>
        <v>2110</v>
      </c>
      <c r="AL14">
        <f>_xll.EQNXTDZ($A$1,$B14,AL$1,$B$1)</f>
        <v>2528</v>
      </c>
      <c r="AM14">
        <f>_xll.EQNXTDZ($A$1,$B14,AM$1,$B$1)</f>
        <v>2147</v>
      </c>
      <c r="AN14">
        <f>_xll.EQNXTDZ($A$1,$B14,AN$1,$B$1)</f>
        <v>2409</v>
      </c>
      <c r="AO14">
        <f>_xll.EQNXTDZ($A$1,$B14,AO$1,$B$1)</f>
        <v>2663</v>
      </c>
      <c r="AP14">
        <f>_xll.EQNXTDZ($A$1,$B14,AP$1,$B$1)</f>
        <v>3104</v>
      </c>
      <c r="AQ14">
        <f>_xll.EQNXTDZ($A$1,$B14,AQ$1,$B$1)</f>
        <v>3072</v>
      </c>
      <c r="AR14">
        <f>_xll.EQNXTDZ($A$1,$B14,AR$1,$B$1)</f>
        <v>2745</v>
      </c>
      <c r="AS14">
        <f>_xll.EQNXTDZ($A$1,$B14,AS$1,$B$1)</f>
        <v>2915</v>
      </c>
      <c r="AT14">
        <f>_xll.EQNXTDZ($A$1,$B14,AT$1,$B$1)</f>
        <v>3447</v>
      </c>
      <c r="AU14">
        <f>_xll.EQNXTDZ($A$1,$B14,AU$1,$B$1)</f>
        <v>2824</v>
      </c>
      <c r="AV14">
        <f>_xll.EQNXTDZ($A$1,$B14,AV$1,$B$1)</f>
        <v>2821</v>
      </c>
      <c r="AW14">
        <f>_xll.EQNXTDZ($A$1,$B14,AW$1,$B$1)</f>
        <v>2917</v>
      </c>
      <c r="AX14">
        <f>_xll.EQNXTDZ($A$1,$B14,AX$1,$B$1)</f>
        <v>3200</v>
      </c>
      <c r="AY14">
        <f>_xll.EQNXTDZ($A$1,$B14,AY$1,$B$1)</f>
        <v>3224</v>
      </c>
      <c r="AZ14">
        <f>_xll.EQNXTDZ($A$1,$B14,AZ$1,$B$1)</f>
        <v>3067</v>
      </c>
      <c r="BA14">
        <f>_xll.EQNXTDZ($A$1,$B14,BA$1,$B$1)</f>
        <v>3256</v>
      </c>
      <c r="BB14">
        <f>_xll.EQNXTDZ($A$1,$B14,BB$1,$B$1)</f>
        <v>3624</v>
      </c>
      <c r="BC14">
        <f>_xll.EQNXTDZ($A$1,$B14,BC$1,$B$1)</f>
        <v>3100</v>
      </c>
      <c r="BD14">
        <f>_xll.EQNXTDZ($A$1,$B14,BD$1,$B$1)</f>
        <v>3310</v>
      </c>
      <c r="BE14">
        <f>_xll.EQNXTDZ($A$1,$B14,BE$1,$B$1)</f>
        <v>3961</v>
      </c>
      <c r="BF14">
        <f>_xll.EQNXTDZ($A$1,$B14,BF$1,$B$1)</f>
        <v>5280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271.48</v>
      </c>
      <c r="D15">
        <f>_xll.EQNXTDZ($A$1,$B15,D$1,$B$1)</f>
        <v>261.81</v>
      </c>
      <c r="E15">
        <f>_xll.EQNXTDZ($A$1,$B15,E$1,$B$1)</f>
        <v>260.83999999999997</v>
      </c>
      <c r="F15">
        <f>_xll.EQNXTDZ($A$1,$B15,F$1,$B$1)</f>
        <v>276.33</v>
      </c>
      <c r="G15">
        <f>_xll.EQNXTDZ($A$1,$B15,G$1,$B$1)</f>
        <v>264.85000000000002</v>
      </c>
      <c r="H15">
        <f>_xll.EQNXTDZ($A$1,$B15,H$1,$B$1)</f>
        <v>309.62</v>
      </c>
      <c r="I15">
        <f>_xll.EQNXTDZ($A$1,$B15,I$1,$B$1)</f>
        <v>289.27</v>
      </c>
      <c r="J15">
        <f>_xll.EQNXTDZ($A$1,$B15,J$1,$B$1)</f>
        <v>291.39</v>
      </c>
      <c r="K15">
        <f>_xll.EQNXTDZ($A$1,$B15,K$1,$B$1)</f>
        <v>227.64</v>
      </c>
      <c r="L15">
        <f>_xll.EQNXTDZ($A$1,$B15,L$1,$B$1)</f>
        <v>304.33999999999997</v>
      </c>
      <c r="M15">
        <f>_xll.EQNXTDZ($A$1,$B15,M$1,$B$1)</f>
        <v>312.93</v>
      </c>
      <c r="N15">
        <f>_xll.EQNXTDZ($A$1,$B15,N$1,$B$1)</f>
        <v>323.57</v>
      </c>
      <c r="O15">
        <f>_xll.EQNXTDZ($A$1,$B15,O$1,$B$1)</f>
        <v>536.91999999999996</v>
      </c>
      <c r="P15">
        <f>_xll.EQNXTDZ($A$1,$B15,P$1,$B$1)</f>
        <v>313.02</v>
      </c>
      <c r="Q15">
        <f>_xll.EQNXTDZ($A$1,$B15,Q$1,$B$1)</f>
        <v>336.06</v>
      </c>
      <c r="R15">
        <f>_xll.EQNXTDZ($A$1,$B15,R$1,$B$1)</f>
        <v>217.61</v>
      </c>
      <c r="S15">
        <f>_xll.EQNXTDZ($A$1,$B15,S$1,$B$1)</f>
        <v>168</v>
      </c>
      <c r="T15">
        <f>_xll.EQNXTDZ($A$1,$B15,T$1,$B$1)</f>
        <v>122</v>
      </c>
      <c r="U15">
        <f>_xll.EQNXTDZ($A$1,$B15,U$1,$B$1)</f>
        <v>377</v>
      </c>
      <c r="V15">
        <f>_xll.EQNXTDZ($A$1,$B15,V$1,$B$1)</f>
        <v>393</v>
      </c>
      <c r="W15">
        <f>_xll.EQNXTDZ($A$1,$B15,W$1,$B$1)</f>
        <v>387</v>
      </c>
      <c r="X15">
        <f>_xll.EQNXTDZ($A$1,$B15,X$1,$B$1)</f>
        <v>395</v>
      </c>
      <c r="Y15">
        <f>_xll.EQNXTDZ($A$1,$B15,Y$1,$B$1)</f>
        <v>429</v>
      </c>
      <c r="Z15">
        <f>_xll.EQNXTDZ($A$1,$B15,Z$1,$B$1)</f>
        <v>442</v>
      </c>
      <c r="AA15">
        <f>_xll.EQNXTDZ($A$1,$B15,AA$1,$B$1)</f>
        <v>440</v>
      </c>
      <c r="AB15">
        <f>_xll.EQNXTDZ($A$1,$B15,AB$1,$B$1)</f>
        <v>438</v>
      </c>
      <c r="AC15">
        <f>_xll.EQNXTDZ($A$1,$B15,AC$1,$B$1)</f>
        <v>493</v>
      </c>
      <c r="AD15">
        <f>_xll.EQNXTDZ($A$1,$B15,AD$1,$B$1)</f>
        <v>387</v>
      </c>
      <c r="AE15">
        <f>_xll.EQNXTDZ($A$1,$B15,AE$1,$B$1)</f>
        <v>445</v>
      </c>
      <c r="AF15">
        <f>_xll.EQNXTDZ($A$1,$B15,AF$1,$B$1)</f>
        <v>413</v>
      </c>
      <c r="AG15">
        <f>_xll.EQNXTDZ($A$1,$B15,AG$1,$B$1)</f>
        <v>404</v>
      </c>
      <c r="AH15">
        <f>_xll.EQNXTDZ($A$1,$B15,AH$1,$B$1)</f>
        <v>442</v>
      </c>
      <c r="AI15">
        <f>_xll.EQNXTDZ($A$1,$B15,AI$1,$B$1)</f>
        <v>388</v>
      </c>
      <c r="AJ15">
        <f>_xll.EQNXTDZ($A$1,$B15,AJ$1,$B$1)</f>
        <v>435</v>
      </c>
      <c r="AK15">
        <f>_xll.EQNXTDZ($A$1,$B15,AK$1,$B$1)</f>
        <v>440</v>
      </c>
      <c r="AL15">
        <f>_xll.EQNXTDZ($A$1,$B15,AL$1,$B$1)</f>
        <v>469</v>
      </c>
      <c r="AM15">
        <f>_xll.EQNXTDZ($A$1,$B15,AM$1,$B$1)</f>
        <v>480</v>
      </c>
      <c r="AN15">
        <f>_xll.EQNXTDZ($A$1,$B15,AN$1,$B$1)</f>
        <v>501</v>
      </c>
      <c r="AO15">
        <f>_xll.EQNXTDZ($A$1,$B15,AO$1,$B$1)</f>
        <v>702</v>
      </c>
      <c r="AP15">
        <f>_xll.EQNXTDZ($A$1,$B15,AP$1,$B$1)</f>
        <v>769</v>
      </c>
      <c r="AQ15">
        <f>_xll.EQNXTDZ($A$1,$B15,AQ$1,$B$1)</f>
        <v>883</v>
      </c>
      <c r="AR15">
        <f>_xll.EQNXTDZ($A$1,$B15,AR$1,$B$1)</f>
        <v>983</v>
      </c>
      <c r="AS15">
        <f>_xll.EQNXTDZ($A$1,$B15,AS$1,$B$1)</f>
        <v>1003</v>
      </c>
      <c r="AT15">
        <f>_xll.EQNXTDZ($A$1,$B15,AT$1,$B$1)</f>
        <v>842</v>
      </c>
      <c r="AU15">
        <f>_xll.EQNXTDZ($A$1,$B15,AU$1,$B$1)</f>
        <v>778</v>
      </c>
      <c r="AV15">
        <f>_xll.EQNXTDZ($A$1,$B15,AV$1,$B$1)</f>
        <v>662</v>
      </c>
      <c r="AW15">
        <f>_xll.EQNXTDZ($A$1,$B15,AW$1,$B$1)</f>
        <v>723</v>
      </c>
      <c r="AX15">
        <f>_xll.EQNXTDZ($A$1,$B15,AX$1,$B$1)</f>
        <v>680</v>
      </c>
      <c r="AY15">
        <f>_xll.EQNXTDZ($A$1,$B15,AY$1,$B$1)</f>
        <v>665</v>
      </c>
      <c r="AZ15">
        <f>_xll.EQNXTDZ($A$1,$B15,AZ$1,$B$1)</f>
        <v>702</v>
      </c>
      <c r="BA15">
        <f>_xll.EQNXTDZ($A$1,$B15,BA$1,$B$1)</f>
        <v>662</v>
      </c>
      <c r="BB15">
        <f>_xll.EQNXTDZ($A$1,$B15,BB$1,$B$1)</f>
        <v>673</v>
      </c>
      <c r="BC15">
        <f>_xll.EQNXTDZ($A$1,$B15,BC$1,$B$1)</f>
        <v>632</v>
      </c>
      <c r="BD15">
        <f>_xll.EQNXTDZ($A$1,$B15,BD$1,$B$1)</f>
        <v>646</v>
      </c>
      <c r="BE15">
        <f>_xll.EQNXTDZ($A$1,$B15,BE$1,$B$1)</f>
        <v>648</v>
      </c>
      <c r="BF15">
        <f>_xll.EQNXTDZ($A$1,$B15,BF$1,$B$1)</f>
        <v>627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149.18</v>
      </c>
      <c r="D16">
        <f>_xll.EQNXTDZ($A$1,$B16,D$1,$B$1)</f>
        <v>154.66</v>
      </c>
      <c r="E16">
        <f>_xll.EQNXTDZ($A$1,$B16,E$1,$B$1)</f>
        <v>169.24</v>
      </c>
      <c r="F16">
        <f>_xll.EQNXTDZ($A$1,$B16,F$1,$B$1)</f>
        <v>176.83</v>
      </c>
      <c r="G16">
        <f>_xll.EQNXTDZ($A$1,$B16,G$1,$B$1)</f>
        <v>178.05</v>
      </c>
      <c r="H16">
        <f>_xll.EQNXTDZ($A$1,$B16,H$1,$B$1)</f>
        <v>176.58</v>
      </c>
      <c r="I16">
        <f>_xll.EQNXTDZ($A$1,$B16,I$1,$B$1)</f>
        <v>159.11000000000001</v>
      </c>
      <c r="J16">
        <f>_xll.EQNXTDZ($A$1,$B16,J$1,$B$1)</f>
        <v>166.32</v>
      </c>
      <c r="K16">
        <f>_xll.EQNXTDZ($A$1,$B16,K$1,$B$1)</f>
        <v>161.74</v>
      </c>
      <c r="L16">
        <f>_xll.EQNXTDZ($A$1,$B16,L$1,$B$1)</f>
        <v>215.63</v>
      </c>
      <c r="M16">
        <f>_xll.EQNXTDZ($A$1,$B16,M$1,$B$1)</f>
        <v>204.22</v>
      </c>
      <c r="N16">
        <f>_xll.EQNXTDZ($A$1,$B16,N$1,$B$1)</f>
        <v>260.26</v>
      </c>
      <c r="O16">
        <f>_xll.EQNXTDZ($A$1,$B16,O$1,$B$1)</f>
        <v>183.04</v>
      </c>
      <c r="P16">
        <f>_xll.EQNXTDZ($A$1,$B16,P$1,$B$1)</f>
        <v>184.71</v>
      </c>
      <c r="Q16">
        <f>_xll.EQNXTDZ($A$1,$B16,Q$1,$B$1)</f>
        <v>212.23</v>
      </c>
      <c r="R16">
        <f>_xll.EQNXTDZ($A$1,$B16,R$1,$B$1)</f>
        <v>193.89</v>
      </c>
      <c r="S16">
        <f>_xll.EQNXTDZ($A$1,$B16,S$1,$B$1)</f>
        <v>173</v>
      </c>
      <c r="T16">
        <f>_xll.EQNXTDZ($A$1,$B16,T$1,$B$1)</f>
        <v>181</v>
      </c>
      <c r="U16">
        <f>_xll.EQNXTDZ($A$1,$B16,U$1,$B$1)</f>
        <v>178</v>
      </c>
      <c r="V16">
        <f>_xll.EQNXTDZ($A$1,$B16,V$1,$B$1)</f>
        <v>190</v>
      </c>
      <c r="W16">
        <f>_xll.EQNXTDZ($A$1,$B16,W$1,$B$1)</f>
        <v>174</v>
      </c>
      <c r="X16">
        <f>_xll.EQNXTDZ($A$1,$B16,X$1,$B$1)</f>
        <v>225</v>
      </c>
      <c r="Y16">
        <f>_xll.EQNXTDZ($A$1,$B16,Y$1,$B$1)</f>
        <v>195</v>
      </c>
      <c r="Z16">
        <f>_xll.EQNXTDZ($A$1,$B16,Z$1,$B$1)</f>
        <v>182</v>
      </c>
      <c r="AA16">
        <f>_xll.EQNXTDZ($A$1,$B16,AA$1,$B$1)</f>
        <v>232</v>
      </c>
      <c r="AB16">
        <f>_xll.EQNXTDZ($A$1,$B16,AB$1,$B$1)</f>
        <v>245</v>
      </c>
      <c r="AC16">
        <f>_xll.EQNXTDZ($A$1,$B16,AC$1,$B$1)</f>
        <v>215</v>
      </c>
      <c r="AD16">
        <f>_xll.EQNXTDZ($A$1,$B16,AD$1,$B$1)</f>
        <v>213</v>
      </c>
      <c r="AE16">
        <f>_xll.EQNXTDZ($A$1,$B16,AE$1,$B$1)</f>
        <v>182</v>
      </c>
      <c r="AF16">
        <f>_xll.EQNXTDZ($A$1,$B16,AF$1,$B$1)</f>
        <v>192</v>
      </c>
      <c r="AG16">
        <f>_xll.EQNXTDZ($A$1,$B16,AG$1,$B$1)</f>
        <v>201</v>
      </c>
      <c r="AH16">
        <f>_xll.EQNXTDZ($A$1,$B16,AH$1,$B$1)</f>
        <v>114</v>
      </c>
      <c r="AI16">
        <f>_xll.EQNXTDZ($A$1,$B16,AI$1,$B$1)</f>
        <v>235</v>
      </c>
      <c r="AJ16">
        <f>_xll.EQNXTDZ($A$1,$B16,AJ$1,$B$1)</f>
        <v>166</v>
      </c>
      <c r="AK16">
        <f>_xll.EQNXTDZ($A$1,$B16,AK$1,$B$1)</f>
        <v>189</v>
      </c>
      <c r="AL16">
        <f>_xll.EQNXTDZ($A$1,$B16,AL$1,$B$1)</f>
        <v>170</v>
      </c>
      <c r="AM16">
        <f>_xll.EQNXTDZ($A$1,$B16,AM$1,$B$1)</f>
        <v>182</v>
      </c>
      <c r="AN16">
        <f>_xll.EQNXTDZ($A$1,$B16,AN$1,$B$1)</f>
        <v>168</v>
      </c>
      <c r="AO16">
        <f>_xll.EQNXTDZ($A$1,$B16,AO$1,$B$1)</f>
        <v>177</v>
      </c>
      <c r="AP16">
        <f>_xll.EQNXTDZ($A$1,$B16,AP$1,$B$1)</f>
        <v>191</v>
      </c>
      <c r="AQ16">
        <f>_xll.EQNXTDZ($A$1,$B16,AQ$1,$B$1)</f>
        <v>209</v>
      </c>
      <c r="AR16">
        <f>_xll.EQNXTDZ($A$1,$B16,AR$1,$B$1)</f>
        <v>229</v>
      </c>
      <c r="AS16">
        <f>_xll.EQNXTDZ($A$1,$B16,AS$1,$B$1)</f>
        <v>189</v>
      </c>
      <c r="AT16">
        <f>_xll.EQNXTDZ($A$1,$B16,AT$1,$B$1)</f>
        <v>218</v>
      </c>
      <c r="AU16">
        <f>_xll.EQNXTDZ($A$1,$B16,AU$1,$B$1)</f>
        <v>191</v>
      </c>
      <c r="AV16">
        <f>_xll.EQNXTDZ($A$1,$B16,AV$1,$B$1)</f>
        <v>213</v>
      </c>
      <c r="AW16">
        <f>_xll.EQNXTDZ($A$1,$B16,AW$1,$B$1)</f>
        <v>197</v>
      </c>
      <c r="AX16">
        <f>_xll.EQNXTDZ($A$1,$B16,AX$1,$B$1)</f>
        <v>227</v>
      </c>
      <c r="AY16">
        <f>_xll.EQNXTDZ($A$1,$B16,AY$1,$B$1)</f>
        <v>229</v>
      </c>
      <c r="AZ16">
        <f>_xll.EQNXTDZ($A$1,$B16,AZ$1,$B$1)</f>
        <v>187</v>
      </c>
      <c r="BA16">
        <f>_xll.EQNXTDZ($A$1,$B16,BA$1,$B$1)</f>
        <v>243</v>
      </c>
      <c r="BB16">
        <f>_xll.EQNXTDZ($A$1,$B16,BB$1,$B$1)</f>
        <v>227</v>
      </c>
      <c r="BC16">
        <f>_xll.EQNXTDZ($A$1,$B16,BC$1,$B$1)</f>
        <v>192</v>
      </c>
      <c r="BD16">
        <f>_xll.EQNXTDZ($A$1,$B16,BD$1,$B$1)</f>
        <v>188</v>
      </c>
      <c r="BE16">
        <f>_xll.EQNXTDZ($A$1,$B16,BE$1,$B$1)</f>
        <v>206</v>
      </c>
      <c r="BF16">
        <f>_xll.EQNXTDZ($A$1,$B16,BF$1,$B$1)</f>
        <v>185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1419.06</v>
      </c>
      <c r="D22">
        <f>_xll.EQNXTDZ($A$1,$B22,D$1,$B$1)</f>
        <v>1469.43</v>
      </c>
      <c r="E22">
        <f>_xll.EQNXTDZ($A$1,$B22,E$1,$B$1)</f>
        <v>1498.43</v>
      </c>
      <c r="F22">
        <f>_xll.EQNXTDZ($A$1,$B22,F$1,$B$1)</f>
        <v>2115.9699999999998</v>
      </c>
      <c r="G22">
        <f>_xll.EQNXTDZ($A$1,$B22,G$1,$B$1)</f>
        <v>1498.77</v>
      </c>
      <c r="H22">
        <f>_xll.EQNXTDZ($A$1,$B22,H$1,$B$1)</f>
        <v>1883.4</v>
      </c>
      <c r="I22">
        <f>_xll.EQNXTDZ($A$1,$B22,I$1,$B$1)</f>
        <v>1823.75</v>
      </c>
      <c r="J22">
        <f>_xll.EQNXTDZ($A$1,$B22,J$1,$B$1)</f>
        <v>1755.22</v>
      </c>
      <c r="K22">
        <f>_xll.EQNXTDZ($A$1,$B22,K$1,$B$1)</f>
        <v>1352.41</v>
      </c>
      <c r="L22">
        <f>_xll.EQNXTDZ($A$1,$B22,L$1,$B$1)</f>
        <v>1999.55</v>
      </c>
      <c r="M22">
        <f>_xll.EQNXTDZ($A$1,$B22,M$1,$B$1)</f>
        <v>2089.1999999999998</v>
      </c>
      <c r="N22">
        <f>_xll.EQNXTDZ($A$1,$B22,N$1,$B$1)</f>
        <v>2005.48</v>
      </c>
      <c r="O22">
        <f>_xll.EQNXTDZ($A$1,$B22,O$1,$B$1)</f>
        <v>1667.33</v>
      </c>
      <c r="P22">
        <f>_xll.EQNXTDZ($A$1,$B22,P$1,$B$1)</f>
        <v>2193.7199999999998</v>
      </c>
      <c r="Q22">
        <f>_xll.EQNXTDZ($A$1,$B22,Q$1,$B$1)</f>
        <v>1478.07</v>
      </c>
      <c r="R22">
        <f>_xll.EQNXTDZ($A$1,$B22,R$1,$B$1)</f>
        <v>1313.81</v>
      </c>
      <c r="S22">
        <f>_xll.EQNXTDZ($A$1,$B22,S$1,$B$1)</f>
        <v>1131</v>
      </c>
      <c r="T22">
        <f>_xll.EQNXTDZ($A$1,$B22,T$1,$B$1)</f>
        <v>2077</v>
      </c>
      <c r="U22">
        <f>_xll.EQNXTDZ($A$1,$B22,U$1,$B$1)</f>
        <v>2788</v>
      </c>
      <c r="V22">
        <f>_xll.EQNXTDZ($A$1,$B22,V$1,$B$1)</f>
        <v>3743</v>
      </c>
      <c r="W22">
        <f>_xll.EQNXTDZ($A$1,$B22,W$1,$B$1)</f>
        <v>2384</v>
      </c>
      <c r="X22">
        <f>_xll.EQNXTDZ($A$1,$B22,X$1,$B$1)</f>
        <v>3024</v>
      </c>
      <c r="Y22">
        <f>_xll.EQNXTDZ($A$1,$B22,Y$1,$B$1)</f>
        <v>3244</v>
      </c>
      <c r="Z22">
        <f>_xll.EQNXTDZ($A$1,$B22,Z$1,$B$1)</f>
        <v>3620</v>
      </c>
      <c r="AA22">
        <f>_xll.EQNXTDZ($A$1,$B22,AA$1,$B$1)</f>
        <v>2713</v>
      </c>
      <c r="AB22">
        <f>_xll.EQNXTDZ($A$1,$B22,AB$1,$B$1)</f>
        <v>2330</v>
      </c>
      <c r="AC22">
        <f>_xll.EQNXTDZ($A$1,$B22,AC$1,$B$1)</f>
        <v>2838</v>
      </c>
      <c r="AD22">
        <f>_xll.EQNXTDZ($A$1,$B22,AD$1,$B$1)</f>
        <v>2789</v>
      </c>
      <c r="AE22">
        <f>_xll.EQNXTDZ($A$1,$B22,AE$1,$B$1)</f>
        <v>2477</v>
      </c>
      <c r="AF22">
        <f>_xll.EQNXTDZ($A$1,$B22,AF$1,$B$1)</f>
        <v>2117</v>
      </c>
      <c r="AG22">
        <f>_xll.EQNXTDZ($A$1,$B22,AG$1,$B$1)</f>
        <v>2289</v>
      </c>
      <c r="AH22">
        <f>_xll.EQNXTDZ($A$1,$B22,AH$1,$B$1)</f>
        <v>1964</v>
      </c>
      <c r="AI22">
        <f>_xll.EQNXTDZ($A$1,$B22,AI$1,$B$1)</f>
        <v>1576</v>
      </c>
      <c r="AJ22">
        <f>_xll.EQNXTDZ($A$1,$B22,AJ$1,$B$1)</f>
        <v>2952</v>
      </c>
      <c r="AK22">
        <f>_xll.EQNXTDZ($A$1,$B22,AK$1,$B$1)</f>
        <v>3269</v>
      </c>
      <c r="AL22">
        <f>_xll.EQNXTDZ($A$1,$B22,AL$1,$B$1)</f>
        <v>3875</v>
      </c>
      <c r="AM22">
        <f>_xll.EQNXTDZ($A$1,$B22,AM$1,$B$1)</f>
        <v>3558</v>
      </c>
      <c r="AN22">
        <f>_xll.EQNXTDZ($A$1,$B22,AN$1,$B$1)</f>
        <v>3335</v>
      </c>
      <c r="AO22">
        <f>_xll.EQNXTDZ($A$1,$B22,AO$1,$B$1)</f>
        <v>4370</v>
      </c>
      <c r="AP22">
        <f>_xll.EQNXTDZ($A$1,$B22,AP$1,$B$1)</f>
        <v>4962</v>
      </c>
      <c r="AQ22">
        <f>_xll.EQNXTDZ($A$1,$B22,AQ$1,$B$1)</f>
        <v>5137</v>
      </c>
      <c r="AR22">
        <f>_xll.EQNXTDZ($A$1,$B22,AR$1,$B$1)</f>
        <v>4407</v>
      </c>
      <c r="AS22">
        <f>_xll.EQNXTDZ($A$1,$B22,AS$1,$B$1)</f>
        <v>3707</v>
      </c>
      <c r="AT22">
        <f>_xll.EQNXTDZ($A$1,$B22,AT$1,$B$1)</f>
        <v>4255</v>
      </c>
      <c r="AU22">
        <f>_xll.EQNXTDZ($A$1,$B22,AU$1,$B$1)</f>
        <v>3347</v>
      </c>
      <c r="AV22">
        <f>_xll.EQNXTDZ($A$1,$B22,AV$1,$B$1)</f>
        <v>3139</v>
      </c>
      <c r="AW22">
        <f>_xll.EQNXTDZ($A$1,$B22,AW$1,$B$1)</f>
        <v>3521</v>
      </c>
      <c r="AX22">
        <f>_xll.EQNXTDZ($A$1,$B22,AX$1,$B$1)</f>
        <v>3649</v>
      </c>
      <c r="AY22">
        <f>_xll.EQNXTDZ($A$1,$B22,AY$1,$B$1)</f>
        <v>3946</v>
      </c>
      <c r="AZ22">
        <f>_xll.EQNXTDZ($A$1,$B22,AZ$1,$B$1)</f>
        <v>4123</v>
      </c>
      <c r="BA22">
        <f>_xll.EQNXTDZ($A$1,$B22,BA$1,$B$1)</f>
        <v>4499</v>
      </c>
      <c r="BB22">
        <f>_xll.EQNXTDZ($A$1,$B22,BB$1,$B$1)</f>
        <v>4820</v>
      </c>
      <c r="BC22">
        <f>_xll.EQNXTDZ($A$1,$B22,BC$1,$B$1)</f>
        <v>3859</v>
      </c>
      <c r="BD22">
        <f>_xll.EQNXTDZ($A$1,$B22,BD$1,$B$1)</f>
        <v>4445</v>
      </c>
      <c r="BE22">
        <f>_xll.EQNXTDZ($A$1,$B22,BE$1,$B$1)</f>
        <v>6054</v>
      </c>
      <c r="BF22">
        <f>_xll.EQNXTDZ($A$1,$B22,BF$1,$B$1)</f>
        <v>7706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583.79999999999995</v>
      </c>
      <c r="D23">
        <f>_xll.EQNXTDZ($A$1,$B23,D$1,$B$1)</f>
        <v>521.34</v>
      </c>
      <c r="E23">
        <f>_xll.EQNXTDZ($A$1,$B23,E$1,$B$1)</f>
        <v>501.45</v>
      </c>
      <c r="F23">
        <f>_xll.EQNXTDZ($A$1,$B23,F$1,$B$1)</f>
        <v>411.82</v>
      </c>
      <c r="G23">
        <f>_xll.EQNXTDZ($A$1,$B23,G$1,$B$1)</f>
        <v>620.28</v>
      </c>
      <c r="H23">
        <f>_xll.EQNXTDZ($A$1,$B23,H$1,$B$1)</f>
        <v>266.88</v>
      </c>
      <c r="I23">
        <f>_xll.EQNXTDZ($A$1,$B23,I$1,$B$1)</f>
        <v>423.95</v>
      </c>
      <c r="J23">
        <f>_xll.EQNXTDZ($A$1,$B23,J$1,$B$1)</f>
        <v>588.66</v>
      </c>
      <c r="K23">
        <f>_xll.EQNXTDZ($A$1,$B23,K$1,$B$1)</f>
        <v>717.37</v>
      </c>
      <c r="L23">
        <f>_xll.EQNXTDZ($A$1,$B23,L$1,$B$1)</f>
        <v>696.65</v>
      </c>
      <c r="M23">
        <f>_xll.EQNXTDZ($A$1,$B23,M$1,$B$1)</f>
        <v>812.15</v>
      </c>
      <c r="N23">
        <f>_xll.EQNXTDZ($A$1,$B23,N$1,$B$1)</f>
        <v>594.88</v>
      </c>
      <c r="O23">
        <f>_xll.EQNXTDZ($A$1,$B23,O$1,$B$1)</f>
        <v>583.05999999999995</v>
      </c>
      <c r="P23">
        <f>_xll.EQNXTDZ($A$1,$B23,P$1,$B$1)</f>
        <v>835.38</v>
      </c>
      <c r="Q23">
        <f>_xll.EQNXTDZ($A$1,$B23,Q$1,$B$1)</f>
        <v>591.96</v>
      </c>
      <c r="R23">
        <f>_xll.EQNXTDZ($A$1,$B23,R$1,$B$1)</f>
        <v>744.01</v>
      </c>
      <c r="S23">
        <f>_xll.EQNXTDZ($A$1,$B23,S$1,$B$1)</f>
        <v>634</v>
      </c>
      <c r="T23">
        <f>_xll.EQNXTDZ($A$1,$B23,T$1,$B$1)</f>
        <v>770</v>
      </c>
      <c r="U23">
        <f>_xll.EQNXTDZ($A$1,$B23,U$1,$B$1)</f>
        <v>584</v>
      </c>
      <c r="V23">
        <f>_xll.EQNXTDZ($A$1,$B23,V$1,$B$1)</f>
        <v>486</v>
      </c>
      <c r="W23">
        <f>_xll.EQNXTDZ($A$1,$B23,W$1,$B$1)</f>
        <v>514</v>
      </c>
      <c r="X23">
        <f>_xll.EQNXTDZ($A$1,$B23,X$1,$B$1)</f>
        <v>470</v>
      </c>
      <c r="Y23">
        <f>_xll.EQNXTDZ($A$1,$B23,Y$1,$B$1)</f>
        <v>281</v>
      </c>
      <c r="Z23">
        <f>_xll.EQNXTDZ($A$1,$B23,Z$1,$B$1)</f>
        <v>449</v>
      </c>
      <c r="AA23">
        <f>_xll.EQNXTDZ($A$1,$B23,AA$1,$B$1)</f>
        <v>295</v>
      </c>
      <c r="AB23">
        <f>_xll.EQNXTDZ($A$1,$B23,AB$1,$B$1)</f>
        <v>398</v>
      </c>
      <c r="AC23">
        <f>_xll.EQNXTDZ($A$1,$B23,AC$1,$B$1)</f>
        <v>550</v>
      </c>
      <c r="AD23">
        <f>_xll.EQNXTDZ($A$1,$B23,AD$1,$B$1)</f>
        <v>539</v>
      </c>
      <c r="AE23">
        <f>_xll.EQNXTDZ($A$1,$B23,AE$1,$B$1)</f>
        <v>429</v>
      </c>
      <c r="AF23">
        <f>_xll.EQNXTDZ($A$1,$B23,AF$1,$B$1)</f>
        <v>590</v>
      </c>
      <c r="AG23">
        <f>_xll.EQNXTDZ($A$1,$B23,AG$1,$B$1)</f>
        <v>445</v>
      </c>
      <c r="AH23">
        <f>_xll.EQNXTDZ($A$1,$B23,AH$1,$B$1)</f>
        <v>470</v>
      </c>
      <c r="AI23">
        <f>_xll.EQNXTDZ($A$1,$B23,AI$1,$B$1)</f>
        <v>684</v>
      </c>
      <c r="AJ23">
        <f>_xll.EQNXTDZ($A$1,$B23,AJ$1,$B$1)</f>
        <v>390</v>
      </c>
      <c r="AK23">
        <f>_xll.EQNXTDZ($A$1,$B23,AK$1,$B$1)</f>
        <v>450</v>
      </c>
      <c r="AL23">
        <f>_xll.EQNXTDZ($A$1,$B23,AL$1,$B$1)</f>
        <v>295</v>
      </c>
      <c r="AM23">
        <f>_xll.EQNXTDZ($A$1,$B23,AM$1,$B$1)</f>
        <v>349</v>
      </c>
      <c r="AN23">
        <f>_xll.EQNXTDZ($A$1,$B23,AN$1,$B$1)</f>
        <v>311</v>
      </c>
      <c r="AO23">
        <f>_xll.EQNXTDZ($A$1,$B23,AO$1,$B$1)</f>
        <v>279</v>
      </c>
      <c r="AP23">
        <f>_xll.EQNXTDZ($A$1,$B23,AP$1,$B$1)</f>
        <v>277</v>
      </c>
      <c r="AQ23">
        <f>_xll.EQNXTDZ($A$1,$B23,AQ$1,$B$1)</f>
        <v>310</v>
      </c>
      <c r="AR23">
        <f>_xll.EQNXTDZ($A$1,$B23,AR$1,$B$1)</f>
        <v>367</v>
      </c>
      <c r="AS23">
        <f>_xll.EQNXTDZ($A$1,$B23,AS$1,$B$1)</f>
        <v>348</v>
      </c>
      <c r="AT23">
        <f>_xll.EQNXTDZ($A$1,$B23,AT$1,$B$1)</f>
        <v>354</v>
      </c>
      <c r="AU23">
        <f>_xll.EQNXTDZ($A$1,$B23,AU$1,$B$1)</f>
        <v>282</v>
      </c>
      <c r="AV23">
        <f>_xll.EQNXTDZ($A$1,$B23,AV$1,$B$1)</f>
        <v>223</v>
      </c>
      <c r="AW23">
        <f>_xll.EQNXTDZ($A$1,$B23,AW$1,$B$1)</f>
        <v>296</v>
      </c>
      <c r="AX23">
        <f>_xll.EQNXTDZ($A$1,$B23,AX$1,$B$1)</f>
        <v>273</v>
      </c>
      <c r="AY23">
        <f>_xll.EQNXTDZ($A$1,$B23,AY$1,$B$1)</f>
        <v>268</v>
      </c>
      <c r="AZ23">
        <f>_xll.EQNXTDZ($A$1,$B23,AZ$1,$B$1)</f>
        <v>270</v>
      </c>
      <c r="BA23">
        <f>_xll.EQNXTDZ($A$1,$B23,BA$1,$B$1)</f>
        <v>218</v>
      </c>
      <c r="BB23">
        <f>_xll.EQNXTDZ($A$1,$B23,BB$1,$B$1)</f>
        <v>227</v>
      </c>
      <c r="BC23">
        <f>_xll.EQNXTDZ($A$1,$B23,BC$1,$B$1)</f>
        <v>279</v>
      </c>
      <c r="BD23">
        <f>_xll.EQNXTDZ($A$1,$B23,BD$1,$B$1)</f>
        <v>238</v>
      </c>
      <c r="BE23">
        <f>_xll.EQNXTDZ($A$1,$B23,BE$1,$B$1)</f>
        <v>293</v>
      </c>
      <c r="BF23">
        <f>_xll.EQNXTDZ($A$1,$B23,BF$1,$B$1)</f>
        <v>280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2002.86</v>
      </c>
      <c r="D24">
        <f>_xll.EQNXTDZ($A$1,$B24,D$1,$B$1)</f>
        <v>1990.77</v>
      </c>
      <c r="E24">
        <f>_xll.EQNXTDZ($A$1,$B24,E$1,$B$1)</f>
        <v>1999.88</v>
      </c>
      <c r="F24">
        <f>_xll.EQNXTDZ($A$1,$B24,F$1,$B$1)</f>
        <v>2527.79</v>
      </c>
      <c r="G24">
        <f>_xll.EQNXTDZ($A$1,$B24,G$1,$B$1)</f>
        <v>2119.0500000000002</v>
      </c>
      <c r="H24">
        <f>_xll.EQNXTDZ($A$1,$B24,H$1,$B$1)</f>
        <v>2150.2800000000002</v>
      </c>
      <c r="I24">
        <f>_xll.EQNXTDZ($A$1,$B24,I$1,$B$1)</f>
        <v>2247.6999999999998</v>
      </c>
      <c r="J24">
        <f>_xll.EQNXTDZ($A$1,$B24,J$1,$B$1)</f>
        <v>2343.88</v>
      </c>
      <c r="K24">
        <f>_xll.EQNXTDZ($A$1,$B24,K$1,$B$1)</f>
        <v>2069.7800000000002</v>
      </c>
      <c r="L24">
        <f>_xll.EQNXTDZ($A$1,$B24,L$1,$B$1)</f>
        <v>2696.2</v>
      </c>
      <c r="M24">
        <f>_xll.EQNXTDZ($A$1,$B24,M$1,$B$1)</f>
        <v>2901.35</v>
      </c>
      <c r="N24">
        <f>_xll.EQNXTDZ($A$1,$B24,N$1,$B$1)</f>
        <v>2600.36</v>
      </c>
      <c r="O24">
        <f>_xll.EQNXTDZ($A$1,$B24,O$1,$B$1)</f>
        <v>2250.39</v>
      </c>
      <c r="P24">
        <f>_xll.EQNXTDZ($A$1,$B24,P$1,$B$1)</f>
        <v>3029.1</v>
      </c>
      <c r="Q24">
        <f>_xll.EQNXTDZ($A$1,$B24,Q$1,$B$1)</f>
        <v>2070.0300000000002</v>
      </c>
      <c r="R24">
        <f>_xll.EQNXTDZ($A$1,$B24,R$1,$B$1)</f>
        <v>2057.8200000000002</v>
      </c>
      <c r="S24">
        <f>_xll.EQNXTDZ($A$1,$B24,S$1,$B$1)</f>
        <v>1765</v>
      </c>
      <c r="T24">
        <f>_xll.EQNXTDZ($A$1,$B24,T$1,$B$1)</f>
        <v>2847</v>
      </c>
      <c r="U24">
        <f>_xll.EQNXTDZ($A$1,$B24,U$1,$B$1)</f>
        <v>3372</v>
      </c>
      <c r="V24">
        <f>_xll.EQNXTDZ($A$1,$B24,V$1,$B$1)</f>
        <v>4229</v>
      </c>
      <c r="W24">
        <f>_xll.EQNXTDZ($A$1,$B24,W$1,$B$1)</f>
        <v>2898</v>
      </c>
      <c r="X24">
        <f>_xll.EQNXTDZ($A$1,$B24,X$1,$B$1)</f>
        <v>3494</v>
      </c>
      <c r="Y24">
        <f>_xll.EQNXTDZ($A$1,$B24,Y$1,$B$1)</f>
        <v>3525</v>
      </c>
      <c r="Z24">
        <f>_xll.EQNXTDZ($A$1,$B24,Z$1,$B$1)</f>
        <v>4069</v>
      </c>
      <c r="AA24">
        <f>_xll.EQNXTDZ($A$1,$B24,AA$1,$B$1)</f>
        <v>3008</v>
      </c>
      <c r="AB24">
        <f>_xll.EQNXTDZ($A$1,$B24,AB$1,$B$1)</f>
        <v>2728</v>
      </c>
      <c r="AC24">
        <f>_xll.EQNXTDZ($A$1,$B24,AC$1,$B$1)</f>
        <v>3388</v>
      </c>
      <c r="AD24">
        <f>_xll.EQNXTDZ($A$1,$B24,AD$1,$B$1)</f>
        <v>3328</v>
      </c>
      <c r="AE24">
        <f>_xll.EQNXTDZ($A$1,$B24,AE$1,$B$1)</f>
        <v>2906</v>
      </c>
      <c r="AF24">
        <f>_xll.EQNXTDZ($A$1,$B24,AF$1,$B$1)</f>
        <v>2707</v>
      </c>
      <c r="AG24">
        <f>_xll.EQNXTDZ($A$1,$B24,AG$1,$B$1)</f>
        <v>2734</v>
      </c>
      <c r="AH24">
        <f>_xll.EQNXTDZ($A$1,$B24,AH$1,$B$1)</f>
        <v>2434</v>
      </c>
      <c r="AI24">
        <f>_xll.EQNXTDZ($A$1,$B24,AI$1,$B$1)</f>
        <v>2260</v>
      </c>
      <c r="AJ24">
        <f>_xll.EQNXTDZ($A$1,$B24,AJ$1,$B$1)</f>
        <v>3342</v>
      </c>
      <c r="AK24">
        <f>_xll.EQNXTDZ($A$1,$B24,AK$1,$B$1)</f>
        <v>3719</v>
      </c>
      <c r="AL24">
        <f>_xll.EQNXTDZ($A$1,$B24,AL$1,$B$1)</f>
        <v>4170</v>
      </c>
      <c r="AM24">
        <f>_xll.EQNXTDZ($A$1,$B24,AM$1,$B$1)</f>
        <v>3907</v>
      </c>
      <c r="AN24">
        <f>_xll.EQNXTDZ($A$1,$B24,AN$1,$B$1)</f>
        <v>3646</v>
      </c>
      <c r="AO24">
        <f>_xll.EQNXTDZ($A$1,$B24,AO$1,$B$1)</f>
        <v>4649</v>
      </c>
      <c r="AP24">
        <f>_xll.EQNXTDZ($A$1,$B24,AP$1,$B$1)</f>
        <v>5239</v>
      </c>
      <c r="AQ24">
        <f>_xll.EQNXTDZ($A$1,$B24,AQ$1,$B$1)</f>
        <v>5447</v>
      </c>
      <c r="AR24">
        <f>_xll.EQNXTDZ($A$1,$B24,AR$1,$B$1)</f>
        <v>4774</v>
      </c>
      <c r="AS24">
        <f>_xll.EQNXTDZ($A$1,$B24,AS$1,$B$1)</f>
        <v>4055</v>
      </c>
      <c r="AT24">
        <f>_xll.EQNXTDZ($A$1,$B24,AT$1,$B$1)</f>
        <v>4609</v>
      </c>
      <c r="AU24">
        <f>_xll.EQNXTDZ($A$1,$B24,AU$1,$B$1)</f>
        <v>3629</v>
      </c>
      <c r="AV24">
        <f>_xll.EQNXTDZ($A$1,$B24,AV$1,$B$1)</f>
        <v>3362</v>
      </c>
      <c r="AW24">
        <f>_xll.EQNXTDZ($A$1,$B24,AW$1,$B$1)</f>
        <v>3817</v>
      </c>
      <c r="AX24">
        <f>_xll.EQNXTDZ($A$1,$B24,AX$1,$B$1)</f>
        <v>3922</v>
      </c>
      <c r="AY24">
        <f>_xll.EQNXTDZ($A$1,$B24,AY$1,$B$1)</f>
        <v>4214</v>
      </c>
      <c r="AZ24">
        <f>_xll.EQNXTDZ($A$1,$B24,AZ$1,$B$1)</f>
        <v>4393</v>
      </c>
      <c r="BA24">
        <f>_xll.EQNXTDZ($A$1,$B24,BA$1,$B$1)</f>
        <v>4717</v>
      </c>
      <c r="BB24">
        <f>_xll.EQNXTDZ($A$1,$B24,BB$1,$B$1)</f>
        <v>5047</v>
      </c>
      <c r="BC24">
        <f>_xll.EQNXTDZ($A$1,$B24,BC$1,$B$1)</f>
        <v>4138</v>
      </c>
      <c r="BD24">
        <f>_xll.EQNXTDZ($A$1,$B24,BD$1,$B$1)</f>
        <v>4683</v>
      </c>
      <c r="BE24">
        <f>_xll.EQNXTDZ($A$1,$B24,BE$1,$B$1)</f>
        <v>6347</v>
      </c>
      <c r="BF24">
        <f>_xll.EQNXTDZ($A$1,$B24,BF$1,$B$1)</f>
        <v>7986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12.88</v>
      </c>
      <c r="D25">
        <f>_xll.EQNXTDZ($A$1,$B25,D$1,$B$1)</f>
        <v>5.82</v>
      </c>
      <c r="E25">
        <f>_xll.EQNXTDZ($A$1,$B25,E$1,$B$1)</f>
        <v>7.08</v>
      </c>
      <c r="F25">
        <f>_xll.EQNXTDZ($A$1,$B25,F$1,$B$1)</f>
        <v>10.83</v>
      </c>
      <c r="G25">
        <f>_xll.EQNXTDZ($A$1,$B25,G$1,$B$1)</f>
        <v>6.66</v>
      </c>
      <c r="H25">
        <f>_xll.EQNXTDZ($A$1,$B25,H$1,$B$1)</f>
        <v>8.0299999999999994</v>
      </c>
      <c r="I25">
        <f>_xll.EQNXTDZ($A$1,$B25,I$1,$B$1)</f>
        <v>10</v>
      </c>
      <c r="J25">
        <f>_xll.EQNXTDZ($A$1,$B25,J$1,$B$1)</f>
        <v>20.25</v>
      </c>
      <c r="K25">
        <f>_xll.EQNXTDZ($A$1,$B25,K$1,$B$1)</f>
        <v>7.6</v>
      </c>
      <c r="L25">
        <f>_xll.EQNXTDZ($A$1,$B25,L$1,$B$1)</f>
        <v>1.31</v>
      </c>
      <c r="M25">
        <f>_xll.EQNXTDZ($A$1,$B25,M$1,$B$1)</f>
        <v>0.79</v>
      </c>
      <c r="N25">
        <f>_xll.EQNXTDZ($A$1,$B25,N$1,$B$1)</f>
        <v>13.81</v>
      </c>
      <c r="O25">
        <f>_xll.EQNXTDZ($A$1,$B25,O$1,$B$1)</f>
        <v>1.61</v>
      </c>
      <c r="P25">
        <f>_xll.EQNXTDZ($A$1,$B25,P$1,$B$1)</f>
        <v>1.21</v>
      </c>
      <c r="Q25">
        <f>_xll.EQNXTDZ($A$1,$B25,Q$1,$B$1)</f>
        <v>5.1100000000000003</v>
      </c>
      <c r="R25">
        <f>_xll.EQNXTDZ($A$1,$B25,R$1,$B$1)</f>
        <v>9</v>
      </c>
      <c r="S25">
        <f>_xll.EQNXTDZ($A$1,$B25,S$1,$B$1)</f>
        <v>71</v>
      </c>
      <c r="T25">
        <f>_xll.EQNXTDZ($A$1,$B25,T$1,$B$1)</f>
        <v>71</v>
      </c>
      <c r="U25">
        <f>_xll.EQNXTDZ($A$1,$B25,U$1,$B$1)</f>
        <v>46</v>
      </c>
      <c r="V25">
        <f>_xll.EQNXTDZ($A$1,$B25,V$1,$B$1)</f>
        <v>14</v>
      </c>
      <c r="W25">
        <f>_xll.EQNXTDZ($A$1,$B25,W$1,$B$1)</f>
        <v>137</v>
      </c>
      <c r="X25">
        <f>_xll.EQNXTDZ($A$1,$B25,X$1,$B$1)</f>
        <v>84</v>
      </c>
      <c r="Y25">
        <f>_xll.EQNXTDZ($A$1,$B25,Y$1,$B$1)</f>
        <v>17</v>
      </c>
      <c r="Z25">
        <f>_xll.EQNXTDZ($A$1,$B25,Z$1,$B$1)</f>
        <v>8</v>
      </c>
      <c r="AA25">
        <f>_xll.EQNXTDZ($A$1,$B25,AA$1,$B$1)</f>
        <v>11</v>
      </c>
      <c r="AB25">
        <f>_xll.EQNXTDZ($A$1,$B25,AB$1,$B$1)</f>
        <v>0</v>
      </c>
      <c r="AC25">
        <f>_xll.EQNXTDZ($A$1,$B25,AC$1,$B$1)</f>
        <v>51</v>
      </c>
      <c r="AD25">
        <f>_xll.EQNXTDZ($A$1,$B25,AD$1,$B$1)</f>
        <v>51</v>
      </c>
      <c r="AE25">
        <f>_xll.EQNXTDZ($A$1,$B25,AE$1,$B$1)</f>
        <v>29</v>
      </c>
      <c r="AF25">
        <f>_xll.EQNXTDZ($A$1,$B25,AF$1,$B$1)</f>
        <v>25</v>
      </c>
      <c r="AG25">
        <f>_xll.EQNXTDZ($A$1,$B25,AG$1,$B$1)</f>
        <v>42</v>
      </c>
      <c r="AH25">
        <f>_xll.EQNXTDZ($A$1,$B25,AH$1,$B$1)</f>
        <v>16</v>
      </c>
      <c r="AI25">
        <f>_xll.EQNXTDZ($A$1,$B25,AI$1,$B$1)</f>
        <v>52</v>
      </c>
      <c r="AJ25">
        <f>_xll.EQNXTDZ($A$1,$B25,AJ$1,$B$1)</f>
        <v>68</v>
      </c>
      <c r="AK25">
        <f>_xll.EQNXTDZ($A$1,$B25,AK$1,$B$1)</f>
        <v>135</v>
      </c>
      <c r="AL25">
        <f>_xll.EQNXTDZ($A$1,$B25,AL$1,$B$1)</f>
        <v>131</v>
      </c>
      <c r="AM25">
        <f>_xll.EQNXTDZ($A$1,$B25,AM$1,$B$1)</f>
        <v>92</v>
      </c>
      <c r="AN25">
        <f>_xll.EQNXTDZ($A$1,$B25,AN$1,$B$1)</f>
        <v>82</v>
      </c>
      <c r="AO25">
        <f>_xll.EQNXTDZ($A$1,$B25,AO$1,$B$1)</f>
        <v>50</v>
      </c>
      <c r="AP25">
        <f>_xll.EQNXTDZ($A$1,$B25,AP$1,$B$1)</f>
        <v>66</v>
      </c>
      <c r="AQ25">
        <f>_xll.EQNXTDZ($A$1,$B25,AQ$1,$B$1)</f>
        <v>44</v>
      </c>
      <c r="AR25">
        <f>_xll.EQNXTDZ($A$1,$B25,AR$1,$B$1)</f>
        <v>51</v>
      </c>
      <c r="AS25">
        <f>_xll.EQNXTDZ($A$1,$B25,AS$1,$B$1)</f>
        <v>62</v>
      </c>
      <c r="AT25">
        <f>_xll.EQNXTDZ($A$1,$B25,AT$1,$B$1)</f>
        <v>176</v>
      </c>
      <c r="AU25">
        <f>_xll.EQNXTDZ($A$1,$B25,AU$1,$B$1)</f>
        <v>218</v>
      </c>
      <c r="AV25">
        <f>_xll.EQNXTDZ($A$1,$B25,AV$1,$B$1)</f>
        <v>232</v>
      </c>
      <c r="AW25">
        <f>_xll.EQNXTDZ($A$1,$B25,AW$1,$B$1)</f>
        <v>243</v>
      </c>
      <c r="AX25">
        <f>_xll.EQNXTDZ($A$1,$B25,AX$1,$B$1)</f>
        <v>262</v>
      </c>
      <c r="AY25">
        <f>_xll.EQNXTDZ($A$1,$B25,AY$1,$B$1)</f>
        <v>256</v>
      </c>
      <c r="AZ25">
        <f>_xll.EQNXTDZ($A$1,$B25,AZ$1,$B$1)</f>
        <v>303</v>
      </c>
      <c r="BA25">
        <f>_xll.EQNXTDZ($A$1,$B25,BA$1,$B$1)</f>
        <v>285</v>
      </c>
      <c r="BB25">
        <f>_xll.EQNXTDZ($A$1,$B25,BB$1,$B$1)</f>
        <v>251</v>
      </c>
      <c r="BC25">
        <f>_xll.EQNXTDZ($A$1,$B25,BC$1,$B$1)</f>
        <v>240</v>
      </c>
      <c r="BD25">
        <f>_xll.EQNXTDZ($A$1,$B25,BD$1,$B$1)</f>
        <v>259</v>
      </c>
      <c r="BE25">
        <f>_xll.EQNXTDZ($A$1,$B25,BE$1,$B$1)</f>
        <v>195</v>
      </c>
      <c r="BF25">
        <f>_xll.EQNXTDZ($A$1,$B25,BF$1,$B$1)</f>
        <v>187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-17.53</v>
      </c>
      <c r="G26">
        <f>_xll.EQNXTDZ($A$1,$B26,G$1,$B$1)</f>
        <v>-0.52</v>
      </c>
      <c r="H26">
        <f>_xll.EQNXTDZ($A$1,$B26,H$1,$B$1)</f>
        <v>-61.15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-2.81</v>
      </c>
      <c r="M26">
        <f>_xll.EQNXTDZ($A$1,$B26,M$1,$B$1)</f>
        <v>0</v>
      </c>
      <c r="N26">
        <f>_xll.EQNXTDZ($A$1,$B26,N$1,$B$1)</f>
        <v>-27.06</v>
      </c>
      <c r="O26">
        <f>_xll.EQNXTDZ($A$1,$B26,O$1,$B$1)</f>
        <v>-6.98</v>
      </c>
      <c r="P26">
        <f>_xll.EQNXTDZ($A$1,$B26,P$1,$B$1)</f>
        <v>-21.97</v>
      </c>
      <c r="Q26">
        <f>_xll.EQNXTDZ($A$1,$B26,Q$1,$B$1)</f>
        <v>-0.75</v>
      </c>
      <c r="R26">
        <f>_xll.EQNXTDZ($A$1,$B26,R$1,$B$1)</f>
        <v>-0.41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291</v>
      </c>
      <c r="Y26">
        <f>_xll.EQNXTDZ($A$1,$B26,Y$1,$B$1)</f>
        <v>0</v>
      </c>
      <c r="Z26">
        <f>_xll.EQNXTDZ($A$1,$B26,Z$1,$B$1)</f>
        <v>-51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-134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-83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25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1989.98</v>
      </c>
      <c r="D27">
        <f>_xll.EQNXTDZ($A$1,$B27,D$1,$B$1)</f>
        <v>1984.95</v>
      </c>
      <c r="E27">
        <f>_xll.EQNXTDZ($A$1,$B27,E$1,$B$1)</f>
        <v>1992.8</v>
      </c>
      <c r="F27">
        <f>_xll.EQNXTDZ($A$1,$B27,F$1,$B$1)</f>
        <v>2499.4299999999998</v>
      </c>
      <c r="G27">
        <f>_xll.EQNXTDZ($A$1,$B27,G$1,$B$1)</f>
        <v>2111.87</v>
      </c>
      <c r="H27">
        <f>_xll.EQNXTDZ($A$1,$B27,H$1,$B$1)</f>
        <v>2081.1</v>
      </c>
      <c r="I27">
        <f>_xll.EQNXTDZ($A$1,$B27,I$1,$B$1)</f>
        <v>2237.6999999999998</v>
      </c>
      <c r="J27">
        <f>_xll.EQNXTDZ($A$1,$B27,J$1,$B$1)</f>
        <v>2323.63</v>
      </c>
      <c r="K27">
        <f>_xll.EQNXTDZ($A$1,$B27,K$1,$B$1)</f>
        <v>2062.1799999999998</v>
      </c>
      <c r="L27">
        <f>_xll.EQNXTDZ($A$1,$B27,L$1,$B$1)</f>
        <v>2692.08</v>
      </c>
      <c r="M27">
        <f>_xll.EQNXTDZ($A$1,$B27,M$1,$B$1)</f>
        <v>2900.56</v>
      </c>
      <c r="N27">
        <f>_xll.EQNXTDZ($A$1,$B27,N$1,$B$1)</f>
        <v>2559.4899999999998</v>
      </c>
      <c r="O27">
        <f>_xll.EQNXTDZ($A$1,$B27,O$1,$B$1)</f>
        <v>2241.8000000000002</v>
      </c>
      <c r="P27">
        <f>_xll.EQNXTDZ($A$1,$B27,P$1,$B$1)</f>
        <v>3005.92</v>
      </c>
      <c r="Q27">
        <f>_xll.EQNXTDZ($A$1,$B27,Q$1,$B$1)</f>
        <v>2064.17</v>
      </c>
      <c r="R27">
        <f>_xll.EQNXTDZ($A$1,$B27,R$1,$B$1)</f>
        <v>2048.41</v>
      </c>
      <c r="S27">
        <f>_xll.EQNXTDZ($A$1,$B27,S$1,$B$1)</f>
        <v>1694</v>
      </c>
      <c r="T27">
        <f>_xll.EQNXTDZ($A$1,$B27,T$1,$B$1)</f>
        <v>2776</v>
      </c>
      <c r="U27">
        <f>_xll.EQNXTDZ($A$1,$B27,U$1,$B$1)</f>
        <v>3326</v>
      </c>
      <c r="V27">
        <f>_xll.EQNXTDZ($A$1,$B27,V$1,$B$1)</f>
        <v>4215</v>
      </c>
      <c r="W27">
        <f>_xll.EQNXTDZ($A$1,$B27,W$1,$B$1)</f>
        <v>2761</v>
      </c>
      <c r="X27">
        <f>_xll.EQNXTDZ($A$1,$B27,X$1,$B$1)</f>
        <v>3701</v>
      </c>
      <c r="Y27">
        <f>_xll.EQNXTDZ($A$1,$B27,Y$1,$B$1)</f>
        <v>3508</v>
      </c>
      <c r="Z27">
        <f>_xll.EQNXTDZ($A$1,$B27,Z$1,$B$1)</f>
        <v>4010</v>
      </c>
      <c r="AA27">
        <f>_xll.EQNXTDZ($A$1,$B27,AA$1,$B$1)</f>
        <v>2997</v>
      </c>
      <c r="AB27">
        <f>_xll.EQNXTDZ($A$1,$B27,AB$1,$B$1)</f>
        <v>2728</v>
      </c>
      <c r="AC27">
        <f>_xll.EQNXTDZ($A$1,$B27,AC$1,$B$1)</f>
        <v>3337</v>
      </c>
      <c r="AD27">
        <f>_xll.EQNXTDZ($A$1,$B27,AD$1,$B$1)</f>
        <v>3277</v>
      </c>
      <c r="AE27">
        <f>_xll.EQNXTDZ($A$1,$B27,AE$1,$B$1)</f>
        <v>2877</v>
      </c>
      <c r="AF27">
        <f>_xll.EQNXTDZ($A$1,$B27,AF$1,$B$1)</f>
        <v>2682</v>
      </c>
      <c r="AG27">
        <f>_xll.EQNXTDZ($A$1,$B27,AG$1,$B$1)</f>
        <v>2692</v>
      </c>
      <c r="AH27">
        <f>_xll.EQNXTDZ($A$1,$B27,AH$1,$B$1)</f>
        <v>2418</v>
      </c>
      <c r="AI27">
        <f>_xll.EQNXTDZ($A$1,$B27,AI$1,$B$1)</f>
        <v>2208</v>
      </c>
      <c r="AJ27">
        <f>_xll.EQNXTDZ($A$1,$B27,AJ$1,$B$1)</f>
        <v>3274</v>
      </c>
      <c r="AK27">
        <f>_xll.EQNXTDZ($A$1,$B27,AK$1,$B$1)</f>
        <v>3584</v>
      </c>
      <c r="AL27">
        <f>_xll.EQNXTDZ($A$1,$B27,AL$1,$B$1)</f>
        <v>4039</v>
      </c>
      <c r="AM27">
        <f>_xll.EQNXTDZ($A$1,$B27,AM$1,$B$1)</f>
        <v>3681</v>
      </c>
      <c r="AN27">
        <f>_xll.EQNXTDZ($A$1,$B27,AN$1,$B$1)</f>
        <v>3564</v>
      </c>
      <c r="AO27">
        <f>_xll.EQNXTDZ($A$1,$B27,AO$1,$B$1)</f>
        <v>4599</v>
      </c>
      <c r="AP27">
        <f>_xll.EQNXTDZ($A$1,$B27,AP$1,$B$1)</f>
        <v>5173</v>
      </c>
      <c r="AQ27">
        <f>_xll.EQNXTDZ($A$1,$B27,AQ$1,$B$1)</f>
        <v>5403</v>
      </c>
      <c r="AR27">
        <f>_xll.EQNXTDZ($A$1,$B27,AR$1,$B$1)</f>
        <v>4723</v>
      </c>
      <c r="AS27">
        <f>_xll.EQNXTDZ($A$1,$B27,AS$1,$B$1)</f>
        <v>3993</v>
      </c>
      <c r="AT27">
        <f>_xll.EQNXTDZ($A$1,$B27,AT$1,$B$1)</f>
        <v>4433</v>
      </c>
      <c r="AU27">
        <f>_xll.EQNXTDZ($A$1,$B27,AU$1,$B$1)</f>
        <v>3411</v>
      </c>
      <c r="AV27">
        <f>_xll.EQNXTDZ($A$1,$B27,AV$1,$B$1)</f>
        <v>3130</v>
      </c>
      <c r="AW27">
        <f>_xll.EQNXTDZ($A$1,$B27,AW$1,$B$1)</f>
        <v>3574</v>
      </c>
      <c r="AX27">
        <f>_xll.EQNXTDZ($A$1,$B27,AX$1,$B$1)</f>
        <v>3660</v>
      </c>
      <c r="AY27">
        <f>_xll.EQNXTDZ($A$1,$B27,AY$1,$B$1)</f>
        <v>3958</v>
      </c>
      <c r="AZ27">
        <f>_xll.EQNXTDZ($A$1,$B27,AZ$1,$B$1)</f>
        <v>4007</v>
      </c>
      <c r="BA27">
        <f>_xll.EQNXTDZ($A$1,$B27,BA$1,$B$1)</f>
        <v>4432</v>
      </c>
      <c r="BB27">
        <f>_xll.EQNXTDZ($A$1,$B27,BB$1,$B$1)</f>
        <v>4796</v>
      </c>
      <c r="BC27">
        <f>_xll.EQNXTDZ($A$1,$B27,BC$1,$B$1)</f>
        <v>3898</v>
      </c>
      <c r="BD27">
        <f>_xll.EQNXTDZ($A$1,$B27,BD$1,$B$1)</f>
        <v>4424</v>
      </c>
      <c r="BE27">
        <f>_xll.EQNXTDZ($A$1,$B27,BE$1,$B$1)</f>
        <v>6177</v>
      </c>
      <c r="BF27">
        <f>_xll.EQNXTDZ($A$1,$B27,BF$1,$B$1)</f>
        <v>7799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173.38</v>
      </c>
      <c r="D28">
        <f>_xll.EQNXTDZ($A$1,$B28,D$1,$B$1)</f>
        <v>174.57</v>
      </c>
      <c r="E28">
        <f>_xll.EQNXTDZ($A$1,$B28,E$1,$B$1)</f>
        <v>177.21</v>
      </c>
      <c r="F28">
        <f>_xll.EQNXTDZ($A$1,$B28,F$1,$B$1)</f>
        <v>121.88</v>
      </c>
      <c r="G28">
        <f>_xll.EQNXTDZ($A$1,$B28,G$1,$B$1)</f>
        <v>184.33</v>
      </c>
      <c r="H28">
        <f>_xll.EQNXTDZ($A$1,$B28,H$1,$B$1)</f>
        <v>186.47</v>
      </c>
      <c r="I28">
        <f>_xll.EQNXTDZ($A$1,$B28,I$1,$B$1)</f>
        <v>209.68</v>
      </c>
      <c r="J28">
        <f>_xll.EQNXTDZ($A$1,$B28,J$1,$B$1)</f>
        <v>204.11</v>
      </c>
      <c r="K28">
        <f>_xll.EQNXTDZ($A$1,$B28,K$1,$B$1)</f>
        <v>202.29</v>
      </c>
      <c r="L28">
        <f>_xll.EQNXTDZ($A$1,$B28,L$1,$B$1)</f>
        <v>206.09</v>
      </c>
      <c r="M28">
        <f>_xll.EQNXTDZ($A$1,$B28,M$1,$B$1)</f>
        <v>209.01</v>
      </c>
      <c r="N28">
        <f>_xll.EQNXTDZ($A$1,$B28,N$1,$B$1)</f>
        <v>26.8</v>
      </c>
      <c r="O28">
        <f>_xll.EQNXTDZ($A$1,$B28,O$1,$B$1)</f>
        <v>172.92</v>
      </c>
      <c r="P28">
        <f>_xll.EQNXTDZ($A$1,$B28,P$1,$B$1)</f>
        <v>183.13</v>
      </c>
      <c r="Q28">
        <f>_xll.EQNXTDZ($A$1,$B28,Q$1,$B$1)</f>
        <v>179.74</v>
      </c>
      <c r="R28">
        <f>_xll.EQNXTDZ($A$1,$B28,R$1,$B$1)</f>
        <v>201.11</v>
      </c>
      <c r="S28">
        <f>_xll.EQNXTDZ($A$1,$B28,S$1,$B$1)</f>
        <v>389</v>
      </c>
      <c r="T28">
        <f>_xll.EQNXTDZ($A$1,$B28,T$1,$B$1)</f>
        <v>432</v>
      </c>
      <c r="U28">
        <f>_xll.EQNXTDZ($A$1,$B28,U$1,$B$1)</f>
        <v>458</v>
      </c>
      <c r="V28">
        <f>_xll.EQNXTDZ($A$1,$B28,V$1,$B$1)</f>
        <v>532</v>
      </c>
      <c r="W28">
        <f>_xll.EQNXTDZ($A$1,$B28,W$1,$B$1)</f>
        <v>326</v>
      </c>
      <c r="X28">
        <f>_xll.EQNXTDZ($A$1,$B28,X$1,$B$1)</f>
        <v>325</v>
      </c>
      <c r="Y28">
        <f>_xll.EQNXTDZ($A$1,$B28,Y$1,$B$1)</f>
        <v>373</v>
      </c>
      <c r="Z28">
        <f>_xll.EQNXTDZ($A$1,$B28,Z$1,$B$1)</f>
        <v>459</v>
      </c>
      <c r="AA28">
        <f>_xll.EQNXTDZ($A$1,$B28,AA$1,$B$1)</f>
        <v>387</v>
      </c>
      <c r="AB28">
        <f>_xll.EQNXTDZ($A$1,$B28,AB$1,$B$1)</f>
        <v>454</v>
      </c>
      <c r="AC28">
        <f>_xll.EQNXTDZ($A$1,$B28,AC$1,$B$1)</f>
        <v>489</v>
      </c>
      <c r="AD28">
        <f>_xll.EQNXTDZ($A$1,$B28,AD$1,$B$1)</f>
        <v>553</v>
      </c>
      <c r="AE28">
        <f>_xll.EQNXTDZ($A$1,$B28,AE$1,$B$1)</f>
        <v>534</v>
      </c>
      <c r="AF28">
        <f>_xll.EQNXTDZ($A$1,$B28,AF$1,$B$1)</f>
        <v>595</v>
      </c>
      <c r="AG28">
        <f>_xll.EQNXTDZ($A$1,$B28,AG$1,$B$1)</f>
        <v>597</v>
      </c>
      <c r="AH28">
        <f>_xll.EQNXTDZ($A$1,$B28,AH$1,$B$1)</f>
        <v>553</v>
      </c>
      <c r="AI28">
        <f>_xll.EQNXTDZ($A$1,$B28,AI$1,$B$1)</f>
        <v>544</v>
      </c>
      <c r="AJ28">
        <f>_xll.EQNXTDZ($A$1,$B28,AJ$1,$B$1)</f>
        <v>652</v>
      </c>
      <c r="AK28">
        <f>_xll.EQNXTDZ($A$1,$B28,AK$1,$B$1)</f>
        <v>639</v>
      </c>
      <c r="AL28">
        <f>_xll.EQNXTDZ($A$1,$B28,AL$1,$B$1)</f>
        <v>696</v>
      </c>
      <c r="AM28">
        <f>_xll.EQNXTDZ($A$1,$B28,AM$1,$B$1)</f>
        <v>658</v>
      </c>
      <c r="AN28">
        <f>_xll.EQNXTDZ($A$1,$B28,AN$1,$B$1)</f>
        <v>702</v>
      </c>
      <c r="AO28">
        <f>_xll.EQNXTDZ($A$1,$B28,AO$1,$B$1)</f>
        <v>741</v>
      </c>
      <c r="AP28">
        <f>_xll.EQNXTDZ($A$1,$B28,AP$1,$B$1)</f>
        <v>816</v>
      </c>
      <c r="AQ28">
        <f>_xll.EQNXTDZ($A$1,$B28,AQ$1,$B$1)</f>
        <v>731</v>
      </c>
      <c r="AR28">
        <f>_xll.EQNXTDZ($A$1,$B28,AR$1,$B$1)</f>
        <v>798</v>
      </c>
      <c r="AS28">
        <f>_xll.EQNXTDZ($A$1,$B28,AS$1,$B$1)</f>
        <v>807</v>
      </c>
      <c r="AT28">
        <f>_xll.EQNXTDZ($A$1,$B28,AT$1,$B$1)</f>
        <v>928</v>
      </c>
      <c r="AU28">
        <f>_xll.EQNXTDZ($A$1,$B28,AU$1,$B$1)</f>
        <v>801</v>
      </c>
      <c r="AV28">
        <f>_xll.EQNXTDZ($A$1,$B28,AV$1,$B$1)</f>
        <v>825</v>
      </c>
      <c r="AW28">
        <f>_xll.EQNXTDZ($A$1,$B28,AW$1,$B$1)</f>
        <v>905</v>
      </c>
      <c r="AX28">
        <f>_xll.EQNXTDZ($A$1,$B28,AX$1,$B$1)</f>
        <v>937</v>
      </c>
      <c r="AY28">
        <f>_xll.EQNXTDZ($A$1,$B28,AY$1,$B$1)</f>
        <v>844</v>
      </c>
      <c r="AZ28">
        <f>_xll.EQNXTDZ($A$1,$B28,AZ$1,$B$1)</f>
        <v>877</v>
      </c>
      <c r="BA28">
        <f>_xll.EQNXTDZ($A$1,$B28,BA$1,$B$1)</f>
        <v>905</v>
      </c>
      <c r="BB28">
        <f>_xll.EQNXTDZ($A$1,$B28,BB$1,$B$1)</f>
        <v>1014</v>
      </c>
      <c r="BC28">
        <f>_xll.EQNXTDZ($A$1,$B28,BC$1,$B$1)</f>
        <v>913</v>
      </c>
      <c r="BD28">
        <f>_xll.EQNXTDZ($A$1,$B28,BD$1,$B$1)</f>
        <v>882</v>
      </c>
      <c r="BE28">
        <f>_xll.EQNXTDZ($A$1,$B28,BE$1,$B$1)</f>
        <v>947</v>
      </c>
      <c r="BF28">
        <f>_xll.EQNXTDZ($A$1,$B28,BF$1,$B$1)</f>
        <v>1048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235.26</v>
      </c>
      <c r="D29">
        <f>_xll.EQNXTDZ($A$1,$B29,D$1,$B$1)</f>
        <v>270.58999999999997</v>
      </c>
      <c r="E29">
        <f>_xll.EQNXTDZ($A$1,$B29,E$1,$B$1)</f>
        <v>203.05</v>
      </c>
      <c r="F29">
        <f>_xll.EQNXTDZ($A$1,$B29,F$1,$B$1)</f>
        <v>211.74</v>
      </c>
      <c r="G29">
        <f>_xll.EQNXTDZ($A$1,$B29,G$1,$B$1)</f>
        <v>267.08999999999997</v>
      </c>
      <c r="H29">
        <f>_xll.EQNXTDZ($A$1,$B29,H$1,$B$1)</f>
        <v>254.38</v>
      </c>
      <c r="I29">
        <f>_xll.EQNXTDZ($A$1,$B29,I$1,$B$1)</f>
        <v>305.3</v>
      </c>
      <c r="J29">
        <f>_xll.EQNXTDZ($A$1,$B29,J$1,$B$1)</f>
        <v>238.32</v>
      </c>
      <c r="K29">
        <f>_xll.EQNXTDZ($A$1,$B29,K$1,$B$1)</f>
        <v>242.22</v>
      </c>
      <c r="L29">
        <f>_xll.EQNXTDZ($A$1,$B29,L$1,$B$1)</f>
        <v>302.47000000000003</v>
      </c>
      <c r="M29">
        <f>_xll.EQNXTDZ($A$1,$B29,M$1,$B$1)</f>
        <v>312.18</v>
      </c>
      <c r="N29">
        <f>_xll.EQNXTDZ($A$1,$B29,N$1,$B$1)</f>
        <v>535.25</v>
      </c>
      <c r="O29">
        <f>_xll.EQNXTDZ($A$1,$B29,O$1,$B$1)</f>
        <v>128.74</v>
      </c>
      <c r="P29">
        <f>_xll.EQNXTDZ($A$1,$B29,P$1,$B$1)</f>
        <v>574.37</v>
      </c>
      <c r="Q29">
        <f>_xll.EQNXTDZ($A$1,$B29,Q$1,$B$1)</f>
        <v>44.85</v>
      </c>
      <c r="R29">
        <f>_xll.EQNXTDZ($A$1,$B29,R$1,$B$1)</f>
        <v>-299.92</v>
      </c>
      <c r="S29">
        <f>_xll.EQNXTDZ($A$1,$B29,S$1,$B$1)</f>
        <v>268</v>
      </c>
      <c r="T29">
        <f>_xll.EQNXTDZ($A$1,$B29,T$1,$B$1)</f>
        <v>442</v>
      </c>
      <c r="U29">
        <f>_xll.EQNXTDZ($A$1,$B29,U$1,$B$1)</f>
        <v>548</v>
      </c>
      <c r="V29">
        <f>_xll.EQNXTDZ($A$1,$B29,V$1,$B$1)</f>
        <v>626</v>
      </c>
      <c r="W29">
        <f>_xll.EQNXTDZ($A$1,$B29,W$1,$B$1)</f>
        <v>546</v>
      </c>
      <c r="X29">
        <f>_xll.EQNXTDZ($A$1,$B29,X$1,$B$1)</f>
        <v>792</v>
      </c>
      <c r="Y29">
        <f>_xll.EQNXTDZ($A$1,$B29,Y$1,$B$1)</f>
        <v>837</v>
      </c>
      <c r="Z29">
        <f>_xll.EQNXTDZ($A$1,$B29,Z$1,$B$1)</f>
        <v>1046</v>
      </c>
      <c r="AA29">
        <f>_xll.EQNXTDZ($A$1,$B29,AA$1,$B$1)</f>
        <v>692</v>
      </c>
      <c r="AB29">
        <f>_xll.EQNXTDZ($A$1,$B29,AB$1,$B$1)</f>
        <v>459</v>
      </c>
      <c r="AC29">
        <f>_xll.EQNXTDZ($A$1,$B29,AC$1,$B$1)</f>
        <v>637</v>
      </c>
      <c r="AD29">
        <f>_xll.EQNXTDZ($A$1,$B29,AD$1,$B$1)</f>
        <v>712</v>
      </c>
      <c r="AE29">
        <f>_xll.EQNXTDZ($A$1,$B29,AE$1,$B$1)</f>
        <v>578</v>
      </c>
      <c r="AF29">
        <f>_xll.EQNXTDZ($A$1,$B29,AF$1,$B$1)</f>
        <v>6</v>
      </c>
      <c r="AG29">
        <f>_xll.EQNXTDZ($A$1,$B29,AG$1,$B$1)</f>
        <v>475</v>
      </c>
      <c r="AH29">
        <f>_xll.EQNXTDZ($A$1,$B29,AH$1,$B$1)</f>
        <v>526</v>
      </c>
      <c r="AI29">
        <f>_xll.EQNXTDZ($A$1,$B29,AI$1,$B$1)</f>
        <v>305</v>
      </c>
      <c r="AJ29">
        <f>_xll.EQNXTDZ($A$1,$B29,AJ$1,$B$1)</f>
        <v>682</v>
      </c>
      <c r="AK29">
        <f>_xll.EQNXTDZ($A$1,$B29,AK$1,$B$1)</f>
        <v>745</v>
      </c>
      <c r="AL29">
        <f>_xll.EQNXTDZ($A$1,$B29,AL$1,$B$1)</f>
        <v>862</v>
      </c>
      <c r="AM29">
        <f>_xll.EQNXTDZ($A$1,$B29,AM$1,$B$1)</f>
        <v>1040</v>
      </c>
      <c r="AN29">
        <f>_xll.EQNXTDZ($A$1,$B29,AN$1,$B$1)</f>
        <v>845</v>
      </c>
      <c r="AO29">
        <f>_xll.EQNXTDZ($A$1,$B29,AO$1,$B$1)</f>
        <v>1157</v>
      </c>
      <c r="AP29">
        <f>_xll.EQNXTDZ($A$1,$B29,AP$1,$B$1)</f>
        <v>1429</v>
      </c>
      <c r="AQ29">
        <f>_xll.EQNXTDZ($A$1,$B29,AQ$1,$B$1)</f>
        <v>1580</v>
      </c>
      <c r="AR29">
        <f>_xll.EQNXTDZ($A$1,$B29,AR$1,$B$1)</f>
        <v>1245</v>
      </c>
      <c r="AS29">
        <f>_xll.EQNXTDZ($A$1,$B29,AS$1,$B$1)</f>
        <v>1030</v>
      </c>
      <c r="AT29">
        <f>_xll.EQNXTDZ($A$1,$B29,AT$1,$B$1)</f>
        <v>922</v>
      </c>
      <c r="AU29">
        <f>_xll.EQNXTDZ($A$1,$B29,AU$1,$B$1)</f>
        <v>646</v>
      </c>
      <c r="AV29">
        <f>_xll.EQNXTDZ($A$1,$B29,AV$1,$B$1)</f>
        <v>576</v>
      </c>
      <c r="AW29">
        <f>_xll.EQNXTDZ($A$1,$B29,AW$1,$B$1)</f>
        <v>641</v>
      </c>
      <c r="AX29">
        <f>_xll.EQNXTDZ($A$1,$B29,AX$1,$B$1)</f>
        <v>685</v>
      </c>
      <c r="AY29">
        <f>_xll.EQNXTDZ($A$1,$B29,AY$1,$B$1)</f>
        <v>769</v>
      </c>
      <c r="AZ29">
        <f>_xll.EQNXTDZ($A$1,$B29,AZ$1,$B$1)</f>
        <v>803</v>
      </c>
      <c r="BA29">
        <f>_xll.EQNXTDZ($A$1,$B29,BA$1,$B$1)</f>
        <v>849</v>
      </c>
      <c r="BB29">
        <f>_xll.EQNXTDZ($A$1,$B29,BB$1,$B$1)</f>
        <v>779</v>
      </c>
      <c r="BC29">
        <f>_xll.EQNXTDZ($A$1,$B29,BC$1,$B$1)</f>
        <v>751</v>
      </c>
      <c r="BD29">
        <f>_xll.EQNXTDZ($A$1,$B29,BD$1,$B$1)</f>
        <v>893</v>
      </c>
      <c r="BE29">
        <f>_xll.EQNXTDZ($A$1,$B29,BE$1,$B$1)</f>
        <v>1314</v>
      </c>
      <c r="BF29">
        <f>_xll.EQNXTDZ($A$1,$B29,BF$1,$B$1)</f>
        <v>1718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1581.34</v>
      </c>
      <c r="D30">
        <f>_xll.EQNXTDZ($A$1,$B30,D$1,$B$1)</f>
        <v>1539.79</v>
      </c>
      <c r="E30">
        <f>_xll.EQNXTDZ($A$1,$B30,E$1,$B$1)</f>
        <v>1612.54</v>
      </c>
      <c r="F30">
        <f>_xll.EQNXTDZ($A$1,$B30,F$1,$B$1)</f>
        <v>2165.81</v>
      </c>
      <c r="G30">
        <f>_xll.EQNXTDZ($A$1,$B30,G$1,$B$1)</f>
        <v>1660.45</v>
      </c>
      <c r="H30">
        <f>_xll.EQNXTDZ($A$1,$B30,H$1,$B$1)</f>
        <v>1640.25</v>
      </c>
      <c r="I30">
        <f>_xll.EQNXTDZ($A$1,$B30,I$1,$B$1)</f>
        <v>1722.72</v>
      </c>
      <c r="J30">
        <f>_xll.EQNXTDZ($A$1,$B30,J$1,$B$1)</f>
        <v>1881.2</v>
      </c>
      <c r="K30">
        <f>_xll.EQNXTDZ($A$1,$B30,K$1,$B$1)</f>
        <v>1617.67</v>
      </c>
      <c r="L30">
        <f>_xll.EQNXTDZ($A$1,$B30,L$1,$B$1)</f>
        <v>2183.52</v>
      </c>
      <c r="M30">
        <f>_xll.EQNXTDZ($A$1,$B30,M$1,$B$1)</f>
        <v>2379.37</v>
      </c>
      <c r="N30">
        <f>_xll.EQNXTDZ($A$1,$B30,N$1,$B$1)</f>
        <v>1997.44</v>
      </c>
      <c r="O30">
        <f>_xll.EQNXTDZ($A$1,$B30,O$1,$B$1)</f>
        <v>1940.14</v>
      </c>
      <c r="P30">
        <f>_xll.EQNXTDZ($A$1,$B30,P$1,$B$1)</f>
        <v>2248.42</v>
      </c>
      <c r="Q30">
        <f>_xll.EQNXTDZ($A$1,$B30,Q$1,$B$1)</f>
        <v>1839.58</v>
      </c>
      <c r="R30">
        <f>_xll.EQNXTDZ($A$1,$B30,R$1,$B$1)</f>
        <v>2147.2199999999998</v>
      </c>
      <c r="S30">
        <f>_xll.EQNXTDZ($A$1,$B30,S$1,$B$1)</f>
        <v>1037</v>
      </c>
      <c r="T30">
        <f>_xll.EQNXTDZ($A$1,$B30,T$1,$B$1)</f>
        <v>1902</v>
      </c>
      <c r="U30">
        <f>_xll.EQNXTDZ($A$1,$B30,U$1,$B$1)</f>
        <v>2320</v>
      </c>
      <c r="V30">
        <f>_xll.EQNXTDZ($A$1,$B30,V$1,$B$1)</f>
        <v>3057</v>
      </c>
      <c r="W30">
        <f>_xll.EQNXTDZ($A$1,$B30,W$1,$B$1)</f>
        <v>1889</v>
      </c>
      <c r="X30">
        <f>_xll.EQNXTDZ($A$1,$B30,X$1,$B$1)</f>
        <v>2584</v>
      </c>
      <c r="Y30">
        <f>_xll.EQNXTDZ($A$1,$B30,Y$1,$B$1)</f>
        <v>2298</v>
      </c>
      <c r="Z30">
        <f>_xll.EQNXTDZ($A$1,$B30,Z$1,$B$1)</f>
        <v>2505</v>
      </c>
      <c r="AA30">
        <f>_xll.EQNXTDZ($A$1,$B30,AA$1,$B$1)</f>
        <v>1918</v>
      </c>
      <c r="AB30">
        <f>_xll.EQNXTDZ($A$1,$B30,AB$1,$B$1)</f>
        <v>1815</v>
      </c>
      <c r="AC30">
        <f>_xll.EQNXTDZ($A$1,$B30,AC$1,$B$1)</f>
        <v>2211</v>
      </c>
      <c r="AD30">
        <f>_xll.EQNXTDZ($A$1,$B30,AD$1,$B$1)</f>
        <v>2012</v>
      </c>
      <c r="AE30">
        <f>_xll.EQNXTDZ($A$1,$B30,AE$1,$B$1)</f>
        <v>1765</v>
      </c>
      <c r="AF30">
        <f>_xll.EQNXTDZ($A$1,$B30,AF$1,$B$1)</f>
        <v>2081</v>
      </c>
      <c r="AG30">
        <f>_xll.EQNXTDZ($A$1,$B30,AG$1,$B$1)</f>
        <v>1620</v>
      </c>
      <c r="AH30">
        <f>_xll.EQNXTDZ($A$1,$B30,AH$1,$B$1)</f>
        <v>1339</v>
      </c>
      <c r="AI30">
        <f>_xll.EQNXTDZ($A$1,$B30,AI$1,$B$1)</f>
        <v>1359</v>
      </c>
      <c r="AJ30">
        <f>_xll.EQNXTDZ($A$1,$B30,AJ$1,$B$1)</f>
        <v>1940</v>
      </c>
      <c r="AK30">
        <f>_xll.EQNXTDZ($A$1,$B30,AK$1,$B$1)</f>
        <v>2200</v>
      </c>
      <c r="AL30">
        <f>_xll.EQNXTDZ($A$1,$B30,AL$1,$B$1)</f>
        <v>2481</v>
      </c>
      <c r="AM30">
        <f>_xll.EQNXTDZ($A$1,$B30,AM$1,$B$1)</f>
        <v>1983</v>
      </c>
      <c r="AN30">
        <f>_xll.EQNXTDZ($A$1,$B30,AN$1,$B$1)</f>
        <v>2017</v>
      </c>
      <c r="AO30">
        <f>_xll.EQNXTDZ($A$1,$B30,AO$1,$B$1)</f>
        <v>2701</v>
      </c>
      <c r="AP30">
        <f>_xll.EQNXTDZ($A$1,$B30,AP$1,$B$1)</f>
        <v>2928</v>
      </c>
      <c r="AQ30">
        <f>_xll.EQNXTDZ($A$1,$B30,AQ$1,$B$1)</f>
        <v>3092</v>
      </c>
      <c r="AR30">
        <f>_xll.EQNXTDZ($A$1,$B30,AR$1,$B$1)</f>
        <v>2680</v>
      </c>
      <c r="AS30">
        <f>_xll.EQNXTDZ($A$1,$B30,AS$1,$B$1)</f>
        <v>2156</v>
      </c>
      <c r="AT30">
        <f>_xll.EQNXTDZ($A$1,$B30,AT$1,$B$1)</f>
        <v>2583</v>
      </c>
      <c r="AU30">
        <f>_xll.EQNXTDZ($A$1,$B30,AU$1,$B$1)</f>
        <v>1964</v>
      </c>
      <c r="AV30">
        <f>_xll.EQNXTDZ($A$1,$B30,AV$1,$B$1)</f>
        <v>1729</v>
      </c>
      <c r="AW30">
        <f>_xll.EQNXTDZ($A$1,$B30,AW$1,$B$1)</f>
        <v>2028</v>
      </c>
      <c r="AX30">
        <f>_xll.EQNXTDZ($A$1,$B30,AX$1,$B$1)</f>
        <v>2038</v>
      </c>
      <c r="AY30">
        <f>_xll.EQNXTDZ($A$1,$B30,AY$1,$B$1)</f>
        <v>2345</v>
      </c>
      <c r="AZ30">
        <f>_xll.EQNXTDZ($A$1,$B30,AZ$1,$B$1)</f>
        <v>2327</v>
      </c>
      <c r="BA30">
        <f>_xll.EQNXTDZ($A$1,$B30,BA$1,$B$1)</f>
        <v>2678</v>
      </c>
      <c r="BB30">
        <f>_xll.EQNXTDZ($A$1,$B30,BB$1,$B$1)</f>
        <v>3003</v>
      </c>
      <c r="BC30">
        <f>_xll.EQNXTDZ($A$1,$B30,BC$1,$B$1)</f>
        <v>2234</v>
      </c>
      <c r="BD30">
        <f>_xll.EQNXTDZ($A$1,$B30,BD$1,$B$1)</f>
        <v>2649</v>
      </c>
      <c r="BE30">
        <f>_xll.EQNXTDZ($A$1,$B30,BE$1,$B$1)</f>
        <v>3916</v>
      </c>
      <c r="BF30">
        <f>_xll.EQNXTDZ($A$1,$B30,BF$1,$B$1)</f>
        <v>5033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1581.34</v>
      </c>
      <c r="D38">
        <f>_xll.EQNXTDZ($A$1,$B38,D$1,$B$1)</f>
        <v>1539.79</v>
      </c>
      <c r="E38">
        <f>_xll.EQNXTDZ($A$1,$B38,E$1,$B$1)</f>
        <v>1612.54</v>
      </c>
      <c r="F38">
        <f>_xll.EQNXTDZ($A$1,$B38,F$1,$B$1)</f>
        <v>2165.81</v>
      </c>
      <c r="G38">
        <f>_xll.EQNXTDZ($A$1,$B38,G$1,$B$1)</f>
        <v>1660.45</v>
      </c>
      <c r="H38">
        <f>_xll.EQNXTDZ($A$1,$B38,H$1,$B$1)</f>
        <v>1640.25</v>
      </c>
      <c r="I38">
        <f>_xll.EQNXTDZ($A$1,$B38,I$1,$B$1)</f>
        <v>1722.72</v>
      </c>
      <c r="J38">
        <f>_xll.EQNXTDZ($A$1,$B38,J$1,$B$1)</f>
        <v>1881.2</v>
      </c>
      <c r="K38">
        <f>_xll.EQNXTDZ($A$1,$B38,K$1,$B$1)</f>
        <v>1617.67</v>
      </c>
      <c r="L38">
        <f>_xll.EQNXTDZ($A$1,$B38,L$1,$B$1)</f>
        <v>2183.52</v>
      </c>
      <c r="M38">
        <f>_xll.EQNXTDZ($A$1,$B38,M$1,$B$1)</f>
        <v>2379.37</v>
      </c>
      <c r="N38">
        <f>_xll.EQNXTDZ($A$1,$B38,N$1,$B$1)</f>
        <v>1997.44</v>
      </c>
      <c r="O38">
        <f>_xll.EQNXTDZ($A$1,$B38,O$1,$B$1)</f>
        <v>1940.14</v>
      </c>
      <c r="P38">
        <f>_xll.EQNXTDZ($A$1,$B38,P$1,$B$1)</f>
        <v>2248.42</v>
      </c>
      <c r="Q38">
        <f>_xll.EQNXTDZ($A$1,$B38,Q$1,$B$1)</f>
        <v>1839.58</v>
      </c>
      <c r="R38">
        <f>_xll.EQNXTDZ($A$1,$B38,R$1,$B$1)</f>
        <v>2147.2199999999998</v>
      </c>
      <c r="S38">
        <f>_xll.EQNXTDZ($A$1,$B38,S$1,$B$1)</f>
        <v>1037</v>
      </c>
      <c r="T38">
        <f>_xll.EQNXTDZ($A$1,$B38,T$1,$B$1)</f>
        <v>1902</v>
      </c>
      <c r="U38">
        <f>_xll.EQNXTDZ($A$1,$B38,U$1,$B$1)</f>
        <v>2320</v>
      </c>
      <c r="V38">
        <f>_xll.EQNXTDZ($A$1,$B38,V$1,$B$1)</f>
        <v>3057</v>
      </c>
      <c r="W38">
        <f>_xll.EQNXTDZ($A$1,$B38,W$1,$B$1)</f>
        <v>1889</v>
      </c>
      <c r="X38">
        <f>_xll.EQNXTDZ($A$1,$B38,X$1,$B$1)</f>
        <v>2584</v>
      </c>
      <c r="Y38">
        <f>_xll.EQNXTDZ($A$1,$B38,Y$1,$B$1)</f>
        <v>2298</v>
      </c>
      <c r="Z38">
        <f>_xll.EQNXTDZ($A$1,$B38,Z$1,$B$1)</f>
        <v>2505</v>
      </c>
      <c r="AA38">
        <f>_xll.EQNXTDZ($A$1,$B38,AA$1,$B$1)</f>
        <v>1918</v>
      </c>
      <c r="AB38">
        <f>_xll.EQNXTDZ($A$1,$B38,AB$1,$B$1)</f>
        <v>1815</v>
      </c>
      <c r="AC38">
        <f>_xll.EQNXTDZ($A$1,$B38,AC$1,$B$1)</f>
        <v>2211</v>
      </c>
      <c r="AD38">
        <f>_xll.EQNXTDZ($A$1,$B38,AD$1,$B$1)</f>
        <v>2012</v>
      </c>
      <c r="AE38">
        <f>_xll.EQNXTDZ($A$1,$B38,AE$1,$B$1)</f>
        <v>1765</v>
      </c>
      <c r="AF38">
        <f>_xll.EQNXTDZ($A$1,$B38,AF$1,$B$1)</f>
        <v>2081</v>
      </c>
      <c r="AG38">
        <f>_xll.EQNXTDZ($A$1,$B38,AG$1,$B$1)</f>
        <v>1620</v>
      </c>
      <c r="AH38">
        <f>_xll.EQNXTDZ($A$1,$B38,AH$1,$B$1)</f>
        <v>1339</v>
      </c>
      <c r="AI38">
        <f>_xll.EQNXTDZ($A$1,$B38,AI$1,$B$1)</f>
        <v>1359</v>
      </c>
      <c r="AJ38">
        <f>_xll.EQNXTDZ($A$1,$B38,AJ$1,$B$1)</f>
        <v>1940</v>
      </c>
      <c r="AK38">
        <f>_xll.EQNXTDZ($A$1,$B38,AK$1,$B$1)</f>
        <v>2200</v>
      </c>
      <c r="AL38">
        <f>_xll.EQNXTDZ($A$1,$B38,AL$1,$B$1)</f>
        <v>2481</v>
      </c>
      <c r="AM38">
        <f>_xll.EQNXTDZ($A$1,$B38,AM$1,$B$1)</f>
        <v>1983</v>
      </c>
      <c r="AN38">
        <f>_xll.EQNXTDZ($A$1,$B38,AN$1,$B$1)</f>
        <v>2017</v>
      </c>
      <c r="AO38">
        <f>_xll.EQNXTDZ($A$1,$B38,AO$1,$B$1)</f>
        <v>2701</v>
      </c>
      <c r="AP38">
        <f>_xll.EQNXTDZ($A$1,$B38,AP$1,$B$1)</f>
        <v>2928</v>
      </c>
      <c r="AQ38">
        <f>_xll.EQNXTDZ($A$1,$B38,AQ$1,$B$1)</f>
        <v>3092</v>
      </c>
      <c r="AR38">
        <f>_xll.EQNXTDZ($A$1,$B38,AR$1,$B$1)</f>
        <v>2680</v>
      </c>
      <c r="AS38">
        <f>_xll.EQNXTDZ($A$1,$B38,AS$1,$B$1)</f>
        <v>2156</v>
      </c>
      <c r="AT38">
        <f>_xll.EQNXTDZ($A$1,$B38,AT$1,$B$1)</f>
        <v>2583</v>
      </c>
      <c r="AU38">
        <f>_xll.EQNXTDZ($A$1,$B38,AU$1,$B$1)</f>
        <v>1964</v>
      </c>
      <c r="AV38">
        <f>_xll.EQNXTDZ($A$1,$B38,AV$1,$B$1)</f>
        <v>1729</v>
      </c>
      <c r="AW38">
        <f>_xll.EQNXTDZ($A$1,$B38,AW$1,$B$1)</f>
        <v>2028</v>
      </c>
      <c r="AX38">
        <f>_xll.EQNXTDZ($A$1,$B38,AX$1,$B$1)</f>
        <v>2038</v>
      </c>
      <c r="AY38">
        <f>_xll.EQNXTDZ($A$1,$B38,AY$1,$B$1)</f>
        <v>2345</v>
      </c>
      <c r="AZ38">
        <f>_xll.EQNXTDZ($A$1,$B38,AZ$1,$B$1)</f>
        <v>2327</v>
      </c>
      <c r="BA38">
        <f>_xll.EQNXTDZ($A$1,$B38,BA$1,$B$1)</f>
        <v>2678</v>
      </c>
      <c r="BB38">
        <f>_xll.EQNXTDZ($A$1,$B38,BB$1,$B$1)</f>
        <v>3003</v>
      </c>
      <c r="BC38">
        <f>_xll.EQNXTDZ($A$1,$B38,BC$1,$B$1)</f>
        <v>2234</v>
      </c>
      <c r="BD38">
        <f>_xll.EQNXTDZ($A$1,$B38,BD$1,$B$1)</f>
        <v>2649</v>
      </c>
      <c r="BE38">
        <f>_xll.EQNXTDZ($A$1,$B38,BE$1,$B$1)</f>
        <v>3916</v>
      </c>
      <c r="BF38">
        <f>_xll.EQNXTDZ($A$1,$B38,BF$1,$B$1)</f>
        <v>5033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-13.95</v>
      </c>
      <c r="P40">
        <f>_xll.EQNXTDZ($A$1,$B40,P$1,$B$1)</f>
        <v>38</v>
      </c>
      <c r="Q40">
        <f>_xll.EQNXTDZ($A$1,$B40,Q$1,$B$1)</f>
        <v>-29.1</v>
      </c>
      <c r="R40">
        <f>_xll.EQNXTDZ($A$1,$B40,R$1,$B$1)</f>
        <v>3.34</v>
      </c>
      <c r="S40">
        <f>_xll.EQNXTDZ($A$1,$B40,S$1,$B$1)</f>
        <v>58</v>
      </c>
      <c r="T40">
        <f>_xll.EQNXTDZ($A$1,$B40,T$1,$B$1)</f>
        <v>17</v>
      </c>
      <c r="U40">
        <f>_xll.EQNXTDZ($A$1,$B40,U$1,$B$1)</f>
        <v>-20</v>
      </c>
      <c r="V40">
        <f>_xll.EQNXTDZ($A$1,$B40,V$1,$B$1)</f>
        <v>0</v>
      </c>
      <c r="W40">
        <f>_xll.EQNXTDZ($A$1,$B40,W$1,$B$1)</f>
        <v>21</v>
      </c>
      <c r="X40">
        <f>_xll.EQNXTDZ($A$1,$B40,X$1,$B$1)</f>
        <v>-67</v>
      </c>
      <c r="Y40">
        <f>_xll.EQNXTDZ($A$1,$B40,Y$1,$B$1)</f>
        <v>-190</v>
      </c>
      <c r="Z40">
        <f>_xll.EQNXTDZ($A$1,$B40,Z$1,$B$1)</f>
        <v>156</v>
      </c>
      <c r="AA40">
        <f>_xll.EQNXTDZ($A$1,$B40,AA$1,$B$1)</f>
        <v>20</v>
      </c>
      <c r="AB40">
        <f>_xll.EQNXTDZ($A$1,$B40,AB$1,$B$1)</f>
        <v>-110</v>
      </c>
      <c r="AC40">
        <f>_xll.EQNXTDZ($A$1,$B40,AC$1,$B$1)</f>
        <v>-2</v>
      </c>
      <c r="AD40">
        <f>_xll.EQNXTDZ($A$1,$B40,AD$1,$B$1)</f>
        <v>-2</v>
      </c>
      <c r="AE40">
        <f>_xll.EQNXTDZ($A$1,$B40,AE$1,$B$1)</f>
        <v>-2</v>
      </c>
      <c r="AF40">
        <f>_xll.EQNXTDZ($A$1,$B40,AF$1,$B$1)</f>
        <v>-48</v>
      </c>
      <c r="AG40">
        <f>_xll.EQNXTDZ($A$1,$B40,AG$1,$B$1)</f>
        <v>-5</v>
      </c>
      <c r="AH40">
        <f>_xll.EQNXTDZ($A$1,$B40,AH$1,$B$1)</f>
        <v>-45</v>
      </c>
      <c r="AI40">
        <f>_xll.EQNXTDZ($A$1,$B40,AI$1,$B$1)</f>
        <v>-2</v>
      </c>
      <c r="AJ40">
        <f>_xll.EQNXTDZ($A$1,$B40,AJ$1,$B$1)</f>
        <v>5</v>
      </c>
      <c r="AK40">
        <f>_xll.EQNXTDZ($A$1,$B40,AK$1,$B$1)</f>
        <v>-2</v>
      </c>
      <c r="AL40">
        <f>_xll.EQNXTDZ($A$1,$B40,AL$1,$B$1)</f>
        <v>-6</v>
      </c>
      <c r="AM40">
        <f>_xll.EQNXTDZ($A$1,$B40,AM$1,$B$1)</f>
        <v>-2</v>
      </c>
      <c r="AN40">
        <f>_xll.EQNXTDZ($A$1,$B40,AN$1,$B$1)</f>
        <v>17</v>
      </c>
      <c r="AO40">
        <f>_xll.EQNXTDZ($A$1,$B40,AO$1,$B$1)</f>
        <v>0</v>
      </c>
      <c r="AP40">
        <f>_xll.EQNXTDZ($A$1,$B40,AP$1,$B$1)</f>
        <v>-70</v>
      </c>
      <c r="AQ40">
        <f>_xll.EQNXTDZ($A$1,$B40,AQ$1,$B$1)</f>
        <v>431</v>
      </c>
      <c r="AR40">
        <f>_xll.EQNXTDZ($A$1,$B40,AR$1,$B$1)</f>
        <v>-335</v>
      </c>
      <c r="AS40">
        <f>_xll.EQNXTDZ($A$1,$B40,AS$1,$B$1)</f>
        <v>-22</v>
      </c>
      <c r="AT40">
        <f>_xll.EQNXTDZ($A$1,$B40,AT$1,$B$1)</f>
        <v>-30</v>
      </c>
      <c r="AU40">
        <f>_xll.EQNXTDZ($A$1,$B40,AU$1,$B$1)</f>
        <v>29</v>
      </c>
      <c r="AV40">
        <f>_xll.EQNXTDZ($A$1,$B40,AV$1,$B$1)</f>
        <v>-41</v>
      </c>
      <c r="AW40">
        <f>_xll.EQNXTDZ($A$1,$B40,AW$1,$B$1)</f>
        <v>-6</v>
      </c>
      <c r="AX40">
        <f>_xll.EQNXTDZ($A$1,$B40,AX$1,$B$1)</f>
        <v>15</v>
      </c>
      <c r="AY40">
        <f>_xll.EQNXTDZ($A$1,$B40,AY$1,$B$1)</f>
        <v>-18</v>
      </c>
      <c r="AZ40">
        <f>_xll.EQNXTDZ($A$1,$B40,AZ$1,$B$1)</f>
        <v>24</v>
      </c>
      <c r="BA40">
        <f>_xll.EQNXTDZ($A$1,$B40,BA$1,$B$1)</f>
        <v>67</v>
      </c>
      <c r="BB40">
        <f>_xll.EQNXTDZ($A$1,$B40,BB$1,$B$1)</f>
        <v>-42</v>
      </c>
      <c r="BC40">
        <f>_xll.EQNXTDZ($A$1,$B40,BC$1,$B$1)</f>
        <v>11</v>
      </c>
      <c r="BD40">
        <f>_xll.EQNXTDZ($A$1,$B40,BD$1,$B$1)</f>
        <v>-297</v>
      </c>
      <c r="BE40">
        <f>_xll.EQNXTDZ($A$1,$B40,BE$1,$B$1)</f>
        <v>-425</v>
      </c>
      <c r="BF40">
        <f>_xll.EQNXTDZ($A$1,$B40,BF$1,$B$1)</f>
        <v>482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1926.19</v>
      </c>
      <c r="P41">
        <f>_xll.EQNXTDZ($A$1,$B41,P$1,$B$1)</f>
        <v>2286.42</v>
      </c>
      <c r="Q41">
        <f>_xll.EQNXTDZ($A$1,$B41,Q$1,$B$1)</f>
        <v>1810.48</v>
      </c>
      <c r="R41">
        <f>_xll.EQNXTDZ($A$1,$B41,R$1,$B$1)</f>
        <v>2150.56</v>
      </c>
      <c r="S41">
        <f>_xll.EQNXTDZ($A$1,$B41,S$1,$B$1)</f>
        <v>1095</v>
      </c>
      <c r="T41">
        <f>_xll.EQNXTDZ($A$1,$B41,T$1,$B$1)</f>
        <v>1919</v>
      </c>
      <c r="U41">
        <f>_xll.EQNXTDZ($A$1,$B41,U$1,$B$1)</f>
        <v>2300</v>
      </c>
      <c r="V41">
        <f>_xll.EQNXTDZ($A$1,$B41,V$1,$B$1)</f>
        <v>3057</v>
      </c>
      <c r="W41">
        <f>_xll.EQNXTDZ($A$1,$B41,W$1,$B$1)</f>
        <v>1910</v>
      </c>
      <c r="X41">
        <f>_xll.EQNXTDZ($A$1,$B41,X$1,$B$1)</f>
        <v>2517</v>
      </c>
      <c r="Y41">
        <f>_xll.EQNXTDZ($A$1,$B41,Y$1,$B$1)</f>
        <v>2108</v>
      </c>
      <c r="Z41">
        <f>_xll.EQNXTDZ($A$1,$B41,Z$1,$B$1)</f>
        <v>2661</v>
      </c>
      <c r="AA41">
        <f>_xll.EQNXTDZ($A$1,$B41,AA$1,$B$1)</f>
        <v>1938</v>
      </c>
      <c r="AB41">
        <f>_xll.EQNXTDZ($A$1,$B41,AB$1,$B$1)</f>
        <v>1705</v>
      </c>
      <c r="AC41">
        <f>_xll.EQNXTDZ($A$1,$B41,AC$1,$B$1)</f>
        <v>2209</v>
      </c>
      <c r="AD41">
        <f>_xll.EQNXTDZ($A$1,$B41,AD$1,$B$1)</f>
        <v>2010</v>
      </c>
      <c r="AE41">
        <f>_xll.EQNXTDZ($A$1,$B41,AE$1,$B$1)</f>
        <v>1763</v>
      </c>
      <c r="AF41">
        <f>_xll.EQNXTDZ($A$1,$B41,AF$1,$B$1)</f>
        <v>2033</v>
      </c>
      <c r="AG41">
        <f>_xll.EQNXTDZ($A$1,$B41,AG$1,$B$1)</f>
        <v>1615</v>
      </c>
      <c r="AH41">
        <f>_xll.EQNXTDZ($A$1,$B41,AH$1,$B$1)</f>
        <v>1294</v>
      </c>
      <c r="AI41">
        <f>_xll.EQNXTDZ($A$1,$B41,AI$1,$B$1)</f>
        <v>1357</v>
      </c>
      <c r="AJ41">
        <f>_xll.EQNXTDZ($A$1,$B41,AJ$1,$B$1)</f>
        <v>1945</v>
      </c>
      <c r="AK41">
        <f>_xll.EQNXTDZ($A$1,$B41,AK$1,$B$1)</f>
        <v>2198</v>
      </c>
      <c r="AL41">
        <f>_xll.EQNXTDZ($A$1,$B41,AL$1,$B$1)</f>
        <v>2475</v>
      </c>
      <c r="AM41">
        <f>_xll.EQNXTDZ($A$1,$B41,AM$1,$B$1)</f>
        <v>1981</v>
      </c>
      <c r="AN41">
        <f>_xll.EQNXTDZ($A$1,$B41,AN$1,$B$1)</f>
        <v>2034</v>
      </c>
      <c r="AO41">
        <f>_xll.EQNXTDZ($A$1,$B41,AO$1,$B$1)</f>
        <v>2701</v>
      </c>
      <c r="AP41">
        <f>_xll.EQNXTDZ($A$1,$B41,AP$1,$B$1)</f>
        <v>2858</v>
      </c>
      <c r="AQ41">
        <f>_xll.EQNXTDZ($A$1,$B41,AQ$1,$B$1)</f>
        <v>3523</v>
      </c>
      <c r="AR41">
        <f>_xll.EQNXTDZ($A$1,$B41,AR$1,$B$1)</f>
        <v>2345</v>
      </c>
      <c r="AS41">
        <f>_xll.EQNXTDZ($A$1,$B41,AS$1,$B$1)</f>
        <v>2134</v>
      </c>
      <c r="AT41">
        <f>_xll.EQNXTDZ($A$1,$B41,AT$1,$B$1)</f>
        <v>2553</v>
      </c>
      <c r="AU41">
        <f>_xll.EQNXTDZ($A$1,$B41,AU$1,$B$1)</f>
        <v>1993</v>
      </c>
      <c r="AV41">
        <f>_xll.EQNXTDZ($A$1,$B41,AV$1,$B$1)</f>
        <v>1688</v>
      </c>
      <c r="AW41">
        <f>_xll.EQNXTDZ($A$1,$B41,AW$1,$B$1)</f>
        <v>2022</v>
      </c>
      <c r="AX41">
        <f>_xll.EQNXTDZ($A$1,$B41,AX$1,$B$1)</f>
        <v>2053</v>
      </c>
      <c r="AY41">
        <f>_xll.EQNXTDZ($A$1,$B41,AY$1,$B$1)</f>
        <v>2327</v>
      </c>
      <c r="AZ41">
        <f>_xll.EQNXTDZ($A$1,$B41,AZ$1,$B$1)</f>
        <v>2351</v>
      </c>
      <c r="BA41">
        <f>_xll.EQNXTDZ($A$1,$B41,BA$1,$B$1)</f>
        <v>2745</v>
      </c>
      <c r="BB41">
        <f>_xll.EQNXTDZ($A$1,$B41,BB$1,$B$1)</f>
        <v>2961</v>
      </c>
      <c r="BC41">
        <f>_xll.EQNXTDZ($A$1,$B41,BC$1,$B$1)</f>
        <v>2245</v>
      </c>
      <c r="BD41">
        <f>_xll.EQNXTDZ($A$1,$B41,BD$1,$B$1)</f>
        <v>2352</v>
      </c>
      <c r="BE41">
        <f>_xll.EQNXTDZ($A$1,$B41,BE$1,$B$1)</f>
        <v>3491</v>
      </c>
      <c r="BF41">
        <f>_xll.EQNXTDZ($A$1,$B41,BF$1,$B$1)</f>
        <v>5515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1581.34</v>
      </c>
      <c r="D42">
        <f>_xll.EQNXTDZ($A$1,$B42,D$1,$B$1)</f>
        <v>1539.79</v>
      </c>
      <c r="E42">
        <f>_xll.EQNXTDZ($A$1,$B42,E$1,$B$1)</f>
        <v>1612.54</v>
      </c>
      <c r="F42">
        <f>_xll.EQNXTDZ($A$1,$B42,F$1,$B$1)</f>
        <v>2165.81</v>
      </c>
      <c r="G42">
        <f>_xll.EQNXTDZ($A$1,$B42,G$1,$B$1)</f>
        <v>1660.45</v>
      </c>
      <c r="H42">
        <f>_xll.EQNXTDZ($A$1,$B42,H$1,$B$1)</f>
        <v>1640.25</v>
      </c>
      <c r="I42">
        <f>_xll.EQNXTDZ($A$1,$B42,I$1,$B$1)</f>
        <v>1722.72</v>
      </c>
      <c r="J42">
        <f>_xll.EQNXTDZ($A$1,$B42,J$1,$B$1)</f>
        <v>1881.2</v>
      </c>
      <c r="K42">
        <f>_xll.EQNXTDZ($A$1,$B42,K$1,$B$1)</f>
        <v>1617.67</v>
      </c>
      <c r="L42">
        <f>_xll.EQNXTDZ($A$1,$B42,L$1,$B$1)</f>
        <v>2183.52</v>
      </c>
      <c r="M42">
        <f>_xll.EQNXTDZ($A$1,$B42,M$1,$B$1)</f>
        <v>2379.37</v>
      </c>
      <c r="N42">
        <f>_xll.EQNXTDZ($A$1,$B42,N$1,$B$1)</f>
        <v>1997.44</v>
      </c>
      <c r="O42">
        <f>_xll.EQNXTDZ($A$1,$B42,O$1,$B$1)</f>
        <v>1940.14</v>
      </c>
      <c r="P42">
        <f>_xll.EQNXTDZ($A$1,$B42,P$1,$B$1)</f>
        <v>2248.42</v>
      </c>
      <c r="Q42">
        <f>_xll.EQNXTDZ($A$1,$B42,Q$1,$B$1)</f>
        <v>1839.58</v>
      </c>
      <c r="R42">
        <f>_xll.EQNXTDZ($A$1,$B42,R$1,$B$1)</f>
        <v>2147.2199999999998</v>
      </c>
      <c r="S42">
        <f>_xll.EQNXTDZ($A$1,$B42,S$1,$B$1)</f>
        <v>1037</v>
      </c>
      <c r="T42">
        <f>_xll.EQNXTDZ($A$1,$B42,T$1,$B$1)</f>
        <v>1902</v>
      </c>
      <c r="U42">
        <f>_xll.EQNXTDZ($A$1,$B42,U$1,$B$1)</f>
        <v>2320</v>
      </c>
      <c r="V42">
        <f>_xll.EQNXTDZ($A$1,$B42,V$1,$B$1)</f>
        <v>3057</v>
      </c>
      <c r="W42">
        <f>_xll.EQNXTDZ($A$1,$B42,W$1,$B$1)</f>
        <v>1889</v>
      </c>
      <c r="X42">
        <f>_xll.EQNXTDZ($A$1,$B42,X$1,$B$1)</f>
        <v>2584</v>
      </c>
      <c r="Y42">
        <f>_xll.EQNXTDZ($A$1,$B42,Y$1,$B$1)</f>
        <v>2298</v>
      </c>
      <c r="Z42">
        <f>_xll.EQNXTDZ($A$1,$B42,Z$1,$B$1)</f>
        <v>2505</v>
      </c>
      <c r="AA42">
        <f>_xll.EQNXTDZ($A$1,$B42,AA$1,$B$1)</f>
        <v>1918</v>
      </c>
      <c r="AB42">
        <f>_xll.EQNXTDZ($A$1,$B42,AB$1,$B$1)</f>
        <v>1815</v>
      </c>
      <c r="AC42">
        <f>_xll.EQNXTDZ($A$1,$B42,AC$1,$B$1)</f>
        <v>2211</v>
      </c>
      <c r="AD42">
        <f>_xll.EQNXTDZ($A$1,$B42,AD$1,$B$1)</f>
        <v>2012</v>
      </c>
      <c r="AE42">
        <f>_xll.EQNXTDZ($A$1,$B42,AE$1,$B$1)</f>
        <v>1765</v>
      </c>
      <c r="AF42">
        <f>_xll.EQNXTDZ($A$1,$B42,AF$1,$B$1)</f>
        <v>2081</v>
      </c>
      <c r="AG42">
        <f>_xll.EQNXTDZ($A$1,$B42,AG$1,$B$1)</f>
        <v>1620</v>
      </c>
      <c r="AH42">
        <f>_xll.EQNXTDZ($A$1,$B42,AH$1,$B$1)</f>
        <v>1339</v>
      </c>
      <c r="AI42">
        <f>_xll.EQNXTDZ($A$1,$B42,AI$1,$B$1)</f>
        <v>1359</v>
      </c>
      <c r="AJ42">
        <f>_xll.EQNXTDZ($A$1,$B42,AJ$1,$B$1)</f>
        <v>1940</v>
      </c>
      <c r="AK42">
        <f>_xll.EQNXTDZ($A$1,$B42,AK$1,$B$1)</f>
        <v>2200</v>
      </c>
      <c r="AL42">
        <f>_xll.EQNXTDZ($A$1,$B42,AL$1,$B$1)</f>
        <v>2481</v>
      </c>
      <c r="AM42">
        <f>_xll.EQNXTDZ($A$1,$B42,AM$1,$B$1)</f>
        <v>1983</v>
      </c>
      <c r="AN42">
        <f>_xll.EQNXTDZ($A$1,$B42,AN$1,$B$1)</f>
        <v>2017</v>
      </c>
      <c r="AO42">
        <f>_xll.EQNXTDZ($A$1,$B42,AO$1,$B$1)</f>
        <v>2701</v>
      </c>
      <c r="AP42">
        <f>_xll.EQNXTDZ($A$1,$B42,AP$1,$B$1)</f>
        <v>2928</v>
      </c>
      <c r="AQ42">
        <f>_xll.EQNXTDZ($A$1,$B42,AQ$1,$B$1)</f>
        <v>3092</v>
      </c>
      <c r="AR42">
        <f>_xll.EQNXTDZ($A$1,$B42,AR$1,$B$1)</f>
        <v>2680</v>
      </c>
      <c r="AS42">
        <f>_xll.EQNXTDZ($A$1,$B42,AS$1,$B$1)</f>
        <v>2156</v>
      </c>
      <c r="AT42">
        <f>_xll.EQNXTDZ($A$1,$B42,AT$1,$B$1)</f>
        <v>2583</v>
      </c>
      <c r="AU42">
        <f>_xll.EQNXTDZ($A$1,$B42,AU$1,$B$1)</f>
        <v>1964</v>
      </c>
      <c r="AV42">
        <f>_xll.EQNXTDZ($A$1,$B42,AV$1,$B$1)</f>
        <v>1729</v>
      </c>
      <c r="AW42">
        <f>_xll.EQNXTDZ($A$1,$B42,AW$1,$B$1)</f>
        <v>2028</v>
      </c>
      <c r="AX42">
        <f>_xll.EQNXTDZ($A$1,$B42,AX$1,$B$1)</f>
        <v>2038</v>
      </c>
      <c r="AY42">
        <f>_xll.EQNXTDZ($A$1,$B42,AY$1,$B$1)</f>
        <v>2345</v>
      </c>
      <c r="AZ42">
        <f>_xll.EQNXTDZ($A$1,$B42,AZ$1,$B$1)</f>
        <v>2327</v>
      </c>
      <c r="BA42">
        <f>_xll.EQNXTDZ($A$1,$B42,BA$1,$B$1)</f>
        <v>2678</v>
      </c>
      <c r="BB42">
        <f>_xll.EQNXTDZ($A$1,$B42,BB$1,$B$1)</f>
        <v>3003</v>
      </c>
      <c r="BC42">
        <f>_xll.EQNXTDZ($A$1,$B42,BC$1,$B$1)</f>
        <v>2234</v>
      </c>
      <c r="BD42">
        <f>_xll.EQNXTDZ($A$1,$B42,BD$1,$B$1)</f>
        <v>2649</v>
      </c>
      <c r="BE42">
        <f>_xll.EQNXTDZ($A$1,$B42,BE$1,$B$1)</f>
        <v>3916</v>
      </c>
      <c r="BF42">
        <f>_xll.EQNXTDZ($A$1,$B42,BF$1,$B$1)</f>
        <v>5033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845.06</v>
      </c>
      <c r="D45">
        <f>_xll.EQNXTDZ($A$1,$B45,D$1,$B$1)</f>
        <v>845.06</v>
      </c>
      <c r="E45">
        <f>_xll.EQNXTDZ($A$1,$B45,E$1,$B$1)</f>
        <v>845.06</v>
      </c>
      <c r="F45">
        <f>_xll.EQNXTDZ($A$1,$B45,F$1,$B$1)</f>
        <v>845.06</v>
      </c>
      <c r="G45">
        <f>_xll.EQNXTDZ($A$1,$B45,G$1,$B$1)</f>
        <v>845.06</v>
      </c>
      <c r="H45">
        <f>_xll.EQNXTDZ($A$1,$B45,H$1,$B$1)</f>
        <v>845.06</v>
      </c>
      <c r="I45">
        <f>_xll.EQNXTDZ($A$1,$B45,I$1,$B$1)</f>
        <v>845.06</v>
      </c>
      <c r="J45">
        <f>_xll.EQNXTDZ($A$1,$B45,J$1,$B$1)</f>
        <v>845.06</v>
      </c>
      <c r="K45">
        <f>_xll.EQNXTDZ($A$1,$B45,K$1,$B$1)</f>
        <v>845.06</v>
      </c>
      <c r="L45">
        <f>_xll.EQNXTDZ($A$1,$B45,L$1,$B$1)</f>
        <v>845.06</v>
      </c>
      <c r="M45">
        <f>_xll.EQNXTDZ($A$1,$B45,M$1,$B$1)</f>
        <v>845.06</v>
      </c>
      <c r="N45">
        <f>_xll.EQNXTDZ($A$1,$B45,N$1,$B$1)</f>
        <v>845.06</v>
      </c>
      <c r="O45">
        <f>_xll.EQNXTDZ($A$1,$B45,O$1,$B$1)</f>
        <v>845.06</v>
      </c>
      <c r="P45">
        <f>_xll.EQNXTDZ($A$1,$B45,P$1,$B$1)</f>
        <v>845.06</v>
      </c>
      <c r="Q45">
        <f>_xll.EQNXTDZ($A$1,$B45,Q$1,$B$1)</f>
        <v>845.06</v>
      </c>
      <c r="R45">
        <f>_xll.EQNXTDZ($A$1,$B45,R$1,$B$1)</f>
        <v>845.06</v>
      </c>
      <c r="S45">
        <f>_xll.EQNXTDZ($A$1,$B45,S$1,$B$1)</f>
        <v>845</v>
      </c>
      <c r="T45">
        <f>_xll.EQNXTDZ($A$1,$B45,T$1,$B$1)</f>
        <v>845</v>
      </c>
      <c r="U45">
        <f>_xll.EQNXTDZ($A$1,$B45,U$1,$B$1)</f>
        <v>845</v>
      </c>
      <c r="V45">
        <f>_xll.EQNXTDZ($A$1,$B45,V$1,$B$1)</f>
        <v>845</v>
      </c>
      <c r="W45">
        <f>_xll.EQNXTDZ($A$1,$B45,W$1,$B$1)</f>
        <v>845</v>
      </c>
      <c r="X45">
        <f>_xll.EQNXTDZ($A$1,$B45,X$1,$B$1)</f>
        <v>845</v>
      </c>
      <c r="Y45">
        <f>_xll.EQNXTDZ($A$1,$B45,Y$1,$B$1)</f>
        <v>845</v>
      </c>
      <c r="Z45">
        <f>_xll.EQNXTDZ($A$1,$B45,Z$1,$B$1)</f>
        <v>845</v>
      </c>
      <c r="AA45">
        <f>_xll.EQNXTDZ($A$1,$B45,AA$1,$B$1)</f>
        <v>845</v>
      </c>
      <c r="AB45">
        <f>_xll.EQNXTDZ($A$1,$B45,AB$1,$B$1)</f>
        <v>845</v>
      </c>
      <c r="AC45">
        <f>_xll.EQNXTDZ($A$1,$B45,AC$1,$B$1)</f>
        <v>845</v>
      </c>
      <c r="AD45">
        <f>_xll.EQNXTDZ($A$1,$B45,AD$1,$B$1)</f>
        <v>845</v>
      </c>
      <c r="AE45">
        <f>_xll.EQNXTDZ($A$1,$B45,AE$1,$B$1)</f>
        <v>845</v>
      </c>
      <c r="AF45">
        <f>_xll.EQNXTDZ($A$1,$B45,AF$1,$B$1)</f>
        <v>845</v>
      </c>
      <c r="AG45">
        <f>_xll.EQNXTDZ($A$1,$B45,AG$1,$B$1)</f>
        <v>845</v>
      </c>
      <c r="AH45">
        <f>_xll.EQNXTDZ($A$1,$B45,AH$1,$B$1)</f>
        <v>845</v>
      </c>
      <c r="AI45">
        <f>_xll.EQNXTDZ($A$1,$B45,AI$1,$B$1)</f>
        <v>845</v>
      </c>
      <c r="AJ45">
        <f>_xll.EQNXTDZ($A$1,$B45,AJ$1,$B$1)</f>
        <v>845</v>
      </c>
      <c r="AK45">
        <f>_xll.EQNXTDZ($A$1,$B45,AK$1,$B$1)</f>
        <v>845</v>
      </c>
      <c r="AL45">
        <f>_xll.EQNXTDZ($A$1,$B45,AL$1,$B$1)</f>
        <v>845</v>
      </c>
      <c r="AM45">
        <f>_xll.EQNXTDZ($A$1,$B45,AM$1,$B$1)</f>
        <v>845</v>
      </c>
      <c r="AN45">
        <f>_xll.EQNXTDZ($A$1,$B45,AN$1,$B$1)</f>
        <v>845</v>
      </c>
      <c r="AO45">
        <f>_xll.EQNXTDZ($A$1,$B45,AO$1,$B$1)</f>
        <v>845</v>
      </c>
      <c r="AP45">
        <f>_xll.EQNXTDZ($A$1,$B45,AP$1,$B$1)</f>
        <v>845</v>
      </c>
      <c r="AQ45">
        <f>_xll.EQNXTDZ($A$1,$B45,AQ$1,$B$1)</f>
        <v>845</v>
      </c>
      <c r="AR45">
        <f>_xll.EQNXTDZ($A$1,$B45,AR$1,$B$1)</f>
        <v>845</v>
      </c>
      <c r="AS45">
        <f>_xll.EQNXTDZ($A$1,$B45,AS$1,$B$1)</f>
        <v>845</v>
      </c>
      <c r="AT45">
        <f>_xll.EQNXTDZ($A$1,$B45,AT$1,$B$1)</f>
        <v>845</v>
      </c>
      <c r="AU45">
        <f>_xll.EQNXTDZ($A$1,$B45,AU$1,$B$1)</f>
        <v>845</v>
      </c>
      <c r="AV45">
        <f>_xll.EQNXTDZ($A$1,$B45,AV$1,$B$1)</f>
        <v>845</v>
      </c>
      <c r="AW45">
        <f>_xll.EQNXTDZ($A$1,$B45,AW$1,$B$1)</f>
        <v>845</v>
      </c>
      <c r="AX45">
        <f>_xll.EQNXTDZ($A$1,$B45,AX$1,$B$1)</f>
        <v>845</v>
      </c>
      <c r="AY45">
        <f>_xll.EQNXTDZ($A$1,$B45,AY$1,$B$1)</f>
        <v>845</v>
      </c>
      <c r="AZ45">
        <f>_xll.EQNXTDZ($A$1,$B45,AZ$1,$B$1)</f>
        <v>845</v>
      </c>
      <c r="BA45">
        <f>_xll.EQNXTDZ($A$1,$B45,BA$1,$B$1)</f>
        <v>845</v>
      </c>
      <c r="BB45">
        <f>_xll.EQNXTDZ($A$1,$B45,BB$1,$B$1)</f>
        <v>845</v>
      </c>
      <c r="BC45">
        <f>_xll.EQNXTDZ($A$1,$B45,BC$1,$B$1)</f>
        <v>845</v>
      </c>
      <c r="BD45">
        <f>_xll.EQNXTDZ($A$1,$B45,BD$1,$B$1)</f>
        <v>845</v>
      </c>
      <c r="BE45">
        <f>_xll.EQNXTDZ($A$1,$B45,BE$1,$B$1)</f>
        <v>845</v>
      </c>
      <c r="BF45">
        <f>_xll.EQNXTDZ($A$1,$B45,BF$1,$B$1)</f>
        <v>845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122.9</v>
      </c>
      <c r="D48" s="55">
        <f>_xll.EQNXTDZ($A$1,$B48,D$5)</f>
        <v>135.44999999999999</v>
      </c>
      <c r="E48" s="55">
        <f>_xll.EQNXTDZ($A$1,$B48,E$5)</f>
        <v>136.05000000000001</v>
      </c>
      <c r="F48" s="55">
        <f>_xll.EQNXTDZ($A$1,$B48,F$5)</f>
        <v>121.15</v>
      </c>
      <c r="G48" s="55">
        <f>_xll.EQNXTDZ($A$1,$B48,G$5)</f>
        <v>102.45</v>
      </c>
      <c r="H48" s="55">
        <f>_xll.EQNXTDZ($A$1,$B48,H$5)</f>
        <v>133.05000000000001</v>
      </c>
      <c r="I48" s="55">
        <f>_xll.EQNXTDZ($A$1,$B48,I$5)</f>
        <v>132.44999999999999</v>
      </c>
      <c r="J48" s="55">
        <f>_xll.EQNXTDZ($A$1,$B48,J$5)</f>
        <v>128.35</v>
      </c>
      <c r="K48" s="55">
        <f>_xll.EQNXTDZ($A$1,$B48,K$5)</f>
        <v>166.75</v>
      </c>
      <c r="L48" s="55">
        <f>_xll.EQNXTDZ($A$1,$B48,L$5)</f>
        <v>160.85</v>
      </c>
      <c r="M48" s="55">
        <f>_xll.EQNXTDZ($A$1,$B48,M$5)</f>
        <v>170.35</v>
      </c>
      <c r="N48" s="55">
        <f>_xll.EQNXTDZ($A$1,$B48,N$5)</f>
        <v>161.85</v>
      </c>
      <c r="O48" s="55">
        <f>_xll.EQNXTDZ($A$1,$B48,O$5)</f>
        <v>167</v>
      </c>
      <c r="P48" s="55">
        <f>_xll.EQNXTDZ($A$1,$B48,P$5)</f>
        <v>139.65</v>
      </c>
      <c r="Q48" s="55">
        <f>_xll.EQNXTDZ($A$1,$B48,Q$5)</f>
        <v>146.6</v>
      </c>
      <c r="R48" s="55">
        <f>_xll.EQNXTDZ($A$1,$B48,R$5)</f>
        <v>183.5</v>
      </c>
      <c r="S48" s="55">
        <f>_xll.EQNXTDZ($A$1,$B48,S$5)</f>
        <v>179.8</v>
      </c>
      <c r="T48" s="55">
        <f>_xll.EQNXTDZ($A$1,$B48,T$5)</f>
        <v>233.25</v>
      </c>
      <c r="U48" s="55">
        <f>_xll.EQNXTDZ($A$1,$B48,U$5)</f>
        <v>255.45</v>
      </c>
      <c r="V48" s="55">
        <f>_xll.EQNXTDZ($A$1,$B48,V$5)</f>
        <v>288.85000000000002</v>
      </c>
      <c r="W48" s="55">
        <f>_xll.EQNXTDZ($A$1,$B48,W$5)</f>
        <v>262.85000000000002</v>
      </c>
      <c r="X48" s="55">
        <f>_xll.EQNXTDZ($A$1,$B48,X$5)</f>
        <v>295.8</v>
      </c>
      <c r="Y48" s="55">
        <f>_xll.EQNXTDZ($A$1,$B48,Y$5)</f>
        <v>309</v>
      </c>
      <c r="Z48" s="55">
        <f>_xll.EQNXTDZ($A$1,$B48,Z$5)</f>
        <v>300.95</v>
      </c>
      <c r="AA48" s="55">
        <f>_xll.EQNXTDZ($A$1,$B48,AA$5)</f>
        <v>275.75</v>
      </c>
      <c r="AB48" s="55">
        <f>_xll.EQNXTDZ($A$1,$B48,AB$5)</f>
        <v>290.39999999999998</v>
      </c>
      <c r="AC48" s="55">
        <f>_xll.EQNXTDZ($A$1,$B48,AC$5)</f>
        <v>277.8</v>
      </c>
      <c r="AD48" s="55">
        <f>_xll.EQNXTDZ($A$1,$B48,AD$5)</f>
        <v>276.39999999999998</v>
      </c>
      <c r="AE48" s="55">
        <f>_xll.EQNXTDZ($A$1,$B48,AE$5)</f>
        <v>244</v>
      </c>
      <c r="AF48" s="55">
        <f>_xll.EQNXTDZ($A$1,$B48,AF$5)</f>
        <v>213.5</v>
      </c>
      <c r="AG48" s="55">
        <f>_xll.EQNXTDZ($A$1,$B48,AG$5)</f>
        <v>209.7</v>
      </c>
      <c r="AH48" s="55">
        <f>_xll.EQNXTDZ($A$1,$B48,AH$5)</f>
        <v>155.15</v>
      </c>
      <c r="AI48" s="55">
        <f>_xll.EQNXTDZ($A$1,$B48,AI$5)</f>
        <v>195.95</v>
      </c>
      <c r="AJ48" s="55">
        <f>_xll.EQNXTDZ($A$1,$B48,AJ$5)</f>
        <v>209.9</v>
      </c>
      <c r="AK48" s="55">
        <f>_xll.EQNXTDZ($A$1,$B48,AK$5)</f>
        <v>238.9</v>
      </c>
      <c r="AL48" s="55">
        <f>_xll.EQNXTDZ($A$1,$B48,AL$5)</f>
        <v>272.8</v>
      </c>
      <c r="AM48" s="55">
        <f>_xll.EQNXTDZ($A$1,$B48,AM$5)</f>
        <v>339.45</v>
      </c>
      <c r="AN48" s="55">
        <f>_xll.EQNXTDZ($A$1,$B48,AN$5)</f>
        <v>311.45</v>
      </c>
      <c r="AO48" s="55">
        <f>_xll.EQNXTDZ($A$1,$B48,AO$5)</f>
        <v>316.8</v>
      </c>
      <c r="AP48" s="55">
        <f>_xll.EQNXTDZ($A$1,$B48,AP$5)</f>
        <v>309.7</v>
      </c>
      <c r="AQ48" s="55">
        <f>_xll.EQNXTDZ($A$1,$B48,AQ$5)</f>
        <v>249.4</v>
      </c>
      <c r="AR48" s="55">
        <f>_xll.EQNXTDZ($A$1,$B48,AR$5)</f>
        <v>267.2</v>
      </c>
      <c r="AS48" s="55">
        <f>_xll.EQNXTDZ($A$1,$B48,AS$5)</f>
        <v>322.39999999999998</v>
      </c>
      <c r="AT48" s="55">
        <f>_xll.EQNXTDZ($A$1,$B48,AT$5)</f>
        <v>293.39999999999998</v>
      </c>
      <c r="AU48" s="55">
        <f>_xll.EQNXTDZ($A$1,$B48,AU$5)</f>
        <v>307.2</v>
      </c>
      <c r="AV48" s="55">
        <f>_xll.EQNXTDZ($A$1,$B48,AV$5)</f>
        <v>308.8</v>
      </c>
      <c r="AW48" s="55">
        <f>_xll.EQNXTDZ($A$1,$B48,AW$5)</f>
        <v>318</v>
      </c>
      <c r="AX48" s="55">
        <f>_xll.EQNXTDZ($A$1,$B48,AX$5)</f>
        <v>292.25</v>
      </c>
      <c r="AY48" s="55">
        <f>_xll.EQNXTDZ($A$1,$B48,AY$5)</f>
        <v>668.9</v>
      </c>
      <c r="AZ48" s="55">
        <f>_xll.EQNXTDZ($A$1,$B48,AZ$5)</f>
        <v>522.29999999999995</v>
      </c>
      <c r="BA48" s="55">
        <f>_xll.EQNXTDZ($A$1,$B48,BA$5)</f>
        <v>443.7</v>
      </c>
      <c r="BB48" s="55">
        <f>_xll.EQNXTDZ($A$1,$B48,BB$5)</f>
        <v>462</v>
      </c>
      <c r="BC48" s="55">
        <f>_xll.EQNXTDZ($A$1,$B48,BC$5)</f>
        <v>450.85</v>
      </c>
      <c r="BD48" s="55">
        <f>_xll.EQNXTDZ($A$1,$B48,BD$5)</f>
        <v>482.45</v>
      </c>
      <c r="BE48" s="55">
        <f>_xll.EQNXTDZ($A$1,$B48,BE$5)</f>
        <v>612.29999999999995</v>
      </c>
      <c r="BF48" s="55">
        <f>_xll.EQNXTDZ($A$1,$B48,BF$5)</f>
        <v>502.2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64.92</v>
      </c>
      <c r="D49" s="55">
        <f>_xll.EQNXTDZ($A$1,$B49,D$5)</f>
        <v>64.92</v>
      </c>
      <c r="E49" s="55">
        <f>_xll.EQNXTDZ($A$1,$B49,E$5)</f>
        <v>64.92</v>
      </c>
      <c r="F49" s="55">
        <f>_xll.EQNXTDZ($A$1,$B49,F$5)</f>
        <v>64.92</v>
      </c>
      <c r="G49" s="55">
        <f>_xll.EQNXTDZ($A$1,$B49,G$5)</f>
        <v>64.92</v>
      </c>
      <c r="H49" s="55">
        <f>_xll.EQNXTDZ($A$1,$B49,H$5)</f>
        <v>64.92</v>
      </c>
      <c r="I49" s="55">
        <f>_xll.EQNXTDZ($A$1,$B49,I$5)</f>
        <v>64.92</v>
      </c>
      <c r="J49" s="55">
        <f>_xll.EQNXTDZ($A$1,$B49,J$5)</f>
        <v>64.92</v>
      </c>
      <c r="K49" s="55">
        <f>_xll.EQNXTDZ($A$1,$B49,K$5)</f>
        <v>64.92</v>
      </c>
      <c r="L49" s="55">
        <f>_xll.EQNXTDZ($A$1,$B49,L$5)</f>
        <v>64.92</v>
      </c>
      <c r="M49" s="55">
        <f>_xll.EQNXTDZ($A$1,$B49,M$5)</f>
        <v>64.92</v>
      </c>
      <c r="N49" s="55">
        <f>_xll.EQNXTDZ($A$1,$B49,N$5)</f>
        <v>64.92</v>
      </c>
      <c r="O49" s="55">
        <f>_xll.EQNXTDZ($A$1,$B49,O$5)</f>
        <v>64.92</v>
      </c>
      <c r="P49" s="55">
        <f>_xll.EQNXTDZ($A$1,$B49,P$5)</f>
        <v>64.92</v>
      </c>
      <c r="Q49" s="55">
        <f>_xll.EQNXTDZ($A$1,$B49,Q$5)</f>
        <v>64.92</v>
      </c>
      <c r="R49" s="55">
        <f>_xll.EQNXTDZ($A$1,$B49,R$5)</f>
        <v>64.92</v>
      </c>
      <c r="S49" s="55">
        <f>_xll.EQNXTDZ($A$1,$B49,S$5)</f>
        <v>64.92</v>
      </c>
      <c r="T49" s="55">
        <f>_xll.EQNXTDZ($A$1,$B49,T$5)</f>
        <v>64.92</v>
      </c>
      <c r="U49" s="55">
        <f>_xll.EQNXTDZ($A$1,$B49,U$5)</f>
        <v>64.92</v>
      </c>
      <c r="V49" s="55">
        <f>_xll.EQNXTDZ($A$1,$B49,V$5)</f>
        <v>64.92</v>
      </c>
      <c r="W49" s="55">
        <f>_xll.EQNXTDZ($A$1,$B49,W$5)</f>
        <v>64.92</v>
      </c>
      <c r="X49" s="55">
        <f>_xll.EQNXTDZ($A$1,$B49,X$5)</f>
        <v>64.92</v>
      </c>
      <c r="Y49" s="55">
        <f>_xll.EQNXTDZ($A$1,$B49,Y$5)</f>
        <v>64.92</v>
      </c>
      <c r="Z49" s="55">
        <f>_xll.EQNXTDZ($A$1,$B49,Z$5)</f>
        <v>64.92</v>
      </c>
      <c r="AA49" s="55">
        <f>_xll.EQNXTDZ($A$1,$B49,AA$5)</f>
        <v>64.92</v>
      </c>
      <c r="AB49" s="55">
        <f>_xll.EQNXTDZ($A$1,$B49,AB$5)</f>
        <v>64.92</v>
      </c>
      <c r="AC49" s="55">
        <f>_xll.EQNXTDZ($A$1,$B49,AC$5)</f>
        <v>64.92</v>
      </c>
      <c r="AD49" s="55">
        <f>_xll.EQNXTDZ($A$1,$B49,AD$5)</f>
        <v>64.92</v>
      </c>
      <c r="AE49" s="55">
        <f>_xll.EQNXTDZ($A$1,$B49,AE$5)</f>
        <v>64.92</v>
      </c>
      <c r="AF49" s="55">
        <f>_xll.EQNXTDZ($A$1,$B49,AF$5)</f>
        <v>64.92</v>
      </c>
      <c r="AG49" s="55">
        <f>_xll.EQNXTDZ($A$1,$B49,AG$5)</f>
        <v>64.92</v>
      </c>
      <c r="AH49" s="55">
        <f>_xll.EQNXTDZ($A$1,$B49,AH$5)</f>
        <v>64.92</v>
      </c>
      <c r="AI49" s="55">
        <f>_xll.EQNXTDZ($A$1,$B49,AI$5)</f>
        <v>64.92</v>
      </c>
      <c r="AJ49" s="55">
        <f>_xll.EQNXTDZ($A$1,$B49,AJ$5)</f>
        <v>64.92</v>
      </c>
      <c r="AK49" s="55">
        <f>_xll.EQNXTDZ($A$1,$B49,AK$5)</f>
        <v>64.92</v>
      </c>
      <c r="AL49" s="55">
        <f>_xll.EQNXTDZ($A$1,$B49,AL$5)</f>
        <v>64.92</v>
      </c>
      <c r="AM49" s="55">
        <f>_xll.EQNXTDZ($A$1,$B49,AM$5)</f>
        <v>64.92</v>
      </c>
      <c r="AN49" s="55">
        <f>_xll.EQNXTDZ($A$1,$B49,AN$5)</f>
        <v>64.92</v>
      </c>
      <c r="AO49" s="55">
        <f>_xll.EQNXTDZ($A$1,$B49,AO$5)</f>
        <v>64.92</v>
      </c>
      <c r="AP49" s="55">
        <f>_xll.EQNXTDZ($A$1,$B49,AP$5)</f>
        <v>64.92</v>
      </c>
      <c r="AQ49" s="55">
        <f>_xll.EQNXTDZ($A$1,$B49,AQ$5)</f>
        <v>64.92</v>
      </c>
      <c r="AR49" s="55">
        <f>_xll.EQNXTDZ($A$1,$B49,AR$5)</f>
        <v>64.92</v>
      </c>
      <c r="AS49" s="55">
        <f>_xll.EQNXTDZ($A$1,$B49,AS$5)</f>
        <v>64.92</v>
      </c>
      <c r="AT49" s="55">
        <f>_xll.EQNXTDZ($A$1,$B49,AT$5)</f>
        <v>64.92</v>
      </c>
      <c r="AU49" s="55">
        <f>_xll.EQNXTDZ($A$1,$B49,AU$5)</f>
        <v>64.92</v>
      </c>
      <c r="AV49" s="55">
        <f>_xll.EQNXTDZ($A$1,$B49,AV$5)</f>
        <v>64.92</v>
      </c>
      <c r="AW49" s="55">
        <f>_xll.EQNXTDZ($A$1,$B49,AW$5)</f>
        <v>64.92</v>
      </c>
      <c r="AX49" s="55">
        <f>_xll.EQNXTDZ($A$1,$B49,AX$5)</f>
        <v>64.92</v>
      </c>
      <c r="AY49" s="55">
        <f>_xll.EQNXTDZ($A$1,$B49,AY$5)</f>
        <v>64.92</v>
      </c>
      <c r="AZ49" s="55">
        <f>_xll.EQNXTDZ($A$1,$B49,AZ$5)</f>
        <v>63.42</v>
      </c>
      <c r="BA49" s="55">
        <f>_xll.EQNXTDZ($A$1,$B49,BA$5)</f>
        <v>63.42</v>
      </c>
      <c r="BB49" s="55">
        <f>_xll.EQNXTDZ($A$1,$B49,BB$5)</f>
        <v>63.42</v>
      </c>
      <c r="BC49" s="55">
        <f>_xll.EQNXTDZ($A$1,$B49,BC$5)</f>
        <v>61.84</v>
      </c>
      <c r="BD49" s="55">
        <f>_xll.EQNXTDZ($A$1,$B49,BD$5)</f>
        <v>61.84</v>
      </c>
      <c r="BE49" s="55">
        <f>_xll.EQNXTDZ($A$1,$B49,BE$5)</f>
        <v>61.84</v>
      </c>
      <c r="BF49" s="55">
        <f>_xll.EQNXTDZ($A$1,$B49,BF$5)</f>
        <v>60.71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22.83</v>
      </c>
      <c r="AK50" s="55">
        <f>_xll.EQNXTDZ($A$1,$B50,AK$5)</f>
        <v>22.83</v>
      </c>
      <c r="AL50" s="55">
        <f>_xll.EQNXTDZ($A$1,$B50,AL$5)</f>
        <v>22.83</v>
      </c>
      <c r="AM50" s="55">
        <f>_xll.EQNXTDZ($A$1,$B50,AM$5)</f>
        <v>22.83</v>
      </c>
      <c r="AN50" s="55">
        <f>_xll.EQNXTDZ($A$1,$B50,AN$5)</f>
        <v>22.83</v>
      </c>
      <c r="AO50" s="55">
        <f>_xll.EQNXTDZ($A$1,$B50,AO$5)</f>
        <v>22.83</v>
      </c>
      <c r="AP50" s="55">
        <f>_xll.EQNXTDZ($A$1,$B50,AP$5)</f>
        <v>86.05</v>
      </c>
      <c r="AQ50" s="55">
        <f>_xll.EQNXTDZ($A$1,$B50,AQ$5)</f>
        <v>86.05</v>
      </c>
      <c r="AR50" s="55">
        <f>_xll.EQNXTDZ($A$1,$B50,AR$5)</f>
        <v>86.05</v>
      </c>
      <c r="AS50" s="55">
        <f>_xll.EQNXTDZ($A$1,$B50,AS$5)</f>
        <v>87.59</v>
      </c>
      <c r="AT50" s="55">
        <f>_xll.EQNXTDZ($A$1,$B50,AT$5)</f>
        <v>87.59</v>
      </c>
      <c r="AU50" s="55">
        <f>_xll.EQNXTDZ($A$1,$B50,AU$5)</f>
        <v>99.37</v>
      </c>
      <c r="AV50" s="55">
        <f>_xll.EQNXTDZ($A$1,$B50,AV$5)</f>
        <v>98.35</v>
      </c>
      <c r="AW50" s="55">
        <f>_xll.EQNXTDZ($A$1,$B50,AW$5)</f>
        <v>98.35</v>
      </c>
      <c r="AX50" s="55">
        <f>_xll.EQNXTDZ($A$1,$B50,AX$5)</f>
        <v>98.35</v>
      </c>
      <c r="AY50" s="55">
        <f>_xll.EQNXTDZ($A$1,$B50,AY$5)</f>
        <v>99.04</v>
      </c>
      <c r="AZ50" s="55">
        <f>_xll.EQNXTDZ($A$1,$B50,AZ$5)</f>
        <v>95.42</v>
      </c>
      <c r="BA50" s="55">
        <f>_xll.EQNXTDZ($A$1,$B50,BA$5)</f>
        <v>93.5</v>
      </c>
      <c r="BB50" s="55">
        <f>_xll.EQNXTDZ($A$1,$B50,BB$5)</f>
        <v>93.5</v>
      </c>
      <c r="BC50" s="55">
        <f>_xll.EQNXTDZ($A$1,$B50,BC$5)</f>
        <v>11.24</v>
      </c>
      <c r="BD50" s="55">
        <f>_xll.EQNXTDZ($A$1,$B50,BD$5)</f>
        <v>9.27</v>
      </c>
      <c r="BE50" s="55">
        <f>_xll.EQNXTDZ($A$1,$B50,BE$5)</f>
        <v>9.27</v>
      </c>
      <c r="BF50" s="55">
        <f>_xll.EQNXTDZ($A$1,$B50,BF$5)</f>
        <v>9.44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845.06</v>
      </c>
      <c r="E56" s="55">
        <f>_xll.EQNXTDZ($A$1,$B56,E$5,$B$1)</f>
        <v>0</v>
      </c>
      <c r="F56" s="55">
        <f>_xll.EQNXTDZ($A$1,$B56,F$5,$B$1)</f>
        <v>845.06</v>
      </c>
      <c r="G56" s="55">
        <f>_xll.EQNXTDZ($A$1,$B56,G$5,$B$1)</f>
        <v>0</v>
      </c>
      <c r="H56" s="55">
        <f>_xll.EQNXTDZ($A$1,$B56,H$5,$B$1)</f>
        <v>845.06</v>
      </c>
      <c r="I56" s="55">
        <f>_xll.EQNXTDZ($A$1,$B56,I$5,$B$1)</f>
        <v>0</v>
      </c>
      <c r="J56" s="55">
        <f>_xll.EQNXTDZ($A$1,$B56,J$5,$B$1)</f>
        <v>845.06</v>
      </c>
      <c r="K56" s="55">
        <f>_xll.EQNXTDZ($A$1,$B56,K$5,$B$1)</f>
        <v>0</v>
      </c>
      <c r="L56" s="55">
        <f>_xll.EQNXTDZ($A$1,$B56,L$5,$B$1)</f>
        <v>845.06</v>
      </c>
      <c r="M56" s="55">
        <f>_xll.EQNXTDZ($A$1,$B56,M$5,$B$1)</f>
        <v>0</v>
      </c>
      <c r="N56" s="55">
        <f>_xll.EQNXTDZ($A$1,$B56,N$5,$B$1)</f>
        <v>845.06</v>
      </c>
      <c r="O56" s="55">
        <f>_xll.EQNXTDZ($A$1,$B56,O$5,$B$1)</f>
        <v>0</v>
      </c>
      <c r="P56" s="55">
        <f>_xll.EQNXTDZ($A$1,$B56,P$5,$B$1)</f>
        <v>845.06</v>
      </c>
      <c r="Q56" s="55">
        <f>_xll.EQNXTDZ($A$1,$B56,Q$5,$B$1)</f>
        <v>0</v>
      </c>
      <c r="R56" s="55">
        <f>_xll.EQNXTDZ($A$1,$B56,R$5,$B$1)</f>
        <v>845.06</v>
      </c>
      <c r="S56" s="55">
        <f>_xll.EQNXTDZ($A$1,$B56,S$5,$B$1)</f>
        <v>0</v>
      </c>
      <c r="T56" s="55">
        <f>_xll.EQNXTDZ($A$1,$B56,T$5,$B$1)</f>
        <v>845.06</v>
      </c>
      <c r="U56" s="55">
        <f>_xll.EQNXTDZ($A$1,$B56,U$5,$B$1)</f>
        <v>0</v>
      </c>
      <c r="V56" s="55">
        <f>_xll.EQNXTDZ($A$1,$B56,V$5,$B$1)</f>
        <v>845</v>
      </c>
      <c r="W56" s="55">
        <f>_xll.EQNXTDZ($A$1,$B56,W$5,$B$1)</f>
        <v>0</v>
      </c>
      <c r="X56" s="55">
        <f>_xll.EQNXTDZ($A$1,$B56,X$5,$B$1)</f>
        <v>845</v>
      </c>
      <c r="Y56" s="55">
        <f>_xll.EQNXTDZ($A$1,$B56,Y$5,$B$1)</f>
        <v>0</v>
      </c>
      <c r="Z56" s="55">
        <f>_xll.EQNXTDZ($A$1,$B56,Z$5,$B$1)</f>
        <v>845</v>
      </c>
      <c r="AA56" s="55">
        <f>_xll.EQNXTDZ($A$1,$B56,AA$5,$B$1)</f>
        <v>0</v>
      </c>
      <c r="AB56" s="55">
        <f>_xll.EQNXTDZ($A$1,$B56,AB$5,$B$1)</f>
        <v>845</v>
      </c>
      <c r="AC56" s="55">
        <f>_xll.EQNXTDZ($A$1,$B56,AC$5,$B$1)</f>
        <v>0</v>
      </c>
      <c r="AD56" s="55">
        <f>_xll.EQNXTDZ($A$1,$B56,AD$5,$B$1)</f>
        <v>845</v>
      </c>
      <c r="AE56" s="55">
        <f>_xll.EQNXTDZ($A$1,$B56,AE$5,$B$1)</f>
        <v>0</v>
      </c>
      <c r="AF56" s="55">
        <f>_xll.EQNXTDZ($A$1,$B56,AF$5,$B$1)</f>
        <v>845</v>
      </c>
      <c r="AG56" s="55">
        <f>_xll.EQNXTDZ($A$1,$B56,AG$5,$B$1)</f>
        <v>0</v>
      </c>
      <c r="AH56" s="55">
        <f>_xll.EQNXTDZ($A$1,$B56,AH$5,$B$1)</f>
        <v>845</v>
      </c>
      <c r="AI56" s="55">
        <f>_xll.EQNXTDZ($A$1,$B56,AI$5,$B$1)</f>
        <v>0</v>
      </c>
      <c r="AJ56" s="55">
        <f>_xll.EQNXTDZ($A$1,$B56,AJ$5,$B$1)</f>
        <v>845</v>
      </c>
      <c r="AK56" s="55">
        <f>_xll.EQNXTDZ($A$1,$B56,AK$5,$B$1)</f>
        <v>0</v>
      </c>
      <c r="AL56" s="55">
        <f>_xll.EQNXTDZ($A$1,$B56,AL$5,$B$1)</f>
        <v>845</v>
      </c>
      <c r="AM56" s="55">
        <f>_xll.EQNXTDZ($A$1,$B56,AM$5,$B$1)</f>
        <v>0</v>
      </c>
      <c r="AN56" s="55">
        <f>_xll.EQNXTDZ($A$1,$B56,AN$5,$B$1)</f>
        <v>845</v>
      </c>
      <c r="AO56" s="55">
        <f>_xll.EQNXTDZ($A$1,$B56,AO$5,$B$1)</f>
        <v>0</v>
      </c>
      <c r="AP56" s="55">
        <f>_xll.EQNXTDZ($A$1,$B56,AP$5,$B$1)</f>
        <v>845</v>
      </c>
      <c r="AQ56" s="55">
        <f>_xll.EQNXTDZ($A$1,$B56,AQ$5,$B$1)</f>
        <v>0</v>
      </c>
      <c r="AR56" s="55">
        <f>_xll.EQNXTDZ($A$1,$B56,AR$5,$B$1)</f>
        <v>845</v>
      </c>
      <c r="AS56" s="55">
        <f>_xll.EQNXTDZ($A$1,$B56,AS$5,$B$1)</f>
        <v>0</v>
      </c>
      <c r="AT56" s="55">
        <f>_xll.EQNXTDZ($A$1,$B56,AT$5,$B$1)</f>
        <v>845</v>
      </c>
      <c r="AU56" s="55">
        <f>_xll.EQNXTDZ($A$1,$B56,AU$5,$B$1)</f>
        <v>0</v>
      </c>
      <c r="AV56" s="55">
        <f>_xll.EQNXTDZ($A$1,$B56,AV$5,$B$1)</f>
        <v>845</v>
      </c>
      <c r="AW56" s="55">
        <f>_xll.EQNXTDZ($A$1,$B56,AW$5,$B$1)</f>
        <v>0</v>
      </c>
      <c r="AX56" s="55">
        <f>_xll.EQNXTDZ($A$1,$B56,AX$5,$B$1)</f>
        <v>845</v>
      </c>
      <c r="AY56" s="55">
        <f>_xll.EQNXTDZ($A$1,$B56,AY$5,$B$1)</f>
        <v>0</v>
      </c>
      <c r="AZ56" s="55">
        <f>_xll.EQNXTDZ($A$1,$B56,AZ$5,$B$1)</f>
        <v>845</v>
      </c>
      <c r="BA56" s="55">
        <f>_xll.EQNXTDZ($A$1,$B56,BA$5,$B$1)</f>
        <v>0</v>
      </c>
      <c r="BB56" s="55">
        <f>_xll.EQNXTDZ($A$1,$B56,BB$5,$B$1)</f>
        <v>845</v>
      </c>
      <c r="BC56" s="55">
        <f>_xll.EQNXTDZ($A$1,$B56,BC$5,$B$1)</f>
        <v>0</v>
      </c>
      <c r="BD56" s="55">
        <f>_xll.EQNXTDZ($A$1,$B56,BD$5,$B$1)</f>
        <v>845</v>
      </c>
      <c r="BE56" s="55">
        <f>_xll.EQNXTDZ($A$1,$B56,BE$5,$B$1)</f>
        <v>0</v>
      </c>
      <c r="BF56" s="55">
        <f>_xll.EQNXTDZ($A$1,$B56,BF$5,$B$1)</f>
        <v>845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28357.59</v>
      </c>
      <c r="E58" s="55">
        <f>_xll.EQNXTDZ($A$1,$B58,E$5,$B$1)</f>
        <v>0</v>
      </c>
      <c r="F58" s="55">
        <f>_xll.EQNXTDZ($A$1,$B58,F$5,$B$1)</f>
        <v>31430.68</v>
      </c>
      <c r="G58" s="55">
        <f>_xll.EQNXTDZ($A$1,$B58,G$5,$B$1)</f>
        <v>0</v>
      </c>
      <c r="H58" s="55">
        <f>_xll.EQNXTDZ($A$1,$B58,H$5,$B$1)</f>
        <v>33921.03</v>
      </c>
      <c r="I58" s="55">
        <f>_xll.EQNXTDZ($A$1,$B58,I$5,$B$1)</f>
        <v>0</v>
      </c>
      <c r="J58" s="55">
        <f>_xll.EQNXTDZ($A$1,$B58,J$5,$B$1)</f>
        <v>36572.550000000003</v>
      </c>
      <c r="K58" s="55">
        <f>_xll.EQNXTDZ($A$1,$B58,K$5,$B$1)</f>
        <v>0</v>
      </c>
      <c r="L58" s="55">
        <f>_xll.EQNXTDZ($A$1,$B58,L$5,$B$1)</f>
        <v>39433.32</v>
      </c>
      <c r="M58" s="55">
        <f>_xll.EQNXTDZ($A$1,$B58,M$5,$B$1)</f>
        <v>0</v>
      </c>
      <c r="N58" s="55">
        <f>_xll.EQNXTDZ($A$1,$B58,N$5,$B$1)</f>
        <v>42508.01</v>
      </c>
      <c r="O58" s="55">
        <f>_xll.EQNXTDZ($A$1,$B58,O$5,$B$1)</f>
        <v>0</v>
      </c>
      <c r="P58" s="55">
        <f>_xll.EQNXTDZ($A$1,$B58,P$5,$B$1)</f>
        <v>44784.28</v>
      </c>
      <c r="Q58" s="55">
        <f>_xll.EQNXTDZ($A$1,$B58,Q$5,$B$1)</f>
        <v>0</v>
      </c>
      <c r="R58" s="55">
        <f>_xll.EQNXTDZ($A$1,$B58,R$5,$B$1)</f>
        <v>36540.129999999997</v>
      </c>
      <c r="S58" s="55">
        <f>_xll.EQNXTDZ($A$1,$B58,S$5,$B$1)</f>
        <v>0</v>
      </c>
      <c r="T58" s="55">
        <f>_xll.EQNXTDZ($A$1,$B58,T$5,$B$1)</f>
        <v>39552.79</v>
      </c>
      <c r="U58" s="55">
        <f>_xll.EQNXTDZ($A$1,$B58,U$5,$B$1)</f>
        <v>0</v>
      </c>
      <c r="V58" s="55">
        <f>_xll.EQNXTDZ($A$1,$B58,V$5,$B$1)</f>
        <v>29960</v>
      </c>
      <c r="W58" s="55">
        <f>_xll.EQNXTDZ($A$1,$B58,W$5,$B$1)</f>
        <v>0</v>
      </c>
      <c r="X58" s="55">
        <f>_xll.EQNXTDZ($A$1,$B58,X$5,$B$1)</f>
        <v>34334</v>
      </c>
      <c r="Y58" s="55">
        <f>_xll.EQNXTDZ($A$1,$B58,Y$5,$B$1)</f>
        <v>0</v>
      </c>
      <c r="Z58" s="55">
        <f>_xll.EQNXTDZ($A$1,$B58,Z$5,$B$1)</f>
        <v>35087</v>
      </c>
      <c r="AA58" s="55">
        <f>_xll.EQNXTDZ($A$1,$B58,AA$5,$B$1)</f>
        <v>0</v>
      </c>
      <c r="AB58" s="55">
        <f>_xll.EQNXTDZ($A$1,$B58,AB$5,$B$1)</f>
        <v>38731</v>
      </c>
      <c r="AC58" s="55">
        <f>_xll.EQNXTDZ($A$1,$B58,AC$5,$B$1)</f>
        <v>0</v>
      </c>
      <c r="AD58" s="55">
        <f>_xll.EQNXTDZ($A$1,$B58,AD$5,$B$1)</f>
        <v>32760</v>
      </c>
      <c r="AE58" s="55">
        <f>_xll.EQNXTDZ($A$1,$B58,AE$5,$B$1)</f>
        <v>0</v>
      </c>
      <c r="AF58" s="55">
        <f>_xll.EQNXTDZ($A$1,$B58,AF$5,$B$1)</f>
        <v>36557</v>
      </c>
      <c r="AG58" s="55">
        <f>_xll.EQNXTDZ($A$1,$B58,AG$5,$B$1)</f>
        <v>0</v>
      </c>
      <c r="AH58" s="55">
        <f>_xll.EQNXTDZ($A$1,$B58,AH$5,$B$1)</f>
        <v>39465</v>
      </c>
      <c r="AI58" s="55">
        <f>_xll.EQNXTDZ($A$1,$B58,AI$5,$B$1)</f>
        <v>0</v>
      </c>
      <c r="AJ58" s="55">
        <f>_xll.EQNXTDZ($A$1,$B58,AJ$5,$B$1)</f>
        <v>35796</v>
      </c>
      <c r="AK58" s="55">
        <f>_xll.EQNXTDZ($A$1,$B58,AK$5,$B$1)</f>
        <v>0</v>
      </c>
      <c r="AL58" s="55">
        <f>_xll.EQNXTDZ($A$1,$B58,AL$5,$B$1)</f>
        <v>31468</v>
      </c>
      <c r="AM58" s="55">
        <f>_xll.EQNXTDZ($A$1,$B58,AM$5,$B$1)</f>
        <v>0</v>
      </c>
      <c r="AN58" s="55">
        <f>_xll.EQNXTDZ($A$1,$B58,AN$5,$B$1)</f>
        <v>35485</v>
      </c>
      <c r="AO58" s="55">
        <f>_xll.EQNXTDZ($A$1,$B58,AO$5,$B$1)</f>
        <v>0</v>
      </c>
      <c r="AP58" s="55">
        <f>_xll.EQNXTDZ($A$1,$B58,AP$5,$B$1)</f>
        <v>33436</v>
      </c>
      <c r="AQ58" s="55">
        <f>_xll.EQNXTDZ($A$1,$B58,AQ$5,$B$1)</f>
        <v>0</v>
      </c>
      <c r="AR58" s="55">
        <f>_xll.EQNXTDZ($A$1,$B58,AR$5,$B$1)</f>
        <v>30431</v>
      </c>
      <c r="AS58" s="55">
        <f>_xll.EQNXTDZ($A$1,$B58,AS$5,$B$1)</f>
        <v>0</v>
      </c>
      <c r="AT58" s="55">
        <f>_xll.EQNXTDZ($A$1,$B58,AT$5,$B$1)</f>
        <v>12087</v>
      </c>
      <c r="AU58" s="55">
        <f>_xll.EQNXTDZ($A$1,$B58,AU$5,$B$1)</f>
        <v>0</v>
      </c>
      <c r="AV58" s="55">
        <f>_xll.EQNXTDZ($A$1,$B58,AV$5,$B$1)</f>
        <v>12810</v>
      </c>
      <c r="AW58" s="55">
        <f>_xll.EQNXTDZ($A$1,$B58,AW$5,$B$1)</f>
        <v>0</v>
      </c>
      <c r="AX58" s="55">
        <f>_xll.EQNXTDZ($A$1,$B58,AX$5,$B$1)</f>
        <v>14350</v>
      </c>
      <c r="AY58" s="55">
        <f>_xll.EQNXTDZ($A$1,$B58,AY$5,$B$1)</f>
        <v>0</v>
      </c>
      <c r="AZ58" s="55">
        <f>_xll.EQNXTDZ($A$1,$B58,AZ$5,$B$1)</f>
        <v>6775</v>
      </c>
      <c r="BA58" s="55">
        <f>_xll.EQNXTDZ($A$1,$B58,BA$5,$B$1)</f>
        <v>0</v>
      </c>
      <c r="BB58" s="55">
        <f>_xll.EQNXTDZ($A$1,$B58,BB$5,$B$1)</f>
        <v>12481</v>
      </c>
      <c r="BC58" s="55">
        <f>_xll.EQNXTDZ($A$1,$B58,BC$5,$B$1)</f>
        <v>0</v>
      </c>
      <c r="BD58" s="55">
        <f>_xll.EQNXTDZ($A$1,$B58,BD$5,$B$1)</f>
        <v>12852</v>
      </c>
      <c r="BE58" s="55">
        <f>_xll.EQNXTDZ($A$1,$B58,BE$5,$B$1)</f>
        <v>0</v>
      </c>
      <c r="BF58" s="55">
        <f>_xll.EQNXTDZ($A$1,$B58,BF$5,$B$1)</f>
        <v>21784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29202.65</v>
      </c>
      <c r="E59" s="55">
        <f>_xll.EQNXTDZ($A$1,$B59,E$5,$B$1)</f>
        <v>0</v>
      </c>
      <c r="F59" s="55">
        <f>_xll.EQNXTDZ($A$1,$B59,F$5,$B$1)</f>
        <v>32275.74</v>
      </c>
      <c r="G59" s="55">
        <f>_xll.EQNXTDZ($A$1,$B59,G$5,$B$1)</f>
        <v>0</v>
      </c>
      <c r="H59" s="55">
        <f>_xll.EQNXTDZ($A$1,$B59,H$5,$B$1)</f>
        <v>34766.089999999997</v>
      </c>
      <c r="I59" s="55">
        <f>_xll.EQNXTDZ($A$1,$B59,I$5,$B$1)</f>
        <v>0</v>
      </c>
      <c r="J59" s="55">
        <f>_xll.EQNXTDZ($A$1,$B59,J$5,$B$1)</f>
        <v>37417.61</v>
      </c>
      <c r="K59" s="55">
        <f>_xll.EQNXTDZ($A$1,$B59,K$5,$B$1)</f>
        <v>0</v>
      </c>
      <c r="L59" s="55">
        <f>_xll.EQNXTDZ($A$1,$B59,L$5,$B$1)</f>
        <v>40278.379999999997</v>
      </c>
      <c r="M59" s="55">
        <f>_xll.EQNXTDZ($A$1,$B59,M$5,$B$1)</f>
        <v>0</v>
      </c>
      <c r="N59" s="55">
        <f>_xll.EQNXTDZ($A$1,$B59,N$5,$B$1)</f>
        <v>43353.07</v>
      </c>
      <c r="O59" s="55">
        <f>_xll.EQNXTDZ($A$1,$B59,O$5,$B$1)</f>
        <v>0</v>
      </c>
      <c r="P59" s="55">
        <f>_xll.EQNXTDZ($A$1,$B59,P$5,$B$1)</f>
        <v>45629.34</v>
      </c>
      <c r="Q59" s="55">
        <f>_xll.EQNXTDZ($A$1,$B59,Q$5,$B$1)</f>
        <v>0</v>
      </c>
      <c r="R59" s="55">
        <f>_xll.EQNXTDZ($A$1,$B59,R$5,$B$1)</f>
        <v>37385.19</v>
      </c>
      <c r="S59" s="55">
        <f>_xll.EQNXTDZ($A$1,$B59,S$5,$B$1)</f>
        <v>0</v>
      </c>
      <c r="T59" s="55">
        <f>_xll.EQNXTDZ($A$1,$B59,T$5,$B$1)</f>
        <v>40397.85</v>
      </c>
      <c r="U59" s="55">
        <f>_xll.EQNXTDZ($A$1,$B59,U$5,$B$1)</f>
        <v>0</v>
      </c>
      <c r="V59" s="55">
        <f>_xll.EQNXTDZ($A$1,$B59,V$5,$B$1)</f>
        <v>30805</v>
      </c>
      <c r="W59" s="55">
        <f>_xll.EQNXTDZ($A$1,$B59,W$5,$B$1)</f>
        <v>0</v>
      </c>
      <c r="X59" s="55">
        <f>_xll.EQNXTDZ($A$1,$B59,X$5,$B$1)</f>
        <v>35179</v>
      </c>
      <c r="Y59" s="55">
        <f>_xll.EQNXTDZ($A$1,$B59,Y$5,$B$1)</f>
        <v>0</v>
      </c>
      <c r="Z59" s="55">
        <f>_xll.EQNXTDZ($A$1,$B59,Z$5,$B$1)</f>
        <v>35932</v>
      </c>
      <c r="AA59" s="55">
        <f>_xll.EQNXTDZ($A$1,$B59,AA$5,$B$1)</f>
        <v>0</v>
      </c>
      <c r="AB59" s="55">
        <f>_xll.EQNXTDZ($A$1,$B59,AB$5,$B$1)</f>
        <v>39576</v>
      </c>
      <c r="AC59" s="55">
        <f>_xll.EQNXTDZ($A$1,$B59,AC$5,$B$1)</f>
        <v>0</v>
      </c>
      <c r="AD59" s="55">
        <f>_xll.EQNXTDZ($A$1,$B59,AD$5,$B$1)</f>
        <v>33605</v>
      </c>
      <c r="AE59" s="55">
        <f>_xll.EQNXTDZ($A$1,$B59,AE$5,$B$1)</f>
        <v>0</v>
      </c>
      <c r="AF59" s="55">
        <f>_xll.EQNXTDZ($A$1,$B59,AF$5,$B$1)</f>
        <v>37402</v>
      </c>
      <c r="AG59" s="55">
        <f>_xll.EQNXTDZ($A$1,$B59,AG$5,$B$1)</f>
        <v>0</v>
      </c>
      <c r="AH59" s="55">
        <f>_xll.EQNXTDZ($A$1,$B59,AH$5,$B$1)</f>
        <v>40310</v>
      </c>
      <c r="AI59" s="55">
        <f>_xll.EQNXTDZ($A$1,$B59,AI$5,$B$1)</f>
        <v>0</v>
      </c>
      <c r="AJ59" s="55">
        <f>_xll.EQNXTDZ($A$1,$B59,AJ$5,$B$1)</f>
        <v>36641</v>
      </c>
      <c r="AK59" s="55">
        <f>_xll.EQNXTDZ($A$1,$B59,AK$5,$B$1)</f>
        <v>0</v>
      </c>
      <c r="AL59" s="55">
        <f>_xll.EQNXTDZ($A$1,$B59,AL$5,$B$1)</f>
        <v>32313</v>
      </c>
      <c r="AM59" s="55">
        <f>_xll.EQNXTDZ($A$1,$B59,AM$5,$B$1)</f>
        <v>0</v>
      </c>
      <c r="AN59" s="55">
        <f>_xll.EQNXTDZ($A$1,$B59,AN$5,$B$1)</f>
        <v>36330</v>
      </c>
      <c r="AO59" s="55">
        <f>_xll.EQNXTDZ($A$1,$B59,AO$5,$B$1)</f>
        <v>0</v>
      </c>
      <c r="AP59" s="55">
        <f>_xll.EQNXTDZ($A$1,$B59,AP$5,$B$1)</f>
        <v>34281</v>
      </c>
      <c r="AQ59" s="55">
        <f>_xll.EQNXTDZ($A$1,$B59,AQ$5,$B$1)</f>
        <v>0</v>
      </c>
      <c r="AR59" s="55">
        <f>_xll.EQNXTDZ($A$1,$B59,AR$5,$B$1)</f>
        <v>31276</v>
      </c>
      <c r="AS59" s="55">
        <f>_xll.EQNXTDZ($A$1,$B59,AS$5,$B$1)</f>
        <v>0</v>
      </c>
      <c r="AT59" s="55">
        <f>_xll.EQNXTDZ($A$1,$B59,AT$5,$B$1)</f>
        <v>12932</v>
      </c>
      <c r="AU59" s="55">
        <f>_xll.EQNXTDZ($A$1,$B59,AU$5,$B$1)</f>
        <v>0</v>
      </c>
      <c r="AV59" s="55">
        <f>_xll.EQNXTDZ($A$1,$B59,AV$5,$B$1)</f>
        <v>13655</v>
      </c>
      <c r="AW59" s="55">
        <f>_xll.EQNXTDZ($A$1,$B59,AW$5,$B$1)</f>
        <v>0</v>
      </c>
      <c r="AX59" s="55">
        <f>_xll.EQNXTDZ($A$1,$B59,AX$5,$B$1)</f>
        <v>15195</v>
      </c>
      <c r="AY59" s="55">
        <f>_xll.EQNXTDZ($A$1,$B59,AY$5,$B$1)</f>
        <v>0</v>
      </c>
      <c r="AZ59" s="55">
        <f>_xll.EQNXTDZ($A$1,$B59,AZ$5,$B$1)</f>
        <v>7620</v>
      </c>
      <c r="BA59" s="55">
        <f>_xll.EQNXTDZ($A$1,$B59,BA$5,$B$1)</f>
        <v>0</v>
      </c>
      <c r="BB59" s="55">
        <f>_xll.EQNXTDZ($A$1,$B59,BB$5,$B$1)</f>
        <v>13326</v>
      </c>
      <c r="BC59" s="55">
        <f>_xll.EQNXTDZ($A$1,$B59,BC$5,$B$1)</f>
        <v>0</v>
      </c>
      <c r="BD59" s="55">
        <f>_xll.EQNXTDZ($A$1,$B59,BD$5,$B$1)</f>
        <v>13697</v>
      </c>
      <c r="BE59" s="55">
        <f>_xll.EQNXTDZ($A$1,$B59,BE$5,$B$1)</f>
        <v>0</v>
      </c>
      <c r="BF59" s="55">
        <f>_xll.EQNXTDZ($A$1,$B59,BF$5,$B$1)</f>
        <v>22629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4316</v>
      </c>
      <c r="AK61" s="55">
        <f>_xll.EQNXTDZ($A$1,$B61,AK$5,$B$1)</f>
        <v>0</v>
      </c>
      <c r="AL61" s="55">
        <f>_xll.EQNXTDZ($A$1,$B61,AL$5,$B$1)</f>
        <v>4312</v>
      </c>
      <c r="AM61" s="55">
        <f>_xll.EQNXTDZ($A$1,$B61,AM$5,$B$1)</f>
        <v>0</v>
      </c>
      <c r="AN61" s="55">
        <f>_xll.EQNXTDZ($A$1,$B61,AN$5,$B$1)</f>
        <v>2111</v>
      </c>
      <c r="AO61" s="55">
        <f>_xll.EQNXTDZ($A$1,$B61,AO$5,$B$1)</f>
        <v>0</v>
      </c>
      <c r="AP61" s="55">
        <f>_xll.EQNXTDZ($A$1,$B61,AP$5,$B$1)</f>
        <v>2111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1500</v>
      </c>
      <c r="AU61" s="55">
        <f>_xll.EQNXTDZ($A$1,$B61,AU$5,$B$1)</f>
        <v>0</v>
      </c>
      <c r="AV61" s="55">
        <f>_xll.EQNXTDZ($A$1,$B61,AV$5,$B$1)</f>
        <v>4197</v>
      </c>
      <c r="AW61" s="55">
        <f>_xll.EQNXTDZ($A$1,$B61,AW$5,$B$1)</f>
        <v>0</v>
      </c>
      <c r="AX61" s="55">
        <f>_xll.EQNXTDZ($A$1,$B61,AX$5,$B$1)</f>
        <v>4246</v>
      </c>
      <c r="AY61" s="55">
        <f>_xll.EQNXTDZ($A$1,$B61,AY$5,$B$1)</f>
        <v>0</v>
      </c>
      <c r="AZ61" s="55">
        <f>_xll.EQNXTDZ($A$1,$B61,AZ$5,$B$1)</f>
        <v>4248</v>
      </c>
      <c r="BA61" s="55">
        <f>_xll.EQNXTDZ($A$1,$B61,BA$5,$B$1)</f>
        <v>0</v>
      </c>
      <c r="BB61" s="55">
        <f>_xll.EQNXTDZ($A$1,$B61,BB$5,$B$1)</f>
        <v>5990</v>
      </c>
      <c r="BC61" s="55">
        <f>_xll.EQNXTDZ($A$1,$B61,BC$5,$B$1)</f>
        <v>0</v>
      </c>
      <c r="BD61" s="55">
        <f>_xll.EQNXTDZ($A$1,$B61,BD$5,$B$1)</f>
        <v>4773</v>
      </c>
      <c r="BE61" s="55">
        <f>_xll.EQNXTDZ($A$1,$B61,BE$5,$B$1)</f>
        <v>0</v>
      </c>
      <c r="BF61" s="55">
        <f>_xll.EQNXTDZ($A$1,$B61,BF$5,$B$1)</f>
        <v>4614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4316</v>
      </c>
      <c r="AK63" s="55">
        <f>_xll.EQNXTDZ($A$1,$B63,AK$5,$B$1)</f>
        <v>0</v>
      </c>
      <c r="AL63" s="55">
        <f>_xll.EQNXTDZ($A$1,$B63,AL$5,$B$1)</f>
        <v>4312</v>
      </c>
      <c r="AM63" s="55">
        <f>_xll.EQNXTDZ($A$1,$B63,AM$5,$B$1)</f>
        <v>0</v>
      </c>
      <c r="AN63" s="55">
        <f>_xll.EQNXTDZ($A$1,$B63,AN$5,$B$1)</f>
        <v>2111</v>
      </c>
      <c r="AO63" s="55">
        <f>_xll.EQNXTDZ($A$1,$B63,AO$5,$B$1)</f>
        <v>0</v>
      </c>
      <c r="AP63" s="55">
        <f>_xll.EQNXTDZ($A$1,$B63,AP$5,$B$1)</f>
        <v>2111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1500</v>
      </c>
      <c r="AU63" s="55">
        <f>_xll.EQNXTDZ($A$1,$B63,AU$5,$B$1)</f>
        <v>0</v>
      </c>
      <c r="AV63" s="55">
        <f>_xll.EQNXTDZ($A$1,$B63,AV$5,$B$1)</f>
        <v>4197</v>
      </c>
      <c r="AW63" s="55">
        <f>_xll.EQNXTDZ($A$1,$B63,AW$5,$B$1)</f>
        <v>0</v>
      </c>
      <c r="AX63" s="55">
        <f>_xll.EQNXTDZ($A$1,$B63,AX$5,$B$1)</f>
        <v>4246</v>
      </c>
      <c r="AY63" s="55">
        <f>_xll.EQNXTDZ($A$1,$B63,AY$5,$B$1)</f>
        <v>0</v>
      </c>
      <c r="AZ63" s="55">
        <f>_xll.EQNXTDZ($A$1,$B63,AZ$5,$B$1)</f>
        <v>4248</v>
      </c>
      <c r="BA63" s="55">
        <f>_xll.EQNXTDZ($A$1,$B63,BA$5,$B$1)</f>
        <v>0</v>
      </c>
      <c r="BB63" s="55">
        <f>_xll.EQNXTDZ($A$1,$B63,BB$5,$B$1)</f>
        <v>5990</v>
      </c>
      <c r="BC63" s="55">
        <f>_xll.EQNXTDZ($A$1,$B63,BC$5,$B$1)</f>
        <v>0</v>
      </c>
      <c r="BD63" s="55">
        <f>_xll.EQNXTDZ($A$1,$B63,BD$5,$B$1)</f>
        <v>4773</v>
      </c>
      <c r="BE63" s="55">
        <f>_xll.EQNXTDZ($A$1,$B63,BE$5,$B$1)</f>
        <v>0</v>
      </c>
      <c r="BF63" s="55">
        <f>_xll.EQNXTDZ($A$1,$B63,BF$5,$B$1)</f>
        <v>4614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30.53</v>
      </c>
      <c r="E64" s="55">
        <f>_xll.EQNXTDZ($A$1,$B64,E$5,$B$1)</f>
        <v>0</v>
      </c>
      <c r="F64" s="55">
        <f>_xll.EQNXTDZ($A$1,$B64,F$5,$B$1)</f>
        <v>28.23</v>
      </c>
      <c r="G64" s="55">
        <f>_xll.EQNXTDZ($A$1,$B64,G$5,$B$1)</f>
        <v>0</v>
      </c>
      <c r="H64" s="55">
        <f>_xll.EQNXTDZ($A$1,$B64,H$5,$B$1)</f>
        <v>41.08</v>
      </c>
      <c r="I64" s="55">
        <f>_xll.EQNXTDZ($A$1,$B64,I$5,$B$1)</f>
        <v>0</v>
      </c>
      <c r="J64" s="55">
        <f>_xll.EQNXTDZ($A$1,$B64,J$5,$B$1)</f>
        <v>56.37</v>
      </c>
      <c r="K64" s="55">
        <f>_xll.EQNXTDZ($A$1,$B64,K$5,$B$1)</f>
        <v>0</v>
      </c>
      <c r="L64" s="55">
        <f>_xll.EQNXTDZ($A$1,$B64,L$5,$B$1)</f>
        <v>108.77</v>
      </c>
      <c r="M64" s="55">
        <f>_xll.EQNXTDZ($A$1,$B64,M$5,$B$1)</f>
        <v>0</v>
      </c>
      <c r="N64" s="55">
        <f>_xll.EQNXTDZ($A$1,$B64,N$5,$B$1)</f>
        <v>132.08000000000001</v>
      </c>
      <c r="O64" s="55">
        <f>_xll.EQNXTDZ($A$1,$B64,O$5,$B$1)</f>
        <v>0</v>
      </c>
      <c r="P64" s="55">
        <f>_xll.EQNXTDZ($A$1,$B64,P$5,$B$1)</f>
        <v>143.88999999999999</v>
      </c>
      <c r="Q64" s="55">
        <f>_xll.EQNXTDZ($A$1,$B64,Q$5,$B$1)</f>
        <v>0</v>
      </c>
      <c r="R64" s="55">
        <f>_xll.EQNXTDZ($A$1,$B64,R$5,$B$1)</f>
        <v>664.21</v>
      </c>
      <c r="S64" s="55">
        <f>_xll.EQNXTDZ($A$1,$B64,S$5,$B$1)</f>
        <v>0</v>
      </c>
      <c r="T64" s="55">
        <f>_xll.EQNXTDZ($A$1,$B64,T$5,$B$1)</f>
        <v>621.07000000000005</v>
      </c>
      <c r="U64" s="55">
        <f>_xll.EQNXTDZ($A$1,$B64,U$5,$B$1)</f>
        <v>0</v>
      </c>
      <c r="V64" s="55">
        <f>_xll.EQNXTDZ($A$1,$B64,V$5,$B$1)</f>
        <v>649</v>
      </c>
      <c r="W64" s="55">
        <f>_xll.EQNXTDZ($A$1,$B64,W$5,$B$1)</f>
        <v>0</v>
      </c>
      <c r="X64" s="55">
        <f>_xll.EQNXTDZ($A$1,$B64,X$5,$B$1)</f>
        <v>674</v>
      </c>
      <c r="Y64" s="55">
        <f>_xll.EQNXTDZ($A$1,$B64,Y$5,$B$1)</f>
        <v>0</v>
      </c>
      <c r="Z64" s="55">
        <f>_xll.EQNXTDZ($A$1,$B64,Z$5,$B$1)</f>
        <v>861</v>
      </c>
      <c r="AA64" s="55">
        <f>_xll.EQNXTDZ($A$1,$B64,AA$5,$B$1)</f>
        <v>0</v>
      </c>
      <c r="AB64" s="55">
        <f>_xll.EQNXTDZ($A$1,$B64,AB$5,$B$1)</f>
        <v>973</v>
      </c>
      <c r="AC64" s="55">
        <f>_xll.EQNXTDZ($A$1,$B64,AC$5,$B$1)</f>
        <v>0</v>
      </c>
      <c r="AD64" s="55">
        <f>_xll.EQNXTDZ($A$1,$B64,AD$5,$B$1)</f>
        <v>964</v>
      </c>
      <c r="AE64" s="55">
        <f>_xll.EQNXTDZ($A$1,$B64,AE$5,$B$1)</f>
        <v>0</v>
      </c>
      <c r="AF64" s="55">
        <f>_xll.EQNXTDZ($A$1,$B64,AF$5,$B$1)</f>
        <v>1021</v>
      </c>
      <c r="AG64" s="55">
        <f>_xll.EQNXTDZ($A$1,$B64,AG$5,$B$1)</f>
        <v>0</v>
      </c>
      <c r="AH64" s="55">
        <f>_xll.EQNXTDZ($A$1,$B64,AH$5,$B$1)</f>
        <v>1090</v>
      </c>
      <c r="AI64" s="55">
        <f>_xll.EQNXTDZ($A$1,$B64,AI$5,$B$1)</f>
        <v>0</v>
      </c>
      <c r="AJ64" s="55">
        <f>_xll.EQNXTDZ($A$1,$B64,AJ$5,$B$1)</f>
        <v>1100</v>
      </c>
      <c r="AK64" s="55">
        <f>_xll.EQNXTDZ($A$1,$B64,AK$5,$B$1)</f>
        <v>0</v>
      </c>
      <c r="AL64" s="55">
        <f>_xll.EQNXTDZ($A$1,$B64,AL$5,$B$1)</f>
        <v>1044</v>
      </c>
      <c r="AM64" s="55">
        <f>_xll.EQNXTDZ($A$1,$B64,AM$5,$B$1)</f>
        <v>0</v>
      </c>
      <c r="AN64" s="55">
        <f>_xll.EQNXTDZ($A$1,$B64,AN$5,$B$1)</f>
        <v>993</v>
      </c>
      <c r="AO64" s="55">
        <f>_xll.EQNXTDZ($A$1,$B64,AO$5,$B$1)</f>
        <v>0</v>
      </c>
      <c r="AP64" s="55">
        <f>_xll.EQNXTDZ($A$1,$B64,AP$5,$B$1)</f>
        <v>1030</v>
      </c>
      <c r="AQ64" s="55">
        <f>_xll.EQNXTDZ($A$1,$B64,AQ$5,$B$1)</f>
        <v>0</v>
      </c>
      <c r="AR64" s="55">
        <f>_xll.EQNXTDZ($A$1,$B64,AR$5,$B$1)</f>
        <v>1033</v>
      </c>
      <c r="AS64" s="55">
        <f>_xll.EQNXTDZ($A$1,$B64,AS$5,$B$1)</f>
        <v>0</v>
      </c>
      <c r="AT64" s="55">
        <f>_xll.EQNXTDZ($A$1,$B64,AT$5,$B$1)</f>
        <v>1079</v>
      </c>
      <c r="AU64" s="55">
        <f>_xll.EQNXTDZ($A$1,$B64,AU$5,$B$1)</f>
        <v>0</v>
      </c>
      <c r="AV64" s="55">
        <f>_xll.EQNXTDZ($A$1,$B64,AV$5,$B$1)</f>
        <v>1160</v>
      </c>
      <c r="AW64" s="55">
        <f>_xll.EQNXTDZ($A$1,$B64,AW$5,$B$1)</f>
        <v>0</v>
      </c>
      <c r="AX64" s="55">
        <f>_xll.EQNXTDZ($A$1,$B64,AX$5,$B$1)</f>
        <v>1103</v>
      </c>
      <c r="AY64" s="55">
        <f>_xll.EQNXTDZ($A$1,$B64,AY$5,$B$1)</f>
        <v>0</v>
      </c>
      <c r="AZ64" s="55">
        <f>_xll.EQNXTDZ($A$1,$B64,AZ$5,$B$1)</f>
        <v>1135</v>
      </c>
      <c r="BA64" s="55">
        <f>_xll.EQNXTDZ($A$1,$B64,BA$5,$B$1)</f>
        <v>0</v>
      </c>
      <c r="BB64" s="55">
        <f>_xll.EQNXTDZ($A$1,$B64,BB$5,$B$1)</f>
        <v>1483</v>
      </c>
      <c r="BC64" s="55">
        <f>_xll.EQNXTDZ($A$1,$B64,BC$5,$B$1)</f>
        <v>0</v>
      </c>
      <c r="BD64" s="55">
        <f>_xll.EQNXTDZ($A$1,$B64,BD$5,$B$1)</f>
        <v>1564</v>
      </c>
      <c r="BE64" s="55">
        <f>_xll.EQNXTDZ($A$1,$B64,BE$5,$B$1)</f>
        <v>0</v>
      </c>
      <c r="BF64" s="55">
        <f>_xll.EQNXTDZ($A$1,$B64,BF$5,$B$1)</f>
        <v>1388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18.670000000000002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111</v>
      </c>
      <c r="W66" s="55">
        <f>_xll.EQNXTDZ($A$1,$B66,W$5,$B$1)</f>
        <v>0</v>
      </c>
      <c r="X66" s="55">
        <f>_xll.EQNXTDZ($A$1,$B66,X$5,$B$1)</f>
        <v>126</v>
      </c>
      <c r="Y66" s="55">
        <f>_xll.EQNXTDZ($A$1,$B66,Y$5,$B$1)</f>
        <v>0</v>
      </c>
      <c r="Z66" s="55">
        <f>_xll.EQNXTDZ($A$1,$B66,Z$5,$B$1)</f>
        <v>134</v>
      </c>
      <c r="AA66" s="55">
        <f>_xll.EQNXTDZ($A$1,$B66,AA$5,$B$1)</f>
        <v>0</v>
      </c>
      <c r="AB66" s="55">
        <f>_xll.EQNXTDZ($A$1,$B66,AB$5,$B$1)</f>
        <v>138</v>
      </c>
      <c r="AC66" s="55">
        <f>_xll.EQNXTDZ($A$1,$B66,AC$5,$B$1)</f>
        <v>0</v>
      </c>
      <c r="AD66" s="55">
        <f>_xll.EQNXTDZ($A$1,$B66,AD$5,$B$1)</f>
        <v>145</v>
      </c>
      <c r="AE66" s="55">
        <f>_xll.EQNXTDZ($A$1,$B66,AE$5,$B$1)</f>
        <v>0</v>
      </c>
      <c r="AF66" s="55">
        <f>_xll.EQNXTDZ($A$1,$B66,AF$5,$B$1)</f>
        <v>161</v>
      </c>
      <c r="AG66" s="55">
        <f>_xll.EQNXTDZ($A$1,$B66,AG$5,$B$1)</f>
        <v>0</v>
      </c>
      <c r="AH66" s="55">
        <f>_xll.EQNXTDZ($A$1,$B66,AH$5,$B$1)</f>
        <v>162</v>
      </c>
      <c r="AI66" s="55">
        <f>_xll.EQNXTDZ($A$1,$B66,AI$5,$B$1)</f>
        <v>0</v>
      </c>
      <c r="AJ66" s="55">
        <f>_xll.EQNXTDZ($A$1,$B66,AJ$5,$B$1)</f>
        <v>151</v>
      </c>
      <c r="AK66" s="55">
        <f>_xll.EQNXTDZ($A$1,$B66,AK$5,$B$1)</f>
        <v>0</v>
      </c>
      <c r="AL66" s="55">
        <f>_xll.EQNXTDZ($A$1,$B66,AL$5,$B$1)</f>
        <v>182</v>
      </c>
      <c r="AM66" s="55">
        <f>_xll.EQNXTDZ($A$1,$B66,AM$5,$B$1)</f>
        <v>0</v>
      </c>
      <c r="AN66" s="55">
        <f>_xll.EQNXTDZ($A$1,$B66,AN$5,$B$1)</f>
        <v>183</v>
      </c>
      <c r="AO66" s="55">
        <f>_xll.EQNXTDZ($A$1,$B66,AO$5,$B$1)</f>
        <v>0</v>
      </c>
      <c r="AP66" s="55">
        <f>_xll.EQNXTDZ($A$1,$B66,AP$5,$B$1)</f>
        <v>212</v>
      </c>
      <c r="AQ66" s="55">
        <f>_xll.EQNXTDZ($A$1,$B66,AQ$5,$B$1)</f>
        <v>0</v>
      </c>
      <c r="AR66" s="55">
        <f>_xll.EQNXTDZ($A$1,$B66,AR$5,$B$1)</f>
        <v>210</v>
      </c>
      <c r="AS66" s="55">
        <f>_xll.EQNXTDZ($A$1,$B66,AS$5,$B$1)</f>
        <v>0</v>
      </c>
      <c r="AT66" s="55">
        <f>_xll.EQNXTDZ($A$1,$B66,AT$5,$B$1)</f>
        <v>189</v>
      </c>
      <c r="AU66" s="55">
        <f>_xll.EQNXTDZ($A$1,$B66,AU$5,$B$1)</f>
        <v>0</v>
      </c>
      <c r="AV66" s="55">
        <f>_xll.EQNXTDZ($A$1,$B66,AV$5,$B$1)</f>
        <v>198</v>
      </c>
      <c r="AW66" s="55">
        <f>_xll.EQNXTDZ($A$1,$B66,AW$5,$B$1)</f>
        <v>0</v>
      </c>
      <c r="AX66" s="55">
        <f>_xll.EQNXTDZ($A$1,$B66,AX$5,$B$1)</f>
        <v>199</v>
      </c>
      <c r="AY66" s="55">
        <f>_xll.EQNXTDZ($A$1,$B66,AY$5,$B$1)</f>
        <v>0</v>
      </c>
      <c r="AZ66" s="55">
        <f>_xll.EQNXTDZ($A$1,$B66,AZ$5,$B$1)</f>
        <v>221</v>
      </c>
      <c r="BA66" s="55">
        <f>_xll.EQNXTDZ($A$1,$B66,BA$5,$B$1)</f>
        <v>0</v>
      </c>
      <c r="BB66" s="55">
        <f>_xll.EQNXTDZ($A$1,$B66,BB$5,$B$1)</f>
        <v>200</v>
      </c>
      <c r="BC66" s="55">
        <f>_xll.EQNXTDZ($A$1,$B66,BC$5,$B$1)</f>
        <v>0</v>
      </c>
      <c r="BD66" s="55">
        <f>_xll.EQNXTDZ($A$1,$B66,BD$5,$B$1)</f>
        <v>216</v>
      </c>
      <c r="BE66" s="55">
        <f>_xll.EQNXTDZ($A$1,$B66,BE$5,$B$1)</f>
        <v>0</v>
      </c>
      <c r="BF66" s="55">
        <f>_xll.EQNXTDZ($A$1,$B66,BF$5,$B$1)</f>
        <v>200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29233.18</v>
      </c>
      <c r="E67" s="55">
        <f>_xll.EQNXTDZ($A$1,$B67,E$5,$B$1)</f>
        <v>0</v>
      </c>
      <c r="F67" s="55">
        <f>_xll.EQNXTDZ($A$1,$B67,F$5,$B$1)</f>
        <v>32303.97</v>
      </c>
      <c r="G67" s="55">
        <f>_xll.EQNXTDZ($A$1,$B67,G$5,$B$1)</f>
        <v>0</v>
      </c>
      <c r="H67" s="55">
        <f>_xll.EQNXTDZ($A$1,$B67,H$5,$B$1)</f>
        <v>34807.17</v>
      </c>
      <c r="I67" s="55">
        <f>_xll.EQNXTDZ($A$1,$B67,I$5,$B$1)</f>
        <v>0</v>
      </c>
      <c r="J67" s="55">
        <f>_xll.EQNXTDZ($A$1,$B67,J$5,$B$1)</f>
        <v>37473.980000000003</v>
      </c>
      <c r="K67" s="55">
        <f>_xll.EQNXTDZ($A$1,$B67,K$5,$B$1)</f>
        <v>0</v>
      </c>
      <c r="L67" s="55">
        <f>_xll.EQNXTDZ($A$1,$B67,L$5,$B$1)</f>
        <v>40387.15</v>
      </c>
      <c r="M67" s="55">
        <f>_xll.EQNXTDZ($A$1,$B67,M$5,$B$1)</f>
        <v>0</v>
      </c>
      <c r="N67" s="55">
        <f>_xll.EQNXTDZ($A$1,$B67,N$5,$B$1)</f>
        <v>43485.15</v>
      </c>
      <c r="O67" s="55">
        <f>_xll.EQNXTDZ($A$1,$B67,O$5,$B$1)</f>
        <v>0</v>
      </c>
      <c r="P67" s="55">
        <f>_xll.EQNXTDZ($A$1,$B67,P$5,$B$1)</f>
        <v>45773.23</v>
      </c>
      <c r="Q67" s="55">
        <f>_xll.EQNXTDZ($A$1,$B67,Q$5,$B$1)</f>
        <v>0</v>
      </c>
      <c r="R67" s="55">
        <f>_xll.EQNXTDZ($A$1,$B67,R$5,$B$1)</f>
        <v>38068.07</v>
      </c>
      <c r="S67" s="55">
        <f>_xll.EQNXTDZ($A$1,$B67,S$5,$B$1)</f>
        <v>0</v>
      </c>
      <c r="T67" s="55">
        <f>_xll.EQNXTDZ($A$1,$B67,T$5,$B$1)</f>
        <v>41018.92</v>
      </c>
      <c r="U67" s="55">
        <f>_xll.EQNXTDZ($A$1,$B67,U$5,$B$1)</f>
        <v>0</v>
      </c>
      <c r="V67" s="55">
        <f>_xll.EQNXTDZ($A$1,$B67,V$5,$B$1)</f>
        <v>31565</v>
      </c>
      <c r="W67" s="55">
        <f>_xll.EQNXTDZ($A$1,$B67,W$5,$B$1)</f>
        <v>0</v>
      </c>
      <c r="X67" s="55">
        <f>_xll.EQNXTDZ($A$1,$B67,X$5,$B$1)</f>
        <v>35979</v>
      </c>
      <c r="Y67" s="55">
        <f>_xll.EQNXTDZ($A$1,$B67,Y$5,$B$1)</f>
        <v>0</v>
      </c>
      <c r="Z67" s="55">
        <f>_xll.EQNXTDZ($A$1,$B67,Z$5,$B$1)</f>
        <v>36927</v>
      </c>
      <c r="AA67" s="55">
        <f>_xll.EQNXTDZ($A$1,$B67,AA$5,$B$1)</f>
        <v>0</v>
      </c>
      <c r="AB67" s="55">
        <f>_xll.EQNXTDZ($A$1,$B67,AB$5,$B$1)</f>
        <v>40687</v>
      </c>
      <c r="AC67" s="55">
        <f>_xll.EQNXTDZ($A$1,$B67,AC$5,$B$1)</f>
        <v>0</v>
      </c>
      <c r="AD67" s="55">
        <f>_xll.EQNXTDZ($A$1,$B67,AD$5,$B$1)</f>
        <v>34714</v>
      </c>
      <c r="AE67" s="55">
        <f>_xll.EQNXTDZ($A$1,$B67,AE$5,$B$1)</f>
        <v>0</v>
      </c>
      <c r="AF67" s="55">
        <f>_xll.EQNXTDZ($A$1,$B67,AF$5,$B$1)</f>
        <v>38584</v>
      </c>
      <c r="AG67" s="55">
        <f>_xll.EQNXTDZ($A$1,$B67,AG$5,$B$1)</f>
        <v>0</v>
      </c>
      <c r="AH67" s="55">
        <f>_xll.EQNXTDZ($A$1,$B67,AH$5,$B$1)</f>
        <v>41562</v>
      </c>
      <c r="AI67" s="55">
        <f>_xll.EQNXTDZ($A$1,$B67,AI$5,$B$1)</f>
        <v>0</v>
      </c>
      <c r="AJ67" s="55">
        <f>_xll.EQNXTDZ($A$1,$B67,AJ$5,$B$1)</f>
        <v>42208</v>
      </c>
      <c r="AK67" s="55">
        <f>_xll.EQNXTDZ($A$1,$B67,AK$5,$B$1)</f>
        <v>0</v>
      </c>
      <c r="AL67" s="55">
        <f>_xll.EQNXTDZ($A$1,$B67,AL$5,$B$1)</f>
        <v>37851</v>
      </c>
      <c r="AM67" s="55">
        <f>_xll.EQNXTDZ($A$1,$B67,AM$5,$B$1)</f>
        <v>0</v>
      </c>
      <c r="AN67" s="55">
        <f>_xll.EQNXTDZ($A$1,$B67,AN$5,$B$1)</f>
        <v>39617</v>
      </c>
      <c r="AO67" s="55">
        <f>_xll.EQNXTDZ($A$1,$B67,AO$5,$B$1)</f>
        <v>0</v>
      </c>
      <c r="AP67" s="55">
        <f>_xll.EQNXTDZ($A$1,$B67,AP$5,$B$1)</f>
        <v>37634</v>
      </c>
      <c r="AQ67" s="55">
        <f>_xll.EQNXTDZ($A$1,$B67,AQ$5,$B$1)</f>
        <v>0</v>
      </c>
      <c r="AR67" s="55">
        <f>_xll.EQNXTDZ($A$1,$B67,AR$5,$B$1)</f>
        <v>32519</v>
      </c>
      <c r="AS67" s="55">
        <f>_xll.EQNXTDZ($A$1,$B67,AS$5,$B$1)</f>
        <v>0</v>
      </c>
      <c r="AT67" s="55">
        <f>_xll.EQNXTDZ($A$1,$B67,AT$5,$B$1)</f>
        <v>15700</v>
      </c>
      <c r="AU67" s="55">
        <f>_xll.EQNXTDZ($A$1,$B67,AU$5,$B$1)</f>
        <v>0</v>
      </c>
      <c r="AV67" s="55">
        <f>_xll.EQNXTDZ($A$1,$B67,AV$5,$B$1)</f>
        <v>19210</v>
      </c>
      <c r="AW67" s="55">
        <f>_xll.EQNXTDZ($A$1,$B67,AW$5,$B$1)</f>
        <v>0</v>
      </c>
      <c r="AX67" s="55">
        <f>_xll.EQNXTDZ($A$1,$B67,AX$5,$B$1)</f>
        <v>20743</v>
      </c>
      <c r="AY67" s="55">
        <f>_xll.EQNXTDZ($A$1,$B67,AY$5,$B$1)</f>
        <v>0</v>
      </c>
      <c r="AZ67" s="55">
        <f>_xll.EQNXTDZ($A$1,$B67,AZ$5,$B$1)</f>
        <v>13224</v>
      </c>
      <c r="BA67" s="55">
        <f>_xll.EQNXTDZ($A$1,$B67,BA$5,$B$1)</f>
        <v>0</v>
      </c>
      <c r="BB67" s="55">
        <f>_xll.EQNXTDZ($A$1,$B67,BB$5,$B$1)</f>
        <v>20999</v>
      </c>
      <c r="BC67" s="55">
        <f>_xll.EQNXTDZ($A$1,$B67,BC$5,$B$1)</f>
        <v>0</v>
      </c>
      <c r="BD67" s="55">
        <f>_xll.EQNXTDZ($A$1,$B67,BD$5,$B$1)</f>
        <v>20250</v>
      </c>
      <c r="BE67" s="55">
        <f>_xll.EQNXTDZ($A$1,$B67,BE$5,$B$1)</f>
        <v>0</v>
      </c>
      <c r="BF67" s="55">
        <f>_xll.EQNXTDZ($A$1,$B67,BF$5,$B$1)</f>
        <v>28831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9148.69</v>
      </c>
      <c r="E68" s="55">
        <f>_xll.EQNXTDZ($A$1,$B68,E$5,$B$1)</f>
        <v>0</v>
      </c>
      <c r="F68" s="55">
        <f>_xll.EQNXTDZ($A$1,$B68,F$5,$B$1)</f>
        <v>9565.59</v>
      </c>
      <c r="G68" s="55">
        <f>_xll.EQNXTDZ($A$1,$B68,G$5,$B$1)</f>
        <v>0</v>
      </c>
      <c r="H68" s="55">
        <f>_xll.EQNXTDZ($A$1,$B68,H$5,$B$1)</f>
        <v>9967.7000000000007</v>
      </c>
      <c r="I68" s="55">
        <f>_xll.EQNXTDZ($A$1,$B68,I$5,$B$1)</f>
        <v>0</v>
      </c>
      <c r="J68" s="55">
        <f>_xll.EQNXTDZ($A$1,$B68,J$5,$B$1)</f>
        <v>10688.19</v>
      </c>
      <c r="K68" s="55">
        <f>_xll.EQNXTDZ($A$1,$B68,K$5,$B$1)</f>
        <v>0</v>
      </c>
      <c r="L68" s="55">
        <f>_xll.EQNXTDZ($A$1,$B68,L$5,$B$1)</f>
        <v>10963.83</v>
      </c>
      <c r="M68" s="55">
        <f>_xll.EQNXTDZ($A$1,$B68,M$5,$B$1)</f>
        <v>0</v>
      </c>
      <c r="N68" s="55">
        <f>_xll.EQNXTDZ($A$1,$B68,N$5,$B$1)</f>
        <v>11450.88</v>
      </c>
      <c r="O68" s="55">
        <f>_xll.EQNXTDZ($A$1,$B68,O$5,$B$1)</f>
        <v>0</v>
      </c>
      <c r="P68" s="55">
        <f>_xll.EQNXTDZ($A$1,$B68,P$5,$B$1)</f>
        <v>11912.61</v>
      </c>
      <c r="Q68" s="55">
        <f>_xll.EQNXTDZ($A$1,$B68,Q$5,$B$1)</f>
        <v>0</v>
      </c>
      <c r="R68" s="55">
        <f>_xll.EQNXTDZ($A$1,$B68,R$5,$B$1)</f>
        <v>10385.26</v>
      </c>
      <c r="S68" s="55">
        <f>_xll.EQNXTDZ($A$1,$B68,S$5,$B$1)</f>
        <v>0</v>
      </c>
      <c r="T68" s="55">
        <f>_xll.EQNXTDZ($A$1,$B68,T$5,$B$1)</f>
        <v>10279.58</v>
      </c>
      <c r="U68" s="55">
        <f>_xll.EQNXTDZ($A$1,$B68,U$5,$B$1)</f>
        <v>0</v>
      </c>
      <c r="V68" s="55">
        <f>_xll.EQNXTDZ($A$1,$B68,V$5,$B$1)</f>
        <v>9993</v>
      </c>
      <c r="W68" s="55">
        <f>_xll.EQNXTDZ($A$1,$B68,W$5,$B$1)</f>
        <v>0</v>
      </c>
      <c r="X68" s="55">
        <f>_xll.EQNXTDZ($A$1,$B68,X$5,$B$1)</f>
        <v>9938</v>
      </c>
      <c r="Y68" s="55">
        <f>_xll.EQNXTDZ($A$1,$B68,Y$5,$B$1)</f>
        <v>0</v>
      </c>
      <c r="Z68" s="55">
        <f>_xll.EQNXTDZ($A$1,$B68,Z$5,$B$1)</f>
        <v>11302</v>
      </c>
      <c r="AA68" s="55">
        <f>_xll.EQNXTDZ($A$1,$B68,AA$5,$B$1)</f>
        <v>0</v>
      </c>
      <c r="AB68" s="55">
        <f>_xll.EQNXTDZ($A$1,$B68,AB$5,$B$1)</f>
        <v>11696</v>
      </c>
      <c r="AC68" s="55">
        <f>_xll.EQNXTDZ($A$1,$B68,AC$5,$B$1)</f>
        <v>0</v>
      </c>
      <c r="AD68" s="55">
        <f>_xll.EQNXTDZ($A$1,$B68,AD$5,$B$1)</f>
        <v>14778</v>
      </c>
      <c r="AE68" s="55">
        <f>_xll.EQNXTDZ($A$1,$B68,AE$5,$B$1)</f>
        <v>0</v>
      </c>
      <c r="AF68" s="55">
        <f>_xll.EQNXTDZ($A$1,$B68,AF$5,$B$1)</f>
        <v>14956</v>
      </c>
      <c r="AG68" s="55">
        <f>_xll.EQNXTDZ($A$1,$B68,AG$5,$B$1)</f>
        <v>0</v>
      </c>
      <c r="AH68" s="55">
        <f>_xll.EQNXTDZ($A$1,$B68,AH$5,$B$1)</f>
        <v>16469</v>
      </c>
      <c r="AI68" s="55">
        <f>_xll.EQNXTDZ($A$1,$B68,AI$5,$B$1)</f>
        <v>0</v>
      </c>
      <c r="AJ68" s="55">
        <f>_xll.EQNXTDZ($A$1,$B68,AJ$5,$B$1)</f>
        <v>16285</v>
      </c>
      <c r="AK68" s="55">
        <f>_xll.EQNXTDZ($A$1,$B68,AK$5,$B$1)</f>
        <v>0</v>
      </c>
      <c r="AL68" s="55">
        <f>_xll.EQNXTDZ($A$1,$B68,AL$5,$B$1)</f>
        <v>16808</v>
      </c>
      <c r="AM68" s="55">
        <f>_xll.EQNXTDZ($A$1,$B68,AM$5,$B$1)</f>
        <v>0</v>
      </c>
      <c r="AN68" s="55">
        <f>_xll.EQNXTDZ($A$1,$B68,AN$5,$B$1)</f>
        <v>16766</v>
      </c>
      <c r="AO68" s="55">
        <f>_xll.EQNXTDZ($A$1,$B68,AO$5,$B$1)</f>
        <v>0</v>
      </c>
      <c r="AP68" s="55">
        <f>_xll.EQNXTDZ($A$1,$B68,AP$5,$B$1)</f>
        <v>17396</v>
      </c>
      <c r="AQ68" s="55">
        <f>_xll.EQNXTDZ($A$1,$B68,AQ$5,$B$1)</f>
        <v>0</v>
      </c>
      <c r="AR68" s="55">
        <f>_xll.EQNXTDZ($A$1,$B68,AR$5,$B$1)</f>
        <v>17324</v>
      </c>
      <c r="AS68" s="55">
        <f>_xll.EQNXTDZ($A$1,$B68,AS$5,$B$1)</f>
        <v>0</v>
      </c>
      <c r="AT68" s="55">
        <f>_xll.EQNXTDZ($A$1,$B68,AT$5,$B$1)</f>
        <v>17622</v>
      </c>
      <c r="AU68" s="55">
        <f>_xll.EQNXTDZ($A$1,$B68,AU$5,$B$1)</f>
        <v>0</v>
      </c>
      <c r="AV68" s="55">
        <f>_xll.EQNXTDZ($A$1,$B68,AV$5,$B$1)</f>
        <v>18551</v>
      </c>
      <c r="AW68" s="55">
        <f>_xll.EQNXTDZ($A$1,$B68,AW$5,$B$1)</f>
        <v>0</v>
      </c>
      <c r="AX68" s="55">
        <f>_xll.EQNXTDZ($A$1,$B68,AX$5,$B$1)</f>
        <v>18151</v>
      </c>
      <c r="AY68" s="55">
        <f>_xll.EQNXTDZ($A$1,$B68,AY$5,$B$1)</f>
        <v>0</v>
      </c>
      <c r="AZ68" s="55">
        <f>_xll.EQNXTDZ($A$1,$B68,AZ$5,$B$1)</f>
        <v>17783</v>
      </c>
      <c r="BA68" s="55">
        <f>_xll.EQNXTDZ($A$1,$B68,BA$5,$B$1)</f>
        <v>0</v>
      </c>
      <c r="BB68" s="55">
        <f>_xll.EQNXTDZ($A$1,$B68,BB$5,$B$1)</f>
        <v>18608</v>
      </c>
      <c r="BC68" s="55">
        <f>_xll.EQNXTDZ($A$1,$B68,BC$5,$B$1)</f>
        <v>0</v>
      </c>
      <c r="BD68" s="55">
        <f>_xll.EQNXTDZ($A$1,$B68,BD$5,$B$1)</f>
        <v>19139</v>
      </c>
      <c r="BE68" s="55">
        <f>_xll.EQNXTDZ($A$1,$B68,BE$5,$B$1)</f>
        <v>0</v>
      </c>
      <c r="BF68" s="55">
        <f>_xll.EQNXTDZ($A$1,$B68,BF$5,$B$1)</f>
        <v>19937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9148.69</v>
      </c>
      <c r="E71" s="55">
        <f>_xll.EQNXTDZ($A$1,$B71,E$5,$B$1)</f>
        <v>0</v>
      </c>
      <c r="F71" s="55">
        <f>_xll.EQNXTDZ($A$1,$B71,F$5,$B$1)</f>
        <v>9565.59</v>
      </c>
      <c r="G71" s="55">
        <f>_xll.EQNXTDZ($A$1,$B71,G$5,$B$1)</f>
        <v>0</v>
      </c>
      <c r="H71" s="55">
        <f>_xll.EQNXTDZ($A$1,$B71,H$5,$B$1)</f>
        <v>9967.7000000000007</v>
      </c>
      <c r="I71" s="55">
        <f>_xll.EQNXTDZ($A$1,$B71,I$5,$B$1)</f>
        <v>0</v>
      </c>
      <c r="J71" s="55">
        <f>_xll.EQNXTDZ($A$1,$B71,J$5,$B$1)</f>
        <v>10688.19</v>
      </c>
      <c r="K71" s="55">
        <f>_xll.EQNXTDZ($A$1,$B71,K$5,$B$1)</f>
        <v>0</v>
      </c>
      <c r="L71" s="55">
        <f>_xll.EQNXTDZ($A$1,$B71,L$5,$B$1)</f>
        <v>10963.83</v>
      </c>
      <c r="M71" s="55">
        <f>_xll.EQNXTDZ($A$1,$B71,M$5,$B$1)</f>
        <v>0</v>
      </c>
      <c r="N71" s="55">
        <f>_xll.EQNXTDZ($A$1,$B71,N$5,$B$1)</f>
        <v>11450.88</v>
      </c>
      <c r="O71" s="55">
        <f>_xll.EQNXTDZ($A$1,$B71,O$5,$B$1)</f>
        <v>0</v>
      </c>
      <c r="P71" s="55">
        <f>_xll.EQNXTDZ($A$1,$B71,P$5,$B$1)</f>
        <v>11912.61</v>
      </c>
      <c r="Q71" s="55">
        <f>_xll.EQNXTDZ($A$1,$B71,Q$5,$B$1)</f>
        <v>0</v>
      </c>
      <c r="R71" s="55">
        <f>_xll.EQNXTDZ($A$1,$B71,R$5,$B$1)</f>
        <v>10385.26</v>
      </c>
      <c r="S71" s="55">
        <f>_xll.EQNXTDZ($A$1,$B71,S$5,$B$1)</f>
        <v>0</v>
      </c>
      <c r="T71" s="55">
        <f>_xll.EQNXTDZ($A$1,$B71,T$5,$B$1)</f>
        <v>10279.58</v>
      </c>
      <c r="U71" s="55">
        <f>_xll.EQNXTDZ($A$1,$B71,U$5,$B$1)</f>
        <v>0</v>
      </c>
      <c r="V71" s="55">
        <f>_xll.EQNXTDZ($A$1,$B71,V$5,$B$1)</f>
        <v>9993</v>
      </c>
      <c r="W71" s="55">
        <f>_xll.EQNXTDZ($A$1,$B71,W$5,$B$1)</f>
        <v>0</v>
      </c>
      <c r="X71" s="55">
        <f>_xll.EQNXTDZ($A$1,$B71,X$5,$B$1)</f>
        <v>9938</v>
      </c>
      <c r="Y71" s="55">
        <f>_xll.EQNXTDZ($A$1,$B71,Y$5,$B$1)</f>
        <v>0</v>
      </c>
      <c r="Z71" s="55">
        <f>_xll.EQNXTDZ($A$1,$B71,Z$5,$B$1)</f>
        <v>11302</v>
      </c>
      <c r="AA71" s="55">
        <f>_xll.EQNXTDZ($A$1,$B71,AA$5,$B$1)</f>
        <v>0</v>
      </c>
      <c r="AB71" s="55">
        <f>_xll.EQNXTDZ($A$1,$B71,AB$5,$B$1)</f>
        <v>11696</v>
      </c>
      <c r="AC71" s="55">
        <f>_xll.EQNXTDZ($A$1,$B71,AC$5,$B$1)</f>
        <v>0</v>
      </c>
      <c r="AD71" s="55">
        <f>_xll.EQNXTDZ($A$1,$B71,AD$5,$B$1)</f>
        <v>14778</v>
      </c>
      <c r="AE71" s="55">
        <f>_xll.EQNXTDZ($A$1,$B71,AE$5,$B$1)</f>
        <v>0</v>
      </c>
      <c r="AF71" s="55">
        <f>_xll.EQNXTDZ($A$1,$B71,AF$5,$B$1)</f>
        <v>14956</v>
      </c>
      <c r="AG71" s="55">
        <f>_xll.EQNXTDZ($A$1,$B71,AG$5,$B$1)</f>
        <v>0</v>
      </c>
      <c r="AH71" s="55">
        <f>_xll.EQNXTDZ($A$1,$B71,AH$5,$B$1)</f>
        <v>16469</v>
      </c>
      <c r="AI71" s="55">
        <f>_xll.EQNXTDZ($A$1,$B71,AI$5,$B$1)</f>
        <v>0</v>
      </c>
      <c r="AJ71" s="55">
        <f>_xll.EQNXTDZ($A$1,$B71,AJ$5,$B$1)</f>
        <v>16285</v>
      </c>
      <c r="AK71" s="55">
        <f>_xll.EQNXTDZ($A$1,$B71,AK$5,$B$1)</f>
        <v>0</v>
      </c>
      <c r="AL71" s="55">
        <f>_xll.EQNXTDZ($A$1,$B71,AL$5,$B$1)</f>
        <v>16808</v>
      </c>
      <c r="AM71" s="55">
        <f>_xll.EQNXTDZ($A$1,$B71,AM$5,$B$1)</f>
        <v>0</v>
      </c>
      <c r="AN71" s="55">
        <f>_xll.EQNXTDZ($A$1,$B71,AN$5,$B$1)</f>
        <v>16766</v>
      </c>
      <c r="AO71" s="55">
        <f>_xll.EQNXTDZ($A$1,$B71,AO$5,$B$1)</f>
        <v>0</v>
      </c>
      <c r="AP71" s="55">
        <f>_xll.EQNXTDZ($A$1,$B71,AP$5,$B$1)</f>
        <v>17396</v>
      </c>
      <c r="AQ71" s="55">
        <f>_xll.EQNXTDZ($A$1,$B71,AQ$5,$B$1)</f>
        <v>0</v>
      </c>
      <c r="AR71" s="55">
        <f>_xll.EQNXTDZ($A$1,$B71,AR$5,$B$1)</f>
        <v>17324</v>
      </c>
      <c r="AS71" s="55">
        <f>_xll.EQNXTDZ($A$1,$B71,AS$5,$B$1)</f>
        <v>0</v>
      </c>
      <c r="AT71" s="55">
        <f>_xll.EQNXTDZ($A$1,$B71,AT$5,$B$1)</f>
        <v>17622</v>
      </c>
      <c r="AU71" s="55">
        <f>_xll.EQNXTDZ($A$1,$B71,AU$5,$B$1)</f>
        <v>0</v>
      </c>
      <c r="AV71" s="55">
        <f>_xll.EQNXTDZ($A$1,$B71,AV$5,$B$1)</f>
        <v>18551</v>
      </c>
      <c r="AW71" s="55">
        <f>_xll.EQNXTDZ($A$1,$B71,AW$5,$B$1)</f>
        <v>0</v>
      </c>
      <c r="AX71" s="55">
        <f>_xll.EQNXTDZ($A$1,$B71,AX$5,$B$1)</f>
        <v>18151</v>
      </c>
      <c r="AY71" s="55">
        <f>_xll.EQNXTDZ($A$1,$B71,AY$5,$B$1)</f>
        <v>0</v>
      </c>
      <c r="AZ71" s="55">
        <f>_xll.EQNXTDZ($A$1,$B71,AZ$5,$B$1)</f>
        <v>17783</v>
      </c>
      <c r="BA71" s="55">
        <f>_xll.EQNXTDZ($A$1,$B71,BA$5,$B$1)</f>
        <v>0</v>
      </c>
      <c r="BB71" s="55">
        <f>_xll.EQNXTDZ($A$1,$B71,BB$5,$B$1)</f>
        <v>18608</v>
      </c>
      <c r="BC71" s="55">
        <f>_xll.EQNXTDZ($A$1,$B71,BC$5,$B$1)</f>
        <v>0</v>
      </c>
      <c r="BD71" s="55">
        <f>_xll.EQNXTDZ($A$1,$B71,BD$5,$B$1)</f>
        <v>19139</v>
      </c>
      <c r="BE71" s="55">
        <f>_xll.EQNXTDZ($A$1,$B71,BE$5,$B$1)</f>
        <v>0</v>
      </c>
      <c r="BF71" s="55">
        <f>_xll.EQNXTDZ($A$1,$B71,BF$5,$B$1)</f>
        <v>19937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2428.2199999999998</v>
      </c>
      <c r="S74" s="55">
        <f>_xll.EQNXTDZ($A$1,$B74,S$5,$B$1)</f>
        <v>0</v>
      </c>
      <c r="T74" s="55">
        <f>_xll.EQNXTDZ($A$1,$B74,T$5,$B$1)</f>
        <v>2856.12</v>
      </c>
      <c r="U74" s="55">
        <f>_xll.EQNXTDZ($A$1,$B74,U$5,$B$1)</f>
        <v>0</v>
      </c>
      <c r="V74" s="55">
        <f>_xll.EQNXTDZ($A$1,$B74,V$5,$B$1)</f>
        <v>3071</v>
      </c>
      <c r="W74" s="55">
        <f>_xll.EQNXTDZ($A$1,$B74,W$5,$B$1)</f>
        <v>0</v>
      </c>
      <c r="X74" s="55">
        <f>_xll.EQNXTDZ($A$1,$B74,X$5,$B$1)</f>
        <v>3332</v>
      </c>
      <c r="Y74" s="55">
        <f>_xll.EQNXTDZ($A$1,$B74,Y$5,$B$1)</f>
        <v>0</v>
      </c>
      <c r="Z74" s="55">
        <f>_xll.EQNXTDZ($A$1,$B74,Z$5,$B$1)</f>
        <v>3220</v>
      </c>
      <c r="AA74" s="55">
        <f>_xll.EQNXTDZ($A$1,$B74,AA$5,$B$1)</f>
        <v>0</v>
      </c>
      <c r="AB74" s="55">
        <f>_xll.EQNXTDZ($A$1,$B74,AB$5,$B$1)</f>
        <v>4201</v>
      </c>
      <c r="AC74" s="55">
        <f>_xll.EQNXTDZ($A$1,$B74,AC$5,$B$1)</f>
        <v>0</v>
      </c>
      <c r="AD74" s="55">
        <f>_xll.EQNXTDZ($A$1,$B74,AD$5,$B$1)</f>
        <v>2254</v>
      </c>
      <c r="AE74" s="55">
        <f>_xll.EQNXTDZ($A$1,$B74,AE$5,$B$1)</f>
        <v>0</v>
      </c>
      <c r="AF74" s="55">
        <f>_xll.EQNXTDZ($A$1,$B74,AF$5,$B$1)</f>
        <v>2920</v>
      </c>
      <c r="AG74" s="55">
        <f>_xll.EQNXTDZ($A$1,$B74,AG$5,$B$1)</f>
        <v>0</v>
      </c>
      <c r="AH74" s="55">
        <f>_xll.EQNXTDZ($A$1,$B74,AH$5,$B$1)</f>
        <v>2489</v>
      </c>
      <c r="AI74" s="55">
        <f>_xll.EQNXTDZ($A$1,$B74,AI$5,$B$1)</f>
        <v>0</v>
      </c>
      <c r="AJ74" s="55">
        <f>_xll.EQNXTDZ($A$1,$B74,AJ$5,$B$1)</f>
        <v>2522</v>
      </c>
      <c r="AK74" s="55">
        <f>_xll.EQNXTDZ($A$1,$B74,AK$5,$B$1)</f>
        <v>0</v>
      </c>
      <c r="AL74" s="55">
        <f>_xll.EQNXTDZ($A$1,$B74,AL$5,$B$1)</f>
        <v>1922</v>
      </c>
      <c r="AM74" s="55">
        <f>_xll.EQNXTDZ($A$1,$B74,AM$5,$B$1)</f>
        <v>0</v>
      </c>
      <c r="AN74" s="55">
        <f>_xll.EQNXTDZ($A$1,$B74,AN$5,$B$1)</f>
        <v>2023</v>
      </c>
      <c r="AO74" s="55">
        <f>_xll.EQNXTDZ($A$1,$B74,AO$5,$B$1)</f>
        <v>0</v>
      </c>
      <c r="AP74" s="55">
        <f>_xll.EQNXTDZ($A$1,$B74,AP$5,$B$1)</f>
        <v>2075</v>
      </c>
      <c r="AQ74" s="55">
        <f>_xll.EQNXTDZ($A$1,$B74,AQ$5,$B$1)</f>
        <v>0</v>
      </c>
      <c r="AR74" s="55">
        <f>_xll.EQNXTDZ($A$1,$B74,AR$5,$B$1)</f>
        <v>2477</v>
      </c>
      <c r="AS74" s="55">
        <f>_xll.EQNXTDZ($A$1,$B74,AS$5,$B$1)</f>
        <v>0</v>
      </c>
      <c r="AT74" s="55">
        <f>_xll.EQNXTDZ($A$1,$B74,AT$5,$B$1)</f>
        <v>2237</v>
      </c>
      <c r="AU74" s="55">
        <f>_xll.EQNXTDZ($A$1,$B74,AU$5,$B$1)</f>
        <v>0</v>
      </c>
      <c r="AV74" s="55">
        <f>_xll.EQNXTDZ($A$1,$B74,AV$5,$B$1)</f>
        <v>1459</v>
      </c>
      <c r="AW74" s="55">
        <f>_xll.EQNXTDZ($A$1,$B74,AW$5,$B$1)</f>
        <v>0</v>
      </c>
      <c r="AX74" s="55">
        <f>_xll.EQNXTDZ($A$1,$B74,AX$5,$B$1)</f>
        <v>1696</v>
      </c>
      <c r="AY74" s="55">
        <f>_xll.EQNXTDZ($A$1,$B74,AY$5,$B$1)</f>
        <v>0</v>
      </c>
      <c r="AZ74" s="55">
        <f>_xll.EQNXTDZ($A$1,$B74,AZ$5,$B$1)</f>
        <v>2620</v>
      </c>
      <c r="BA74" s="55">
        <f>_xll.EQNXTDZ($A$1,$B74,BA$5,$B$1)</f>
        <v>0</v>
      </c>
      <c r="BB74" s="55">
        <f>_xll.EQNXTDZ($A$1,$B74,BB$5,$B$1)</f>
        <v>2606</v>
      </c>
      <c r="BC74" s="55">
        <f>_xll.EQNXTDZ($A$1,$B74,BC$5,$B$1)</f>
        <v>0</v>
      </c>
      <c r="BD74" s="55">
        <f>_xll.EQNXTDZ($A$1,$B74,BD$5,$B$1)</f>
        <v>2996</v>
      </c>
      <c r="BE74" s="55">
        <f>_xll.EQNXTDZ($A$1,$B74,BE$5,$B$1)</f>
        <v>0</v>
      </c>
      <c r="BF74" s="55">
        <f>_xll.EQNXTDZ($A$1,$B74,BF$5,$B$1)</f>
        <v>3409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118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2.7</v>
      </c>
      <c r="E77" s="55">
        <f>_xll.EQNXTDZ($A$1,$B77,E$5,$B$1)</f>
        <v>0</v>
      </c>
      <c r="F77" s="55">
        <f>_xll.EQNXTDZ($A$1,$B77,F$5,$B$1)</f>
        <v>2.7</v>
      </c>
      <c r="G77" s="55">
        <f>_xll.EQNXTDZ($A$1,$B77,G$5,$B$1)</f>
        <v>0</v>
      </c>
      <c r="H77" s="55">
        <f>_xll.EQNXTDZ($A$1,$B77,H$5,$B$1)</f>
        <v>2.81</v>
      </c>
      <c r="I77" s="55">
        <f>_xll.EQNXTDZ($A$1,$B77,I$5,$B$1)</f>
        <v>0</v>
      </c>
      <c r="J77" s="55">
        <f>_xll.EQNXTDZ($A$1,$B77,J$5,$B$1)</f>
        <v>2.81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105</v>
      </c>
      <c r="AS77" s="55">
        <f>_xll.EQNXTDZ($A$1,$B77,AS$5,$B$1)</f>
        <v>0</v>
      </c>
      <c r="AT77" s="55">
        <f>_xll.EQNXTDZ($A$1,$B77,AT$5,$B$1)</f>
        <v>257</v>
      </c>
      <c r="AU77" s="55">
        <f>_xll.EQNXTDZ($A$1,$B77,AU$5,$B$1)</f>
        <v>0</v>
      </c>
      <c r="AV77" s="55">
        <f>_xll.EQNXTDZ($A$1,$B77,AV$5,$B$1)</f>
        <v>398</v>
      </c>
      <c r="AW77" s="55">
        <f>_xll.EQNXTDZ($A$1,$B77,AW$5,$B$1)</f>
        <v>0</v>
      </c>
      <c r="AX77" s="55">
        <f>_xll.EQNXTDZ($A$1,$B77,AX$5,$B$1)</f>
        <v>578</v>
      </c>
      <c r="AY77" s="55">
        <f>_xll.EQNXTDZ($A$1,$B77,AY$5,$B$1)</f>
        <v>0</v>
      </c>
      <c r="AZ77" s="55">
        <f>_xll.EQNXTDZ($A$1,$B77,AZ$5,$B$1)</f>
        <v>815</v>
      </c>
      <c r="BA77" s="55">
        <f>_xll.EQNXTDZ($A$1,$B77,BA$5,$B$1)</f>
        <v>0</v>
      </c>
      <c r="BB77" s="55">
        <f>_xll.EQNXTDZ($A$1,$B77,BB$5,$B$1)</f>
        <v>823</v>
      </c>
      <c r="BC77" s="55">
        <f>_xll.EQNXTDZ($A$1,$B77,BC$5,$B$1)</f>
        <v>0</v>
      </c>
      <c r="BD77" s="55">
        <f>_xll.EQNXTDZ($A$1,$B77,BD$5,$B$1)</f>
        <v>881</v>
      </c>
      <c r="BE77" s="55">
        <f>_xll.EQNXTDZ($A$1,$B77,BE$5,$B$1)</f>
        <v>0</v>
      </c>
      <c r="BF77" s="55">
        <f>_xll.EQNXTDZ($A$1,$B77,BF$5,$B$1)</f>
        <v>1114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1094.53</v>
      </c>
      <c r="E78" s="55">
        <f>_xll.EQNXTDZ($A$1,$B78,E$5,$B$1)</f>
        <v>0</v>
      </c>
      <c r="F78" s="55">
        <f>_xll.EQNXTDZ($A$1,$B78,F$5,$B$1)</f>
        <v>1898.29</v>
      </c>
      <c r="G78" s="55">
        <f>_xll.EQNXTDZ($A$1,$B78,G$5,$B$1)</f>
        <v>0</v>
      </c>
      <c r="H78" s="55">
        <f>_xll.EQNXTDZ($A$1,$B78,H$5,$B$1)</f>
        <v>2125.59</v>
      </c>
      <c r="I78" s="55">
        <f>_xll.EQNXTDZ($A$1,$B78,I$5,$B$1)</f>
        <v>0</v>
      </c>
      <c r="J78" s="55">
        <f>_xll.EQNXTDZ($A$1,$B78,J$5,$B$1)</f>
        <v>2939.36</v>
      </c>
      <c r="K78" s="55">
        <f>_xll.EQNXTDZ($A$1,$B78,K$5,$B$1)</f>
        <v>0</v>
      </c>
      <c r="L78" s="55">
        <f>_xll.EQNXTDZ($A$1,$B78,L$5,$B$1)</f>
        <v>3285.33</v>
      </c>
      <c r="M78" s="55">
        <f>_xll.EQNXTDZ($A$1,$B78,M$5,$B$1)</f>
        <v>0</v>
      </c>
      <c r="N78" s="55">
        <f>_xll.EQNXTDZ($A$1,$B78,N$5,$B$1)</f>
        <v>4337.32</v>
      </c>
      <c r="O78" s="55">
        <f>_xll.EQNXTDZ($A$1,$B78,O$5,$B$1)</f>
        <v>0</v>
      </c>
      <c r="P78" s="55">
        <f>_xll.EQNXTDZ($A$1,$B78,P$5,$B$1)</f>
        <v>4896.5200000000004</v>
      </c>
      <c r="Q78" s="55">
        <f>_xll.EQNXTDZ($A$1,$B78,Q$5,$B$1)</f>
        <v>0</v>
      </c>
      <c r="R78" s="55">
        <f>_xll.EQNXTDZ($A$1,$B78,R$5,$B$1)</f>
        <v>19.05</v>
      </c>
      <c r="S78" s="55">
        <f>_xll.EQNXTDZ($A$1,$B78,S$5,$B$1)</f>
        <v>0</v>
      </c>
      <c r="T78" s="55">
        <f>_xll.EQNXTDZ($A$1,$B78,T$5,$B$1)</f>
        <v>2.65</v>
      </c>
      <c r="U78" s="55">
        <f>_xll.EQNXTDZ($A$1,$B78,U$5,$B$1)</f>
        <v>0</v>
      </c>
      <c r="V78" s="55">
        <f>_xll.EQNXTDZ($A$1,$B78,V$5,$B$1)</f>
        <v>19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15</v>
      </c>
      <c r="AA78" s="55">
        <f>_xll.EQNXTDZ($A$1,$B78,AA$5,$B$1)</f>
        <v>0</v>
      </c>
      <c r="AB78" s="55">
        <f>_xll.EQNXTDZ($A$1,$B78,AB$5,$B$1)</f>
        <v>14</v>
      </c>
      <c r="AC78" s="55">
        <f>_xll.EQNXTDZ($A$1,$B78,AC$5,$B$1)</f>
        <v>0</v>
      </c>
      <c r="AD78" s="55">
        <f>_xll.EQNXTDZ($A$1,$B78,AD$5,$B$1)</f>
        <v>13</v>
      </c>
      <c r="AE78" s="55">
        <f>_xll.EQNXTDZ($A$1,$B78,AE$5,$B$1)</f>
        <v>0</v>
      </c>
      <c r="AF78" s="55">
        <f>_xll.EQNXTDZ($A$1,$B78,AF$5,$B$1)</f>
        <v>13</v>
      </c>
      <c r="AG78" s="55">
        <f>_xll.EQNXTDZ($A$1,$B78,AG$5,$B$1)</f>
        <v>0</v>
      </c>
      <c r="AH78" s="55">
        <f>_xll.EQNXTDZ($A$1,$B78,AH$5,$B$1)</f>
        <v>13</v>
      </c>
      <c r="AI78" s="55">
        <f>_xll.EQNXTDZ($A$1,$B78,AI$5,$B$1)</f>
        <v>0</v>
      </c>
      <c r="AJ78" s="55">
        <f>_xll.EQNXTDZ($A$1,$B78,AJ$5,$B$1)</f>
        <v>12</v>
      </c>
      <c r="AK78" s="55">
        <f>_xll.EQNXTDZ($A$1,$B78,AK$5,$B$1)</f>
        <v>0</v>
      </c>
      <c r="AL78" s="55">
        <f>_xll.EQNXTDZ($A$1,$B78,AL$5,$B$1)</f>
        <v>1</v>
      </c>
      <c r="AM78" s="55">
        <f>_xll.EQNXTDZ($A$1,$B78,AM$5,$B$1)</f>
        <v>0</v>
      </c>
      <c r="AN78" s="55">
        <f>_xll.EQNXTDZ($A$1,$B78,AN$5,$B$1)</f>
        <v>2</v>
      </c>
      <c r="AO78" s="55">
        <f>_xll.EQNXTDZ($A$1,$B78,AO$5,$B$1)</f>
        <v>0</v>
      </c>
      <c r="AP78" s="55">
        <f>_xll.EQNXTDZ($A$1,$B78,AP$5,$B$1)</f>
        <v>2</v>
      </c>
      <c r="AQ78" s="55">
        <f>_xll.EQNXTDZ($A$1,$B78,AQ$5,$B$1)</f>
        <v>0</v>
      </c>
      <c r="AR78" s="55">
        <f>_xll.EQNXTDZ($A$1,$B78,AR$5,$B$1)</f>
        <v>1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1</v>
      </c>
      <c r="BC78" s="55">
        <f>_xll.EQNXTDZ($A$1,$B78,BC$5,$B$1)</f>
        <v>0</v>
      </c>
      <c r="BD78" s="55">
        <f>_xll.EQNXTDZ($A$1,$B78,BD$5,$B$1)</f>
        <v>1</v>
      </c>
      <c r="BE78" s="55">
        <f>_xll.EQNXTDZ($A$1,$B78,BE$5,$B$1)</f>
        <v>0</v>
      </c>
      <c r="BF78" s="55">
        <f>_xll.EQNXTDZ($A$1,$B78,BF$5,$B$1)</f>
        <v>1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307.16000000000003</v>
      </c>
      <c r="E79" s="55">
        <f>_xll.EQNXTDZ($A$1,$B79,E$5,$B$1)</f>
        <v>0</v>
      </c>
      <c r="F79" s="55">
        <f>_xll.EQNXTDZ($A$1,$B79,F$5,$B$1)</f>
        <v>239.19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951.8</v>
      </c>
      <c r="S79" s="55">
        <f>_xll.EQNXTDZ($A$1,$B79,S$5,$B$1)</f>
        <v>0</v>
      </c>
      <c r="T79" s="55">
        <f>_xll.EQNXTDZ($A$1,$B79,T$5,$B$1)</f>
        <v>986.9</v>
      </c>
      <c r="U79" s="55">
        <f>_xll.EQNXTDZ($A$1,$B79,U$5,$B$1)</f>
        <v>0</v>
      </c>
      <c r="V79" s="55">
        <f>_xll.EQNXTDZ($A$1,$B79,V$5,$B$1)</f>
        <v>1315</v>
      </c>
      <c r="W79" s="55">
        <f>_xll.EQNXTDZ($A$1,$B79,W$5,$B$1)</f>
        <v>0</v>
      </c>
      <c r="X79" s="55">
        <f>_xll.EQNXTDZ($A$1,$B79,X$5,$B$1)</f>
        <v>1565</v>
      </c>
      <c r="Y79" s="55">
        <f>_xll.EQNXTDZ($A$1,$B79,Y$5,$B$1)</f>
        <v>0</v>
      </c>
      <c r="Z79" s="55">
        <f>_xll.EQNXTDZ($A$1,$B79,Z$5,$B$1)</f>
        <v>2044</v>
      </c>
      <c r="AA79" s="55">
        <f>_xll.EQNXTDZ($A$1,$B79,AA$5,$B$1)</f>
        <v>0</v>
      </c>
      <c r="AB79" s="55">
        <f>_xll.EQNXTDZ($A$1,$B79,AB$5,$B$1)</f>
        <v>1873</v>
      </c>
      <c r="AC79" s="55">
        <f>_xll.EQNXTDZ($A$1,$B79,AC$5,$B$1)</f>
        <v>0</v>
      </c>
      <c r="AD79" s="55">
        <f>_xll.EQNXTDZ($A$1,$B79,AD$5,$B$1)</f>
        <v>1916</v>
      </c>
      <c r="AE79" s="55">
        <f>_xll.EQNXTDZ($A$1,$B79,AE$5,$B$1)</f>
        <v>0</v>
      </c>
      <c r="AF79" s="55">
        <f>_xll.EQNXTDZ($A$1,$B79,AF$5,$B$1)</f>
        <v>1254</v>
      </c>
      <c r="AG79" s="55">
        <f>_xll.EQNXTDZ($A$1,$B79,AG$5,$B$1)</f>
        <v>0</v>
      </c>
      <c r="AH79" s="55">
        <f>_xll.EQNXTDZ($A$1,$B79,AH$5,$B$1)</f>
        <v>1369</v>
      </c>
      <c r="AI79" s="55">
        <f>_xll.EQNXTDZ($A$1,$B79,AI$5,$B$1)</f>
        <v>0</v>
      </c>
      <c r="AJ79" s="55">
        <f>_xll.EQNXTDZ($A$1,$B79,AJ$5,$B$1)</f>
        <v>1358</v>
      </c>
      <c r="AK79" s="55">
        <f>_xll.EQNXTDZ($A$1,$B79,AK$5,$B$1)</f>
        <v>0</v>
      </c>
      <c r="AL79" s="55">
        <f>_xll.EQNXTDZ($A$1,$B79,AL$5,$B$1)</f>
        <v>1370</v>
      </c>
      <c r="AM79" s="55">
        <f>_xll.EQNXTDZ($A$1,$B79,AM$5,$B$1)</f>
        <v>0</v>
      </c>
      <c r="AN79" s="55">
        <f>_xll.EQNXTDZ($A$1,$B79,AN$5,$B$1)</f>
        <v>1205</v>
      </c>
      <c r="AO79" s="55">
        <f>_xll.EQNXTDZ($A$1,$B79,AO$5,$B$1)</f>
        <v>0</v>
      </c>
      <c r="AP79" s="55">
        <f>_xll.EQNXTDZ($A$1,$B79,AP$5,$B$1)</f>
        <v>1215</v>
      </c>
      <c r="AQ79" s="55">
        <f>_xll.EQNXTDZ($A$1,$B79,AQ$5,$B$1)</f>
        <v>0</v>
      </c>
      <c r="AR79" s="55">
        <f>_xll.EQNXTDZ($A$1,$B79,AR$5,$B$1)</f>
        <v>1288</v>
      </c>
      <c r="AS79" s="55">
        <f>_xll.EQNXTDZ($A$1,$B79,AS$5,$B$1)</f>
        <v>0</v>
      </c>
      <c r="AT79" s="55">
        <f>_xll.EQNXTDZ($A$1,$B79,AT$5,$B$1)</f>
        <v>547</v>
      </c>
      <c r="AU79" s="55">
        <f>_xll.EQNXTDZ($A$1,$B79,AU$5,$B$1)</f>
        <v>0</v>
      </c>
      <c r="AV79" s="55">
        <f>_xll.EQNXTDZ($A$1,$B79,AV$5,$B$1)</f>
        <v>861</v>
      </c>
      <c r="AW79" s="55">
        <f>_xll.EQNXTDZ($A$1,$B79,AW$5,$B$1)</f>
        <v>0</v>
      </c>
      <c r="AX79" s="55">
        <f>_xll.EQNXTDZ($A$1,$B79,AX$5,$B$1)</f>
        <v>845</v>
      </c>
      <c r="AY79" s="55">
        <f>_xll.EQNXTDZ($A$1,$B79,AY$5,$B$1)</f>
        <v>0</v>
      </c>
      <c r="AZ79" s="55">
        <f>_xll.EQNXTDZ($A$1,$B79,AZ$5,$B$1)</f>
        <v>866</v>
      </c>
      <c r="BA79" s="55">
        <f>_xll.EQNXTDZ($A$1,$B79,BA$5,$B$1)</f>
        <v>0</v>
      </c>
      <c r="BB79" s="55">
        <f>_xll.EQNXTDZ($A$1,$B79,BB$5,$B$1)</f>
        <v>826</v>
      </c>
      <c r="BC79" s="55">
        <f>_xll.EQNXTDZ($A$1,$B79,BC$5,$B$1)</f>
        <v>0</v>
      </c>
      <c r="BD79" s="55">
        <f>_xll.EQNXTDZ($A$1,$B79,BD$5,$B$1)</f>
        <v>1142</v>
      </c>
      <c r="BE79" s="55">
        <f>_xll.EQNXTDZ($A$1,$B79,BE$5,$B$1)</f>
        <v>0</v>
      </c>
      <c r="BF79" s="55">
        <f>_xll.EQNXTDZ($A$1,$B79,BF$5,$B$1)</f>
        <v>1309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11840.33</v>
      </c>
      <c r="E80" s="55">
        <f>_xll.EQNXTDZ($A$1,$B80,E$5,$B$1)</f>
        <v>0</v>
      </c>
      <c r="F80" s="55">
        <f>_xll.EQNXTDZ($A$1,$B80,F$5,$B$1)</f>
        <v>14537.18</v>
      </c>
      <c r="G80" s="55">
        <f>_xll.EQNXTDZ($A$1,$B80,G$5,$B$1)</f>
        <v>0</v>
      </c>
      <c r="H80" s="55">
        <f>_xll.EQNXTDZ($A$1,$B80,H$5,$B$1)</f>
        <v>18712.29</v>
      </c>
      <c r="I80" s="55">
        <f>_xll.EQNXTDZ($A$1,$B80,I$5,$B$1)</f>
        <v>0</v>
      </c>
      <c r="J80" s="55">
        <f>_xll.EQNXTDZ($A$1,$B80,J$5,$B$1)</f>
        <v>22503.58</v>
      </c>
      <c r="K80" s="55">
        <f>_xll.EQNXTDZ($A$1,$B80,K$5,$B$1)</f>
        <v>0</v>
      </c>
      <c r="L80" s="55">
        <f>_xll.EQNXTDZ($A$1,$B80,L$5,$B$1)</f>
        <v>27454.26</v>
      </c>
      <c r="M80" s="55">
        <f>_xll.EQNXTDZ($A$1,$B80,M$5,$B$1)</f>
        <v>0</v>
      </c>
      <c r="N80" s="55">
        <f>_xll.EQNXTDZ($A$1,$B80,N$5,$B$1)</f>
        <v>27253.59</v>
      </c>
      <c r="O80" s="55">
        <f>_xll.EQNXTDZ($A$1,$B80,O$5,$B$1)</f>
        <v>0</v>
      </c>
      <c r="P80" s="55">
        <f>_xll.EQNXTDZ($A$1,$B80,P$5,$B$1)</f>
        <v>30840.13</v>
      </c>
      <c r="Q80" s="55">
        <f>_xll.EQNXTDZ($A$1,$B80,Q$5,$B$1)</f>
        <v>0</v>
      </c>
      <c r="R80" s="55">
        <f>_xll.EQNXTDZ($A$1,$B80,R$5,$B$1)</f>
        <v>35221.17</v>
      </c>
      <c r="S80" s="55">
        <f>_xll.EQNXTDZ($A$1,$B80,S$5,$B$1)</f>
        <v>0</v>
      </c>
      <c r="T80" s="55">
        <f>_xll.EQNXTDZ($A$1,$B80,T$5,$B$1)</f>
        <v>27057.41</v>
      </c>
      <c r="U80" s="55">
        <f>_xll.EQNXTDZ($A$1,$B80,U$5,$B$1)</f>
        <v>0</v>
      </c>
      <c r="V80" s="55">
        <f>_xll.EQNXTDZ($A$1,$B80,V$5,$B$1)</f>
        <v>23783</v>
      </c>
      <c r="W80" s="55">
        <f>_xll.EQNXTDZ($A$1,$B80,W$5,$B$1)</f>
        <v>0</v>
      </c>
      <c r="X80" s="55">
        <f>_xll.EQNXTDZ($A$1,$B80,X$5,$B$1)</f>
        <v>19978</v>
      </c>
      <c r="Y80" s="55">
        <f>_xll.EQNXTDZ($A$1,$B80,Y$5,$B$1)</f>
        <v>0</v>
      </c>
      <c r="Z80" s="55">
        <f>_xll.EQNXTDZ($A$1,$B80,Z$5,$B$1)</f>
        <v>20222</v>
      </c>
      <c r="AA80" s="55">
        <f>_xll.EQNXTDZ($A$1,$B80,AA$5,$B$1)</f>
        <v>0</v>
      </c>
      <c r="AB80" s="55">
        <f>_xll.EQNXTDZ($A$1,$B80,AB$5,$B$1)</f>
        <v>23233</v>
      </c>
      <c r="AC80" s="55">
        <f>_xll.EQNXTDZ($A$1,$B80,AC$5,$B$1)</f>
        <v>0</v>
      </c>
      <c r="AD80" s="55">
        <f>_xll.EQNXTDZ($A$1,$B80,AD$5,$B$1)</f>
        <v>19488</v>
      </c>
      <c r="AE80" s="55">
        <f>_xll.EQNXTDZ($A$1,$B80,AE$5,$B$1)</f>
        <v>0</v>
      </c>
      <c r="AF80" s="55">
        <f>_xll.EQNXTDZ($A$1,$B80,AF$5,$B$1)</f>
        <v>19010</v>
      </c>
      <c r="AG80" s="55">
        <f>_xll.EQNXTDZ($A$1,$B80,AG$5,$B$1)</f>
        <v>0</v>
      </c>
      <c r="AH80" s="55">
        <f>_xll.EQNXTDZ($A$1,$B80,AH$5,$B$1)</f>
        <v>20329</v>
      </c>
      <c r="AI80" s="55">
        <f>_xll.EQNXTDZ($A$1,$B80,AI$5,$B$1)</f>
        <v>0</v>
      </c>
      <c r="AJ80" s="55">
        <f>_xll.EQNXTDZ($A$1,$B80,AJ$5,$B$1)</f>
        <v>15506</v>
      </c>
      <c r="AK80" s="55">
        <f>_xll.EQNXTDZ($A$1,$B80,AK$5,$B$1)</f>
        <v>0</v>
      </c>
      <c r="AL80" s="55">
        <f>_xll.EQNXTDZ($A$1,$B80,AL$5,$B$1)</f>
        <v>12957</v>
      </c>
      <c r="AM80" s="55">
        <f>_xll.EQNXTDZ($A$1,$B80,AM$5,$B$1)</f>
        <v>0</v>
      </c>
      <c r="AN80" s="55">
        <f>_xll.EQNXTDZ($A$1,$B80,AN$5,$B$1)</f>
        <v>16540</v>
      </c>
      <c r="AO80" s="55">
        <f>_xll.EQNXTDZ($A$1,$B80,AO$5,$B$1)</f>
        <v>0</v>
      </c>
      <c r="AP80" s="55">
        <f>_xll.EQNXTDZ($A$1,$B80,AP$5,$B$1)</f>
        <v>15052</v>
      </c>
      <c r="AQ80" s="55">
        <f>_xll.EQNXTDZ($A$1,$B80,AQ$5,$B$1)</f>
        <v>0</v>
      </c>
      <c r="AR80" s="55">
        <f>_xll.EQNXTDZ($A$1,$B80,AR$5,$B$1)</f>
        <v>13499</v>
      </c>
      <c r="AS80" s="55">
        <f>_xll.EQNXTDZ($A$1,$B80,AS$5,$B$1)</f>
        <v>0</v>
      </c>
      <c r="AT80" s="55">
        <f>_xll.EQNXTDZ($A$1,$B80,AT$5,$B$1)</f>
        <v>9850</v>
      </c>
      <c r="AU80" s="55">
        <f>_xll.EQNXTDZ($A$1,$B80,AU$5,$B$1)</f>
        <v>0</v>
      </c>
      <c r="AV80" s="55">
        <f>_xll.EQNXTDZ($A$1,$B80,AV$5,$B$1)</f>
        <v>10676</v>
      </c>
      <c r="AW80" s="55">
        <f>_xll.EQNXTDZ($A$1,$B80,AW$5,$B$1)</f>
        <v>0</v>
      </c>
      <c r="AX80" s="55">
        <f>_xll.EQNXTDZ($A$1,$B80,AX$5,$B$1)</f>
        <v>9874</v>
      </c>
      <c r="AY80" s="55">
        <f>_xll.EQNXTDZ($A$1,$B80,AY$5,$B$1)</f>
        <v>0</v>
      </c>
      <c r="AZ80" s="55">
        <f>_xll.EQNXTDZ($A$1,$B80,AZ$5,$B$1)</f>
        <v>7623</v>
      </c>
      <c r="BA80" s="55">
        <f>_xll.EQNXTDZ($A$1,$B80,BA$5,$B$1)</f>
        <v>0</v>
      </c>
      <c r="BB80" s="55">
        <f>_xll.EQNXTDZ($A$1,$B80,BB$5,$B$1)</f>
        <v>9149</v>
      </c>
      <c r="BC80" s="55">
        <f>_xll.EQNXTDZ($A$1,$B80,BC$5,$B$1)</f>
        <v>0</v>
      </c>
      <c r="BD80" s="55">
        <f>_xll.EQNXTDZ($A$1,$B80,BD$5,$B$1)</f>
        <v>7839</v>
      </c>
      <c r="BE80" s="55">
        <f>_xll.EQNXTDZ($A$1,$B80,BE$5,$B$1)</f>
        <v>0</v>
      </c>
      <c r="BF80" s="55">
        <f>_xll.EQNXTDZ($A$1,$B80,BF$5,$B$1)</f>
        <v>13354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1703.21</v>
      </c>
      <c r="E81" s="55">
        <f>_xll.EQNXTDZ($A$1,$B81,E$5,$B$1)</f>
        <v>0</v>
      </c>
      <c r="F81" s="55">
        <f>_xll.EQNXTDZ($A$1,$B81,F$5,$B$1)</f>
        <v>1111.0899999999999</v>
      </c>
      <c r="G81" s="55">
        <f>_xll.EQNXTDZ($A$1,$B81,G$5,$B$1)</f>
        <v>0</v>
      </c>
      <c r="H81" s="55">
        <f>_xll.EQNXTDZ($A$1,$B81,H$5,$B$1)</f>
        <v>1142.8399999999999</v>
      </c>
      <c r="I81" s="55">
        <f>_xll.EQNXTDZ($A$1,$B81,I$5,$B$1)</f>
        <v>0</v>
      </c>
      <c r="J81" s="55">
        <f>_xll.EQNXTDZ($A$1,$B81,J$5,$B$1)</f>
        <v>1198.24</v>
      </c>
      <c r="K81" s="55">
        <f>_xll.EQNXTDZ($A$1,$B81,K$5,$B$1)</f>
        <v>0</v>
      </c>
      <c r="L81" s="55">
        <f>_xll.EQNXTDZ($A$1,$B81,L$5,$B$1)</f>
        <v>1136.1199999999999</v>
      </c>
      <c r="M81" s="55">
        <f>_xll.EQNXTDZ($A$1,$B81,M$5,$B$1)</f>
        <v>0</v>
      </c>
      <c r="N81" s="55">
        <f>_xll.EQNXTDZ($A$1,$B81,N$5,$B$1)</f>
        <v>1211.75</v>
      </c>
      <c r="O81" s="55">
        <f>_xll.EQNXTDZ($A$1,$B81,O$5,$B$1)</f>
        <v>0</v>
      </c>
      <c r="P81" s="55">
        <f>_xll.EQNXTDZ($A$1,$B81,P$5,$B$1)</f>
        <v>1335.31</v>
      </c>
      <c r="Q81" s="55">
        <f>_xll.EQNXTDZ($A$1,$B81,Q$5,$B$1)</f>
        <v>0</v>
      </c>
      <c r="R81" s="55">
        <f>_xll.EQNXTDZ($A$1,$B81,R$5,$B$1)</f>
        <v>1058.22</v>
      </c>
      <c r="S81" s="55">
        <f>_xll.EQNXTDZ($A$1,$B81,S$5,$B$1)</f>
        <v>0</v>
      </c>
      <c r="T81" s="55">
        <f>_xll.EQNXTDZ($A$1,$B81,T$5,$B$1)</f>
        <v>1275.56</v>
      </c>
      <c r="U81" s="55">
        <f>_xll.EQNXTDZ($A$1,$B81,U$5,$B$1)</f>
        <v>0</v>
      </c>
      <c r="V81" s="55">
        <f>_xll.EQNXTDZ($A$1,$B81,V$5,$B$1)</f>
        <v>1936</v>
      </c>
      <c r="W81" s="55">
        <f>_xll.EQNXTDZ($A$1,$B81,W$5,$B$1)</f>
        <v>0</v>
      </c>
      <c r="X81" s="55">
        <f>_xll.EQNXTDZ($A$1,$B81,X$5,$B$1)</f>
        <v>1653</v>
      </c>
      <c r="Y81" s="55">
        <f>_xll.EQNXTDZ($A$1,$B81,Y$5,$B$1)</f>
        <v>0</v>
      </c>
      <c r="Z81" s="55">
        <f>_xll.EQNXTDZ($A$1,$B81,Z$5,$B$1)</f>
        <v>1379</v>
      </c>
      <c r="AA81" s="55">
        <f>_xll.EQNXTDZ($A$1,$B81,AA$5,$B$1)</f>
        <v>0</v>
      </c>
      <c r="AB81" s="55">
        <f>_xll.EQNXTDZ($A$1,$B81,AB$5,$B$1)</f>
        <v>1470</v>
      </c>
      <c r="AC81" s="55">
        <f>_xll.EQNXTDZ($A$1,$B81,AC$5,$B$1)</f>
        <v>0</v>
      </c>
      <c r="AD81" s="55">
        <f>_xll.EQNXTDZ($A$1,$B81,AD$5,$B$1)</f>
        <v>1544</v>
      </c>
      <c r="AE81" s="55">
        <f>_xll.EQNXTDZ($A$1,$B81,AE$5,$B$1)</f>
        <v>0</v>
      </c>
      <c r="AF81" s="55">
        <f>_xll.EQNXTDZ($A$1,$B81,AF$5,$B$1)</f>
        <v>1630</v>
      </c>
      <c r="AG81" s="55">
        <f>_xll.EQNXTDZ($A$1,$B81,AG$5,$B$1)</f>
        <v>0</v>
      </c>
      <c r="AH81" s="55">
        <f>_xll.EQNXTDZ($A$1,$B81,AH$5,$B$1)</f>
        <v>1835</v>
      </c>
      <c r="AI81" s="55">
        <f>_xll.EQNXTDZ($A$1,$B81,AI$5,$B$1)</f>
        <v>0</v>
      </c>
      <c r="AJ81" s="55">
        <f>_xll.EQNXTDZ($A$1,$B81,AJ$5,$B$1)</f>
        <v>1508</v>
      </c>
      <c r="AK81" s="55">
        <f>_xll.EQNXTDZ($A$1,$B81,AK$5,$B$1)</f>
        <v>0</v>
      </c>
      <c r="AL81" s="55">
        <f>_xll.EQNXTDZ($A$1,$B81,AL$5,$B$1)</f>
        <v>1425</v>
      </c>
      <c r="AM81" s="55">
        <f>_xll.EQNXTDZ($A$1,$B81,AM$5,$B$1)</f>
        <v>0</v>
      </c>
      <c r="AN81" s="55">
        <f>_xll.EQNXTDZ($A$1,$B81,AN$5,$B$1)</f>
        <v>1733</v>
      </c>
      <c r="AO81" s="55">
        <f>_xll.EQNXTDZ($A$1,$B81,AO$5,$B$1)</f>
        <v>0</v>
      </c>
      <c r="AP81" s="55">
        <f>_xll.EQNXTDZ($A$1,$B81,AP$5,$B$1)</f>
        <v>1953</v>
      </c>
      <c r="AQ81" s="55">
        <f>_xll.EQNXTDZ($A$1,$B81,AQ$5,$B$1)</f>
        <v>0</v>
      </c>
      <c r="AR81" s="55">
        <f>_xll.EQNXTDZ($A$1,$B81,AR$5,$B$1)</f>
        <v>2540</v>
      </c>
      <c r="AS81" s="55">
        <f>_xll.EQNXTDZ($A$1,$B81,AS$5,$B$1)</f>
        <v>0</v>
      </c>
      <c r="AT81" s="55">
        <f>_xll.EQNXTDZ($A$1,$B81,AT$5,$B$1)</f>
        <v>1862</v>
      </c>
      <c r="AU81" s="55">
        <f>_xll.EQNXTDZ($A$1,$B81,AU$5,$B$1)</f>
        <v>0</v>
      </c>
      <c r="AV81" s="55">
        <f>_xll.EQNXTDZ($A$1,$B81,AV$5,$B$1)</f>
        <v>1788</v>
      </c>
      <c r="AW81" s="55">
        <f>_xll.EQNXTDZ($A$1,$B81,AW$5,$B$1)</f>
        <v>0</v>
      </c>
      <c r="AX81" s="55">
        <f>_xll.EQNXTDZ($A$1,$B81,AX$5,$B$1)</f>
        <v>1926</v>
      </c>
      <c r="AY81" s="55">
        <f>_xll.EQNXTDZ($A$1,$B81,AY$5,$B$1)</f>
        <v>0</v>
      </c>
      <c r="AZ81" s="55">
        <f>_xll.EQNXTDZ($A$1,$B81,AZ$5,$B$1)</f>
        <v>1703</v>
      </c>
      <c r="BA81" s="55">
        <f>_xll.EQNXTDZ($A$1,$B81,BA$5,$B$1)</f>
        <v>0</v>
      </c>
      <c r="BB81" s="55">
        <f>_xll.EQNXTDZ($A$1,$B81,BB$5,$B$1)</f>
        <v>1889</v>
      </c>
      <c r="BC81" s="55">
        <f>_xll.EQNXTDZ($A$1,$B81,BC$5,$B$1)</f>
        <v>0</v>
      </c>
      <c r="BD81" s="55">
        <f>_xll.EQNXTDZ($A$1,$B81,BD$5,$B$1)</f>
        <v>2255</v>
      </c>
      <c r="BE81" s="55">
        <f>_xll.EQNXTDZ($A$1,$B81,BE$5,$B$1)</f>
        <v>0</v>
      </c>
      <c r="BF81" s="55">
        <f>_xll.EQNXTDZ($A$1,$B81,BF$5,$B$1)</f>
        <v>2054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591.07000000000005</v>
      </c>
      <c r="E82" s="55">
        <f>_xll.EQNXTDZ($A$1,$B82,E$5,$B$1)</f>
        <v>0</v>
      </c>
      <c r="F82" s="55">
        <f>_xll.EQNXTDZ($A$1,$B82,F$5,$B$1)</f>
        <v>402.87</v>
      </c>
      <c r="G82" s="55">
        <f>_xll.EQNXTDZ($A$1,$B82,G$5,$B$1)</f>
        <v>0</v>
      </c>
      <c r="H82" s="55">
        <f>_xll.EQNXTDZ($A$1,$B82,H$5,$B$1)</f>
        <v>471.06</v>
      </c>
      <c r="I82" s="55">
        <f>_xll.EQNXTDZ($A$1,$B82,I$5,$B$1)</f>
        <v>0</v>
      </c>
      <c r="J82" s="55">
        <f>_xll.EQNXTDZ($A$1,$B82,J$5,$B$1)</f>
        <v>399.51</v>
      </c>
      <c r="K82" s="55">
        <f>_xll.EQNXTDZ($A$1,$B82,K$5,$B$1)</f>
        <v>0</v>
      </c>
      <c r="L82" s="55">
        <f>_xll.EQNXTDZ($A$1,$B82,L$5,$B$1)</f>
        <v>713.58</v>
      </c>
      <c r="M82" s="55">
        <f>_xll.EQNXTDZ($A$1,$B82,M$5,$B$1)</f>
        <v>0</v>
      </c>
      <c r="N82" s="55">
        <f>_xll.EQNXTDZ($A$1,$B82,N$5,$B$1)</f>
        <v>658.82</v>
      </c>
      <c r="O82" s="55">
        <f>_xll.EQNXTDZ($A$1,$B82,O$5,$B$1)</f>
        <v>0</v>
      </c>
      <c r="P82" s="55">
        <f>_xll.EQNXTDZ($A$1,$B82,P$5,$B$1)</f>
        <v>301.51</v>
      </c>
      <c r="Q82" s="55">
        <f>_xll.EQNXTDZ($A$1,$B82,Q$5,$B$1)</f>
        <v>0</v>
      </c>
      <c r="R82" s="55">
        <f>_xll.EQNXTDZ($A$1,$B82,R$5,$B$1)</f>
        <v>106.79</v>
      </c>
      <c r="S82" s="55">
        <f>_xll.EQNXTDZ($A$1,$B82,S$5,$B$1)</f>
        <v>0</v>
      </c>
      <c r="T82" s="55">
        <f>_xll.EQNXTDZ($A$1,$B82,T$5,$B$1)</f>
        <v>472.92</v>
      </c>
      <c r="U82" s="55">
        <f>_xll.EQNXTDZ($A$1,$B82,U$5,$B$1)</f>
        <v>0</v>
      </c>
      <c r="V82" s="55">
        <f>_xll.EQNXTDZ($A$1,$B82,V$5,$B$1)</f>
        <v>136</v>
      </c>
      <c r="W82" s="55">
        <f>_xll.EQNXTDZ($A$1,$B82,W$5,$B$1)</f>
        <v>0</v>
      </c>
      <c r="X82" s="55">
        <f>_xll.EQNXTDZ($A$1,$B82,X$5,$B$1)</f>
        <v>362</v>
      </c>
      <c r="Y82" s="55">
        <f>_xll.EQNXTDZ($A$1,$B82,Y$5,$B$1)</f>
        <v>0</v>
      </c>
      <c r="Z82" s="55">
        <f>_xll.EQNXTDZ($A$1,$B82,Z$5,$B$1)</f>
        <v>184</v>
      </c>
      <c r="AA82" s="55">
        <f>_xll.EQNXTDZ($A$1,$B82,AA$5,$B$1)</f>
        <v>0</v>
      </c>
      <c r="AB82" s="55">
        <f>_xll.EQNXTDZ($A$1,$B82,AB$5,$B$1)</f>
        <v>215</v>
      </c>
      <c r="AC82" s="55">
        <f>_xll.EQNXTDZ($A$1,$B82,AC$5,$B$1)</f>
        <v>0</v>
      </c>
      <c r="AD82" s="55">
        <f>_xll.EQNXTDZ($A$1,$B82,AD$5,$B$1)</f>
        <v>196</v>
      </c>
      <c r="AE82" s="55">
        <f>_xll.EQNXTDZ($A$1,$B82,AE$5,$B$1)</f>
        <v>0</v>
      </c>
      <c r="AF82" s="55">
        <f>_xll.EQNXTDZ($A$1,$B82,AF$5,$B$1)</f>
        <v>302</v>
      </c>
      <c r="AG82" s="55">
        <f>_xll.EQNXTDZ($A$1,$B82,AG$5,$B$1)</f>
        <v>0</v>
      </c>
      <c r="AH82" s="55">
        <f>_xll.EQNXTDZ($A$1,$B82,AH$5,$B$1)</f>
        <v>379</v>
      </c>
      <c r="AI82" s="55">
        <f>_xll.EQNXTDZ($A$1,$B82,AI$5,$B$1)</f>
        <v>0</v>
      </c>
      <c r="AJ82" s="55">
        <f>_xll.EQNXTDZ($A$1,$B82,AJ$5,$B$1)</f>
        <v>506</v>
      </c>
      <c r="AK82" s="55">
        <f>_xll.EQNXTDZ($A$1,$B82,AK$5,$B$1)</f>
        <v>0</v>
      </c>
      <c r="AL82" s="55">
        <f>_xll.EQNXTDZ($A$1,$B82,AL$5,$B$1)</f>
        <v>406</v>
      </c>
      <c r="AM82" s="55">
        <f>_xll.EQNXTDZ($A$1,$B82,AM$5,$B$1)</f>
        <v>0</v>
      </c>
      <c r="AN82" s="55">
        <f>_xll.EQNXTDZ($A$1,$B82,AN$5,$B$1)</f>
        <v>455</v>
      </c>
      <c r="AO82" s="55">
        <f>_xll.EQNXTDZ($A$1,$B82,AO$5,$B$1)</f>
        <v>0</v>
      </c>
      <c r="AP82" s="55">
        <f>_xll.EQNXTDZ($A$1,$B82,AP$5,$B$1)</f>
        <v>716</v>
      </c>
      <c r="AQ82" s="55">
        <f>_xll.EQNXTDZ($A$1,$B82,AQ$5,$B$1)</f>
        <v>0</v>
      </c>
      <c r="AR82" s="55">
        <f>_xll.EQNXTDZ($A$1,$B82,AR$5,$B$1)</f>
        <v>371</v>
      </c>
      <c r="AS82" s="55">
        <f>_xll.EQNXTDZ($A$1,$B82,AS$5,$B$1)</f>
        <v>0</v>
      </c>
      <c r="AT82" s="55">
        <f>_xll.EQNXTDZ($A$1,$B82,AT$5,$B$1)</f>
        <v>380</v>
      </c>
      <c r="AU82" s="55">
        <f>_xll.EQNXTDZ($A$1,$B82,AU$5,$B$1)</f>
        <v>0</v>
      </c>
      <c r="AV82" s="55">
        <f>_xll.EQNXTDZ($A$1,$B82,AV$5,$B$1)</f>
        <v>216</v>
      </c>
      <c r="AW82" s="55">
        <f>_xll.EQNXTDZ($A$1,$B82,AW$5,$B$1)</f>
        <v>0</v>
      </c>
      <c r="AX82" s="55">
        <f>_xll.EQNXTDZ($A$1,$B82,AX$5,$B$1)</f>
        <v>155</v>
      </c>
      <c r="AY82" s="55">
        <f>_xll.EQNXTDZ($A$1,$B82,AY$5,$B$1)</f>
        <v>0</v>
      </c>
      <c r="AZ82" s="55">
        <f>_xll.EQNXTDZ($A$1,$B82,AZ$5,$B$1)</f>
        <v>270</v>
      </c>
      <c r="BA82" s="55">
        <f>_xll.EQNXTDZ($A$1,$B82,BA$5,$B$1)</f>
        <v>0</v>
      </c>
      <c r="BB82" s="55">
        <f>_xll.EQNXTDZ($A$1,$B82,BB$5,$B$1)</f>
        <v>117</v>
      </c>
      <c r="BC82" s="55">
        <f>_xll.EQNXTDZ($A$1,$B82,BC$5,$B$1)</f>
        <v>0</v>
      </c>
      <c r="BD82" s="55">
        <f>_xll.EQNXTDZ($A$1,$B82,BD$5,$B$1)</f>
        <v>175</v>
      </c>
      <c r="BE82" s="55">
        <f>_xll.EQNXTDZ($A$1,$B82,BE$5,$B$1)</f>
        <v>0</v>
      </c>
      <c r="BF82" s="55">
        <f>_xll.EQNXTDZ($A$1,$B82,BF$5,$B$1)</f>
        <v>399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7295.29</v>
      </c>
      <c r="E83" s="55">
        <f>_xll.EQNXTDZ($A$1,$B83,E$5,$B$1)</f>
        <v>0</v>
      </c>
      <c r="F83" s="55">
        <f>_xll.EQNXTDZ($A$1,$B83,F$5,$B$1)</f>
        <v>6942.1</v>
      </c>
      <c r="G83" s="55">
        <f>_xll.EQNXTDZ($A$1,$B83,G$5,$B$1)</f>
        <v>0</v>
      </c>
      <c r="H83" s="55">
        <f>_xll.EQNXTDZ($A$1,$B83,H$5,$B$1)</f>
        <v>4919.3599999999997</v>
      </c>
      <c r="I83" s="55">
        <f>_xll.EQNXTDZ($A$1,$B83,I$5,$B$1)</f>
        <v>0</v>
      </c>
      <c r="J83" s="55">
        <f>_xll.EQNXTDZ($A$1,$B83,J$5,$B$1)</f>
        <v>3031.42</v>
      </c>
      <c r="K83" s="55">
        <f>_xll.EQNXTDZ($A$1,$B83,K$5,$B$1)</f>
        <v>0</v>
      </c>
      <c r="L83" s="55">
        <f>_xll.EQNXTDZ($A$1,$B83,L$5,$B$1)</f>
        <v>24.32</v>
      </c>
      <c r="M83" s="55">
        <f>_xll.EQNXTDZ($A$1,$B83,M$5,$B$1)</f>
        <v>0</v>
      </c>
      <c r="N83" s="55">
        <f>_xll.EQNXTDZ($A$1,$B83,N$5,$B$1)</f>
        <v>3531.51</v>
      </c>
      <c r="O83" s="55">
        <f>_xll.EQNXTDZ($A$1,$B83,O$5,$B$1)</f>
        <v>0</v>
      </c>
      <c r="P83" s="55">
        <f>_xll.EQNXTDZ($A$1,$B83,P$5,$B$1)</f>
        <v>3728.22</v>
      </c>
      <c r="Q83" s="55">
        <f>_xll.EQNXTDZ($A$1,$B83,Q$5,$B$1)</f>
        <v>0</v>
      </c>
      <c r="R83" s="55">
        <f>_xll.EQNXTDZ($A$1,$B83,R$5,$B$1)</f>
        <v>52.85</v>
      </c>
      <c r="S83" s="55">
        <f>_xll.EQNXTDZ($A$1,$B83,S$5,$B$1)</f>
        <v>0</v>
      </c>
      <c r="T83" s="55">
        <f>_xll.EQNXTDZ($A$1,$B83,T$5,$B$1)</f>
        <v>36.25</v>
      </c>
      <c r="U83" s="55">
        <f>_xll.EQNXTDZ($A$1,$B83,U$5,$B$1)</f>
        <v>0</v>
      </c>
      <c r="V83" s="55">
        <f>_xll.EQNXTDZ($A$1,$B83,V$5,$B$1)</f>
        <v>8380</v>
      </c>
      <c r="W83" s="55">
        <f>_xll.EQNXTDZ($A$1,$B83,W$5,$B$1)</f>
        <v>0</v>
      </c>
      <c r="X83" s="55">
        <f>_xll.EQNXTDZ($A$1,$B83,X$5,$B$1)</f>
        <v>6</v>
      </c>
      <c r="Y83" s="55">
        <f>_xll.EQNXTDZ($A$1,$B83,Y$5,$B$1)</f>
        <v>0</v>
      </c>
      <c r="Z83" s="55">
        <f>_xll.EQNXTDZ($A$1,$B83,Z$5,$B$1)</f>
        <v>1964</v>
      </c>
      <c r="AA83" s="55">
        <f>_xll.EQNXTDZ($A$1,$B83,AA$5,$B$1)</f>
        <v>0</v>
      </c>
      <c r="AB83" s="55">
        <f>_xll.EQNXTDZ($A$1,$B83,AB$5,$B$1)</f>
        <v>82</v>
      </c>
      <c r="AC83" s="55">
        <f>_xll.EQNXTDZ($A$1,$B83,AC$5,$B$1)</f>
        <v>0</v>
      </c>
      <c r="AD83" s="55">
        <f>_xll.EQNXTDZ($A$1,$B83,AD$5,$B$1)</f>
        <v>23</v>
      </c>
      <c r="AE83" s="55">
        <f>_xll.EQNXTDZ($A$1,$B83,AE$5,$B$1)</f>
        <v>0</v>
      </c>
      <c r="AF83" s="55">
        <f>_xll.EQNXTDZ($A$1,$B83,AF$5,$B$1)</f>
        <v>639</v>
      </c>
      <c r="AG83" s="55">
        <f>_xll.EQNXTDZ($A$1,$B83,AG$5,$B$1)</f>
        <v>0</v>
      </c>
      <c r="AH83" s="55">
        <f>_xll.EQNXTDZ($A$1,$B83,AH$5,$B$1)</f>
        <v>1918</v>
      </c>
      <c r="AI83" s="55">
        <f>_xll.EQNXTDZ($A$1,$B83,AI$5,$B$1)</f>
        <v>0</v>
      </c>
      <c r="AJ83" s="55">
        <f>_xll.EQNXTDZ($A$1,$B83,AJ$5,$B$1)</f>
        <v>12148</v>
      </c>
      <c r="AK83" s="55">
        <f>_xll.EQNXTDZ($A$1,$B83,AK$5,$B$1)</f>
        <v>0</v>
      </c>
      <c r="AL83" s="55">
        <f>_xll.EQNXTDZ($A$1,$B83,AL$5,$B$1)</f>
        <v>9376</v>
      </c>
      <c r="AM83" s="55">
        <f>_xll.EQNXTDZ($A$1,$B83,AM$5,$B$1)</f>
        <v>0</v>
      </c>
      <c r="AN83" s="55">
        <f>_xll.EQNXTDZ($A$1,$B83,AN$5,$B$1)</f>
        <v>7146</v>
      </c>
      <c r="AO83" s="55">
        <f>_xll.EQNXTDZ($A$1,$B83,AO$5,$B$1)</f>
        <v>0</v>
      </c>
      <c r="AP83" s="55">
        <f>_xll.EQNXTDZ($A$1,$B83,AP$5,$B$1)</f>
        <v>5763</v>
      </c>
      <c r="AQ83" s="55">
        <f>_xll.EQNXTDZ($A$1,$B83,AQ$5,$B$1)</f>
        <v>0</v>
      </c>
      <c r="AR83" s="55">
        <f>_xll.EQNXTDZ($A$1,$B83,AR$5,$B$1)</f>
        <v>4333</v>
      </c>
      <c r="AS83" s="55">
        <f>_xll.EQNXTDZ($A$1,$B83,AS$5,$B$1)</f>
        <v>0</v>
      </c>
      <c r="AT83" s="55">
        <f>_xll.EQNXTDZ($A$1,$B83,AT$5,$B$1)</f>
        <v>1412</v>
      </c>
      <c r="AU83" s="55">
        <f>_xll.EQNXTDZ($A$1,$B83,AU$5,$B$1)</f>
        <v>0</v>
      </c>
      <c r="AV83" s="55">
        <f>_xll.EQNXTDZ($A$1,$B83,AV$5,$B$1)</f>
        <v>586</v>
      </c>
      <c r="AW83" s="55">
        <f>_xll.EQNXTDZ($A$1,$B83,AW$5,$B$1)</f>
        <v>0</v>
      </c>
      <c r="AX83" s="55">
        <f>_xll.EQNXTDZ($A$1,$B83,AX$5,$B$1)</f>
        <v>175</v>
      </c>
      <c r="AY83" s="55">
        <f>_xll.EQNXTDZ($A$1,$B83,AY$5,$B$1)</f>
        <v>0</v>
      </c>
      <c r="AZ83" s="55">
        <f>_xll.EQNXTDZ($A$1,$B83,AZ$5,$B$1)</f>
        <v>218</v>
      </c>
      <c r="BA83" s="55">
        <f>_xll.EQNXTDZ($A$1,$B83,BA$5,$B$1)</f>
        <v>0</v>
      </c>
      <c r="BB83" s="55">
        <f>_xll.EQNXTDZ($A$1,$B83,BB$5,$B$1)</f>
        <v>177</v>
      </c>
      <c r="BC83" s="55">
        <f>_xll.EQNXTDZ($A$1,$B83,BC$5,$B$1)</f>
        <v>0</v>
      </c>
      <c r="BD83" s="55">
        <f>_xll.EQNXTDZ($A$1,$B83,BD$5,$B$1)</f>
        <v>151</v>
      </c>
      <c r="BE83" s="55">
        <f>_xll.EQNXTDZ($A$1,$B83,BE$5,$B$1)</f>
        <v>0</v>
      </c>
      <c r="BF83" s="55">
        <f>_xll.EQNXTDZ($A$1,$B83,BF$5,$B$1)</f>
        <v>319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216.77</v>
      </c>
      <c r="E84" s="55">
        <f>_xll.EQNXTDZ($A$1,$B84,E$5,$B$1)</f>
        <v>0</v>
      </c>
      <c r="F84" s="55">
        <f>_xll.EQNXTDZ($A$1,$B84,F$5,$B$1)</f>
        <v>393.08</v>
      </c>
      <c r="G84" s="55">
        <f>_xll.EQNXTDZ($A$1,$B84,G$5,$B$1)</f>
        <v>0</v>
      </c>
      <c r="H84" s="55">
        <f>_xll.EQNXTDZ($A$1,$B84,H$5,$B$1)</f>
        <v>765.02</v>
      </c>
      <c r="I84" s="55">
        <f>_xll.EQNXTDZ($A$1,$B84,I$5,$B$1)</f>
        <v>0</v>
      </c>
      <c r="J84" s="55">
        <f>_xll.EQNXTDZ($A$1,$B84,J$5,$B$1)</f>
        <v>629.73</v>
      </c>
      <c r="K84" s="55">
        <f>_xll.EQNXTDZ($A$1,$B84,K$5,$B$1)</f>
        <v>0</v>
      </c>
      <c r="L84" s="55">
        <f>_xll.EQNXTDZ($A$1,$B84,L$5,$B$1)</f>
        <v>138.81</v>
      </c>
      <c r="M84" s="55">
        <f>_xll.EQNXTDZ($A$1,$B84,M$5,$B$1)</f>
        <v>0</v>
      </c>
      <c r="N84" s="55">
        <f>_xll.EQNXTDZ($A$1,$B84,N$5,$B$1)</f>
        <v>183.99</v>
      </c>
      <c r="O84" s="55">
        <f>_xll.EQNXTDZ($A$1,$B84,O$5,$B$1)</f>
        <v>0</v>
      </c>
      <c r="P84" s="55">
        <f>_xll.EQNXTDZ($A$1,$B84,P$5,$B$1)</f>
        <v>346.28</v>
      </c>
      <c r="Q84" s="55">
        <f>_xll.EQNXTDZ($A$1,$B84,Q$5,$B$1)</f>
        <v>0</v>
      </c>
      <c r="R84" s="55">
        <f>_xll.EQNXTDZ($A$1,$B84,R$5,$B$1)</f>
        <v>472.05</v>
      </c>
      <c r="S84" s="55">
        <f>_xll.EQNXTDZ($A$1,$B84,S$5,$B$1)</f>
        <v>0</v>
      </c>
      <c r="T84" s="55">
        <f>_xll.EQNXTDZ($A$1,$B84,T$5,$B$1)</f>
        <v>527.48</v>
      </c>
      <c r="U84" s="55">
        <f>_xll.EQNXTDZ($A$1,$B84,U$5,$B$1)</f>
        <v>0</v>
      </c>
      <c r="V84" s="55">
        <f>_xll.EQNXTDZ($A$1,$B84,V$5,$B$1)</f>
        <v>413</v>
      </c>
      <c r="W84" s="55">
        <f>_xll.EQNXTDZ($A$1,$B84,W$5,$B$1)</f>
        <v>0</v>
      </c>
      <c r="X84" s="55">
        <f>_xll.EQNXTDZ($A$1,$B84,X$5,$B$1)</f>
        <v>853</v>
      </c>
      <c r="Y84" s="55">
        <f>_xll.EQNXTDZ($A$1,$B84,Y$5,$B$1)</f>
        <v>0</v>
      </c>
      <c r="Z84" s="55">
        <f>_xll.EQNXTDZ($A$1,$B84,Z$5,$B$1)</f>
        <v>393</v>
      </c>
      <c r="AA84" s="55">
        <f>_xll.EQNXTDZ($A$1,$B84,AA$5,$B$1)</f>
        <v>0</v>
      </c>
      <c r="AB84" s="55">
        <f>_xll.EQNXTDZ($A$1,$B84,AB$5,$B$1)</f>
        <v>323</v>
      </c>
      <c r="AC84" s="55">
        <f>_xll.EQNXTDZ($A$1,$B84,AC$5,$B$1)</f>
        <v>0</v>
      </c>
      <c r="AD84" s="55">
        <f>_xll.EQNXTDZ($A$1,$B84,AD$5,$B$1)</f>
        <v>318</v>
      </c>
      <c r="AE84" s="55">
        <f>_xll.EQNXTDZ($A$1,$B84,AE$5,$B$1)</f>
        <v>0</v>
      </c>
      <c r="AF84" s="55">
        <f>_xll.EQNXTDZ($A$1,$B84,AF$5,$B$1)</f>
        <v>202</v>
      </c>
      <c r="AG84" s="55">
        <f>_xll.EQNXTDZ($A$1,$B84,AG$5,$B$1)</f>
        <v>0</v>
      </c>
      <c r="AH84" s="55">
        <f>_xll.EQNXTDZ($A$1,$B84,AH$5,$B$1)</f>
        <v>350</v>
      </c>
      <c r="AI84" s="55">
        <f>_xll.EQNXTDZ($A$1,$B84,AI$5,$B$1)</f>
        <v>0</v>
      </c>
      <c r="AJ84" s="55">
        <f>_xll.EQNXTDZ($A$1,$B84,AJ$5,$B$1)</f>
        <v>328</v>
      </c>
      <c r="AK84" s="55">
        <f>_xll.EQNXTDZ($A$1,$B84,AK$5,$B$1)</f>
        <v>0</v>
      </c>
      <c r="AL84" s="55">
        <f>_xll.EQNXTDZ($A$1,$B84,AL$5,$B$1)</f>
        <v>402</v>
      </c>
      <c r="AM84" s="55">
        <f>_xll.EQNXTDZ($A$1,$B84,AM$5,$B$1)</f>
        <v>0</v>
      </c>
      <c r="AN84" s="55">
        <f>_xll.EQNXTDZ($A$1,$B84,AN$5,$B$1)</f>
        <v>377</v>
      </c>
      <c r="AO84" s="55">
        <f>_xll.EQNXTDZ($A$1,$B84,AO$5,$B$1)</f>
        <v>0</v>
      </c>
      <c r="AP84" s="55">
        <f>_xll.EQNXTDZ($A$1,$B84,AP$5,$B$1)</f>
        <v>496</v>
      </c>
      <c r="AQ84" s="55">
        <f>_xll.EQNXTDZ($A$1,$B84,AQ$5,$B$1)</f>
        <v>0</v>
      </c>
      <c r="AR84" s="55">
        <f>_xll.EQNXTDZ($A$1,$B84,AR$5,$B$1)</f>
        <v>607</v>
      </c>
      <c r="AS84" s="55">
        <f>_xll.EQNXTDZ($A$1,$B84,AS$5,$B$1)</f>
        <v>0</v>
      </c>
      <c r="AT84" s="55">
        <f>_xll.EQNXTDZ($A$1,$B84,AT$5,$B$1)</f>
        <v>1297</v>
      </c>
      <c r="AU84" s="55">
        <f>_xll.EQNXTDZ($A$1,$B84,AU$5,$B$1)</f>
        <v>0</v>
      </c>
      <c r="AV84" s="55">
        <f>_xll.EQNXTDZ($A$1,$B84,AV$5,$B$1)</f>
        <v>820</v>
      </c>
      <c r="AW84" s="55">
        <f>_xll.EQNXTDZ($A$1,$B84,AW$5,$B$1)</f>
        <v>0</v>
      </c>
      <c r="AX84" s="55">
        <f>_xll.EQNXTDZ($A$1,$B84,AX$5,$B$1)</f>
        <v>494</v>
      </c>
      <c r="AY84" s="55">
        <f>_xll.EQNXTDZ($A$1,$B84,AY$5,$B$1)</f>
        <v>0</v>
      </c>
      <c r="AZ84" s="55">
        <f>_xll.EQNXTDZ($A$1,$B84,AZ$5,$B$1)</f>
        <v>650</v>
      </c>
      <c r="BA84" s="55">
        <f>_xll.EQNXTDZ($A$1,$B84,BA$5,$B$1)</f>
        <v>0</v>
      </c>
      <c r="BB84" s="55">
        <f>_xll.EQNXTDZ($A$1,$B84,BB$5,$B$1)</f>
        <v>293</v>
      </c>
      <c r="BC84" s="55">
        <f>_xll.EQNXTDZ($A$1,$B84,BC$5,$B$1)</f>
        <v>0</v>
      </c>
      <c r="BD84" s="55">
        <f>_xll.EQNXTDZ($A$1,$B84,BD$5,$B$1)</f>
        <v>897</v>
      </c>
      <c r="BE84" s="55">
        <f>_xll.EQNXTDZ($A$1,$B84,BE$5,$B$1)</f>
        <v>0</v>
      </c>
      <c r="BF84" s="55">
        <f>_xll.EQNXTDZ($A$1,$B84,BF$5,$B$1)</f>
        <v>473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141.68</v>
      </c>
      <c r="E85" s="55">
        <f>_xll.EQNXTDZ($A$1,$B85,E$5,$B$1)</f>
        <v>0</v>
      </c>
      <c r="F85" s="55">
        <f>_xll.EQNXTDZ($A$1,$B85,F$5,$B$1)</f>
        <v>373.32</v>
      </c>
      <c r="G85" s="55">
        <f>_xll.EQNXTDZ($A$1,$B85,G$5,$B$1)</f>
        <v>0</v>
      </c>
      <c r="H85" s="55">
        <f>_xll.EQNXTDZ($A$1,$B85,H$5,$B$1)</f>
        <v>243.04</v>
      </c>
      <c r="I85" s="55">
        <f>_xll.EQNXTDZ($A$1,$B85,I$5,$B$1)</f>
        <v>0</v>
      </c>
      <c r="J85" s="55">
        <f>_xll.EQNXTDZ($A$1,$B85,J$5,$B$1)</f>
        <v>283.83</v>
      </c>
      <c r="K85" s="55">
        <f>_xll.EQNXTDZ($A$1,$B85,K$5,$B$1)</f>
        <v>0</v>
      </c>
      <c r="L85" s="55">
        <f>_xll.EQNXTDZ($A$1,$B85,L$5,$B$1)</f>
        <v>340.88</v>
      </c>
      <c r="M85" s="55">
        <f>_xll.EQNXTDZ($A$1,$B85,M$5,$B$1)</f>
        <v>0</v>
      </c>
      <c r="N85" s="55">
        <f>_xll.EQNXTDZ($A$1,$B85,N$5,$B$1)</f>
        <v>364.14</v>
      </c>
      <c r="O85" s="55">
        <f>_xll.EQNXTDZ($A$1,$B85,O$5,$B$1)</f>
        <v>0</v>
      </c>
      <c r="P85" s="55">
        <f>_xll.EQNXTDZ($A$1,$B85,P$5,$B$1)</f>
        <v>384.04</v>
      </c>
      <c r="Q85" s="55">
        <f>_xll.EQNXTDZ($A$1,$B85,Q$5,$B$1)</f>
        <v>0</v>
      </c>
      <c r="R85" s="55">
        <f>_xll.EQNXTDZ($A$1,$B85,R$5,$B$1)</f>
        <v>1.54</v>
      </c>
      <c r="S85" s="55">
        <f>_xll.EQNXTDZ($A$1,$B85,S$5,$B$1)</f>
        <v>0</v>
      </c>
      <c r="T85" s="55">
        <f>_xll.EQNXTDZ($A$1,$B85,T$5,$B$1)</f>
        <v>1.29</v>
      </c>
      <c r="U85" s="55">
        <f>_xll.EQNXTDZ($A$1,$B85,U$5,$B$1)</f>
        <v>0</v>
      </c>
      <c r="V85" s="55">
        <f>_xll.EQNXTDZ($A$1,$B85,V$5,$B$1)</f>
        <v>1</v>
      </c>
      <c r="W85" s="55">
        <f>_xll.EQNXTDZ($A$1,$B85,W$5,$B$1)</f>
        <v>0</v>
      </c>
      <c r="X85" s="55">
        <f>_xll.EQNXTDZ($A$1,$B85,X$5,$B$1)</f>
        <v>1</v>
      </c>
      <c r="Y85" s="55">
        <f>_xll.EQNXTDZ($A$1,$B85,Y$5,$B$1)</f>
        <v>0</v>
      </c>
      <c r="Z85" s="55">
        <f>_xll.EQNXTDZ($A$1,$B85,Z$5,$B$1)</f>
        <v>1</v>
      </c>
      <c r="AA85" s="55">
        <f>_xll.EQNXTDZ($A$1,$B85,AA$5,$B$1)</f>
        <v>0</v>
      </c>
      <c r="AB85" s="55">
        <f>_xll.EQNXTDZ($A$1,$B85,AB$5,$B$1)</f>
        <v>1</v>
      </c>
      <c r="AC85" s="55">
        <f>_xll.EQNXTDZ($A$1,$B85,AC$5,$B$1)</f>
        <v>0</v>
      </c>
      <c r="AD85" s="55">
        <f>_xll.EQNXTDZ($A$1,$B85,AD$5,$B$1)</f>
        <v>3</v>
      </c>
      <c r="AE85" s="55">
        <f>_xll.EQNXTDZ($A$1,$B85,AE$5,$B$1)</f>
        <v>0</v>
      </c>
      <c r="AF85" s="55">
        <f>_xll.EQNXTDZ($A$1,$B85,AF$5,$B$1)</f>
        <v>2</v>
      </c>
      <c r="AG85" s="55">
        <f>_xll.EQNXTDZ($A$1,$B85,AG$5,$B$1)</f>
        <v>0</v>
      </c>
      <c r="AH85" s="55">
        <f>_xll.EQNXTDZ($A$1,$B85,AH$5,$B$1)</f>
        <v>2</v>
      </c>
      <c r="AI85" s="55">
        <f>_xll.EQNXTDZ($A$1,$B85,AI$5,$B$1)</f>
        <v>0</v>
      </c>
      <c r="AJ85" s="55">
        <f>_xll.EQNXTDZ($A$1,$B85,AJ$5,$B$1)</f>
        <v>2</v>
      </c>
      <c r="AK85" s="55">
        <f>_xll.EQNXTDZ($A$1,$B85,AK$5,$B$1)</f>
        <v>0</v>
      </c>
      <c r="AL85" s="55">
        <f>_xll.EQNXTDZ($A$1,$B85,AL$5,$B$1)</f>
        <v>2</v>
      </c>
      <c r="AM85" s="55">
        <f>_xll.EQNXTDZ($A$1,$B85,AM$5,$B$1)</f>
        <v>0</v>
      </c>
      <c r="AN85" s="55">
        <f>_xll.EQNXTDZ($A$1,$B85,AN$5,$B$1)</f>
        <v>3</v>
      </c>
      <c r="AO85" s="55">
        <f>_xll.EQNXTDZ($A$1,$B85,AO$5,$B$1)</f>
        <v>0</v>
      </c>
      <c r="AP85" s="55">
        <f>_xll.EQNXTDZ($A$1,$B85,AP$5,$B$1)</f>
        <v>2</v>
      </c>
      <c r="AQ85" s="55">
        <f>_xll.EQNXTDZ($A$1,$B85,AQ$5,$B$1)</f>
        <v>0</v>
      </c>
      <c r="AR85" s="55">
        <f>_xll.EQNXTDZ($A$1,$B85,AR$5,$B$1)</f>
        <v>2</v>
      </c>
      <c r="AS85" s="55">
        <f>_xll.EQNXTDZ($A$1,$B85,AS$5,$B$1)</f>
        <v>0</v>
      </c>
      <c r="AT85" s="55">
        <f>_xll.EQNXTDZ($A$1,$B85,AT$5,$B$1)</f>
        <v>3</v>
      </c>
      <c r="AU85" s="55">
        <f>_xll.EQNXTDZ($A$1,$B85,AU$5,$B$1)</f>
        <v>0</v>
      </c>
      <c r="AV85" s="55">
        <f>_xll.EQNXTDZ($A$1,$B85,AV$5,$B$1)</f>
        <v>2</v>
      </c>
      <c r="AW85" s="55">
        <f>_xll.EQNXTDZ($A$1,$B85,AW$5,$B$1)</f>
        <v>0</v>
      </c>
      <c r="AX85" s="55">
        <f>_xll.EQNXTDZ($A$1,$B85,AX$5,$B$1)</f>
        <v>1</v>
      </c>
      <c r="AY85" s="55">
        <f>_xll.EQNXTDZ($A$1,$B85,AY$5,$B$1)</f>
        <v>0</v>
      </c>
      <c r="AZ85" s="55">
        <f>_xll.EQNXTDZ($A$1,$B85,AZ$5,$B$1)</f>
        <v>2</v>
      </c>
      <c r="BA85" s="55">
        <f>_xll.EQNXTDZ($A$1,$B85,BA$5,$B$1)</f>
        <v>0</v>
      </c>
      <c r="BB85" s="55">
        <f>_xll.EQNXTDZ($A$1,$B85,BB$5,$B$1)</f>
        <v>1</v>
      </c>
      <c r="BC85" s="55">
        <f>_xll.EQNXTDZ($A$1,$B85,BC$5,$B$1)</f>
        <v>0</v>
      </c>
      <c r="BD85" s="55">
        <f>_xll.EQNXTDZ($A$1,$B85,BD$5,$B$1)</f>
        <v>1</v>
      </c>
      <c r="BE85" s="55">
        <f>_xll.EQNXTDZ($A$1,$B85,BE$5,$B$1)</f>
        <v>0</v>
      </c>
      <c r="BF85" s="55">
        <f>_xll.EQNXTDZ($A$1,$B85,BF$5,$B$1)</f>
        <v>1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21788.35</v>
      </c>
      <c r="E86" s="55">
        <f>_xll.EQNXTDZ($A$1,$B86,E$5,$B$1)</f>
        <v>0</v>
      </c>
      <c r="F86" s="55">
        <f>_xll.EQNXTDZ($A$1,$B86,F$5,$B$1)</f>
        <v>23759.64</v>
      </c>
      <c r="G86" s="55">
        <f>_xll.EQNXTDZ($A$1,$B86,G$5,$B$1)</f>
        <v>0</v>
      </c>
      <c r="H86" s="55">
        <f>_xll.EQNXTDZ($A$1,$B86,H$5,$B$1)</f>
        <v>26253.61</v>
      </c>
      <c r="I86" s="55">
        <f>_xll.EQNXTDZ($A$1,$B86,I$5,$B$1)</f>
        <v>0</v>
      </c>
      <c r="J86" s="55">
        <f>_xll.EQNXTDZ($A$1,$B86,J$5,$B$1)</f>
        <v>28046.31</v>
      </c>
      <c r="K86" s="55">
        <f>_xll.EQNXTDZ($A$1,$B86,K$5,$B$1)</f>
        <v>0</v>
      </c>
      <c r="L86" s="55">
        <f>_xll.EQNXTDZ($A$1,$B86,L$5,$B$1)</f>
        <v>29807.97</v>
      </c>
      <c r="M86" s="55">
        <f>_xll.EQNXTDZ($A$1,$B86,M$5,$B$1)</f>
        <v>0</v>
      </c>
      <c r="N86" s="55">
        <f>_xll.EQNXTDZ($A$1,$B86,N$5,$B$1)</f>
        <v>33203.800000000003</v>
      </c>
      <c r="O86" s="55">
        <f>_xll.EQNXTDZ($A$1,$B86,O$5,$B$1)</f>
        <v>0</v>
      </c>
      <c r="P86" s="55">
        <f>_xll.EQNXTDZ($A$1,$B86,P$5,$B$1)</f>
        <v>36935.49</v>
      </c>
      <c r="Q86" s="55">
        <f>_xll.EQNXTDZ($A$1,$B86,Q$5,$B$1)</f>
        <v>0</v>
      </c>
      <c r="R86" s="55">
        <f>_xll.EQNXTDZ($A$1,$B86,R$5,$B$1)</f>
        <v>36912.620000000003</v>
      </c>
      <c r="S86" s="55">
        <f>_xll.EQNXTDZ($A$1,$B86,S$5,$B$1)</f>
        <v>0</v>
      </c>
      <c r="T86" s="55">
        <f>_xll.EQNXTDZ($A$1,$B86,T$5,$B$1)</f>
        <v>29370.91</v>
      </c>
      <c r="U86" s="55">
        <f>_xll.EQNXTDZ($A$1,$B86,U$5,$B$1)</f>
        <v>0</v>
      </c>
      <c r="V86" s="55">
        <f>_xll.EQNXTDZ($A$1,$B86,V$5,$B$1)</f>
        <v>34649</v>
      </c>
      <c r="W86" s="55">
        <f>_xll.EQNXTDZ($A$1,$B86,W$5,$B$1)</f>
        <v>0</v>
      </c>
      <c r="X86" s="55">
        <f>_xll.EQNXTDZ($A$1,$B86,X$5,$B$1)</f>
        <v>22853</v>
      </c>
      <c r="Y86" s="55">
        <f>_xll.EQNXTDZ($A$1,$B86,Y$5,$B$1)</f>
        <v>0</v>
      </c>
      <c r="Z86" s="55">
        <f>_xll.EQNXTDZ($A$1,$B86,Z$5,$B$1)</f>
        <v>24143</v>
      </c>
      <c r="AA86" s="55">
        <f>_xll.EQNXTDZ($A$1,$B86,AA$5,$B$1)</f>
        <v>0</v>
      </c>
      <c r="AB86" s="55">
        <f>_xll.EQNXTDZ($A$1,$B86,AB$5,$B$1)</f>
        <v>25324</v>
      </c>
      <c r="AC86" s="55">
        <f>_xll.EQNXTDZ($A$1,$B86,AC$5,$B$1)</f>
        <v>0</v>
      </c>
      <c r="AD86" s="55">
        <f>_xll.EQNXTDZ($A$1,$B86,AD$5,$B$1)</f>
        <v>21572</v>
      </c>
      <c r="AE86" s="55">
        <f>_xll.EQNXTDZ($A$1,$B86,AE$5,$B$1)</f>
        <v>0</v>
      </c>
      <c r="AF86" s="55">
        <f>_xll.EQNXTDZ($A$1,$B86,AF$5,$B$1)</f>
        <v>21785</v>
      </c>
      <c r="AG86" s="55">
        <f>_xll.EQNXTDZ($A$1,$B86,AG$5,$B$1)</f>
        <v>0</v>
      </c>
      <c r="AH86" s="55">
        <f>_xll.EQNXTDZ($A$1,$B86,AH$5,$B$1)</f>
        <v>24813</v>
      </c>
      <c r="AI86" s="55">
        <f>_xll.EQNXTDZ($A$1,$B86,AI$5,$B$1)</f>
        <v>0</v>
      </c>
      <c r="AJ86" s="55">
        <f>_xll.EQNXTDZ($A$1,$B86,AJ$5,$B$1)</f>
        <v>29998</v>
      </c>
      <c r="AK86" s="55">
        <f>_xll.EQNXTDZ($A$1,$B86,AK$5,$B$1)</f>
        <v>0</v>
      </c>
      <c r="AL86" s="55">
        <f>_xll.EQNXTDZ($A$1,$B86,AL$5,$B$1)</f>
        <v>24568</v>
      </c>
      <c r="AM86" s="55">
        <f>_xll.EQNXTDZ($A$1,$B86,AM$5,$B$1)</f>
        <v>0</v>
      </c>
      <c r="AN86" s="55">
        <f>_xll.EQNXTDZ($A$1,$B86,AN$5,$B$1)</f>
        <v>26254</v>
      </c>
      <c r="AO86" s="55">
        <f>_xll.EQNXTDZ($A$1,$B86,AO$5,$B$1)</f>
        <v>0</v>
      </c>
      <c r="AP86" s="55">
        <f>_xll.EQNXTDZ($A$1,$B86,AP$5,$B$1)</f>
        <v>23982</v>
      </c>
      <c r="AQ86" s="55">
        <f>_xll.EQNXTDZ($A$1,$B86,AQ$5,$B$1)</f>
        <v>0</v>
      </c>
      <c r="AR86" s="55">
        <f>_xll.EQNXTDZ($A$1,$B86,AR$5,$B$1)</f>
        <v>21352</v>
      </c>
      <c r="AS86" s="55">
        <f>_xll.EQNXTDZ($A$1,$B86,AS$5,$B$1)</f>
        <v>0</v>
      </c>
      <c r="AT86" s="55">
        <f>_xll.EQNXTDZ($A$1,$B86,AT$5,$B$1)</f>
        <v>14804</v>
      </c>
      <c r="AU86" s="55">
        <f>_xll.EQNXTDZ($A$1,$B86,AU$5,$B$1)</f>
        <v>0</v>
      </c>
      <c r="AV86" s="55">
        <f>_xll.EQNXTDZ($A$1,$B86,AV$5,$B$1)</f>
        <v>14088</v>
      </c>
      <c r="AW86" s="55">
        <f>_xll.EQNXTDZ($A$1,$B86,AW$5,$B$1)</f>
        <v>0</v>
      </c>
      <c r="AX86" s="55">
        <f>_xll.EQNXTDZ($A$1,$B86,AX$5,$B$1)</f>
        <v>12625</v>
      </c>
      <c r="AY86" s="55">
        <f>_xll.EQNXTDZ($A$1,$B86,AY$5,$B$1)</f>
        <v>0</v>
      </c>
      <c r="AZ86" s="55">
        <f>_xll.EQNXTDZ($A$1,$B86,AZ$5,$B$1)</f>
        <v>10466</v>
      </c>
      <c r="BA86" s="55">
        <f>_xll.EQNXTDZ($A$1,$B86,BA$5,$B$1)</f>
        <v>0</v>
      </c>
      <c r="BB86" s="55">
        <f>_xll.EQNXTDZ($A$1,$B86,BB$5,$B$1)</f>
        <v>11626</v>
      </c>
      <c r="BC86" s="55">
        <f>_xll.EQNXTDZ($A$1,$B86,BC$5,$B$1)</f>
        <v>0</v>
      </c>
      <c r="BD86" s="55">
        <f>_xll.EQNXTDZ($A$1,$B86,BD$5,$B$1)</f>
        <v>11318</v>
      </c>
      <c r="BE86" s="55">
        <f>_xll.EQNXTDZ($A$1,$B86,BE$5,$B$1)</f>
        <v>0</v>
      </c>
      <c r="BF86" s="55">
        <f>_xll.EQNXTDZ($A$1,$B86,BF$5,$B$1)</f>
        <v>16600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1134.1500000000001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0.39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0.39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1928.02</v>
      </c>
      <c r="U88" s="55">
        <f>_xll.EQNXTDZ($A$1,$B88,U$5,$B$1)</f>
        <v>0</v>
      </c>
      <c r="V88" s="55">
        <f>_xll.EQNXTDZ($A$1,$B88,V$5,$B$1)</f>
        <v>7908</v>
      </c>
      <c r="W88" s="55">
        <f>_xll.EQNXTDZ($A$1,$B88,W$5,$B$1)</f>
        <v>0</v>
      </c>
      <c r="X88" s="55">
        <f>_xll.EQNXTDZ($A$1,$B88,X$5,$B$1)</f>
        <v>593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2538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611</v>
      </c>
      <c r="AI88" s="55">
        <f>_xll.EQNXTDZ($A$1,$B88,AI$5,$B$1)</f>
        <v>0</v>
      </c>
      <c r="AJ88" s="55">
        <f>_xll.EQNXTDZ($A$1,$B88,AJ$5,$B$1)</f>
        <v>4778</v>
      </c>
      <c r="AK88" s="55">
        <f>_xll.EQNXTDZ($A$1,$B88,AK$5,$B$1)</f>
        <v>0</v>
      </c>
      <c r="AL88" s="55">
        <f>_xll.EQNXTDZ($A$1,$B88,AL$5,$B$1)</f>
        <v>2865</v>
      </c>
      <c r="AM88" s="55">
        <f>_xll.EQNXTDZ($A$1,$B88,AM$5,$B$1)</f>
        <v>0</v>
      </c>
      <c r="AN88" s="55">
        <f>_xll.EQNXTDZ($A$1,$B88,AN$5,$B$1)</f>
        <v>2448</v>
      </c>
      <c r="AO88" s="55">
        <f>_xll.EQNXTDZ($A$1,$B88,AO$5,$B$1)</f>
        <v>0</v>
      </c>
      <c r="AP88" s="55">
        <f>_xll.EQNXTDZ($A$1,$B88,AP$5,$B$1)</f>
        <v>712</v>
      </c>
      <c r="AQ88" s="55">
        <f>_xll.EQNXTDZ($A$1,$B88,AQ$5,$B$1)</f>
        <v>0</v>
      </c>
      <c r="AR88" s="55">
        <f>_xll.EQNXTDZ($A$1,$B88,AR$5,$B$1)</f>
        <v>2111</v>
      </c>
      <c r="AS88" s="55">
        <f>_xll.EQNXTDZ($A$1,$B88,AS$5,$B$1)</f>
        <v>0</v>
      </c>
      <c r="AT88" s="55">
        <f>_xll.EQNXTDZ($A$1,$B88,AT$5,$B$1)</f>
        <v>10341</v>
      </c>
      <c r="AU88" s="55">
        <f>_xll.EQNXTDZ($A$1,$B88,AU$5,$B$1)</f>
        <v>0</v>
      </c>
      <c r="AV88" s="55">
        <f>_xll.EQNXTDZ($A$1,$B88,AV$5,$B$1)</f>
        <v>7127</v>
      </c>
      <c r="AW88" s="55">
        <f>_xll.EQNXTDZ($A$1,$B88,AW$5,$B$1)</f>
        <v>0</v>
      </c>
      <c r="AX88" s="55">
        <f>_xll.EQNXTDZ($A$1,$B88,AX$5,$B$1)</f>
        <v>4210</v>
      </c>
      <c r="AY88" s="55">
        <f>_xll.EQNXTDZ($A$1,$B88,AY$5,$B$1)</f>
        <v>0</v>
      </c>
      <c r="AZ88" s="55">
        <f>_xll.EQNXTDZ($A$1,$B88,AZ$5,$B$1)</f>
        <v>9421</v>
      </c>
      <c r="BA88" s="55">
        <f>_xll.EQNXTDZ($A$1,$B88,BA$5,$B$1)</f>
        <v>0</v>
      </c>
      <c r="BB88" s="55">
        <f>_xll.EQNXTDZ($A$1,$B88,BB$5,$B$1)</f>
        <v>4661</v>
      </c>
      <c r="BC88" s="55">
        <f>_xll.EQNXTDZ($A$1,$B88,BC$5,$B$1)</f>
        <v>0</v>
      </c>
      <c r="BD88" s="55">
        <f>_xll.EQNXTDZ($A$1,$B88,BD$5,$B$1)</f>
        <v>5928</v>
      </c>
      <c r="BE88" s="55">
        <f>_xll.EQNXTDZ($A$1,$B88,BE$5,$B$1)</f>
        <v>0</v>
      </c>
      <c r="BF88" s="55">
        <f>_xll.EQNXTDZ($A$1,$B88,BF$5,$B$1)</f>
        <v>3638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403.47</v>
      </c>
      <c r="G89" s="55">
        <f>_xll.EQNXTDZ($A$1,$B89,G$5,$B$1)</f>
        <v>0</v>
      </c>
      <c r="H89" s="55">
        <f>_xll.EQNXTDZ($A$1,$B89,H$5,$B$1)</f>
        <v>563.57000000000005</v>
      </c>
      <c r="I89" s="55">
        <f>_xll.EQNXTDZ($A$1,$B89,I$5,$B$1)</f>
        <v>0</v>
      </c>
      <c r="J89" s="55">
        <f>_xll.EQNXTDZ($A$1,$B89,J$5,$B$1)</f>
        <v>510.32</v>
      </c>
      <c r="K89" s="55">
        <f>_xll.EQNXTDZ($A$1,$B89,K$5,$B$1)</f>
        <v>0</v>
      </c>
      <c r="L89" s="55">
        <f>_xll.EQNXTDZ($A$1,$B89,L$5,$B$1)</f>
        <v>586.89</v>
      </c>
      <c r="M89" s="55">
        <f>_xll.EQNXTDZ($A$1,$B89,M$5,$B$1)</f>
        <v>0</v>
      </c>
      <c r="N89" s="55">
        <f>_xll.EQNXTDZ($A$1,$B89,N$5,$B$1)</f>
        <v>630.79</v>
      </c>
      <c r="O89" s="55">
        <f>_xll.EQNXTDZ($A$1,$B89,O$5,$B$1)</f>
        <v>0</v>
      </c>
      <c r="P89" s="55">
        <f>_xll.EQNXTDZ($A$1,$B89,P$5,$B$1)</f>
        <v>636.04999999999995</v>
      </c>
      <c r="Q89" s="55">
        <f>_xll.EQNXTDZ($A$1,$B89,Q$5,$B$1)</f>
        <v>0</v>
      </c>
      <c r="R89" s="55">
        <f>_xll.EQNXTDZ($A$1,$B89,R$5,$B$1)</f>
        <v>930.6</v>
      </c>
      <c r="S89" s="55">
        <f>_xll.EQNXTDZ($A$1,$B89,S$5,$B$1)</f>
        <v>0</v>
      </c>
      <c r="T89" s="55">
        <f>_xll.EQNXTDZ($A$1,$B89,T$5,$B$1)</f>
        <v>614.54999999999995</v>
      </c>
      <c r="U89" s="55">
        <f>_xll.EQNXTDZ($A$1,$B89,U$5,$B$1)</f>
        <v>0</v>
      </c>
      <c r="V89" s="55">
        <f>_xll.EQNXTDZ($A$1,$B89,V$5,$B$1)</f>
        <v>824</v>
      </c>
      <c r="W89" s="55">
        <f>_xll.EQNXTDZ($A$1,$B89,W$5,$B$1)</f>
        <v>0</v>
      </c>
      <c r="X89" s="55">
        <f>_xll.EQNXTDZ($A$1,$B89,X$5,$B$1)</f>
        <v>1293</v>
      </c>
      <c r="Y89" s="55">
        <f>_xll.EQNXTDZ($A$1,$B89,Y$5,$B$1)</f>
        <v>0</v>
      </c>
      <c r="Z89" s="55">
        <f>_xll.EQNXTDZ($A$1,$B89,Z$5,$B$1)</f>
        <v>947</v>
      </c>
      <c r="AA89" s="55">
        <f>_xll.EQNXTDZ($A$1,$B89,AA$5,$B$1)</f>
        <v>0</v>
      </c>
      <c r="AB89" s="55">
        <f>_xll.EQNXTDZ($A$1,$B89,AB$5,$B$1)</f>
        <v>1013</v>
      </c>
      <c r="AC89" s="55">
        <f>_xll.EQNXTDZ($A$1,$B89,AC$5,$B$1)</f>
        <v>0</v>
      </c>
      <c r="AD89" s="55">
        <f>_xll.EQNXTDZ($A$1,$B89,AD$5,$B$1)</f>
        <v>1174</v>
      </c>
      <c r="AE89" s="55">
        <f>_xll.EQNXTDZ($A$1,$B89,AE$5,$B$1)</f>
        <v>0</v>
      </c>
      <c r="AF89" s="55">
        <f>_xll.EQNXTDZ($A$1,$B89,AF$5,$B$1)</f>
        <v>1300</v>
      </c>
      <c r="AG89" s="55">
        <f>_xll.EQNXTDZ($A$1,$B89,AG$5,$B$1)</f>
        <v>0</v>
      </c>
      <c r="AH89" s="55">
        <f>_xll.EQNXTDZ($A$1,$B89,AH$5,$B$1)</f>
        <v>1488</v>
      </c>
      <c r="AI89" s="55">
        <f>_xll.EQNXTDZ($A$1,$B89,AI$5,$B$1)</f>
        <v>0</v>
      </c>
      <c r="AJ89" s="55">
        <f>_xll.EQNXTDZ($A$1,$B89,AJ$5,$B$1)</f>
        <v>1482</v>
      </c>
      <c r="AK89" s="55">
        <f>_xll.EQNXTDZ($A$1,$B89,AK$5,$B$1)</f>
        <v>0</v>
      </c>
      <c r="AL89" s="55">
        <f>_xll.EQNXTDZ($A$1,$B89,AL$5,$B$1)</f>
        <v>1545</v>
      </c>
      <c r="AM89" s="55">
        <f>_xll.EQNXTDZ($A$1,$B89,AM$5,$B$1)</f>
        <v>0</v>
      </c>
      <c r="AN89" s="55">
        <f>_xll.EQNXTDZ($A$1,$B89,AN$5,$B$1)</f>
        <v>1302</v>
      </c>
      <c r="AO89" s="55">
        <f>_xll.EQNXTDZ($A$1,$B89,AO$5,$B$1)</f>
        <v>0</v>
      </c>
      <c r="AP89" s="55">
        <f>_xll.EQNXTDZ($A$1,$B89,AP$5,$B$1)</f>
        <v>2038</v>
      </c>
      <c r="AQ89" s="55">
        <f>_xll.EQNXTDZ($A$1,$B89,AQ$5,$B$1)</f>
        <v>0</v>
      </c>
      <c r="AR89" s="55">
        <f>_xll.EQNXTDZ($A$1,$B89,AR$5,$B$1)</f>
        <v>1562</v>
      </c>
      <c r="AS89" s="55">
        <f>_xll.EQNXTDZ($A$1,$B89,AS$5,$B$1)</f>
        <v>0</v>
      </c>
      <c r="AT89" s="55">
        <f>_xll.EQNXTDZ($A$1,$B89,AT$5,$B$1)</f>
        <v>2088</v>
      </c>
      <c r="AU89" s="55">
        <f>_xll.EQNXTDZ($A$1,$B89,AU$5,$B$1)</f>
        <v>0</v>
      </c>
      <c r="AV89" s="55">
        <f>_xll.EQNXTDZ($A$1,$B89,AV$5,$B$1)</f>
        <v>1819</v>
      </c>
      <c r="AW89" s="55">
        <f>_xll.EQNXTDZ($A$1,$B89,AW$5,$B$1)</f>
        <v>0</v>
      </c>
      <c r="AX89" s="55">
        <f>_xll.EQNXTDZ($A$1,$B89,AX$5,$B$1)</f>
        <v>2106</v>
      </c>
      <c r="AY89" s="55">
        <f>_xll.EQNXTDZ($A$1,$B89,AY$5,$B$1)</f>
        <v>0</v>
      </c>
      <c r="AZ89" s="55">
        <f>_xll.EQNXTDZ($A$1,$B89,AZ$5,$B$1)</f>
        <v>2390</v>
      </c>
      <c r="BA89" s="55">
        <f>_xll.EQNXTDZ($A$1,$B89,BA$5,$B$1)</f>
        <v>0</v>
      </c>
      <c r="BB89" s="55">
        <f>_xll.EQNXTDZ($A$1,$B89,BB$5,$B$1)</f>
        <v>2204</v>
      </c>
      <c r="BC89" s="55">
        <f>_xll.EQNXTDZ($A$1,$B89,BC$5,$B$1)</f>
        <v>0</v>
      </c>
      <c r="BD89" s="55">
        <f>_xll.EQNXTDZ($A$1,$B89,BD$5,$B$1)</f>
        <v>2244</v>
      </c>
      <c r="BE89" s="55">
        <f>_xll.EQNXTDZ($A$1,$B89,BE$5,$B$1)</f>
        <v>0</v>
      </c>
      <c r="BF89" s="55">
        <f>_xll.EQNXTDZ($A$1,$B89,BF$5,$B$1)</f>
        <v>3073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653.24</v>
      </c>
      <c r="G91" s="55">
        <f>_xll.EQNXTDZ($A$1,$B91,G$5,$B$1)</f>
        <v>0</v>
      </c>
      <c r="H91" s="55">
        <f>_xll.EQNXTDZ($A$1,$B91,H$5,$B$1)</f>
        <v>697.26</v>
      </c>
      <c r="I91" s="55">
        <f>_xll.EQNXTDZ($A$1,$B91,I$5,$B$1)</f>
        <v>0</v>
      </c>
      <c r="J91" s="55">
        <f>_xll.EQNXTDZ($A$1,$B91,J$5,$B$1)</f>
        <v>1018.48</v>
      </c>
      <c r="K91" s="55">
        <f>_xll.EQNXTDZ($A$1,$B91,K$5,$B$1)</f>
        <v>0</v>
      </c>
      <c r="L91" s="55">
        <f>_xll.EQNXTDZ($A$1,$B91,L$5,$B$1)</f>
        <v>1050.99</v>
      </c>
      <c r="M91" s="55">
        <f>_xll.EQNXTDZ($A$1,$B91,M$5,$B$1)</f>
        <v>0</v>
      </c>
      <c r="N91" s="55">
        <f>_xll.EQNXTDZ($A$1,$B91,N$5,$B$1)</f>
        <v>1045.9100000000001</v>
      </c>
      <c r="O91" s="55">
        <f>_xll.EQNXTDZ($A$1,$B91,O$5,$B$1)</f>
        <v>0</v>
      </c>
      <c r="P91" s="55">
        <f>_xll.EQNXTDZ($A$1,$B91,P$5,$B$1)</f>
        <v>4106.41</v>
      </c>
      <c r="Q91" s="55">
        <f>_xll.EQNXTDZ($A$1,$B91,Q$5,$B$1)</f>
        <v>0</v>
      </c>
      <c r="R91" s="55">
        <f>_xll.EQNXTDZ($A$1,$B91,R$5,$B$1)</f>
        <v>14165.32</v>
      </c>
      <c r="S91" s="55">
        <f>_xll.EQNXTDZ($A$1,$B91,S$5,$B$1)</f>
        <v>0</v>
      </c>
      <c r="T91" s="55">
        <f>_xll.EQNXTDZ($A$1,$B91,T$5,$B$1)</f>
        <v>2493.77</v>
      </c>
      <c r="U91" s="55">
        <f>_xll.EQNXTDZ($A$1,$B91,U$5,$B$1)</f>
        <v>0</v>
      </c>
      <c r="V91" s="55">
        <f>_xll.EQNXTDZ($A$1,$B91,V$5,$B$1)</f>
        <v>11481</v>
      </c>
      <c r="W91" s="55">
        <f>_xll.EQNXTDZ($A$1,$B91,W$5,$B$1)</f>
        <v>0</v>
      </c>
      <c r="X91" s="55">
        <f>_xll.EQNXTDZ($A$1,$B91,X$5,$B$1)</f>
        <v>2460</v>
      </c>
      <c r="Y91" s="55">
        <f>_xll.EQNXTDZ($A$1,$B91,Y$5,$B$1)</f>
        <v>0</v>
      </c>
      <c r="Z91" s="55">
        <f>_xll.EQNXTDZ($A$1,$B91,Z$5,$B$1)</f>
        <v>4972</v>
      </c>
      <c r="AA91" s="55">
        <f>_xll.EQNXTDZ($A$1,$B91,AA$5,$B$1)</f>
        <v>0</v>
      </c>
      <c r="AB91" s="55">
        <f>_xll.EQNXTDZ($A$1,$B91,AB$5,$B$1)</f>
        <v>3358</v>
      </c>
      <c r="AC91" s="55">
        <f>_xll.EQNXTDZ($A$1,$B91,AC$5,$B$1)</f>
        <v>0</v>
      </c>
      <c r="AD91" s="55">
        <f>_xll.EQNXTDZ($A$1,$B91,AD$5,$B$1)</f>
        <v>3958</v>
      </c>
      <c r="AE91" s="55">
        <f>_xll.EQNXTDZ($A$1,$B91,AE$5,$B$1)</f>
        <v>0</v>
      </c>
      <c r="AF91" s="55">
        <f>_xll.EQNXTDZ($A$1,$B91,AF$5,$B$1)</f>
        <v>3061</v>
      </c>
      <c r="AG91" s="55">
        <f>_xll.EQNXTDZ($A$1,$B91,AG$5,$B$1)</f>
        <v>0</v>
      </c>
      <c r="AH91" s="55">
        <f>_xll.EQNXTDZ($A$1,$B91,AH$5,$B$1)</f>
        <v>3244</v>
      </c>
      <c r="AI91" s="55">
        <f>_xll.EQNXTDZ($A$1,$B91,AI$5,$B$1)</f>
        <v>0</v>
      </c>
      <c r="AJ91" s="55">
        <f>_xll.EQNXTDZ($A$1,$B91,AJ$5,$B$1)</f>
        <v>3212</v>
      </c>
      <c r="AK91" s="55">
        <f>_xll.EQNXTDZ($A$1,$B91,AK$5,$B$1)</f>
        <v>0</v>
      </c>
      <c r="AL91" s="55">
        <f>_xll.EQNXTDZ($A$1,$B91,AL$5,$B$1)</f>
        <v>3396</v>
      </c>
      <c r="AM91" s="55">
        <f>_xll.EQNXTDZ($A$1,$B91,AM$5,$B$1)</f>
        <v>0</v>
      </c>
      <c r="AN91" s="55">
        <f>_xll.EQNXTDZ($A$1,$B91,AN$5,$B$1)</f>
        <v>2988</v>
      </c>
      <c r="AO91" s="55">
        <f>_xll.EQNXTDZ($A$1,$B91,AO$5,$B$1)</f>
        <v>0</v>
      </c>
      <c r="AP91" s="55">
        <f>_xll.EQNXTDZ($A$1,$B91,AP$5,$B$1)</f>
        <v>3312</v>
      </c>
      <c r="AQ91" s="55">
        <f>_xll.EQNXTDZ($A$1,$B91,AQ$5,$B$1)</f>
        <v>0</v>
      </c>
      <c r="AR91" s="55">
        <f>_xll.EQNXTDZ($A$1,$B91,AR$5,$B$1)</f>
        <v>4602</v>
      </c>
      <c r="AS91" s="55">
        <f>_xll.EQNXTDZ($A$1,$B91,AS$5,$B$1)</f>
        <v>0</v>
      </c>
      <c r="AT91" s="55">
        <f>_xll.EQNXTDZ($A$1,$B91,AT$5,$B$1)</f>
        <v>4998</v>
      </c>
      <c r="AU91" s="55">
        <f>_xll.EQNXTDZ($A$1,$B91,AU$5,$B$1)</f>
        <v>0</v>
      </c>
      <c r="AV91" s="55">
        <f>_xll.EQNXTDZ($A$1,$B91,AV$5,$B$1)</f>
        <v>4863</v>
      </c>
      <c r="AW91" s="55">
        <f>_xll.EQNXTDZ($A$1,$B91,AW$5,$B$1)</f>
        <v>0</v>
      </c>
      <c r="AX91" s="55">
        <f>_xll.EQNXTDZ($A$1,$B91,AX$5,$B$1)</f>
        <v>4504</v>
      </c>
      <c r="AY91" s="55">
        <f>_xll.EQNXTDZ($A$1,$B91,AY$5,$B$1)</f>
        <v>0</v>
      </c>
      <c r="AZ91" s="55">
        <f>_xll.EQNXTDZ($A$1,$B91,AZ$5,$B$1)</f>
        <v>5274</v>
      </c>
      <c r="BA91" s="55">
        <f>_xll.EQNXTDZ($A$1,$B91,BA$5,$B$1)</f>
        <v>0</v>
      </c>
      <c r="BB91" s="55">
        <f>_xll.EQNXTDZ($A$1,$B91,BB$5,$B$1)</f>
        <v>4315</v>
      </c>
      <c r="BC91" s="55">
        <f>_xll.EQNXTDZ($A$1,$B91,BC$5,$B$1)</f>
        <v>0</v>
      </c>
      <c r="BD91" s="55">
        <f>_xll.EQNXTDZ($A$1,$B91,BD$5,$B$1)</f>
        <v>4967</v>
      </c>
      <c r="BE91" s="55">
        <f>_xll.EQNXTDZ($A$1,$B91,BE$5,$B$1)</f>
        <v>0</v>
      </c>
      <c r="BF91" s="55">
        <f>_xll.EQNXTDZ($A$1,$B91,BF$5,$B$1)</f>
        <v>4531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818.08</v>
      </c>
      <c r="E92" s="55">
        <f>_xll.EQNXTDZ($A$1,$B92,E$5,$B$1)</f>
        <v>0</v>
      </c>
      <c r="F92" s="55">
        <f>_xll.EQNXTDZ($A$1,$B92,F$5,$B$1)</f>
        <v>824.87</v>
      </c>
      <c r="G92" s="55">
        <f>_xll.EQNXTDZ($A$1,$B92,G$5,$B$1)</f>
        <v>0</v>
      </c>
      <c r="H92" s="55">
        <f>_xll.EQNXTDZ($A$1,$B92,H$5,$B$1)</f>
        <v>850.35</v>
      </c>
      <c r="I92" s="55">
        <f>_xll.EQNXTDZ($A$1,$B92,I$5,$B$1)</f>
        <v>0</v>
      </c>
      <c r="J92" s="55">
        <f>_xll.EQNXTDZ($A$1,$B92,J$5,$B$1)</f>
        <v>1015.78</v>
      </c>
      <c r="K92" s="55">
        <f>_xll.EQNXTDZ($A$1,$B92,K$5,$B$1)</f>
        <v>0</v>
      </c>
      <c r="L92" s="55">
        <f>_xll.EQNXTDZ($A$1,$B92,L$5,$B$1)</f>
        <v>280.13</v>
      </c>
      <c r="M92" s="55">
        <f>_xll.EQNXTDZ($A$1,$B92,M$5,$B$1)</f>
        <v>0</v>
      </c>
      <c r="N92" s="55">
        <f>_xll.EQNXTDZ($A$1,$B92,N$5,$B$1)</f>
        <v>1311.53</v>
      </c>
      <c r="O92" s="55">
        <f>_xll.EQNXTDZ($A$1,$B92,O$5,$B$1)</f>
        <v>0</v>
      </c>
      <c r="P92" s="55">
        <f>_xll.EQNXTDZ($A$1,$B92,P$5,$B$1)</f>
        <v>419.06</v>
      </c>
      <c r="Q92" s="55">
        <f>_xll.EQNXTDZ($A$1,$B92,Q$5,$B$1)</f>
        <v>0</v>
      </c>
      <c r="R92" s="55">
        <f>_xll.EQNXTDZ($A$1,$B92,R$5,$B$1)</f>
        <v>30.81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17</v>
      </c>
      <c r="W92" s="55">
        <f>_xll.EQNXTDZ($A$1,$B92,W$5,$B$1)</f>
        <v>0</v>
      </c>
      <c r="X92" s="55">
        <f>_xll.EQNXTDZ($A$1,$B92,X$5,$B$1)</f>
        <v>40</v>
      </c>
      <c r="Y92" s="55">
        <f>_xll.EQNXTDZ($A$1,$B92,Y$5,$B$1)</f>
        <v>0</v>
      </c>
      <c r="Z92" s="55">
        <f>_xll.EQNXTDZ($A$1,$B92,Z$5,$B$1)</f>
        <v>86</v>
      </c>
      <c r="AA92" s="55">
        <f>_xll.EQNXTDZ($A$1,$B92,AA$5,$B$1)</f>
        <v>0</v>
      </c>
      <c r="AB92" s="55">
        <f>_xll.EQNXTDZ($A$1,$B92,AB$5,$B$1)</f>
        <v>131</v>
      </c>
      <c r="AC92" s="55">
        <f>_xll.EQNXTDZ($A$1,$B92,AC$5,$B$1)</f>
        <v>0</v>
      </c>
      <c r="AD92" s="55">
        <f>_xll.EQNXTDZ($A$1,$B92,AD$5,$B$1)</f>
        <v>74</v>
      </c>
      <c r="AE92" s="55">
        <f>_xll.EQNXTDZ($A$1,$B92,AE$5,$B$1)</f>
        <v>0</v>
      </c>
      <c r="AF92" s="55">
        <f>_xll.EQNXTDZ($A$1,$B92,AF$5,$B$1)</f>
        <v>110</v>
      </c>
      <c r="AG92" s="55">
        <f>_xll.EQNXTDZ($A$1,$B92,AG$5,$B$1)</f>
        <v>0</v>
      </c>
      <c r="AH92" s="55">
        <f>_xll.EQNXTDZ($A$1,$B92,AH$5,$B$1)</f>
        <v>70</v>
      </c>
      <c r="AI92" s="55">
        <f>_xll.EQNXTDZ($A$1,$B92,AI$5,$B$1)</f>
        <v>0</v>
      </c>
      <c r="AJ92" s="55">
        <f>_xll.EQNXTDZ($A$1,$B92,AJ$5,$B$1)</f>
        <v>69</v>
      </c>
      <c r="AK92" s="55">
        <f>_xll.EQNXTDZ($A$1,$B92,AK$5,$B$1)</f>
        <v>0</v>
      </c>
      <c r="AL92" s="55">
        <f>_xll.EQNXTDZ($A$1,$B92,AL$5,$B$1)</f>
        <v>70</v>
      </c>
      <c r="AM92" s="55">
        <f>_xll.EQNXTDZ($A$1,$B92,AM$5,$B$1)</f>
        <v>0</v>
      </c>
      <c r="AN92" s="55">
        <f>_xll.EQNXTDZ($A$1,$B92,AN$5,$B$1)</f>
        <v>75</v>
      </c>
      <c r="AO92" s="55">
        <f>_xll.EQNXTDZ($A$1,$B92,AO$5,$B$1)</f>
        <v>0</v>
      </c>
      <c r="AP92" s="55">
        <f>_xll.EQNXTDZ($A$1,$B92,AP$5,$B$1)</f>
        <v>32</v>
      </c>
      <c r="AQ92" s="55">
        <f>_xll.EQNXTDZ($A$1,$B92,AQ$5,$B$1)</f>
        <v>0</v>
      </c>
      <c r="AR92" s="55">
        <f>_xll.EQNXTDZ($A$1,$B92,AR$5,$B$1)</f>
        <v>42</v>
      </c>
      <c r="AS92" s="55">
        <f>_xll.EQNXTDZ($A$1,$B92,AS$5,$B$1)</f>
        <v>0</v>
      </c>
      <c r="AT92" s="55">
        <f>_xll.EQNXTDZ($A$1,$B92,AT$5,$B$1)</f>
        <v>26</v>
      </c>
      <c r="AU92" s="55">
        <f>_xll.EQNXTDZ($A$1,$B92,AU$5,$B$1)</f>
        <v>0</v>
      </c>
      <c r="AV92" s="55">
        <f>_xll.EQNXTDZ($A$1,$B92,AV$5,$B$1)</f>
        <v>59</v>
      </c>
      <c r="AW92" s="55">
        <f>_xll.EQNXTDZ($A$1,$B92,AW$5,$B$1)</f>
        <v>0</v>
      </c>
      <c r="AX92" s="55">
        <f>_xll.EQNXTDZ($A$1,$B92,AX$5,$B$1)</f>
        <v>21</v>
      </c>
      <c r="AY92" s="55">
        <f>_xll.EQNXTDZ($A$1,$B92,AY$5,$B$1)</f>
        <v>0</v>
      </c>
      <c r="AZ92" s="55">
        <f>_xll.EQNXTDZ($A$1,$B92,AZ$5,$B$1)</f>
        <v>16</v>
      </c>
      <c r="BA92" s="55">
        <f>_xll.EQNXTDZ($A$1,$B92,BA$5,$B$1)</f>
        <v>0</v>
      </c>
      <c r="BB92" s="55">
        <f>_xll.EQNXTDZ($A$1,$B92,BB$5,$B$1)</f>
        <v>19</v>
      </c>
      <c r="BC92" s="55">
        <f>_xll.EQNXTDZ($A$1,$B92,BC$5,$B$1)</f>
        <v>0</v>
      </c>
      <c r="BD92" s="55">
        <f>_xll.EQNXTDZ($A$1,$B92,BD$5,$B$1)</f>
        <v>17</v>
      </c>
      <c r="BE92" s="55">
        <f>_xll.EQNXTDZ($A$1,$B92,BE$5,$B$1)</f>
        <v>0</v>
      </c>
      <c r="BF92" s="55">
        <f>_xll.EQNXTDZ($A$1,$B92,BF$5,$B$1)</f>
        <v>32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1952.62</v>
      </c>
      <c r="E93" s="55">
        <f>_xll.EQNXTDZ($A$1,$B93,E$5,$B$1)</f>
        <v>0</v>
      </c>
      <c r="F93" s="55">
        <f>_xll.EQNXTDZ($A$1,$B93,F$5,$B$1)</f>
        <v>1881.58</v>
      </c>
      <c r="G93" s="55">
        <f>_xll.EQNXTDZ($A$1,$B93,G$5,$B$1)</f>
        <v>0</v>
      </c>
      <c r="H93" s="55">
        <f>_xll.EQNXTDZ($A$1,$B93,H$5,$B$1)</f>
        <v>2111.5700000000002</v>
      </c>
      <c r="I93" s="55">
        <f>_xll.EQNXTDZ($A$1,$B93,I$5,$B$1)</f>
        <v>0</v>
      </c>
      <c r="J93" s="55">
        <f>_xll.EQNXTDZ($A$1,$B93,J$5,$B$1)</f>
        <v>2544.58</v>
      </c>
      <c r="K93" s="55">
        <f>_xll.EQNXTDZ($A$1,$B93,K$5,$B$1)</f>
        <v>0</v>
      </c>
      <c r="L93" s="55">
        <f>_xll.EQNXTDZ($A$1,$B93,L$5,$B$1)</f>
        <v>1918.01</v>
      </c>
      <c r="M93" s="55">
        <f>_xll.EQNXTDZ($A$1,$B93,M$5,$B$1)</f>
        <v>0</v>
      </c>
      <c r="N93" s="55">
        <f>_xll.EQNXTDZ($A$1,$B93,N$5,$B$1)</f>
        <v>2988.23</v>
      </c>
      <c r="O93" s="55">
        <f>_xll.EQNXTDZ($A$1,$B93,O$5,$B$1)</f>
        <v>0</v>
      </c>
      <c r="P93" s="55">
        <f>_xll.EQNXTDZ($A$1,$B93,P$5,$B$1)</f>
        <v>5161.5200000000004</v>
      </c>
      <c r="Q93" s="55">
        <f>_xll.EQNXTDZ($A$1,$B93,Q$5,$B$1)</f>
        <v>0</v>
      </c>
      <c r="R93" s="55">
        <f>_xll.EQNXTDZ($A$1,$B93,R$5,$B$1)</f>
        <v>15126.73</v>
      </c>
      <c r="S93" s="55">
        <f>_xll.EQNXTDZ($A$1,$B93,S$5,$B$1)</f>
        <v>0</v>
      </c>
      <c r="T93" s="55">
        <f>_xll.EQNXTDZ($A$1,$B93,T$5,$B$1)</f>
        <v>5036.34</v>
      </c>
      <c r="U93" s="55">
        <f>_xll.EQNXTDZ($A$1,$B93,U$5,$B$1)</f>
        <v>0</v>
      </c>
      <c r="V93" s="55">
        <f>_xll.EQNXTDZ($A$1,$B93,V$5,$B$1)</f>
        <v>20230</v>
      </c>
      <c r="W93" s="55">
        <f>_xll.EQNXTDZ($A$1,$B93,W$5,$B$1)</f>
        <v>0</v>
      </c>
      <c r="X93" s="55">
        <f>_xll.EQNXTDZ($A$1,$B93,X$5,$B$1)</f>
        <v>4386</v>
      </c>
      <c r="Y93" s="55">
        <f>_xll.EQNXTDZ($A$1,$B93,Y$5,$B$1)</f>
        <v>0</v>
      </c>
      <c r="Z93" s="55">
        <f>_xll.EQNXTDZ($A$1,$B93,Z$5,$B$1)</f>
        <v>6005</v>
      </c>
      <c r="AA93" s="55">
        <f>_xll.EQNXTDZ($A$1,$B93,AA$5,$B$1)</f>
        <v>0</v>
      </c>
      <c r="AB93" s="55">
        <f>_xll.EQNXTDZ($A$1,$B93,AB$5,$B$1)</f>
        <v>4502</v>
      </c>
      <c r="AC93" s="55">
        <f>_xll.EQNXTDZ($A$1,$B93,AC$5,$B$1)</f>
        <v>0</v>
      </c>
      <c r="AD93" s="55">
        <f>_xll.EQNXTDZ($A$1,$B93,AD$5,$B$1)</f>
        <v>7744</v>
      </c>
      <c r="AE93" s="55">
        <f>_xll.EQNXTDZ($A$1,$B93,AE$5,$B$1)</f>
        <v>0</v>
      </c>
      <c r="AF93" s="55">
        <f>_xll.EQNXTDZ($A$1,$B93,AF$5,$B$1)</f>
        <v>4471</v>
      </c>
      <c r="AG93" s="55">
        <f>_xll.EQNXTDZ($A$1,$B93,AG$5,$B$1)</f>
        <v>0</v>
      </c>
      <c r="AH93" s="55">
        <f>_xll.EQNXTDZ($A$1,$B93,AH$5,$B$1)</f>
        <v>5413</v>
      </c>
      <c r="AI93" s="55">
        <f>_xll.EQNXTDZ($A$1,$B93,AI$5,$B$1)</f>
        <v>0</v>
      </c>
      <c r="AJ93" s="55">
        <f>_xll.EQNXTDZ($A$1,$B93,AJ$5,$B$1)</f>
        <v>9541</v>
      </c>
      <c r="AK93" s="55">
        <f>_xll.EQNXTDZ($A$1,$B93,AK$5,$B$1)</f>
        <v>0</v>
      </c>
      <c r="AL93" s="55">
        <f>_xll.EQNXTDZ($A$1,$B93,AL$5,$B$1)</f>
        <v>7876</v>
      </c>
      <c r="AM93" s="55">
        <f>_xll.EQNXTDZ($A$1,$B93,AM$5,$B$1)</f>
        <v>0</v>
      </c>
      <c r="AN93" s="55">
        <f>_xll.EQNXTDZ($A$1,$B93,AN$5,$B$1)</f>
        <v>6813</v>
      </c>
      <c r="AO93" s="55">
        <f>_xll.EQNXTDZ($A$1,$B93,AO$5,$B$1)</f>
        <v>0</v>
      </c>
      <c r="AP93" s="55">
        <f>_xll.EQNXTDZ($A$1,$B93,AP$5,$B$1)</f>
        <v>6094</v>
      </c>
      <c r="AQ93" s="55">
        <f>_xll.EQNXTDZ($A$1,$B93,AQ$5,$B$1)</f>
        <v>0</v>
      </c>
      <c r="AR93" s="55">
        <f>_xll.EQNXTDZ($A$1,$B93,AR$5,$B$1)</f>
        <v>8317</v>
      </c>
      <c r="AS93" s="55">
        <f>_xll.EQNXTDZ($A$1,$B93,AS$5,$B$1)</f>
        <v>0</v>
      </c>
      <c r="AT93" s="55">
        <f>_xll.EQNXTDZ($A$1,$B93,AT$5,$B$1)</f>
        <v>17453</v>
      </c>
      <c r="AU93" s="55">
        <f>_xll.EQNXTDZ($A$1,$B93,AU$5,$B$1)</f>
        <v>0</v>
      </c>
      <c r="AV93" s="55">
        <f>_xll.EQNXTDZ($A$1,$B93,AV$5,$B$1)</f>
        <v>13868</v>
      </c>
      <c r="AW93" s="55">
        <f>_xll.EQNXTDZ($A$1,$B93,AW$5,$B$1)</f>
        <v>0</v>
      </c>
      <c r="AX93" s="55">
        <f>_xll.EQNXTDZ($A$1,$B93,AX$5,$B$1)</f>
        <v>10841</v>
      </c>
      <c r="AY93" s="55">
        <f>_xll.EQNXTDZ($A$1,$B93,AY$5,$B$1)</f>
        <v>0</v>
      </c>
      <c r="AZ93" s="55">
        <f>_xll.EQNXTDZ($A$1,$B93,AZ$5,$B$1)</f>
        <v>17101</v>
      </c>
      <c r="BA93" s="55">
        <f>_xll.EQNXTDZ($A$1,$B93,BA$5,$B$1)</f>
        <v>0</v>
      </c>
      <c r="BB93" s="55">
        <f>_xll.EQNXTDZ($A$1,$B93,BB$5,$B$1)</f>
        <v>11199</v>
      </c>
      <c r="BC93" s="55">
        <f>_xll.EQNXTDZ($A$1,$B93,BC$5,$B$1)</f>
        <v>0</v>
      </c>
      <c r="BD93" s="55">
        <f>_xll.EQNXTDZ($A$1,$B93,BD$5,$B$1)</f>
        <v>13156</v>
      </c>
      <c r="BE93" s="55">
        <f>_xll.EQNXTDZ($A$1,$B93,BE$5,$B$1)</f>
        <v>0</v>
      </c>
      <c r="BF93" s="55">
        <f>_xll.EQNXTDZ($A$1,$B93,BF$5,$B$1)</f>
        <v>11274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19835.73</v>
      </c>
      <c r="E94" s="55">
        <f>_xll.EQNXTDZ($A$1,$B94,E$5,$B$1)</f>
        <v>0</v>
      </c>
      <c r="F94" s="55">
        <f>_xll.EQNXTDZ($A$1,$B94,F$5,$B$1)</f>
        <v>21878.06</v>
      </c>
      <c r="G94" s="55">
        <f>_xll.EQNXTDZ($A$1,$B94,G$5,$B$1)</f>
        <v>0</v>
      </c>
      <c r="H94" s="55">
        <f>_xll.EQNXTDZ($A$1,$B94,H$5,$B$1)</f>
        <v>24142.04</v>
      </c>
      <c r="I94" s="55">
        <f>_xll.EQNXTDZ($A$1,$B94,I$5,$B$1)</f>
        <v>0</v>
      </c>
      <c r="J94" s="55">
        <f>_xll.EQNXTDZ($A$1,$B94,J$5,$B$1)</f>
        <v>25501.73</v>
      </c>
      <c r="K94" s="55">
        <f>_xll.EQNXTDZ($A$1,$B94,K$5,$B$1)</f>
        <v>0</v>
      </c>
      <c r="L94" s="55">
        <f>_xll.EQNXTDZ($A$1,$B94,L$5,$B$1)</f>
        <v>27889.96</v>
      </c>
      <c r="M94" s="55">
        <f>_xll.EQNXTDZ($A$1,$B94,M$5,$B$1)</f>
        <v>0</v>
      </c>
      <c r="N94" s="55">
        <f>_xll.EQNXTDZ($A$1,$B94,N$5,$B$1)</f>
        <v>30215.57</v>
      </c>
      <c r="O94" s="55">
        <f>_xll.EQNXTDZ($A$1,$B94,O$5,$B$1)</f>
        <v>0</v>
      </c>
      <c r="P94" s="55">
        <f>_xll.EQNXTDZ($A$1,$B94,P$5,$B$1)</f>
        <v>31773.97</v>
      </c>
      <c r="Q94" s="55">
        <f>_xll.EQNXTDZ($A$1,$B94,Q$5,$B$1)</f>
        <v>0</v>
      </c>
      <c r="R94" s="55">
        <f>_xll.EQNXTDZ($A$1,$B94,R$5,$B$1)</f>
        <v>21785.89</v>
      </c>
      <c r="S94" s="55">
        <f>_xll.EQNXTDZ($A$1,$B94,S$5,$B$1)</f>
        <v>0</v>
      </c>
      <c r="T94" s="55">
        <f>_xll.EQNXTDZ($A$1,$B94,T$5,$B$1)</f>
        <v>24334.57</v>
      </c>
      <c r="U94" s="55">
        <f>_xll.EQNXTDZ($A$1,$B94,U$5,$B$1)</f>
        <v>0</v>
      </c>
      <c r="V94" s="55">
        <f>_xll.EQNXTDZ($A$1,$B94,V$5,$B$1)</f>
        <v>14419</v>
      </c>
      <c r="W94" s="55">
        <f>_xll.EQNXTDZ($A$1,$B94,W$5,$B$1)</f>
        <v>0</v>
      </c>
      <c r="X94" s="55">
        <f>_xll.EQNXTDZ($A$1,$B94,X$5,$B$1)</f>
        <v>18467</v>
      </c>
      <c r="Y94" s="55">
        <f>_xll.EQNXTDZ($A$1,$B94,Y$5,$B$1)</f>
        <v>0</v>
      </c>
      <c r="Z94" s="55">
        <f>_xll.EQNXTDZ($A$1,$B94,Z$5,$B$1)</f>
        <v>18138</v>
      </c>
      <c r="AA94" s="55">
        <f>_xll.EQNXTDZ($A$1,$B94,AA$5,$B$1)</f>
        <v>0</v>
      </c>
      <c r="AB94" s="55">
        <f>_xll.EQNXTDZ($A$1,$B94,AB$5,$B$1)</f>
        <v>20822</v>
      </c>
      <c r="AC94" s="55">
        <f>_xll.EQNXTDZ($A$1,$B94,AC$5,$B$1)</f>
        <v>0</v>
      </c>
      <c r="AD94" s="55">
        <f>_xll.EQNXTDZ($A$1,$B94,AD$5,$B$1)</f>
        <v>13828</v>
      </c>
      <c r="AE94" s="55">
        <f>_xll.EQNXTDZ($A$1,$B94,AE$5,$B$1)</f>
        <v>0</v>
      </c>
      <c r="AF94" s="55">
        <f>_xll.EQNXTDZ($A$1,$B94,AF$5,$B$1)</f>
        <v>17314</v>
      </c>
      <c r="AG94" s="55">
        <f>_xll.EQNXTDZ($A$1,$B94,AG$5,$B$1)</f>
        <v>0</v>
      </c>
      <c r="AH94" s="55">
        <f>_xll.EQNXTDZ($A$1,$B94,AH$5,$B$1)</f>
        <v>19400</v>
      </c>
      <c r="AI94" s="55">
        <f>_xll.EQNXTDZ($A$1,$B94,AI$5,$B$1)</f>
        <v>0</v>
      </c>
      <c r="AJ94" s="55">
        <f>_xll.EQNXTDZ($A$1,$B94,AJ$5,$B$1)</f>
        <v>20457</v>
      </c>
      <c r="AK94" s="55">
        <f>_xll.EQNXTDZ($A$1,$B94,AK$5,$B$1)</f>
        <v>0</v>
      </c>
      <c r="AL94" s="55">
        <f>_xll.EQNXTDZ($A$1,$B94,AL$5,$B$1)</f>
        <v>16692</v>
      </c>
      <c r="AM94" s="55">
        <f>_xll.EQNXTDZ($A$1,$B94,AM$5,$B$1)</f>
        <v>0</v>
      </c>
      <c r="AN94" s="55">
        <f>_xll.EQNXTDZ($A$1,$B94,AN$5,$B$1)</f>
        <v>19441</v>
      </c>
      <c r="AO94" s="55">
        <f>_xll.EQNXTDZ($A$1,$B94,AO$5,$B$1)</f>
        <v>0</v>
      </c>
      <c r="AP94" s="55">
        <f>_xll.EQNXTDZ($A$1,$B94,AP$5,$B$1)</f>
        <v>17888</v>
      </c>
      <c r="AQ94" s="55">
        <f>_xll.EQNXTDZ($A$1,$B94,AQ$5,$B$1)</f>
        <v>0</v>
      </c>
      <c r="AR94" s="55">
        <f>_xll.EQNXTDZ($A$1,$B94,AR$5,$B$1)</f>
        <v>13035</v>
      </c>
      <c r="AS94" s="55">
        <f>_xll.EQNXTDZ($A$1,$B94,AS$5,$B$1)</f>
        <v>0</v>
      </c>
      <c r="AT94" s="55">
        <f>_xll.EQNXTDZ($A$1,$B94,AT$5,$B$1)</f>
        <v>-2649</v>
      </c>
      <c r="AU94" s="55">
        <f>_xll.EQNXTDZ($A$1,$B94,AU$5,$B$1)</f>
        <v>0</v>
      </c>
      <c r="AV94" s="55">
        <f>_xll.EQNXTDZ($A$1,$B94,AV$5,$B$1)</f>
        <v>220</v>
      </c>
      <c r="AW94" s="55">
        <f>_xll.EQNXTDZ($A$1,$B94,AW$5,$B$1)</f>
        <v>0</v>
      </c>
      <c r="AX94" s="55">
        <f>_xll.EQNXTDZ($A$1,$B94,AX$5,$B$1)</f>
        <v>1784</v>
      </c>
      <c r="AY94" s="55">
        <f>_xll.EQNXTDZ($A$1,$B94,AY$5,$B$1)</f>
        <v>0</v>
      </c>
      <c r="AZ94" s="55">
        <f>_xll.EQNXTDZ($A$1,$B94,AZ$5,$B$1)</f>
        <v>-6635</v>
      </c>
      <c r="BA94" s="55">
        <f>_xll.EQNXTDZ($A$1,$B94,BA$5,$B$1)</f>
        <v>0</v>
      </c>
      <c r="BB94" s="55">
        <f>_xll.EQNXTDZ($A$1,$B94,BB$5,$B$1)</f>
        <v>427</v>
      </c>
      <c r="BC94" s="55">
        <f>_xll.EQNXTDZ($A$1,$B94,BC$5,$B$1)</f>
        <v>0</v>
      </c>
      <c r="BD94" s="55">
        <f>_xll.EQNXTDZ($A$1,$B94,BD$5,$B$1)</f>
        <v>-1838</v>
      </c>
      <c r="BE94" s="55">
        <f>_xll.EQNXTDZ($A$1,$B94,BE$5,$B$1)</f>
        <v>0</v>
      </c>
      <c r="BF94" s="55">
        <f>_xll.EQNXTDZ($A$1,$B94,BF$5,$B$1)</f>
        <v>5326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-1155.6300000000001</v>
      </c>
      <c r="E96" s="55">
        <f>_xll.EQNXTDZ($A$1,$B96,E$5,$B$1)</f>
        <v>0</v>
      </c>
      <c r="F96" s="55">
        <f>_xll.EQNXTDZ($A$1,$B96,F$5,$B$1)</f>
        <v>-1279.8599999999999</v>
      </c>
      <c r="G96" s="55">
        <f>_xll.EQNXTDZ($A$1,$B96,G$5,$B$1)</f>
        <v>0</v>
      </c>
      <c r="H96" s="55">
        <f>_xll.EQNXTDZ($A$1,$B96,H$5,$B$1)</f>
        <v>-1430.97</v>
      </c>
      <c r="I96" s="55">
        <f>_xll.EQNXTDZ($A$1,$B96,I$5,$B$1)</f>
        <v>0</v>
      </c>
      <c r="J96" s="55">
        <f>_xll.EQNXTDZ($A$1,$B96,J$5,$B$1)</f>
        <v>-1658.11</v>
      </c>
      <c r="K96" s="55">
        <f>_xll.EQNXTDZ($A$1,$B96,K$5,$B$1)</f>
        <v>0</v>
      </c>
      <c r="L96" s="55">
        <f>_xll.EQNXTDZ($A$1,$B96,L$5,$B$1)</f>
        <v>-1751.97</v>
      </c>
      <c r="M96" s="55">
        <f>_xll.EQNXTDZ($A$1,$B96,M$5,$B$1)</f>
        <v>0</v>
      </c>
      <c r="N96" s="55">
        <f>_xll.EQNXTDZ($A$1,$B96,N$5,$B$1)</f>
        <v>-2518.62</v>
      </c>
      <c r="O96" s="55">
        <f>_xll.EQNXTDZ($A$1,$B96,O$5,$B$1)</f>
        <v>0</v>
      </c>
      <c r="P96" s="55">
        <f>_xll.EQNXTDZ($A$1,$B96,P$5,$B$1)</f>
        <v>-2809.87</v>
      </c>
      <c r="Q96" s="55">
        <f>_xll.EQNXTDZ($A$1,$B96,Q$5,$B$1)</f>
        <v>0</v>
      </c>
      <c r="R96" s="55">
        <f>_xll.EQNXTDZ($A$1,$B96,R$5,$B$1)</f>
        <v>2497.85</v>
      </c>
      <c r="S96" s="55">
        <f>_xll.EQNXTDZ($A$1,$B96,S$5,$B$1)</f>
        <v>0</v>
      </c>
      <c r="T96" s="55">
        <f>_xll.EQNXTDZ($A$1,$B96,T$5,$B$1)</f>
        <v>2559.1</v>
      </c>
      <c r="U96" s="55">
        <f>_xll.EQNXTDZ($A$1,$B96,U$5,$B$1)</f>
        <v>0</v>
      </c>
      <c r="V96" s="55">
        <f>_xll.EQNXTDZ($A$1,$B96,V$5,$B$1)</f>
        <v>2748</v>
      </c>
      <c r="W96" s="55">
        <f>_xll.EQNXTDZ($A$1,$B96,W$5,$B$1)</f>
        <v>0</v>
      </c>
      <c r="X96" s="55">
        <f>_xll.EQNXTDZ($A$1,$B96,X$5,$B$1)</f>
        <v>2677</v>
      </c>
      <c r="Y96" s="55">
        <f>_xll.EQNXTDZ($A$1,$B96,Y$5,$B$1)</f>
        <v>0</v>
      </c>
      <c r="Z96" s="55">
        <f>_xll.EQNXTDZ($A$1,$B96,Z$5,$B$1)</f>
        <v>2208</v>
      </c>
      <c r="AA96" s="55">
        <f>_xll.EQNXTDZ($A$1,$B96,AA$5,$B$1)</f>
        <v>0</v>
      </c>
      <c r="AB96" s="55">
        <f>_xll.EQNXTDZ($A$1,$B96,AB$5,$B$1)</f>
        <v>2081</v>
      </c>
      <c r="AC96" s="55">
        <f>_xll.EQNXTDZ($A$1,$B96,AC$5,$B$1)</f>
        <v>0</v>
      </c>
      <c r="AD96" s="55">
        <f>_xll.EQNXTDZ($A$1,$B96,AD$5,$B$1)</f>
        <v>1925</v>
      </c>
      <c r="AE96" s="55">
        <f>_xll.EQNXTDZ($A$1,$B96,AE$5,$B$1)</f>
        <v>0</v>
      </c>
      <c r="AF96" s="55">
        <f>_xll.EQNXTDZ($A$1,$B96,AF$5,$B$1)</f>
        <v>2127</v>
      </c>
      <c r="AG96" s="55">
        <f>_xll.EQNXTDZ($A$1,$B96,AG$5,$B$1)</f>
        <v>0</v>
      </c>
      <c r="AH96" s="55">
        <f>_xll.EQNXTDZ($A$1,$B96,AH$5,$B$1)</f>
        <v>1822</v>
      </c>
      <c r="AI96" s="55">
        <f>_xll.EQNXTDZ($A$1,$B96,AI$5,$B$1)</f>
        <v>0</v>
      </c>
      <c r="AJ96" s="55">
        <f>_xll.EQNXTDZ($A$1,$B96,AJ$5,$B$1)</f>
        <v>1574</v>
      </c>
      <c r="AK96" s="55">
        <f>_xll.EQNXTDZ($A$1,$B96,AK$5,$B$1)</f>
        <v>0</v>
      </c>
      <c r="AL96" s="55">
        <f>_xll.EQNXTDZ($A$1,$B96,AL$5,$B$1)</f>
        <v>1058</v>
      </c>
      <c r="AM96" s="55">
        <f>_xll.EQNXTDZ($A$1,$B96,AM$5,$B$1)</f>
        <v>0</v>
      </c>
      <c r="AN96" s="55">
        <f>_xll.EQNXTDZ($A$1,$B96,AN$5,$B$1)</f>
        <v>180</v>
      </c>
      <c r="AO96" s="55">
        <f>_xll.EQNXTDZ($A$1,$B96,AO$5,$B$1)</f>
        <v>0</v>
      </c>
      <c r="AP96" s="55">
        <f>_xll.EQNXTDZ($A$1,$B96,AP$5,$B$1)</f>
        <v>-942</v>
      </c>
      <c r="AQ96" s="55">
        <f>_xll.EQNXTDZ($A$1,$B96,AQ$5,$B$1)</f>
        <v>0</v>
      </c>
      <c r="AR96" s="55">
        <f>_xll.EQNXTDZ($A$1,$B96,AR$5,$B$1)</f>
        <v>-1711</v>
      </c>
      <c r="AS96" s="55">
        <f>_xll.EQNXTDZ($A$1,$B96,AS$5,$B$1)</f>
        <v>0</v>
      </c>
      <c r="AT96" s="55">
        <f>_xll.EQNXTDZ($A$1,$B96,AT$5,$B$1)</f>
        <v>-2314</v>
      </c>
      <c r="AU96" s="55">
        <f>_xll.EQNXTDZ($A$1,$B96,AU$5,$B$1)</f>
        <v>0</v>
      </c>
      <c r="AV96" s="55">
        <f>_xll.EQNXTDZ($A$1,$B96,AV$5,$B$1)</f>
        <v>-2279</v>
      </c>
      <c r="AW96" s="55">
        <f>_xll.EQNXTDZ($A$1,$B96,AW$5,$B$1)</f>
        <v>0</v>
      </c>
      <c r="AX96" s="55">
        <f>_xll.EQNXTDZ($A$1,$B96,AX$5,$B$1)</f>
        <v>-2311</v>
      </c>
      <c r="AY96" s="55">
        <f>_xll.EQNXTDZ($A$1,$B96,AY$5,$B$1)</f>
        <v>0</v>
      </c>
      <c r="AZ96" s="55">
        <f>_xll.EQNXTDZ($A$1,$B96,AZ$5,$B$1)</f>
        <v>-2225</v>
      </c>
      <c r="BA96" s="55">
        <f>_xll.EQNXTDZ($A$1,$B96,BA$5,$B$1)</f>
        <v>0</v>
      </c>
      <c r="BB96" s="55">
        <f>_xll.EQNXTDZ($A$1,$B96,BB$5,$B$1)</f>
        <v>-2292</v>
      </c>
      <c r="BC96" s="55">
        <f>_xll.EQNXTDZ($A$1,$B96,BC$5,$B$1)</f>
        <v>0</v>
      </c>
      <c r="BD96" s="55">
        <f>_xll.EQNXTDZ($A$1,$B96,BD$5,$B$1)</f>
        <v>-2189</v>
      </c>
      <c r="BE96" s="55">
        <f>_xll.EQNXTDZ($A$1,$B96,BE$5,$B$1)</f>
        <v>0</v>
      </c>
      <c r="BF96" s="55">
        <f>_xll.EQNXTDZ($A$1,$B96,BF$5,$B$1)</f>
        <v>-2265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29233.18</v>
      </c>
      <c r="E97" s="55">
        <f>_xll.EQNXTDZ($A$1,$B97,E$5,$B$1)</f>
        <v>0</v>
      </c>
      <c r="F97" s="55">
        <f>_xll.EQNXTDZ($A$1,$B97,F$5,$B$1)</f>
        <v>32303.97</v>
      </c>
      <c r="G97" s="55">
        <f>_xll.EQNXTDZ($A$1,$B97,G$5,$B$1)</f>
        <v>0</v>
      </c>
      <c r="H97" s="55">
        <f>_xll.EQNXTDZ($A$1,$B97,H$5,$B$1)</f>
        <v>34807.17</v>
      </c>
      <c r="I97" s="55">
        <f>_xll.EQNXTDZ($A$1,$B97,I$5,$B$1)</f>
        <v>0</v>
      </c>
      <c r="J97" s="55">
        <f>_xll.EQNXTDZ($A$1,$B97,J$5,$B$1)</f>
        <v>37473.980000000003</v>
      </c>
      <c r="K97" s="55">
        <f>_xll.EQNXTDZ($A$1,$B97,K$5,$B$1)</f>
        <v>0</v>
      </c>
      <c r="L97" s="55">
        <f>_xll.EQNXTDZ($A$1,$B97,L$5,$B$1)</f>
        <v>40387.15</v>
      </c>
      <c r="M97" s="55">
        <f>_xll.EQNXTDZ($A$1,$B97,M$5,$B$1)</f>
        <v>0</v>
      </c>
      <c r="N97" s="55">
        <f>_xll.EQNXTDZ($A$1,$B97,N$5,$B$1)</f>
        <v>43485.15</v>
      </c>
      <c r="O97" s="55">
        <f>_xll.EQNXTDZ($A$1,$B97,O$5,$B$1)</f>
        <v>0</v>
      </c>
      <c r="P97" s="55">
        <f>_xll.EQNXTDZ($A$1,$B97,P$5,$B$1)</f>
        <v>45773.23</v>
      </c>
      <c r="Q97" s="55">
        <f>_xll.EQNXTDZ($A$1,$B97,Q$5,$B$1)</f>
        <v>0</v>
      </c>
      <c r="R97" s="55">
        <f>_xll.EQNXTDZ($A$1,$B97,R$5,$B$1)</f>
        <v>38068.07</v>
      </c>
      <c r="S97" s="55">
        <f>_xll.EQNXTDZ($A$1,$B97,S$5,$B$1)</f>
        <v>0</v>
      </c>
      <c r="T97" s="55">
        <f>_xll.EQNXTDZ($A$1,$B97,T$5,$B$1)</f>
        <v>41018.92</v>
      </c>
      <c r="U97" s="55">
        <f>_xll.EQNXTDZ($A$1,$B97,U$5,$B$1)</f>
        <v>0</v>
      </c>
      <c r="V97" s="55">
        <f>_xll.EQNXTDZ($A$1,$B97,V$5,$B$1)</f>
        <v>31565</v>
      </c>
      <c r="W97" s="55">
        <f>_xll.EQNXTDZ($A$1,$B97,W$5,$B$1)</f>
        <v>0</v>
      </c>
      <c r="X97" s="55">
        <f>_xll.EQNXTDZ($A$1,$B97,X$5,$B$1)</f>
        <v>35979</v>
      </c>
      <c r="Y97" s="55">
        <f>_xll.EQNXTDZ($A$1,$B97,Y$5,$B$1)</f>
        <v>0</v>
      </c>
      <c r="Z97" s="55">
        <f>_xll.EQNXTDZ($A$1,$B97,Z$5,$B$1)</f>
        <v>36927</v>
      </c>
      <c r="AA97" s="55">
        <f>_xll.EQNXTDZ($A$1,$B97,AA$5,$B$1)</f>
        <v>0</v>
      </c>
      <c r="AB97" s="55">
        <f>_xll.EQNXTDZ($A$1,$B97,AB$5,$B$1)</f>
        <v>40687</v>
      </c>
      <c r="AC97" s="55">
        <f>_xll.EQNXTDZ($A$1,$B97,AC$5,$B$1)</f>
        <v>0</v>
      </c>
      <c r="AD97" s="55">
        <f>_xll.EQNXTDZ($A$1,$B97,AD$5,$B$1)</f>
        <v>34714</v>
      </c>
      <c r="AE97" s="55">
        <f>_xll.EQNXTDZ($A$1,$B97,AE$5,$B$1)</f>
        <v>0</v>
      </c>
      <c r="AF97" s="55">
        <f>_xll.EQNXTDZ($A$1,$B97,AF$5,$B$1)</f>
        <v>38584</v>
      </c>
      <c r="AG97" s="55">
        <f>_xll.EQNXTDZ($A$1,$B97,AG$5,$B$1)</f>
        <v>0</v>
      </c>
      <c r="AH97" s="55">
        <f>_xll.EQNXTDZ($A$1,$B97,AH$5,$B$1)</f>
        <v>41562</v>
      </c>
      <c r="AI97" s="55">
        <f>_xll.EQNXTDZ($A$1,$B97,AI$5,$B$1)</f>
        <v>0</v>
      </c>
      <c r="AJ97" s="55">
        <f>_xll.EQNXTDZ($A$1,$B97,AJ$5,$B$1)</f>
        <v>42208</v>
      </c>
      <c r="AK97" s="55">
        <f>_xll.EQNXTDZ($A$1,$B97,AK$5,$B$1)</f>
        <v>0</v>
      </c>
      <c r="AL97" s="55">
        <f>_xll.EQNXTDZ($A$1,$B97,AL$5,$B$1)</f>
        <v>37851</v>
      </c>
      <c r="AM97" s="55">
        <f>_xll.EQNXTDZ($A$1,$B97,AM$5,$B$1)</f>
        <v>0</v>
      </c>
      <c r="AN97" s="55">
        <f>_xll.EQNXTDZ($A$1,$B97,AN$5,$B$1)</f>
        <v>39617</v>
      </c>
      <c r="AO97" s="55">
        <f>_xll.EQNXTDZ($A$1,$B97,AO$5,$B$1)</f>
        <v>0</v>
      </c>
      <c r="AP97" s="55">
        <f>_xll.EQNXTDZ($A$1,$B97,AP$5,$B$1)</f>
        <v>37634</v>
      </c>
      <c r="AQ97" s="55">
        <f>_xll.EQNXTDZ($A$1,$B97,AQ$5,$B$1)</f>
        <v>0</v>
      </c>
      <c r="AR97" s="55">
        <f>_xll.EQNXTDZ($A$1,$B97,AR$5,$B$1)</f>
        <v>32519</v>
      </c>
      <c r="AS97" s="55">
        <f>_xll.EQNXTDZ($A$1,$B97,AS$5,$B$1)</f>
        <v>0</v>
      </c>
      <c r="AT97" s="55">
        <f>_xll.EQNXTDZ($A$1,$B97,AT$5,$B$1)</f>
        <v>15700</v>
      </c>
      <c r="AU97" s="55">
        <f>_xll.EQNXTDZ($A$1,$B97,AU$5,$B$1)</f>
        <v>0</v>
      </c>
      <c r="AV97" s="55">
        <f>_xll.EQNXTDZ($A$1,$B97,AV$5,$B$1)</f>
        <v>19210</v>
      </c>
      <c r="AW97" s="55">
        <f>_xll.EQNXTDZ($A$1,$B97,AW$5,$B$1)</f>
        <v>0</v>
      </c>
      <c r="AX97" s="55">
        <f>_xll.EQNXTDZ($A$1,$B97,AX$5,$B$1)</f>
        <v>20743</v>
      </c>
      <c r="AY97" s="55">
        <f>_xll.EQNXTDZ($A$1,$B97,AY$5,$B$1)</f>
        <v>0</v>
      </c>
      <c r="AZ97" s="55">
        <f>_xll.EQNXTDZ($A$1,$B97,AZ$5,$B$1)</f>
        <v>13224</v>
      </c>
      <c r="BA97" s="55">
        <f>_xll.EQNXTDZ($A$1,$B97,BA$5,$B$1)</f>
        <v>0</v>
      </c>
      <c r="BB97" s="55">
        <f>_xll.EQNXTDZ($A$1,$B97,BB$5,$B$1)</f>
        <v>20999</v>
      </c>
      <c r="BC97" s="55">
        <f>_xll.EQNXTDZ($A$1,$B97,BC$5,$B$1)</f>
        <v>0</v>
      </c>
      <c r="BD97" s="55">
        <f>_xll.EQNXTDZ($A$1,$B97,BD$5,$B$1)</f>
        <v>20250</v>
      </c>
      <c r="BE97" s="55">
        <f>_xll.EQNXTDZ($A$1,$B97,BE$5,$B$1)</f>
        <v>0</v>
      </c>
      <c r="BF97" s="55">
        <f>_xll.EQNXTDZ($A$1,$B97,BF$5,$B$1)</f>
        <v>28831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100188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Hindustan Zinc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1613.0481</v>
      </c>
      <c r="D6" s="100">
        <f>_xll.EQNXTDZ($A$1,$B6,D$1,$B$1)</f>
        <v>1418.4069999999999</v>
      </c>
      <c r="E6" s="100">
        <f>_xll.EQNXTDZ($A$1,$B6,E$1,$B$1)</f>
        <v>1649.492</v>
      </c>
      <c r="F6" s="100">
        <f>_xll.EQNXTDZ($A$1,$B6,F$1,$B$1)</f>
        <v>2079.0129999999999</v>
      </c>
      <c r="G6" s="100">
        <f>_xll.EQNXTDZ($A$1,$B6,G$1,$B$1)</f>
        <v>2456.11</v>
      </c>
      <c r="H6" s="100">
        <f>_xll.EQNXTDZ($A$1,$B6,H$1,$B$1)</f>
        <v>4326.26</v>
      </c>
      <c r="I6" s="100">
        <f>_xll.EQNXTDZ($A$1,$B6,I$1,$B$1)</f>
        <v>9220.4500000000007</v>
      </c>
      <c r="J6" s="100">
        <f>_xll.EQNXTDZ($A$1,$B6,J$1,$B$1)</f>
        <v>8736.91</v>
      </c>
      <c r="K6" s="100">
        <f>_xll.EQNXTDZ($A$1,$B6,K$1,$B$1)</f>
        <v>6141.47</v>
      </c>
      <c r="L6" s="100">
        <f>_xll.EQNXTDZ($A$1,$B6,L$1,$B$1)</f>
        <v>8437.8700000000008</v>
      </c>
      <c r="M6" s="100">
        <f>_xll.EQNXTDZ($A$1,$B6,M$1,$B$1)</f>
        <v>10616.85</v>
      </c>
      <c r="N6" s="100">
        <f>_xll.EQNXTDZ($A$1,$B6,N$1,$B$1)</f>
        <v>12061.09</v>
      </c>
      <c r="O6" s="100">
        <f>_xll.EQNXTDZ($A$1,$B6,O$1,$B$1)</f>
        <v>13658.14</v>
      </c>
      <c r="P6" s="100">
        <f>_xll.EQNXTDZ($A$1,$B6,P$1,$B$1)</f>
        <v>14933.05</v>
      </c>
      <c r="Q6" s="100">
        <f>_xll.EQNXTDZ($A$1,$B6,Q$1,$B$1)</f>
        <v>16100.08</v>
      </c>
      <c r="R6" s="100">
        <f>_xll.EQNXTDZ($A$1,$B6,R$1,$B$1)</f>
        <v>15463</v>
      </c>
      <c r="S6" s="100">
        <f>_xll.EQNXTDZ($A$1,$B6,S$1,$B$1)</f>
        <v>18798</v>
      </c>
      <c r="T6" s="100">
        <f>_xll.EQNXTDZ($A$1,$B6,T$1,$B$1)</f>
        <v>22519</v>
      </c>
      <c r="U6" s="100">
        <f>_xll.EQNXTDZ($A$1,$B6,U$1,$B$1)</f>
        <v>21118</v>
      </c>
      <c r="V6" s="100">
        <f>_xll.EQNXTDZ($A$1,$B6,V$1,$B$1)</f>
        <v>18561</v>
      </c>
      <c r="W6" s="100">
        <f>_xll.EQNXTDZ($A$1,$B6,W$1,$B$1)</f>
        <v>22629</v>
      </c>
      <c r="X6" s="100">
        <f>_xll.EQNXTDZ($A$1,$B6,X$1,$B$1)</f>
        <v>29440</v>
      </c>
      <c r="Y6" s="100">
        <f>_xll.EQNXTDZ($A$1,$B6,Y$1,$B$1)</f>
        <v>34098</v>
      </c>
      <c r="Z6" s="100">
        <f>_xll.EQNXTDZ($A$1,$B6,Z$1,$B$1)</f>
        <v>28932</v>
      </c>
      <c r="AA6" s="100">
        <f>_xll.EQNXTDZ($A$1,$B6,AA$1,$B$1)</f>
        <v>34083</v>
      </c>
      <c r="AB6" s="100">
        <f>_xll.EQNXTDZ($A$1,$B6,AB$1,$B$1)</f>
        <v>40844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209.3657</v>
      </c>
      <c r="D9" s="100">
        <f>_xll.EQNXTDZ($A$1,$B9,D$1,$B$1)</f>
        <v>183.91800000000001</v>
      </c>
      <c r="E9" s="100">
        <f>_xll.EQNXTDZ($A$1,$B9,E$1,$B$1)</f>
        <v>197.459</v>
      </c>
      <c r="F9" s="100">
        <f>_xll.EQNXTDZ($A$1,$B9,F$1,$B$1)</f>
        <v>237.51900000000001</v>
      </c>
      <c r="G9" s="100">
        <f>_xll.EQNXTDZ($A$1,$B9,G$1,$B$1)</f>
        <v>254</v>
      </c>
      <c r="H9" s="100">
        <f>_xll.EQNXTDZ($A$1,$B9,H$1,$B$1)</f>
        <v>449.29</v>
      </c>
      <c r="I9" s="100">
        <f>_xll.EQNXTDZ($A$1,$B9,I$1,$B$1)</f>
        <v>660.23</v>
      </c>
      <c r="J9" s="100">
        <f>_xll.EQNXTDZ($A$1,$B9,J$1,$B$1)</f>
        <v>859.14</v>
      </c>
      <c r="K9" s="100">
        <f>_xll.EQNXTDZ($A$1,$B9,K$1,$B$1)</f>
        <v>461.2</v>
      </c>
      <c r="L9" s="100">
        <f>_xll.EQNXTDZ($A$1,$B9,L$1,$B$1)</f>
        <v>420.9</v>
      </c>
      <c r="M9" s="100">
        <f>_xll.EQNXTDZ($A$1,$B9,M$1,$B$1)</f>
        <v>577.67999999999995</v>
      </c>
      <c r="N9" s="100">
        <f>_xll.EQNXTDZ($A$1,$B9,N$1,$B$1)</f>
        <v>655.78</v>
      </c>
      <c r="O9" s="100">
        <f>_xll.EQNXTDZ($A$1,$B9,O$1,$B$1)</f>
        <v>958.3</v>
      </c>
      <c r="P9" s="100">
        <f>_xll.EQNXTDZ($A$1,$B9,P$1,$B$1)</f>
        <v>1297.01</v>
      </c>
      <c r="Q9" s="100">
        <f>_xll.EQNXTDZ($A$1,$B9,Q$1,$B$1)</f>
        <v>1311.69</v>
      </c>
      <c r="R9" s="100">
        <f>_xll.EQNXTDZ($A$1,$B9,R$1,$B$1)</f>
        <v>1282</v>
      </c>
      <c r="S9" s="100">
        <f>_xll.EQNXTDZ($A$1,$B9,S$1,$B$1)</f>
        <v>1525</v>
      </c>
      <c r="T9" s="100">
        <f>_xll.EQNXTDZ($A$1,$B9,T$1,$B$1)</f>
        <v>437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1403.6823999999999</v>
      </c>
      <c r="D10" s="100">
        <f>_xll.EQNXTDZ($A$1,$B10,D$1,$B$1)</f>
        <v>1234.489</v>
      </c>
      <c r="E10" s="100">
        <f>_xll.EQNXTDZ($A$1,$B10,E$1,$B$1)</f>
        <v>1452.0329999999999</v>
      </c>
      <c r="F10" s="100">
        <f>_xll.EQNXTDZ($A$1,$B10,F$1,$B$1)</f>
        <v>1841.4939999999999</v>
      </c>
      <c r="G10" s="100">
        <f>_xll.EQNXTDZ($A$1,$B10,G$1,$B$1)</f>
        <v>2202.11</v>
      </c>
      <c r="H10" s="100">
        <f>_xll.EQNXTDZ($A$1,$B10,H$1,$B$1)</f>
        <v>3876.97</v>
      </c>
      <c r="I10" s="100">
        <f>_xll.EQNXTDZ($A$1,$B10,I$1,$B$1)</f>
        <v>8560.2199999999993</v>
      </c>
      <c r="J10" s="100">
        <f>_xll.EQNXTDZ($A$1,$B10,J$1,$B$1)</f>
        <v>7877.77</v>
      </c>
      <c r="K10" s="100">
        <f>_xll.EQNXTDZ($A$1,$B10,K$1,$B$1)</f>
        <v>5680.27</v>
      </c>
      <c r="L10" s="100">
        <f>_xll.EQNXTDZ($A$1,$B10,L$1,$B$1)</f>
        <v>8016.97</v>
      </c>
      <c r="M10" s="100">
        <f>_xll.EQNXTDZ($A$1,$B10,M$1,$B$1)</f>
        <v>10039.17</v>
      </c>
      <c r="N10" s="100">
        <f>_xll.EQNXTDZ($A$1,$B10,N$1,$B$1)</f>
        <v>11405.31</v>
      </c>
      <c r="O10" s="100">
        <f>_xll.EQNXTDZ($A$1,$B10,O$1,$B$1)</f>
        <v>12699.84</v>
      </c>
      <c r="P10" s="100">
        <f>_xll.EQNXTDZ($A$1,$B10,P$1,$B$1)</f>
        <v>13636.04</v>
      </c>
      <c r="Q10" s="100">
        <f>_xll.EQNXTDZ($A$1,$B10,Q$1,$B$1)</f>
        <v>14788.39</v>
      </c>
      <c r="R10" s="100">
        <f>_xll.EQNXTDZ($A$1,$B10,R$1,$B$1)</f>
        <v>14181</v>
      </c>
      <c r="S10" s="100">
        <f>_xll.EQNXTDZ($A$1,$B10,S$1,$B$1)</f>
        <v>17273</v>
      </c>
      <c r="T10" s="100">
        <f>_xll.EQNXTDZ($A$1,$B10,T$1,$B$1)</f>
        <v>22082</v>
      </c>
      <c r="U10" s="100">
        <f>_xll.EQNXTDZ($A$1,$B10,U$1,$B$1)</f>
        <v>21118</v>
      </c>
      <c r="V10" s="100">
        <f>_xll.EQNXTDZ($A$1,$B10,V$1,$B$1)</f>
        <v>18561</v>
      </c>
      <c r="W10" s="100">
        <f>_xll.EQNXTDZ($A$1,$B10,W$1,$B$1)</f>
        <v>22629</v>
      </c>
      <c r="X10" s="100">
        <f>_xll.EQNXTDZ($A$1,$B10,X$1,$B$1)</f>
        <v>29440</v>
      </c>
      <c r="Y10" s="100">
        <f>_xll.EQNXTDZ($A$1,$B10,Y$1,$B$1)</f>
        <v>34098</v>
      </c>
      <c r="Z10" s="100">
        <f>_xll.EQNXTDZ($A$1,$B10,Z$1,$B$1)</f>
        <v>28932</v>
      </c>
      <c r="AA10" s="100">
        <f>_xll.EQNXTDZ($A$1,$B10,AA$1,$B$1)</f>
        <v>34083</v>
      </c>
      <c r="AB10" s="100">
        <f>_xll.EQNXTDZ($A$1,$B10,AB$1,$B$1)</f>
        <v>40844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-19.832000000000001</v>
      </c>
      <c r="D11" s="100">
        <f>_xll.EQNXTDZ($A$1,$B11,D$1,$B$1)</f>
        <v>-4.8849999999999998</v>
      </c>
      <c r="E11" s="100">
        <f>_xll.EQNXTDZ($A$1,$B11,E$1,$B$1)</f>
        <v>99.998000000000005</v>
      </c>
      <c r="F11" s="100">
        <f>_xll.EQNXTDZ($A$1,$B11,F$1,$B$1)</f>
        <v>-17.23</v>
      </c>
      <c r="G11" s="100">
        <f>_xll.EQNXTDZ($A$1,$B11,G$1,$B$1)</f>
        <v>11.95</v>
      </c>
      <c r="H11" s="100">
        <f>_xll.EQNXTDZ($A$1,$B11,H$1,$B$1)</f>
        <v>-30.95</v>
      </c>
      <c r="I11" s="100">
        <f>_xll.EQNXTDZ($A$1,$B11,I$1,$B$1)</f>
        <v>-44.11</v>
      </c>
      <c r="J11" s="100">
        <f>_xll.EQNXTDZ($A$1,$B11,J$1,$B$1)</f>
        <v>41.41</v>
      </c>
      <c r="K11" s="100">
        <f>_xll.EQNXTDZ($A$1,$B11,K$1,$B$1)</f>
        <v>-32.619999999999997</v>
      </c>
      <c r="L11" s="100">
        <f>_xll.EQNXTDZ($A$1,$B11,L$1,$B$1)</f>
        <v>69.13</v>
      </c>
      <c r="M11" s="100">
        <f>_xll.EQNXTDZ($A$1,$B11,M$1,$B$1)</f>
        <v>-151.43</v>
      </c>
      <c r="N11" s="100">
        <f>_xll.EQNXTDZ($A$1,$B11,N$1,$B$1)</f>
        <v>87.36</v>
      </c>
      <c r="O11" s="100">
        <f>_xll.EQNXTDZ($A$1,$B11,O$1,$B$1)</f>
        <v>-104.5</v>
      </c>
      <c r="P11" s="100">
        <f>_xll.EQNXTDZ($A$1,$B11,P$1,$B$1)</f>
        <v>-156.72999999999999</v>
      </c>
      <c r="Q11" s="100">
        <f>_xll.EQNXTDZ($A$1,$B11,Q$1,$B$1)</f>
        <v>-132.78</v>
      </c>
      <c r="R11" s="100">
        <f>_xll.EQNXTDZ($A$1,$B11,R$1,$B$1)</f>
        <v>184</v>
      </c>
      <c r="S11" s="100">
        <f>_xll.EQNXTDZ($A$1,$B11,S$1,$B$1)</f>
        <v>-676</v>
      </c>
      <c r="T11" s="100">
        <f>_xll.EQNXTDZ($A$1,$B11,T$1,$B$1)</f>
        <v>498</v>
      </c>
      <c r="U11" s="100">
        <f>_xll.EQNXTDZ($A$1,$B11,U$1,$B$1)</f>
        <v>-64</v>
      </c>
      <c r="V11" s="100">
        <f>_xll.EQNXTDZ($A$1,$B11,V$1,$B$1)</f>
        <v>-291</v>
      </c>
      <c r="W11" s="100">
        <f>_xll.EQNXTDZ($A$1,$B11,W$1,$B$1)</f>
        <v>239</v>
      </c>
      <c r="X11" s="100">
        <f>_xll.EQNXTDZ($A$1,$B11,X$1,$B$1)</f>
        <v>-278</v>
      </c>
      <c r="Y11" s="100">
        <f>_xll.EQNXTDZ($A$1,$B11,Y$1,$B$1)</f>
        <v>-143</v>
      </c>
      <c r="Z11" s="100">
        <f>_xll.EQNXTDZ($A$1,$B11,Z$1,$B$1)</f>
        <v>-157</v>
      </c>
      <c r="AA11" s="100">
        <f>_xll.EQNXTDZ($A$1,$B11,AA$1,$B$1)</f>
        <v>-64</v>
      </c>
      <c r="AB11" s="100">
        <f>_xll.EQNXTDZ($A$1,$B11,AB$1,$B$1)</f>
        <v>-195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5.4725999999999999</v>
      </c>
      <c r="D12" s="100">
        <f>_xll.EQNXTDZ($A$1,$B12,D$1,$B$1)</f>
        <v>1.0349999999999999</v>
      </c>
      <c r="E12" s="100">
        <f>_xll.EQNXTDZ($A$1,$B12,E$1,$B$1)</f>
        <v>0.107</v>
      </c>
      <c r="F12" s="100">
        <f>_xll.EQNXTDZ($A$1,$B12,F$1,$B$1)</f>
        <v>3.7989999999999999</v>
      </c>
      <c r="G12" s="100">
        <f>_xll.EQNXTDZ($A$1,$B12,G$1,$B$1)</f>
        <v>7.0000000000000007E-2</v>
      </c>
      <c r="H12" s="100">
        <f>_xll.EQNXTDZ($A$1,$B12,H$1,$B$1)</f>
        <v>53.88</v>
      </c>
      <c r="I12" s="100">
        <f>_xll.EQNXTDZ($A$1,$B12,I$1,$B$1)</f>
        <v>0</v>
      </c>
      <c r="J12" s="100">
        <f>_xll.EQNXTDZ($A$1,$B12,J$1,$B$1)</f>
        <v>6.09</v>
      </c>
      <c r="K12" s="100">
        <f>_xll.EQNXTDZ($A$1,$B12,K$1,$B$1)</f>
        <v>40.340000000000003</v>
      </c>
      <c r="L12" s="100">
        <f>_xll.EQNXTDZ($A$1,$B12,L$1,$B$1)</f>
        <v>0</v>
      </c>
      <c r="M12" s="100">
        <f>_xll.EQNXTDZ($A$1,$B12,M$1,$B$1)</f>
        <v>169.23</v>
      </c>
      <c r="N12" s="100">
        <f>_xll.EQNXTDZ($A$1,$B12,N$1,$B$1)</f>
        <v>217.69</v>
      </c>
      <c r="O12" s="100">
        <f>_xll.EQNXTDZ($A$1,$B12,O$1,$B$1)</f>
        <v>766.34</v>
      </c>
      <c r="P12" s="100">
        <f>_xll.EQNXTDZ($A$1,$B12,P$1,$B$1)</f>
        <v>501.26</v>
      </c>
      <c r="Q12" s="100">
        <f>_xll.EQNXTDZ($A$1,$B12,Q$1,$B$1)</f>
        <v>520.75</v>
      </c>
      <c r="R12" s="100">
        <f>_xll.EQNXTDZ($A$1,$B12,R$1,$B$1)</f>
        <v>51</v>
      </c>
      <c r="S12" s="100">
        <f>_xll.EQNXTDZ($A$1,$B12,S$1,$B$1)</f>
        <v>362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262.84460000000001</v>
      </c>
      <c r="D13" s="100">
        <f>_xll.EQNXTDZ($A$1,$B13,D$1,$B$1)</f>
        <v>253.428</v>
      </c>
      <c r="E13" s="100">
        <f>_xll.EQNXTDZ($A$1,$B13,E$1,$B$1)</f>
        <v>265.61599999999999</v>
      </c>
      <c r="F13" s="100">
        <f>_xll.EQNXTDZ($A$1,$B13,F$1,$B$1)</f>
        <v>247.69800000000001</v>
      </c>
      <c r="G13" s="100">
        <f>_xll.EQNXTDZ($A$1,$B13,G$1,$B$1)</f>
        <v>276.74</v>
      </c>
      <c r="H13" s="100">
        <f>_xll.EQNXTDZ($A$1,$B13,H$1,$B$1)</f>
        <v>338.66</v>
      </c>
      <c r="I13" s="100">
        <f>_xll.EQNXTDZ($A$1,$B13,I$1,$B$1)</f>
        <v>402.6</v>
      </c>
      <c r="J13" s="100">
        <f>_xll.EQNXTDZ($A$1,$B13,J$1,$B$1)</f>
        <v>545.38</v>
      </c>
      <c r="K13" s="100">
        <f>_xll.EQNXTDZ($A$1,$B13,K$1,$B$1)</f>
        <v>811.38</v>
      </c>
      <c r="L13" s="100">
        <f>_xll.EQNXTDZ($A$1,$B13,L$1,$B$1)</f>
        <v>723.86</v>
      </c>
      <c r="M13" s="100">
        <f>_xll.EQNXTDZ($A$1,$B13,M$1,$B$1)</f>
        <v>1022.6</v>
      </c>
      <c r="N13" s="100">
        <f>_xll.EQNXTDZ($A$1,$B13,N$1,$B$1)</f>
        <v>1227.8399999999999</v>
      </c>
      <c r="O13" s="100">
        <f>_xll.EQNXTDZ($A$1,$B13,O$1,$B$1)</f>
        <v>1070.46</v>
      </c>
      <c r="P13" s="100">
        <f>_xll.EQNXTDZ($A$1,$B13,P$1,$B$1)</f>
        <v>1155.1300000000001</v>
      </c>
      <c r="Q13" s="100">
        <f>_xll.EQNXTDZ($A$1,$B13,Q$1,$B$1)</f>
        <v>1168.48</v>
      </c>
      <c r="R13" s="100">
        <f>_xll.EQNXTDZ($A$1,$B13,R$1,$B$1)</f>
        <v>1404</v>
      </c>
      <c r="S13" s="100">
        <f>_xll.EQNXTDZ($A$1,$B13,S$1,$B$1)</f>
        <v>1060</v>
      </c>
      <c r="T13" s="100">
        <f>_xll.EQNXTDZ($A$1,$B13,T$1,$B$1)</f>
        <v>1653</v>
      </c>
      <c r="U13" s="100">
        <f>_xll.EQNXTDZ($A$1,$B13,U$1,$B$1)</f>
        <v>1758</v>
      </c>
      <c r="V13" s="100">
        <f>_xll.EQNXTDZ($A$1,$B13,V$1,$B$1)</f>
        <v>1704</v>
      </c>
      <c r="W13" s="100">
        <f>_xll.EQNXTDZ($A$1,$B13,W$1,$B$1)</f>
        <v>1732</v>
      </c>
      <c r="X13" s="100">
        <f>_xll.EQNXTDZ($A$1,$B13,X$1,$B$1)</f>
        <v>2452</v>
      </c>
      <c r="Y13" s="100">
        <f>_xll.EQNXTDZ($A$1,$B13,Y$1,$B$1)</f>
        <v>3711</v>
      </c>
      <c r="Z13" s="100">
        <f>_xll.EQNXTDZ($A$1,$B13,Z$1,$B$1)</f>
        <v>2843</v>
      </c>
      <c r="AA13" s="100">
        <f>_xll.EQNXTDZ($A$1,$B13,AA$1,$B$1)</f>
        <v>2702</v>
      </c>
      <c r="AB13" s="100">
        <f>_xll.EQNXTDZ($A$1,$B13,AB$1,$B$1)</f>
        <v>2553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278.64179999999999</v>
      </c>
      <c r="D14" s="100">
        <f>_xll.EQNXTDZ($A$1,$B14,D$1,$B$1)</f>
        <v>308.125</v>
      </c>
      <c r="E14" s="100">
        <f>_xll.EQNXTDZ($A$1,$B14,E$1,$B$1)</f>
        <v>288.858</v>
      </c>
      <c r="F14" s="100">
        <f>_xll.EQNXTDZ($A$1,$B14,F$1,$B$1)</f>
        <v>168.92400000000001</v>
      </c>
      <c r="G14" s="100">
        <f>_xll.EQNXTDZ($A$1,$B14,G$1,$B$1)</f>
        <v>205.99</v>
      </c>
      <c r="H14" s="100">
        <f>_xll.EQNXTDZ($A$1,$B14,H$1,$B$1)</f>
        <v>205.36</v>
      </c>
      <c r="I14" s="100">
        <f>_xll.EQNXTDZ($A$1,$B14,I$1,$B$1)</f>
        <v>258.11</v>
      </c>
      <c r="J14" s="100">
        <f>_xll.EQNXTDZ($A$1,$B14,J$1,$B$1)</f>
        <v>306.33</v>
      </c>
      <c r="K14" s="100">
        <f>_xll.EQNXTDZ($A$1,$B14,K$1,$B$1)</f>
        <v>363.07</v>
      </c>
      <c r="L14" s="100">
        <f>_xll.EQNXTDZ($A$1,$B14,L$1,$B$1)</f>
        <v>453.72</v>
      </c>
      <c r="M14" s="100">
        <f>_xll.EQNXTDZ($A$1,$B14,M$1,$B$1)</f>
        <v>510.78</v>
      </c>
      <c r="N14" s="100">
        <f>_xll.EQNXTDZ($A$1,$B14,N$1,$B$1)</f>
        <v>534.64</v>
      </c>
      <c r="O14" s="100">
        <f>_xll.EQNXTDZ($A$1,$B14,O$1,$B$1)</f>
        <v>649.91</v>
      </c>
      <c r="P14" s="100">
        <f>_xll.EQNXTDZ($A$1,$B14,P$1,$B$1)</f>
        <v>741.73</v>
      </c>
      <c r="Q14" s="100">
        <f>_xll.EQNXTDZ($A$1,$B14,Q$1,$B$1)</f>
        <v>841.85</v>
      </c>
      <c r="R14" s="100">
        <f>_xll.EQNXTDZ($A$1,$B14,R$1,$B$1)</f>
        <v>774</v>
      </c>
      <c r="S14" s="100">
        <f>_xll.EQNXTDZ($A$1,$B14,S$1,$B$1)</f>
        <v>722</v>
      </c>
      <c r="T14" s="100">
        <f>_xll.EQNXTDZ($A$1,$B14,T$1,$B$1)</f>
        <v>776</v>
      </c>
      <c r="U14" s="100">
        <f>_xll.EQNXTDZ($A$1,$B14,U$1,$B$1)</f>
        <v>905</v>
      </c>
      <c r="V14" s="100">
        <f>_xll.EQNXTDZ($A$1,$B14,V$1,$B$1)</f>
        <v>689</v>
      </c>
      <c r="W14" s="100">
        <f>_xll.EQNXTDZ($A$1,$B14,W$1,$B$1)</f>
        <v>760</v>
      </c>
      <c r="X14" s="100">
        <f>_xll.EQNXTDZ($A$1,$B14,X$1,$B$1)</f>
        <v>718</v>
      </c>
      <c r="Y14" s="100">
        <f>_xll.EQNXTDZ($A$1,$B14,Y$1,$B$1)</f>
        <v>845</v>
      </c>
      <c r="Z14" s="100">
        <f>_xll.EQNXTDZ($A$1,$B14,Z$1,$B$1)</f>
        <v>828</v>
      </c>
      <c r="AA14" s="100">
        <f>_xll.EQNXTDZ($A$1,$B14,AA$1,$B$1)</f>
        <v>886</v>
      </c>
      <c r="AB14" s="100">
        <f>_xll.EQNXTDZ($A$1,$B14,AB$1,$B$1)</f>
        <v>771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459.86610000000002</v>
      </c>
      <c r="D15" s="100">
        <f>_xll.EQNXTDZ($A$1,$B15,D$1,$B$1)</f>
        <v>399.108</v>
      </c>
      <c r="E15" s="100">
        <f>_xll.EQNXTDZ($A$1,$B15,E$1,$B$1)</f>
        <v>365.28</v>
      </c>
      <c r="F15" s="100">
        <f>_xll.EQNXTDZ($A$1,$B15,F$1,$B$1)</f>
        <v>532.54100000000005</v>
      </c>
      <c r="G15" s="100">
        <f>_xll.EQNXTDZ($A$1,$B15,G$1,$B$1)</f>
        <v>710.2</v>
      </c>
      <c r="H15" s="100">
        <f>_xll.EQNXTDZ($A$1,$B15,H$1,$B$1)</f>
        <v>845.02</v>
      </c>
      <c r="I15" s="100">
        <f>_xll.EQNXTDZ($A$1,$B15,I$1,$B$1)</f>
        <v>1270.96</v>
      </c>
      <c r="J15" s="100">
        <f>_xll.EQNXTDZ($A$1,$B15,J$1,$B$1)</f>
        <v>1271.1500000000001</v>
      </c>
      <c r="K15" s="100">
        <f>_xll.EQNXTDZ($A$1,$B15,K$1,$B$1)</f>
        <v>1454.25</v>
      </c>
      <c r="L15" s="100">
        <f>_xll.EQNXTDZ($A$1,$B15,L$1,$B$1)</f>
        <v>1827.72</v>
      </c>
      <c r="M15" s="100">
        <f>_xll.EQNXTDZ($A$1,$B15,M$1,$B$1)</f>
        <v>2560.3000000000002</v>
      </c>
      <c r="N15" s="100">
        <f>_xll.EQNXTDZ($A$1,$B15,N$1,$B$1)</f>
        <v>2898.28</v>
      </c>
      <c r="O15" s="100">
        <f>_xll.EQNXTDZ($A$1,$B15,O$1,$B$1)</f>
        <v>3349.41</v>
      </c>
      <c r="P15" s="100">
        <f>_xll.EQNXTDZ($A$1,$B15,P$1,$B$1)</f>
        <v>3993.79</v>
      </c>
      <c r="Q15" s="100">
        <f>_xll.EQNXTDZ($A$1,$B15,Q$1,$B$1)</f>
        <v>4405.29</v>
      </c>
      <c r="R15" s="100">
        <f>_xll.EQNXTDZ($A$1,$B15,R$1,$B$1)</f>
        <v>4555</v>
      </c>
      <c r="S15" s="100">
        <f>_xll.EQNXTDZ($A$1,$B15,S$1,$B$1)</f>
        <v>5482</v>
      </c>
      <c r="T15" s="100">
        <f>_xll.EQNXTDZ($A$1,$B15,T$1,$B$1)</f>
        <v>6308</v>
      </c>
      <c r="U15" s="100">
        <f>_xll.EQNXTDZ($A$1,$B15,U$1,$B$1)</f>
        <v>7149</v>
      </c>
      <c r="V15" s="100">
        <f>_xll.EQNXTDZ($A$1,$B15,V$1,$B$1)</f>
        <v>6971</v>
      </c>
      <c r="W15" s="100">
        <f>_xll.EQNXTDZ($A$1,$B15,W$1,$B$1)</f>
        <v>7530</v>
      </c>
      <c r="X15" s="100">
        <f>_xll.EQNXTDZ($A$1,$B15,X$1,$B$1)</f>
        <v>9468</v>
      </c>
      <c r="Y15" s="100">
        <f>_xll.EQNXTDZ($A$1,$B15,Y$1,$B$1)</f>
        <v>11225</v>
      </c>
      <c r="Z15" s="100">
        <f>_xll.EQNXTDZ($A$1,$B15,Z$1,$B$1)</f>
        <v>10928</v>
      </c>
      <c r="AA15" s="100">
        <f>_xll.EQNXTDZ($A$1,$B15,AA$1,$B$1)</f>
        <v>12160</v>
      </c>
      <c r="AB15" s="100">
        <f>_xll.EQNXTDZ($A$1,$B15,AB$1,$B$1)</f>
        <v>14763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45.964300000000001</v>
      </c>
      <c r="D17" s="100">
        <f>_xll.EQNXTDZ($A$1,$B17,D$1,$B$1)</f>
        <v>53.058999999999997</v>
      </c>
      <c r="E17" s="100">
        <f>_xll.EQNXTDZ($A$1,$B17,E$1,$B$1)</f>
        <v>49.521999999999998</v>
      </c>
      <c r="F17" s="100">
        <f>_xll.EQNXTDZ($A$1,$B17,F$1,$B$1)</f>
        <v>51.859000000000002</v>
      </c>
      <c r="G17" s="100">
        <f>_xll.EQNXTDZ($A$1,$B17,G$1,$B$1)</f>
        <v>53.68</v>
      </c>
      <c r="H17" s="100">
        <f>_xll.EQNXTDZ($A$1,$B17,H$1,$B$1)</f>
        <v>64.510000000000005</v>
      </c>
      <c r="I17" s="100">
        <f>_xll.EQNXTDZ($A$1,$B17,I$1,$B$1)</f>
        <v>88.7</v>
      </c>
      <c r="J17" s="100">
        <f>_xll.EQNXTDZ($A$1,$B17,J$1,$B$1)</f>
        <v>114.99</v>
      </c>
      <c r="K17" s="100">
        <f>_xll.EQNXTDZ($A$1,$B17,K$1,$B$1)</f>
        <v>117.67</v>
      </c>
      <c r="L17" s="100">
        <f>_xll.EQNXTDZ($A$1,$B17,L$1,$B$1)</f>
        <v>95.57</v>
      </c>
      <c r="M17" s="100">
        <f>_xll.EQNXTDZ($A$1,$B17,M$1,$B$1)</f>
        <v>63.75</v>
      </c>
      <c r="N17" s="100">
        <f>_xll.EQNXTDZ($A$1,$B17,N$1,$B$1)</f>
        <v>71.459999999999994</v>
      </c>
      <c r="O17" s="100">
        <f>_xll.EQNXTDZ($A$1,$B17,O$1,$B$1)</f>
        <v>85.41</v>
      </c>
      <c r="P17" s="100">
        <f>_xll.EQNXTDZ($A$1,$B17,P$1,$B$1)</f>
        <v>83.53</v>
      </c>
      <c r="Q17" s="100">
        <f>_xll.EQNXTDZ($A$1,$B17,Q$1,$B$1)</f>
        <v>85.39</v>
      </c>
      <c r="R17" s="100">
        <f>_xll.EQNXTDZ($A$1,$B17,R$1,$B$1)</f>
        <v>105</v>
      </c>
      <c r="S17" s="100">
        <f>_xll.EQNXTDZ($A$1,$B17,S$1,$B$1)</f>
        <v>126</v>
      </c>
      <c r="T17" s="100">
        <f>_xll.EQNXTDZ($A$1,$B17,T$1,$B$1)</f>
        <v>101</v>
      </c>
      <c r="U17" s="100">
        <f>_xll.EQNXTDZ($A$1,$B17,U$1,$B$1)</f>
        <v>119</v>
      </c>
      <c r="V17" s="100">
        <f>_xll.EQNXTDZ($A$1,$B17,V$1,$B$1)</f>
        <v>85</v>
      </c>
      <c r="W17" s="100">
        <f>_xll.EQNXTDZ($A$1,$B17,W$1,$B$1)</f>
        <v>83</v>
      </c>
      <c r="X17" s="100">
        <f>_xll.EQNXTDZ($A$1,$B17,X$1,$B$1)</f>
        <v>91</v>
      </c>
      <c r="Y17" s="100">
        <f>_xll.EQNXTDZ($A$1,$B17,Y$1,$B$1)</f>
        <v>85</v>
      </c>
      <c r="Z17" s="100">
        <f>_xll.EQNXTDZ($A$1,$B17,Z$1,$B$1)</f>
        <v>61</v>
      </c>
      <c r="AA17" s="100">
        <f>_xll.EQNXTDZ($A$1,$B17,AA$1,$B$1)</f>
        <v>74</v>
      </c>
      <c r="AB17" s="100">
        <f>_xll.EQNXTDZ($A$1,$B17,AB$1,$B$1)</f>
        <v>87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95.084400000000002</v>
      </c>
      <c r="D18" s="100">
        <f>_xll.EQNXTDZ($A$1,$B18,D$1,$B$1)</f>
        <v>70.212999999999994</v>
      </c>
      <c r="E18" s="100">
        <f>_xll.EQNXTDZ($A$1,$B18,E$1,$B$1)</f>
        <v>110.107</v>
      </c>
      <c r="F18" s="100">
        <f>_xll.EQNXTDZ($A$1,$B18,F$1,$B$1)</f>
        <v>58.823</v>
      </c>
      <c r="G18" s="100">
        <f>_xll.EQNXTDZ($A$1,$B18,G$1,$B$1)</f>
        <v>55.73</v>
      </c>
      <c r="H18" s="100">
        <f>_xll.EQNXTDZ($A$1,$B18,H$1,$B$1)</f>
        <v>93.7</v>
      </c>
      <c r="I18" s="100">
        <f>_xll.EQNXTDZ($A$1,$B18,I$1,$B$1)</f>
        <v>163.87</v>
      </c>
      <c r="J18" s="100">
        <f>_xll.EQNXTDZ($A$1,$B18,J$1,$B$1)</f>
        <v>191.82</v>
      </c>
      <c r="K18" s="100">
        <f>_xll.EQNXTDZ($A$1,$B18,K$1,$B$1)</f>
        <v>183.68</v>
      </c>
      <c r="L18" s="100">
        <f>_xll.EQNXTDZ($A$1,$B18,L$1,$B$1)</f>
        <v>172.89</v>
      </c>
      <c r="M18" s="100">
        <f>_xll.EQNXTDZ($A$1,$B18,M$1,$B$1)</f>
        <v>174.13</v>
      </c>
      <c r="N18" s="100">
        <f>_xll.EQNXTDZ($A$1,$B18,N$1,$B$1)</f>
        <v>179.99</v>
      </c>
      <c r="O18" s="100">
        <f>_xll.EQNXTDZ($A$1,$B18,O$1,$B$1)</f>
        <v>208.82</v>
      </c>
      <c r="P18" s="100">
        <f>_xll.EQNXTDZ($A$1,$B18,P$1,$B$1)</f>
        <v>248.4</v>
      </c>
      <c r="Q18" s="100">
        <f>_xll.EQNXTDZ($A$1,$B18,Q$1,$B$1)</f>
        <v>259.29000000000002</v>
      </c>
      <c r="R18" s="100">
        <f>_xll.EQNXTDZ($A$1,$B18,R$1,$B$1)</f>
        <v>269</v>
      </c>
      <c r="S18" s="100">
        <f>_xll.EQNXTDZ($A$1,$B18,S$1,$B$1)</f>
        <v>246</v>
      </c>
      <c r="T18" s="100">
        <f>_xll.EQNXTDZ($A$1,$B18,T$1,$B$1)</f>
        <v>265</v>
      </c>
      <c r="U18" s="100">
        <f>_xll.EQNXTDZ($A$1,$B18,U$1,$B$1)</f>
        <v>244</v>
      </c>
      <c r="V18" s="100">
        <f>_xll.EQNXTDZ($A$1,$B18,V$1,$B$1)</f>
        <v>232</v>
      </c>
      <c r="W18" s="100">
        <f>_xll.EQNXTDZ($A$1,$B18,W$1,$B$1)</f>
        <v>276</v>
      </c>
      <c r="X18" s="100">
        <f>_xll.EQNXTDZ($A$1,$B18,X$1,$B$1)</f>
        <v>349</v>
      </c>
      <c r="Y18" s="100">
        <f>_xll.EQNXTDZ($A$1,$B18,Y$1,$B$1)</f>
        <v>335</v>
      </c>
      <c r="Z18" s="100">
        <f>_xll.EQNXTDZ($A$1,$B18,Z$1,$B$1)</f>
        <v>268</v>
      </c>
      <c r="AA18" s="100">
        <f>_xll.EQNXTDZ($A$1,$B18,AA$1,$B$1)</f>
        <v>333</v>
      </c>
      <c r="AB18" s="100">
        <f>_xll.EQNXTDZ($A$1,$B18,AB$1,$B$1)</f>
        <v>264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12.2737</v>
      </c>
      <c r="D19" s="100">
        <f>_xll.EQNXTDZ($A$1,$B19,D$1,$B$1)</f>
        <v>9.5269999999999992</v>
      </c>
      <c r="E19" s="100">
        <f>_xll.EQNXTDZ($A$1,$B19,E$1,$B$1)</f>
        <v>48.082999999999998</v>
      </c>
      <c r="F19" s="100">
        <f>_xll.EQNXTDZ($A$1,$B19,F$1,$B$1)</f>
        <v>21.344000000000001</v>
      </c>
      <c r="G19" s="100">
        <f>_xll.EQNXTDZ($A$1,$B19,G$1,$B$1)</f>
        <v>7.75</v>
      </c>
      <c r="H19" s="100">
        <f>_xll.EQNXTDZ($A$1,$B19,H$1,$B$1)</f>
        <v>7.36</v>
      </c>
      <c r="I19" s="100">
        <f>_xll.EQNXTDZ($A$1,$B19,I$1,$B$1)</f>
        <v>13.18</v>
      </c>
      <c r="J19" s="100">
        <f>_xll.EQNXTDZ($A$1,$B19,J$1,$B$1)</f>
        <v>22.21</v>
      </c>
      <c r="K19" s="100">
        <f>_xll.EQNXTDZ($A$1,$B19,K$1,$B$1)</f>
        <v>8.34</v>
      </c>
      <c r="L19" s="100">
        <f>_xll.EQNXTDZ($A$1,$B19,L$1,$B$1)</f>
        <v>4</v>
      </c>
      <c r="M19" s="100">
        <f>_xll.EQNXTDZ($A$1,$B19,M$1,$B$1)</f>
        <v>82.1</v>
      </c>
      <c r="N19" s="100">
        <f>_xll.EQNXTDZ($A$1,$B19,N$1,$B$1)</f>
        <v>118.59</v>
      </c>
      <c r="O19" s="100">
        <f>_xll.EQNXTDZ($A$1,$B19,O$1,$B$1)</f>
        <v>165.63</v>
      </c>
      <c r="P19" s="100">
        <f>_xll.EQNXTDZ($A$1,$B19,P$1,$B$1)</f>
        <v>340.11</v>
      </c>
      <c r="Q19" s="100">
        <f>_xll.EQNXTDZ($A$1,$B19,Q$1,$B$1)</f>
        <v>512.48</v>
      </c>
      <c r="R19" s="100">
        <f>_xll.EQNXTDZ($A$1,$B19,R$1,$B$1)</f>
        <v>187</v>
      </c>
      <c r="S19" s="100">
        <f>_xll.EQNXTDZ($A$1,$B19,S$1,$B$1)</f>
        <v>212</v>
      </c>
      <c r="T19" s="100">
        <f>_xll.EQNXTDZ($A$1,$B19,T$1,$B$1)</f>
        <v>211</v>
      </c>
      <c r="U19" s="100">
        <f>_xll.EQNXTDZ($A$1,$B19,U$1,$B$1)</f>
        <v>337</v>
      </c>
      <c r="V19" s="100">
        <f>_xll.EQNXTDZ($A$1,$B19,V$1,$B$1)</f>
        <v>324</v>
      </c>
      <c r="W19" s="100">
        <f>_xll.EQNXTDZ($A$1,$B19,W$1,$B$1)</f>
        <v>337</v>
      </c>
      <c r="X19" s="100">
        <f>_xll.EQNXTDZ($A$1,$B19,X$1,$B$1)</f>
        <v>415</v>
      </c>
      <c r="Y19" s="100">
        <f>_xll.EQNXTDZ($A$1,$B19,Y$1,$B$1)</f>
        <v>534</v>
      </c>
      <c r="Z19" s="100">
        <f>_xll.EQNXTDZ($A$1,$B19,Z$1,$B$1)</f>
        <v>505</v>
      </c>
      <c r="AA19" s="100">
        <f>_xll.EQNXTDZ($A$1,$B19,AA$1,$B$1)</f>
        <v>604</v>
      </c>
      <c r="AB19" s="100">
        <f>_xll.EQNXTDZ($A$1,$B19,AB$1,$B$1)</f>
        <v>537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1140.3154999999999</v>
      </c>
      <c r="D21" s="100">
        <f>_xll.EQNXTDZ($A$1,$B21,D$1,$B$1)</f>
        <v>1089.6099999999999</v>
      </c>
      <c r="E21" s="100">
        <f>_xll.EQNXTDZ($A$1,$B21,E$1,$B$1)</f>
        <v>1227.5709999999999</v>
      </c>
      <c r="F21" s="100">
        <f>_xll.EQNXTDZ($A$1,$B21,F$1,$B$1)</f>
        <v>1067.758</v>
      </c>
      <c r="G21" s="100">
        <f>_xll.EQNXTDZ($A$1,$B21,G$1,$B$1)</f>
        <v>1322.11</v>
      </c>
      <c r="H21" s="100">
        <f>_xll.EQNXTDZ($A$1,$B21,H$1,$B$1)</f>
        <v>1577.54</v>
      </c>
      <c r="I21" s="100">
        <f>_xll.EQNXTDZ($A$1,$B21,I$1,$B$1)</f>
        <v>2153.31</v>
      </c>
      <c r="J21" s="100">
        <f>_xll.EQNXTDZ($A$1,$B21,J$1,$B$1)</f>
        <v>2499.38</v>
      </c>
      <c r="K21" s="100">
        <f>_xll.EQNXTDZ($A$1,$B21,K$1,$B$1)</f>
        <v>2946.11</v>
      </c>
      <c r="L21" s="100">
        <f>_xll.EQNXTDZ($A$1,$B21,L$1,$B$1)</f>
        <v>3346.89</v>
      </c>
      <c r="M21" s="100">
        <f>_xll.EQNXTDZ($A$1,$B21,M$1,$B$1)</f>
        <v>4431.46</v>
      </c>
      <c r="N21" s="100">
        <f>_xll.EQNXTDZ($A$1,$B21,N$1,$B$1)</f>
        <v>5335.85</v>
      </c>
      <c r="O21" s="100">
        <f>_xll.EQNXTDZ($A$1,$B21,O$1,$B$1)</f>
        <v>6191.48</v>
      </c>
      <c r="P21" s="100">
        <f>_xll.EQNXTDZ($A$1,$B21,P$1,$B$1)</f>
        <v>6907.22</v>
      </c>
      <c r="Q21" s="100">
        <f>_xll.EQNXTDZ($A$1,$B21,Q$1,$B$1)</f>
        <v>7660.75</v>
      </c>
      <c r="R21" s="100">
        <f>_xll.EQNXTDZ($A$1,$B21,R$1,$B$1)</f>
        <v>7529</v>
      </c>
      <c r="S21" s="100">
        <f>_xll.EQNXTDZ($A$1,$B21,S$1,$B$1)</f>
        <v>7534</v>
      </c>
      <c r="T21" s="100">
        <f>_xll.EQNXTDZ($A$1,$B21,T$1,$B$1)</f>
        <v>9812</v>
      </c>
      <c r="U21" s="100">
        <f>_xll.EQNXTDZ($A$1,$B21,U$1,$B$1)</f>
        <v>10448</v>
      </c>
      <c r="V21" s="100">
        <f>_xll.EQNXTDZ($A$1,$B21,V$1,$B$1)</f>
        <v>9714</v>
      </c>
      <c r="W21" s="100">
        <f>_xll.EQNXTDZ($A$1,$B21,W$1,$B$1)</f>
        <v>10957</v>
      </c>
      <c r="X21" s="100">
        <f>_xll.EQNXTDZ($A$1,$B21,X$1,$B$1)</f>
        <v>13215</v>
      </c>
      <c r="Y21" s="100">
        <f>_xll.EQNXTDZ($A$1,$B21,Y$1,$B$1)</f>
        <v>16592</v>
      </c>
      <c r="Z21" s="100">
        <f>_xll.EQNXTDZ($A$1,$B21,Z$1,$B$1)</f>
        <v>15276</v>
      </c>
      <c r="AA21" s="100">
        <f>_xll.EQNXTDZ($A$1,$B21,AA$1,$B$1)</f>
        <v>16695</v>
      </c>
      <c r="AB21" s="100">
        <f>_xll.EQNXTDZ($A$1,$B21,AB$1,$B$1)</f>
        <v>18780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263.36689999999999</v>
      </c>
      <c r="D22" s="100">
        <f>_xll.EQNXTDZ($A$1,$B22,D$1,$B$1)</f>
        <v>144.87899999999999</v>
      </c>
      <c r="E22" s="100">
        <f>_xll.EQNXTDZ($A$1,$B22,E$1,$B$1)</f>
        <v>224.46199999999999</v>
      </c>
      <c r="F22" s="100">
        <f>_xll.EQNXTDZ($A$1,$B22,F$1,$B$1)</f>
        <v>773.73599999999999</v>
      </c>
      <c r="G22" s="100">
        <f>_xll.EQNXTDZ($A$1,$B22,G$1,$B$1)</f>
        <v>880</v>
      </c>
      <c r="H22" s="100">
        <f>_xll.EQNXTDZ($A$1,$B22,H$1,$B$1)</f>
        <v>2299.4299999999998</v>
      </c>
      <c r="I22" s="100">
        <f>_xll.EQNXTDZ($A$1,$B22,I$1,$B$1)</f>
        <v>6406.91</v>
      </c>
      <c r="J22" s="100">
        <f>_xll.EQNXTDZ($A$1,$B22,J$1,$B$1)</f>
        <v>5378.39</v>
      </c>
      <c r="K22" s="100">
        <f>_xll.EQNXTDZ($A$1,$B22,K$1,$B$1)</f>
        <v>2734.16</v>
      </c>
      <c r="L22" s="100">
        <f>_xll.EQNXTDZ($A$1,$B22,L$1,$B$1)</f>
        <v>4670.08</v>
      </c>
      <c r="M22" s="100">
        <f>_xll.EQNXTDZ($A$1,$B22,M$1,$B$1)</f>
        <v>5607.71</v>
      </c>
      <c r="N22" s="100">
        <f>_xll.EQNXTDZ($A$1,$B22,N$1,$B$1)</f>
        <v>6069.46</v>
      </c>
      <c r="O22" s="100">
        <f>_xll.EQNXTDZ($A$1,$B22,O$1,$B$1)</f>
        <v>6508.36</v>
      </c>
      <c r="P22" s="100">
        <f>_xll.EQNXTDZ($A$1,$B22,P$1,$B$1)</f>
        <v>6728.82</v>
      </c>
      <c r="Q22" s="100">
        <f>_xll.EQNXTDZ($A$1,$B22,Q$1,$B$1)</f>
        <v>7127.64</v>
      </c>
      <c r="R22" s="100">
        <f>_xll.EQNXTDZ($A$1,$B22,R$1,$B$1)</f>
        <v>6652</v>
      </c>
      <c r="S22" s="100">
        <f>_xll.EQNXTDZ($A$1,$B22,S$1,$B$1)</f>
        <v>9739</v>
      </c>
      <c r="T22" s="100">
        <f>_xll.EQNXTDZ($A$1,$B22,T$1,$B$1)</f>
        <v>12270</v>
      </c>
      <c r="U22" s="100">
        <f>_xll.EQNXTDZ($A$1,$B22,U$1,$B$1)</f>
        <v>10670</v>
      </c>
      <c r="V22" s="100">
        <f>_xll.EQNXTDZ($A$1,$B22,V$1,$B$1)</f>
        <v>8847</v>
      </c>
      <c r="W22" s="100">
        <f>_xll.EQNXTDZ($A$1,$B22,W$1,$B$1)</f>
        <v>11672</v>
      </c>
      <c r="X22" s="100">
        <f>_xll.EQNXTDZ($A$1,$B22,X$1,$B$1)</f>
        <v>16225</v>
      </c>
      <c r="Y22" s="100">
        <f>_xll.EQNXTDZ($A$1,$B22,Y$1,$B$1)</f>
        <v>17506</v>
      </c>
      <c r="Z22" s="100">
        <f>_xll.EQNXTDZ($A$1,$B22,Z$1,$B$1)</f>
        <v>13656</v>
      </c>
      <c r="AA22" s="100">
        <f>_xll.EQNXTDZ($A$1,$B22,AA$1,$B$1)</f>
        <v>17388</v>
      </c>
      <c r="AB22" s="100">
        <f>_xll.EQNXTDZ($A$1,$B22,AB$1,$B$1)</f>
        <v>22064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79.065600000000003</v>
      </c>
      <c r="D23" s="100">
        <f>_xll.EQNXTDZ($A$1,$B23,D$1,$B$1)</f>
        <v>43.222999999999999</v>
      </c>
      <c r="E23" s="100">
        <f>_xll.EQNXTDZ($A$1,$B23,E$1,$B$1)</f>
        <v>75.962999999999994</v>
      </c>
      <c r="F23" s="100">
        <f>_xll.EQNXTDZ($A$1,$B23,F$1,$B$1)</f>
        <v>94.388000000000005</v>
      </c>
      <c r="G23" s="100">
        <f>_xll.EQNXTDZ($A$1,$B23,G$1,$B$1)</f>
        <v>135.09</v>
      </c>
      <c r="H23" s="100">
        <f>_xll.EQNXTDZ($A$1,$B23,H$1,$B$1)</f>
        <v>115.81</v>
      </c>
      <c r="I23" s="100">
        <f>_xll.EQNXTDZ($A$1,$B23,I$1,$B$1)</f>
        <v>231.27</v>
      </c>
      <c r="J23" s="100">
        <f>_xll.EQNXTDZ($A$1,$B23,J$1,$B$1)</f>
        <v>851.63</v>
      </c>
      <c r="K23" s="100">
        <f>_xll.EQNXTDZ($A$1,$B23,K$1,$B$1)</f>
        <v>931.23</v>
      </c>
      <c r="L23" s="100">
        <f>_xll.EQNXTDZ($A$1,$B23,L$1,$B$1)</f>
        <v>722.2</v>
      </c>
      <c r="M23" s="100">
        <f>_xll.EQNXTDZ($A$1,$B23,M$1,$B$1)</f>
        <v>866.02</v>
      </c>
      <c r="N23" s="100">
        <f>_xll.EQNXTDZ($A$1,$B23,N$1,$B$1)</f>
        <v>1542.83</v>
      </c>
      <c r="O23" s="100">
        <f>_xll.EQNXTDZ($A$1,$B23,O$1,$B$1)</f>
        <v>2003.19</v>
      </c>
      <c r="P23" s="100">
        <f>_xll.EQNXTDZ($A$1,$B23,P$1,$B$1)</f>
        <v>2070.42</v>
      </c>
      <c r="Q23" s="100">
        <f>_xll.EQNXTDZ($A$1,$B23,Q$1,$B$1)</f>
        <v>3140.05</v>
      </c>
      <c r="R23" s="100">
        <f>_xll.EQNXTDZ($A$1,$B23,R$1,$B$1)</f>
        <v>2763</v>
      </c>
      <c r="S23" s="100">
        <f>_xll.EQNXTDZ($A$1,$B23,S$1,$B$1)</f>
        <v>2474</v>
      </c>
      <c r="T23" s="100">
        <f>_xll.EQNXTDZ($A$1,$B23,T$1,$B$1)</f>
        <v>1716</v>
      </c>
      <c r="U23" s="100">
        <f>_xll.EQNXTDZ($A$1,$B23,U$1,$B$1)</f>
        <v>1782</v>
      </c>
      <c r="V23" s="100">
        <f>_xll.EQNXTDZ($A$1,$B23,V$1,$B$1)</f>
        <v>1934</v>
      </c>
      <c r="W23" s="100">
        <f>_xll.EQNXTDZ($A$1,$B23,W$1,$B$1)</f>
        <v>1819</v>
      </c>
      <c r="X23" s="100">
        <f>_xll.EQNXTDZ($A$1,$B23,X$1,$B$1)</f>
        <v>1216</v>
      </c>
      <c r="Y23" s="100">
        <f>_xll.EQNXTDZ($A$1,$B23,Y$1,$B$1)</f>
        <v>1379</v>
      </c>
      <c r="Z23" s="100">
        <f>_xll.EQNXTDZ($A$1,$B23,Z$1,$B$1)</f>
        <v>1074</v>
      </c>
      <c r="AA23" s="100">
        <f>_xll.EQNXTDZ($A$1,$B23,AA$1,$B$1)</f>
        <v>983</v>
      </c>
      <c r="AB23" s="100">
        <f>_xll.EQNXTDZ($A$1,$B23,AB$1,$B$1)</f>
        <v>1090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342.4325</v>
      </c>
      <c r="D24" s="100">
        <f>_xll.EQNXTDZ($A$1,$B24,D$1,$B$1)</f>
        <v>188.102</v>
      </c>
      <c r="E24" s="100">
        <f>_xll.EQNXTDZ($A$1,$B24,E$1,$B$1)</f>
        <v>300.42500000000001</v>
      </c>
      <c r="F24" s="100">
        <f>_xll.EQNXTDZ($A$1,$B24,F$1,$B$1)</f>
        <v>868.12400000000002</v>
      </c>
      <c r="G24" s="100">
        <f>_xll.EQNXTDZ($A$1,$B24,G$1,$B$1)</f>
        <v>1015.09</v>
      </c>
      <c r="H24" s="100">
        <f>_xll.EQNXTDZ($A$1,$B24,H$1,$B$1)</f>
        <v>2415.2399999999998</v>
      </c>
      <c r="I24" s="100">
        <f>_xll.EQNXTDZ($A$1,$B24,I$1,$B$1)</f>
        <v>6638.18</v>
      </c>
      <c r="J24" s="100">
        <f>_xll.EQNXTDZ($A$1,$B24,J$1,$B$1)</f>
        <v>6230.02</v>
      </c>
      <c r="K24" s="100">
        <f>_xll.EQNXTDZ($A$1,$B24,K$1,$B$1)</f>
        <v>3665.39</v>
      </c>
      <c r="L24" s="100">
        <f>_xll.EQNXTDZ($A$1,$B24,L$1,$B$1)</f>
        <v>5392.28</v>
      </c>
      <c r="M24" s="100">
        <f>_xll.EQNXTDZ($A$1,$B24,M$1,$B$1)</f>
        <v>6473.73</v>
      </c>
      <c r="N24" s="100">
        <f>_xll.EQNXTDZ($A$1,$B24,N$1,$B$1)</f>
        <v>7612.29</v>
      </c>
      <c r="O24" s="100">
        <f>_xll.EQNXTDZ($A$1,$B24,O$1,$B$1)</f>
        <v>8511.5499999999993</v>
      </c>
      <c r="P24" s="100">
        <f>_xll.EQNXTDZ($A$1,$B24,P$1,$B$1)</f>
        <v>8799.24</v>
      </c>
      <c r="Q24" s="100">
        <f>_xll.EQNXTDZ($A$1,$B24,Q$1,$B$1)</f>
        <v>10267.69</v>
      </c>
      <c r="R24" s="100">
        <f>_xll.EQNXTDZ($A$1,$B24,R$1,$B$1)</f>
        <v>9415</v>
      </c>
      <c r="S24" s="100">
        <f>_xll.EQNXTDZ($A$1,$B24,S$1,$B$1)</f>
        <v>12213</v>
      </c>
      <c r="T24" s="100">
        <f>_xll.EQNXTDZ($A$1,$B24,T$1,$B$1)</f>
        <v>13986</v>
      </c>
      <c r="U24" s="100">
        <f>_xll.EQNXTDZ($A$1,$B24,U$1,$B$1)</f>
        <v>12452</v>
      </c>
      <c r="V24" s="100">
        <f>_xll.EQNXTDZ($A$1,$B24,V$1,$B$1)</f>
        <v>10781</v>
      </c>
      <c r="W24" s="100">
        <f>_xll.EQNXTDZ($A$1,$B24,W$1,$B$1)</f>
        <v>13491</v>
      </c>
      <c r="X24" s="100">
        <f>_xll.EQNXTDZ($A$1,$B24,X$1,$B$1)</f>
        <v>17441</v>
      </c>
      <c r="Y24" s="100">
        <f>_xll.EQNXTDZ($A$1,$B24,Y$1,$B$1)</f>
        <v>18885</v>
      </c>
      <c r="Z24" s="100">
        <f>_xll.EQNXTDZ($A$1,$B24,Z$1,$B$1)</f>
        <v>14730</v>
      </c>
      <c r="AA24" s="100">
        <f>_xll.EQNXTDZ($A$1,$B24,AA$1,$B$1)</f>
        <v>18371</v>
      </c>
      <c r="AB24" s="100">
        <f>_xll.EQNXTDZ($A$1,$B24,AB$1,$B$1)</f>
        <v>23154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2.4716999999999998</v>
      </c>
      <c r="D25" s="100">
        <f>_xll.EQNXTDZ($A$1,$B25,D$1,$B$1)</f>
        <v>17.422999999999998</v>
      </c>
      <c r="E25" s="100">
        <f>_xll.EQNXTDZ($A$1,$B25,E$1,$B$1)</f>
        <v>0.29799999999999999</v>
      </c>
      <c r="F25" s="100">
        <f>_xll.EQNXTDZ($A$1,$B25,F$1,$B$1)</f>
        <v>0.745</v>
      </c>
      <c r="G25" s="100">
        <f>_xll.EQNXTDZ($A$1,$B25,G$1,$B$1)</f>
        <v>1.8</v>
      </c>
      <c r="H25" s="100">
        <f>_xll.EQNXTDZ($A$1,$B25,H$1,$B$1)</f>
        <v>47.4</v>
      </c>
      <c r="I25" s="100">
        <f>_xll.EQNXTDZ($A$1,$B25,I$1,$B$1)</f>
        <v>28.44</v>
      </c>
      <c r="J25" s="100">
        <f>_xll.EQNXTDZ($A$1,$B25,J$1,$B$1)</f>
        <v>24.17</v>
      </c>
      <c r="K25" s="100">
        <f>_xll.EQNXTDZ($A$1,$B25,K$1,$B$1)</f>
        <v>21.88</v>
      </c>
      <c r="L25" s="100">
        <f>_xll.EQNXTDZ($A$1,$B25,L$1,$B$1)</f>
        <v>43.92</v>
      </c>
      <c r="M25" s="100">
        <f>_xll.EQNXTDZ($A$1,$B25,M$1,$B$1)</f>
        <v>18.28</v>
      </c>
      <c r="N25" s="100">
        <f>_xll.EQNXTDZ($A$1,$B25,N$1,$B$1)</f>
        <v>13.95</v>
      </c>
      <c r="O25" s="100">
        <f>_xll.EQNXTDZ($A$1,$B25,O$1,$B$1)</f>
        <v>26.86</v>
      </c>
      <c r="P25" s="100">
        <f>_xll.EQNXTDZ($A$1,$B25,P$1,$B$1)</f>
        <v>44.94</v>
      </c>
      <c r="Q25" s="100">
        <f>_xll.EQNXTDZ($A$1,$B25,Q$1,$B$1)</f>
        <v>23.51</v>
      </c>
      <c r="R25" s="100">
        <f>_xll.EQNXTDZ($A$1,$B25,R$1,$B$1)</f>
        <v>17</v>
      </c>
      <c r="S25" s="100">
        <f>_xll.EQNXTDZ($A$1,$B25,S$1,$B$1)</f>
        <v>202</v>
      </c>
      <c r="T25" s="100">
        <f>_xll.EQNXTDZ($A$1,$B25,T$1,$B$1)</f>
        <v>246</v>
      </c>
      <c r="U25" s="100">
        <f>_xll.EQNXTDZ($A$1,$B25,U$1,$B$1)</f>
        <v>113</v>
      </c>
      <c r="V25" s="100">
        <f>_xll.EQNXTDZ($A$1,$B25,V$1,$B$1)</f>
        <v>112</v>
      </c>
      <c r="W25" s="100">
        <f>_xll.EQNXTDZ($A$1,$B25,W$1,$B$1)</f>
        <v>386</v>
      </c>
      <c r="X25" s="100">
        <f>_xll.EQNXTDZ($A$1,$B25,X$1,$B$1)</f>
        <v>290</v>
      </c>
      <c r="Y25" s="100">
        <f>_xll.EQNXTDZ($A$1,$B25,Y$1,$B$1)</f>
        <v>333</v>
      </c>
      <c r="Z25" s="100">
        <f>_xll.EQNXTDZ($A$1,$B25,Z$1,$B$1)</f>
        <v>955</v>
      </c>
      <c r="AA25" s="100">
        <f>_xll.EQNXTDZ($A$1,$B25,AA$1,$B$1)</f>
        <v>1095</v>
      </c>
      <c r="AB25" s="100">
        <f>_xll.EQNXTDZ($A$1,$B25,AB$1,$B$1)</f>
        <v>881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339.96080000000001</v>
      </c>
      <c r="D26" s="100">
        <f>_xll.EQNXTDZ($A$1,$B26,D$1,$B$1)</f>
        <v>170.679</v>
      </c>
      <c r="E26" s="100">
        <f>_xll.EQNXTDZ($A$1,$B26,E$1,$B$1)</f>
        <v>300.12700000000001</v>
      </c>
      <c r="F26" s="100">
        <f>_xll.EQNXTDZ($A$1,$B26,F$1,$B$1)</f>
        <v>867.37900000000002</v>
      </c>
      <c r="G26" s="100">
        <f>_xll.EQNXTDZ($A$1,$B26,G$1,$B$1)</f>
        <v>1013.29</v>
      </c>
      <c r="H26" s="100">
        <f>_xll.EQNXTDZ($A$1,$B26,H$1,$B$1)</f>
        <v>2367.84</v>
      </c>
      <c r="I26" s="100">
        <f>_xll.EQNXTDZ($A$1,$B26,I$1,$B$1)</f>
        <v>6609.74</v>
      </c>
      <c r="J26" s="100">
        <f>_xll.EQNXTDZ($A$1,$B26,J$1,$B$1)</f>
        <v>6205.85</v>
      </c>
      <c r="K26" s="100">
        <f>_xll.EQNXTDZ($A$1,$B26,K$1,$B$1)</f>
        <v>3643.51</v>
      </c>
      <c r="L26" s="100">
        <f>_xll.EQNXTDZ($A$1,$B26,L$1,$B$1)</f>
        <v>5348.36</v>
      </c>
      <c r="M26" s="100">
        <f>_xll.EQNXTDZ($A$1,$B26,M$1,$B$1)</f>
        <v>6455.45</v>
      </c>
      <c r="N26" s="100">
        <f>_xll.EQNXTDZ($A$1,$B26,N$1,$B$1)</f>
        <v>7598.34</v>
      </c>
      <c r="O26" s="100">
        <f>_xll.EQNXTDZ($A$1,$B26,O$1,$B$1)</f>
        <v>8484.69</v>
      </c>
      <c r="P26" s="100">
        <f>_xll.EQNXTDZ($A$1,$B26,P$1,$B$1)</f>
        <v>8754.2999999999993</v>
      </c>
      <c r="Q26" s="100">
        <f>_xll.EQNXTDZ($A$1,$B26,Q$1,$B$1)</f>
        <v>10244.18</v>
      </c>
      <c r="R26" s="100">
        <f>_xll.EQNXTDZ($A$1,$B26,R$1,$B$1)</f>
        <v>9398</v>
      </c>
      <c r="S26" s="100">
        <f>_xll.EQNXTDZ($A$1,$B26,S$1,$B$1)</f>
        <v>12011</v>
      </c>
      <c r="T26" s="100">
        <f>_xll.EQNXTDZ($A$1,$B26,T$1,$B$1)</f>
        <v>13740</v>
      </c>
      <c r="U26" s="100">
        <f>_xll.EQNXTDZ($A$1,$B26,U$1,$B$1)</f>
        <v>12339</v>
      </c>
      <c r="V26" s="100">
        <f>_xll.EQNXTDZ($A$1,$B26,V$1,$B$1)</f>
        <v>10669</v>
      </c>
      <c r="W26" s="100">
        <f>_xll.EQNXTDZ($A$1,$B26,W$1,$B$1)</f>
        <v>13105</v>
      </c>
      <c r="X26" s="100">
        <f>_xll.EQNXTDZ($A$1,$B26,X$1,$B$1)</f>
        <v>17151</v>
      </c>
      <c r="Y26" s="100">
        <f>_xll.EQNXTDZ($A$1,$B26,Y$1,$B$1)</f>
        <v>18552</v>
      </c>
      <c r="Z26" s="100">
        <f>_xll.EQNXTDZ($A$1,$B26,Z$1,$B$1)</f>
        <v>13775</v>
      </c>
      <c r="AA26" s="100">
        <f>_xll.EQNXTDZ($A$1,$B26,AA$1,$B$1)</f>
        <v>17276</v>
      </c>
      <c r="AB26" s="100">
        <f>_xll.EQNXTDZ($A$1,$B26,AB$1,$B$1)</f>
        <v>22273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57.740900000000003</v>
      </c>
      <c r="D27" s="100">
        <f>_xll.EQNXTDZ($A$1,$B27,D$1,$B$1)</f>
        <v>66.569000000000003</v>
      </c>
      <c r="E27" s="100">
        <f>_xll.EQNXTDZ($A$1,$B27,E$1,$B$1)</f>
        <v>70.763000000000005</v>
      </c>
      <c r="F27" s="100">
        <f>_xll.EQNXTDZ($A$1,$B27,F$1,$B$1)</f>
        <v>71.759</v>
      </c>
      <c r="G27" s="100">
        <f>_xll.EQNXTDZ($A$1,$B27,G$1,$B$1)</f>
        <v>86.37</v>
      </c>
      <c r="H27" s="100">
        <f>_xll.EQNXTDZ($A$1,$B27,H$1,$B$1)</f>
        <v>138.27000000000001</v>
      </c>
      <c r="I27" s="100">
        <f>_xll.EQNXTDZ($A$1,$B27,I$1,$B$1)</f>
        <v>156.08000000000001</v>
      </c>
      <c r="J27" s="100">
        <f>_xll.EQNXTDZ($A$1,$B27,J$1,$B$1)</f>
        <v>220.51</v>
      </c>
      <c r="K27" s="100">
        <f>_xll.EQNXTDZ($A$1,$B27,K$1,$B$1)</f>
        <v>285.27</v>
      </c>
      <c r="L27" s="100">
        <f>_xll.EQNXTDZ($A$1,$B27,L$1,$B$1)</f>
        <v>334.25</v>
      </c>
      <c r="M27" s="100">
        <f>_xll.EQNXTDZ($A$1,$B27,M$1,$B$1)</f>
        <v>474.74</v>
      </c>
      <c r="N27" s="100">
        <f>_xll.EQNXTDZ($A$1,$B27,N$1,$B$1)</f>
        <v>610.66999999999996</v>
      </c>
      <c r="O27" s="100">
        <f>_xll.EQNXTDZ($A$1,$B27,O$1,$B$1)</f>
        <v>647.04</v>
      </c>
      <c r="P27" s="100">
        <f>_xll.EQNXTDZ($A$1,$B27,P$1,$B$1)</f>
        <v>784.59</v>
      </c>
      <c r="Q27" s="100">
        <f>_xll.EQNXTDZ($A$1,$B27,Q$1,$B$1)</f>
        <v>644.19000000000005</v>
      </c>
      <c r="R27" s="100">
        <f>_xll.EQNXTDZ($A$1,$B27,R$1,$B$1)</f>
        <v>745</v>
      </c>
      <c r="S27" s="100">
        <f>_xll.EQNXTDZ($A$1,$B27,S$1,$B$1)</f>
        <v>1811</v>
      </c>
      <c r="T27" s="100">
        <f>_xll.EQNXTDZ($A$1,$B27,T$1,$B$1)</f>
        <v>1483</v>
      </c>
      <c r="U27" s="100">
        <f>_xll.EQNXTDZ($A$1,$B27,U$1,$B$1)</f>
        <v>1883</v>
      </c>
      <c r="V27" s="100">
        <f>_xll.EQNXTDZ($A$1,$B27,V$1,$B$1)</f>
        <v>2279</v>
      </c>
      <c r="W27" s="100">
        <f>_xll.EQNXTDZ($A$1,$B27,W$1,$B$1)</f>
        <v>2531</v>
      </c>
      <c r="X27" s="100">
        <f>_xll.EQNXTDZ($A$1,$B27,X$1,$B$1)</f>
        <v>2917</v>
      </c>
      <c r="Y27" s="100">
        <f>_xll.EQNXTDZ($A$1,$B27,Y$1,$B$1)</f>
        <v>3264</v>
      </c>
      <c r="Z27" s="100">
        <f>_xll.EQNXTDZ($A$1,$B27,Z$1,$B$1)</f>
        <v>3468</v>
      </c>
      <c r="AA27" s="100">
        <f>_xll.EQNXTDZ($A$1,$B27,AA$1,$B$1)</f>
        <v>3640</v>
      </c>
      <c r="AB27" s="100">
        <f>_xll.EQNXTDZ($A$1,$B27,AB$1,$B$1)</f>
        <v>3790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-210.887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-21.16</v>
      </c>
      <c r="N29" s="100">
        <f>_xll.EQNXTDZ($A$1,$B29,N$1,$B$1)</f>
        <v>-43.13</v>
      </c>
      <c r="O29" s="100">
        <f>_xll.EQNXTDZ($A$1,$B29,O$1,$B$1)</f>
        <v>-17.53</v>
      </c>
      <c r="P29" s="100">
        <f>_xll.EQNXTDZ($A$1,$B29,P$1,$B$1)</f>
        <v>0</v>
      </c>
      <c r="Q29" s="100">
        <f>_xll.EQNXTDZ($A$1,$B29,Q$1,$B$1)</f>
        <v>-29.87</v>
      </c>
      <c r="R29" s="100">
        <f>_xll.EQNXTDZ($A$1,$B29,R$1,$B$1)</f>
        <v>-30</v>
      </c>
      <c r="S29" s="100">
        <f>_xll.EQNXTDZ($A$1,$B29,S$1,$B$1)</f>
        <v>0</v>
      </c>
      <c r="T29" s="100">
        <f>_xll.EQNXTDZ($A$1,$B29,T$1,$B$1)</f>
        <v>240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-134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-83</v>
      </c>
      <c r="AB29" s="100">
        <f>_xll.EQNXTDZ($A$1,$B29,AB$1,$B$1)</f>
        <v>25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113</v>
      </c>
      <c r="D30" s="100">
        <f>_xll.EQNXTDZ($A$1,$B30,D$1,$B$1)</f>
        <v>36.146999999999998</v>
      </c>
      <c r="E30" s="100">
        <f>_xll.EQNXTDZ($A$1,$B30,E$1,$B$1)</f>
        <v>87.212000000000003</v>
      </c>
      <c r="F30" s="100">
        <f>_xll.EQNXTDZ($A$1,$B30,F$1,$B$1)</f>
        <v>180.14500000000001</v>
      </c>
      <c r="G30" s="100">
        <f>_xll.EQNXTDZ($A$1,$B30,G$1,$B$1)</f>
        <v>271.58999999999997</v>
      </c>
      <c r="H30" s="100">
        <f>_xll.EQNXTDZ($A$1,$B30,H$1,$B$1)</f>
        <v>757.09</v>
      </c>
      <c r="I30" s="100">
        <f>_xll.EQNXTDZ($A$1,$B30,I$1,$B$1)</f>
        <v>2011.85</v>
      </c>
      <c r="J30" s="100">
        <f>_xll.EQNXTDZ($A$1,$B30,J$1,$B$1)</f>
        <v>1589.27</v>
      </c>
      <c r="K30" s="100">
        <f>_xll.EQNXTDZ($A$1,$B30,K$1,$B$1)</f>
        <v>630.63</v>
      </c>
      <c r="L30" s="100">
        <f>_xll.EQNXTDZ($A$1,$B30,L$1,$B$1)</f>
        <v>972.7</v>
      </c>
      <c r="M30" s="100">
        <f>_xll.EQNXTDZ($A$1,$B30,M$1,$B$1)</f>
        <v>1059.06</v>
      </c>
      <c r="N30" s="100">
        <f>_xll.EQNXTDZ($A$1,$B30,N$1,$B$1)</f>
        <v>1418.5</v>
      </c>
      <c r="O30" s="100">
        <f>_xll.EQNXTDZ($A$1,$B30,O$1,$B$1)</f>
        <v>920.64</v>
      </c>
      <c r="P30" s="100">
        <f>_xll.EQNXTDZ($A$1,$B30,P$1,$B$1)</f>
        <v>1065.0899999999999</v>
      </c>
      <c r="Q30" s="100">
        <f>_xll.EQNXTDZ($A$1,$B30,Q$1,$B$1)</f>
        <v>1392.12</v>
      </c>
      <c r="R30" s="100">
        <f>_xll.EQNXTDZ($A$1,$B30,R$1,$B$1)</f>
        <v>448</v>
      </c>
      <c r="S30" s="100">
        <f>_xll.EQNXTDZ($A$1,$B30,S$1,$B$1)</f>
        <v>1884</v>
      </c>
      <c r="T30" s="100">
        <f>_xll.EQNXTDZ($A$1,$B30,T$1,$B$1)</f>
        <v>3221</v>
      </c>
      <c r="U30" s="100">
        <f>_xll.EQNXTDZ($A$1,$B30,U$1,$B$1)</f>
        <v>2500</v>
      </c>
      <c r="V30" s="100">
        <f>_xll.EQNXTDZ($A$1,$B30,V$1,$B$1)</f>
        <v>1585</v>
      </c>
      <c r="W30" s="100">
        <f>_xll.EQNXTDZ($A$1,$B30,W$1,$B$1)</f>
        <v>2594</v>
      </c>
      <c r="X30" s="100">
        <f>_xll.EQNXTDZ($A$1,$B30,X$1,$B$1)</f>
        <v>4471</v>
      </c>
      <c r="Y30" s="100">
        <f>_xll.EQNXTDZ($A$1,$B30,Y$1,$B$1)</f>
        <v>4777</v>
      </c>
      <c r="Z30" s="100">
        <f>_xll.EQNXTDZ($A$1,$B30,Z$1,$B$1)</f>
        <v>2548</v>
      </c>
      <c r="AA30" s="100">
        <f>_xll.EQNXTDZ($A$1,$B30,AA$1,$B$1)</f>
        <v>3200</v>
      </c>
      <c r="AB30" s="100">
        <f>_xll.EQNXTDZ($A$1,$B30,AB$1,$B$1)</f>
        <v>4676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169.2199</v>
      </c>
      <c r="D35" s="100">
        <f>_xll.EQNXTDZ($A$1,$B35,D$1,$B$1)</f>
        <v>67.962999999999994</v>
      </c>
      <c r="E35" s="100">
        <f>_xll.EQNXTDZ($A$1,$B35,E$1,$B$1)</f>
        <v>142.15199999999999</v>
      </c>
      <c r="F35" s="100">
        <f>_xll.EQNXTDZ($A$1,$B35,F$1,$B$1)</f>
        <v>404.58800000000002</v>
      </c>
      <c r="G35" s="100">
        <f>_xll.EQNXTDZ($A$1,$B35,G$1,$B$1)</f>
        <v>655.33000000000004</v>
      </c>
      <c r="H35" s="100">
        <f>_xll.EQNXTDZ($A$1,$B35,H$1,$B$1)</f>
        <v>1472.48</v>
      </c>
      <c r="I35" s="100">
        <f>_xll.EQNXTDZ($A$1,$B35,I$1,$B$1)</f>
        <v>4441.8100000000004</v>
      </c>
      <c r="J35" s="100">
        <f>_xll.EQNXTDZ($A$1,$B35,J$1,$B$1)</f>
        <v>4396.07</v>
      </c>
      <c r="K35" s="100">
        <f>_xll.EQNXTDZ($A$1,$B35,K$1,$B$1)</f>
        <v>2727.61</v>
      </c>
      <c r="L35" s="100">
        <f>_xll.EQNXTDZ($A$1,$B35,L$1,$B$1)</f>
        <v>4041.41</v>
      </c>
      <c r="M35" s="100">
        <f>_xll.EQNXTDZ($A$1,$B35,M$1,$B$1)</f>
        <v>4900.49</v>
      </c>
      <c r="N35" s="100">
        <f>_xll.EQNXTDZ($A$1,$B35,N$1,$B$1)</f>
        <v>5526.04</v>
      </c>
      <c r="O35" s="100">
        <f>_xll.EQNXTDZ($A$1,$B35,O$1,$B$1)</f>
        <v>6899.48</v>
      </c>
      <c r="P35" s="100">
        <f>_xll.EQNXTDZ($A$1,$B35,P$1,$B$1)</f>
        <v>6904.62</v>
      </c>
      <c r="Q35" s="100">
        <f>_xll.EQNXTDZ($A$1,$B35,Q$1,$B$1)</f>
        <v>8178</v>
      </c>
      <c r="R35" s="100">
        <f>_xll.EQNXTDZ($A$1,$B35,R$1,$B$1)</f>
        <v>8175</v>
      </c>
      <c r="S35" s="100">
        <f>_xll.EQNXTDZ($A$1,$B35,S$1,$B$1)</f>
        <v>8316</v>
      </c>
      <c r="T35" s="100">
        <f>_xll.EQNXTDZ($A$1,$B35,T$1,$B$1)</f>
        <v>9276</v>
      </c>
      <c r="U35" s="100">
        <f>_xll.EQNXTDZ($A$1,$B35,U$1,$B$1)</f>
        <v>7956</v>
      </c>
      <c r="V35" s="100">
        <f>_xll.EQNXTDZ($A$1,$B35,V$1,$B$1)</f>
        <v>6805</v>
      </c>
      <c r="W35" s="100">
        <f>_xll.EQNXTDZ($A$1,$B35,W$1,$B$1)</f>
        <v>7980</v>
      </c>
      <c r="X35" s="100">
        <f>_xll.EQNXTDZ($A$1,$B35,X$1,$B$1)</f>
        <v>9629</v>
      </c>
      <c r="Y35" s="100">
        <f>_xll.EQNXTDZ($A$1,$B35,Y$1,$B$1)</f>
        <v>10511</v>
      </c>
      <c r="Z35" s="100">
        <f>_xll.EQNXTDZ($A$1,$B35,Z$1,$B$1)</f>
        <v>7759</v>
      </c>
      <c r="AA35" s="100">
        <f>_xll.EQNXTDZ($A$1,$B35,AA$1,$B$1)</f>
        <v>10353</v>
      </c>
      <c r="AB35" s="100">
        <f>_xll.EQNXTDZ($A$1,$B35,AB$1,$B$1)</f>
        <v>13832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422.53190000000001</v>
      </c>
      <c r="D41" s="55">
        <f>_xll.EQNXTDZ($A$1,$B41,D$1,$B$1)</f>
        <v>422.53199999999998</v>
      </c>
      <c r="E41" s="55">
        <f>_xll.EQNXTDZ($A$1,$B41,E$1,$B$1)</f>
        <v>422.53199999999998</v>
      </c>
      <c r="F41" s="55">
        <f>_xll.EQNXTDZ($A$1,$B41,F$1,$B$1)</f>
        <v>422.53199999999998</v>
      </c>
      <c r="G41" s="55">
        <f>_xll.EQNXTDZ($A$1,$B41,G$1,$B$1)</f>
        <v>422.53</v>
      </c>
      <c r="H41" s="55">
        <f>_xll.EQNXTDZ($A$1,$B41,H$1,$B$1)</f>
        <v>422.53</v>
      </c>
      <c r="I41" s="55">
        <f>_xll.EQNXTDZ($A$1,$B41,I$1,$B$1)</f>
        <v>422.53</v>
      </c>
      <c r="J41" s="55">
        <f>_xll.EQNXTDZ($A$1,$B41,J$1,$B$1)</f>
        <v>422.53</v>
      </c>
      <c r="K41" s="55">
        <f>_xll.EQNXTDZ($A$1,$B41,K$1,$B$1)</f>
        <v>422.53</v>
      </c>
      <c r="L41" s="55">
        <f>_xll.EQNXTDZ($A$1,$B41,L$1,$B$1)</f>
        <v>422.53</v>
      </c>
      <c r="M41" s="55">
        <f>_xll.EQNXTDZ($A$1,$B41,M$1,$B$1)</f>
        <v>845.06</v>
      </c>
      <c r="N41" s="55">
        <f>_xll.EQNXTDZ($A$1,$B41,N$1,$B$1)</f>
        <v>845.06</v>
      </c>
      <c r="O41" s="55">
        <f>_xll.EQNXTDZ($A$1,$B41,O$1,$B$1)</f>
        <v>845.06</v>
      </c>
      <c r="P41" s="55">
        <f>_xll.EQNXTDZ($A$1,$B41,P$1,$B$1)</f>
        <v>845.06</v>
      </c>
      <c r="Q41" s="55">
        <f>_xll.EQNXTDZ($A$1,$B41,Q$1,$B$1)</f>
        <v>845.06</v>
      </c>
      <c r="R41" s="55">
        <f>_xll.EQNXTDZ($A$1,$B41,R$1,$B$1)</f>
        <v>845</v>
      </c>
      <c r="S41" s="55">
        <f>_xll.EQNXTDZ($A$1,$B41,S$1,$B$1)</f>
        <v>845</v>
      </c>
      <c r="T41" s="55">
        <f>_xll.EQNXTDZ($A$1,$B41,T$1,$B$1)</f>
        <v>845</v>
      </c>
      <c r="U41" s="55">
        <f>_xll.EQNXTDZ($A$1,$B41,U$1,$B$1)</f>
        <v>845</v>
      </c>
      <c r="V41" s="55">
        <f>_xll.EQNXTDZ($A$1,$B41,V$1,$B$1)</f>
        <v>845</v>
      </c>
      <c r="W41" s="55">
        <f>_xll.EQNXTDZ($A$1,$B41,W$1,$B$1)</f>
        <v>845</v>
      </c>
      <c r="X41" s="55">
        <f>_xll.EQNXTDZ($A$1,$B41,X$1,$B$1)</f>
        <v>845</v>
      </c>
      <c r="Y41" s="55">
        <f>_xll.EQNXTDZ($A$1,$B41,Y$1,$B$1)</f>
        <v>845</v>
      </c>
      <c r="Z41" s="55">
        <f>_xll.EQNXTDZ($A$1,$B41,Z$1,$B$1)</f>
        <v>845</v>
      </c>
      <c r="AA41" s="55">
        <f>_xll.EQNXTDZ($A$1,$B41,AA$1,$B$1)</f>
        <v>845</v>
      </c>
      <c r="AB41" s="55">
        <f>_xll.EQNXTDZ($A$1,$B41,AB$1,$B$1)</f>
        <v>845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737.72640000000001</v>
      </c>
      <c r="D43" s="55">
        <f>_xll.EQNXTDZ($A$1,$B43,D$1,$B$1)</f>
        <v>644.74300000000005</v>
      </c>
      <c r="E43" s="55">
        <f>_xll.EQNXTDZ($A$1,$B43,E$1,$B$1)</f>
        <v>747.20500000000004</v>
      </c>
      <c r="F43" s="55">
        <f>_xll.EQNXTDZ($A$1,$B43,F$1,$B$1)</f>
        <v>1084.3420000000001</v>
      </c>
      <c r="G43" s="55">
        <f>_xll.EQNXTDZ($A$1,$B43,G$1,$B$1)</f>
        <v>1655.22</v>
      </c>
      <c r="H43" s="55">
        <f>_xll.EQNXTDZ($A$1,$B43,H$1,$B$1)</f>
        <v>3007.25</v>
      </c>
      <c r="I43" s="55">
        <f>_xll.EQNXTDZ($A$1,$B43,I$1,$B$1)</f>
        <v>7204.53</v>
      </c>
      <c r="J43" s="55">
        <f>_xll.EQNXTDZ($A$1,$B43,J$1,$B$1)</f>
        <v>11425.66</v>
      </c>
      <c r="K43" s="55">
        <f>_xll.EQNXTDZ($A$1,$B43,K$1,$B$1)</f>
        <v>13935.05</v>
      </c>
      <c r="L43" s="55">
        <f>_xll.EQNXTDZ($A$1,$B43,L$1,$B$1)</f>
        <v>17701.439999999999</v>
      </c>
      <c r="M43" s="55">
        <f>_xll.EQNXTDZ($A$1,$B43,M$1,$B$1)</f>
        <v>21688.13</v>
      </c>
      <c r="N43" s="55">
        <f>_xll.EQNXTDZ($A$1,$B43,N$1,$B$1)</f>
        <v>26036.2</v>
      </c>
      <c r="O43" s="55">
        <f>_xll.EQNXTDZ($A$1,$B43,O$1,$B$1)</f>
        <v>31430.68</v>
      </c>
      <c r="P43" s="55">
        <f>_xll.EQNXTDZ($A$1,$B43,P$1,$B$1)</f>
        <v>36572.550000000003</v>
      </c>
      <c r="Q43" s="55">
        <f>_xll.EQNXTDZ($A$1,$B43,Q$1,$B$1)</f>
        <v>42508.01</v>
      </c>
      <c r="R43" s="55">
        <f>_xll.EQNXTDZ($A$1,$B43,R$1,$B$1)</f>
        <v>36540</v>
      </c>
      <c r="S43" s="55">
        <f>_xll.EQNXTDZ($A$1,$B43,S$1,$B$1)</f>
        <v>29960</v>
      </c>
      <c r="T43" s="55">
        <f>_xll.EQNXTDZ($A$1,$B43,T$1,$B$1)</f>
        <v>35087</v>
      </c>
      <c r="U43" s="55">
        <f>_xll.EQNXTDZ($A$1,$B43,U$1,$B$1)</f>
        <v>32760</v>
      </c>
      <c r="V43" s="55">
        <f>_xll.EQNXTDZ($A$1,$B43,V$1,$B$1)</f>
        <v>39465</v>
      </c>
      <c r="W43" s="55">
        <f>_xll.EQNXTDZ($A$1,$B43,W$1,$B$1)</f>
        <v>31468</v>
      </c>
      <c r="X43" s="55">
        <f>_xll.EQNXTDZ($A$1,$B43,X$1,$B$1)</f>
        <v>33436</v>
      </c>
      <c r="Y43" s="55">
        <f>_xll.EQNXTDZ($A$1,$B43,Y$1,$B$1)</f>
        <v>12087</v>
      </c>
      <c r="Z43" s="55">
        <f>_xll.EQNXTDZ($A$1,$B43,Z$1,$B$1)</f>
        <v>14350</v>
      </c>
      <c r="AA43" s="55">
        <f>_xll.EQNXTDZ($A$1,$B43,AA$1,$B$1)</f>
        <v>12481</v>
      </c>
      <c r="AB43" s="55">
        <f>_xll.EQNXTDZ($A$1,$B43,AB$1,$B$1)</f>
        <v>21784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1160.2583</v>
      </c>
      <c r="D44" s="55">
        <f>_xll.EQNXTDZ($A$1,$B44,D$1,$B$1)</f>
        <v>1067.2750000000001</v>
      </c>
      <c r="E44" s="55">
        <f>_xll.EQNXTDZ($A$1,$B44,E$1,$B$1)</f>
        <v>1169.7370000000001</v>
      </c>
      <c r="F44" s="55">
        <f>_xll.EQNXTDZ($A$1,$B44,F$1,$B$1)</f>
        <v>1506.874</v>
      </c>
      <c r="G44" s="55">
        <f>_xll.EQNXTDZ($A$1,$B44,G$1,$B$1)</f>
        <v>2077.75</v>
      </c>
      <c r="H44" s="55">
        <f>_xll.EQNXTDZ($A$1,$B44,H$1,$B$1)</f>
        <v>3429.78</v>
      </c>
      <c r="I44" s="55">
        <f>_xll.EQNXTDZ($A$1,$B44,I$1,$B$1)</f>
        <v>7627.06</v>
      </c>
      <c r="J44" s="55">
        <f>_xll.EQNXTDZ($A$1,$B44,J$1,$B$1)</f>
        <v>11848.19</v>
      </c>
      <c r="K44" s="55">
        <f>_xll.EQNXTDZ($A$1,$B44,K$1,$B$1)</f>
        <v>14357.58</v>
      </c>
      <c r="L44" s="55">
        <f>_xll.EQNXTDZ($A$1,$B44,L$1,$B$1)</f>
        <v>18123.97</v>
      </c>
      <c r="M44" s="55">
        <f>_xll.EQNXTDZ($A$1,$B44,M$1,$B$1)</f>
        <v>22533.19</v>
      </c>
      <c r="N44" s="55">
        <f>_xll.EQNXTDZ($A$1,$B44,N$1,$B$1)</f>
        <v>26881.26</v>
      </c>
      <c r="O44" s="55">
        <f>_xll.EQNXTDZ($A$1,$B44,O$1,$B$1)</f>
        <v>32275.74</v>
      </c>
      <c r="P44" s="55">
        <f>_xll.EQNXTDZ($A$1,$B44,P$1,$B$1)</f>
        <v>37417.61</v>
      </c>
      <c r="Q44" s="55">
        <f>_xll.EQNXTDZ($A$1,$B44,Q$1,$B$1)</f>
        <v>43353.07</v>
      </c>
      <c r="R44" s="55">
        <f>_xll.EQNXTDZ($A$1,$B44,R$1,$B$1)</f>
        <v>37385</v>
      </c>
      <c r="S44" s="55">
        <f>_xll.EQNXTDZ($A$1,$B44,S$1,$B$1)</f>
        <v>30805</v>
      </c>
      <c r="T44" s="55">
        <f>_xll.EQNXTDZ($A$1,$B44,T$1,$B$1)</f>
        <v>35932</v>
      </c>
      <c r="U44" s="55">
        <f>_xll.EQNXTDZ($A$1,$B44,U$1,$B$1)</f>
        <v>33605</v>
      </c>
      <c r="V44" s="55">
        <f>_xll.EQNXTDZ($A$1,$B44,V$1,$B$1)</f>
        <v>40310</v>
      </c>
      <c r="W44" s="55">
        <f>_xll.EQNXTDZ($A$1,$B44,W$1,$B$1)</f>
        <v>32313</v>
      </c>
      <c r="X44" s="55">
        <f>_xll.EQNXTDZ($A$1,$B44,X$1,$B$1)</f>
        <v>34281</v>
      </c>
      <c r="Y44" s="55">
        <f>_xll.EQNXTDZ($A$1,$B44,Y$1,$B$1)</f>
        <v>12932</v>
      </c>
      <c r="Z44" s="55">
        <f>_xll.EQNXTDZ($A$1,$B44,Z$1,$B$1)</f>
        <v>15195</v>
      </c>
      <c r="AA44" s="55">
        <f>_xll.EQNXTDZ($A$1,$B44,AA$1,$B$1)</f>
        <v>13326</v>
      </c>
      <c r="AB44" s="55">
        <f>_xll.EQNXTDZ($A$1,$B44,AB$1,$B$1)</f>
        <v>22629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607.38800000000003</v>
      </c>
      <c r="G47" s="55">
        <f>_xll.EQNXTDZ($A$1,$B47,G$1,$B$1)</f>
        <v>570.92999999999995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8.3000000000000007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5.6623999999999999</v>
      </c>
      <c r="D48" s="55">
        <f>_xll.EQNXTDZ($A$1,$B48,D$1,$B$1)</f>
        <v>3.7629999999999999</v>
      </c>
      <c r="E48" s="55">
        <f>_xll.EQNXTDZ($A$1,$B48,E$1,$B$1)</f>
        <v>0.75800000000000001</v>
      </c>
      <c r="F48" s="55">
        <f>_xll.EQNXTDZ($A$1,$B48,F$1,$B$1)</f>
        <v>0.40799999999999997</v>
      </c>
      <c r="G48" s="55">
        <f>_xll.EQNXTDZ($A$1,$B48,G$1,$B$1)</f>
        <v>0.39</v>
      </c>
      <c r="H48" s="55">
        <f>_xll.EQNXTDZ($A$1,$B48,H$1,$B$1)</f>
        <v>558.02</v>
      </c>
      <c r="I48" s="55">
        <f>_xll.EQNXTDZ($A$1,$B48,I$1,$B$1)</f>
        <v>0.39</v>
      </c>
      <c r="J48" s="55">
        <f>_xll.EQNXTDZ($A$1,$B48,J$1,$B$1)</f>
        <v>0.39</v>
      </c>
      <c r="K48" s="55">
        <f>_xll.EQNXTDZ($A$1,$B48,K$1,$B$1)</f>
        <v>0.39</v>
      </c>
      <c r="L48" s="55">
        <f>_xll.EQNXTDZ($A$1,$B48,L$1,$B$1)</f>
        <v>60.47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4312</v>
      </c>
      <c r="X48" s="55">
        <f>_xll.EQNXTDZ($A$1,$B48,X$1,$B$1)</f>
        <v>2111</v>
      </c>
      <c r="Y48" s="55">
        <f>_xll.EQNXTDZ($A$1,$B48,Y$1,$B$1)</f>
        <v>1500</v>
      </c>
      <c r="Z48" s="55">
        <f>_xll.EQNXTDZ($A$1,$B48,Z$1,$B$1)</f>
        <v>4246</v>
      </c>
      <c r="AA48" s="55">
        <f>_xll.EQNXTDZ($A$1,$B48,AA$1,$B$1)</f>
        <v>5990</v>
      </c>
      <c r="AB48" s="55">
        <f>_xll.EQNXTDZ($A$1,$B48,AB$1,$B$1)</f>
        <v>4614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135.91900000000001</v>
      </c>
      <c r="E49" s="55">
        <f>_xll.EQNXTDZ($A$1,$B49,E$1,$B$1)</f>
        <v>137.733</v>
      </c>
      <c r="F49" s="55">
        <f>_xll.EQNXTDZ($A$1,$B49,F$1,$B$1)</f>
        <v>65.638000000000005</v>
      </c>
      <c r="G49" s="55">
        <f>_xll.EQNXTDZ($A$1,$B49,G$1,$B$1)</f>
        <v>108.11</v>
      </c>
      <c r="H49" s="55">
        <f>_xll.EQNXTDZ($A$1,$B49,H$1,$B$1)</f>
        <v>241.38</v>
      </c>
      <c r="I49" s="55">
        <f>_xll.EQNXTDZ($A$1,$B49,I$1,$B$1)</f>
        <v>300.63</v>
      </c>
      <c r="J49" s="55">
        <f>_xll.EQNXTDZ($A$1,$B49,J$1,$B$1)</f>
        <v>459.68</v>
      </c>
      <c r="K49" s="55">
        <f>_xll.EQNXTDZ($A$1,$B49,K$1,$B$1)</f>
        <v>558.86</v>
      </c>
      <c r="L49" s="55">
        <f>_xll.EQNXTDZ($A$1,$B49,L$1,$B$1)</f>
        <v>711.23</v>
      </c>
      <c r="M49" s="55">
        <f>_xll.EQNXTDZ($A$1,$B49,M$1,$B$1)</f>
        <v>944.7</v>
      </c>
      <c r="N49" s="55">
        <f>_xll.EQNXTDZ($A$1,$B49,N$1,$B$1)</f>
        <v>1108.81</v>
      </c>
      <c r="O49" s="55">
        <f>_xll.EQNXTDZ($A$1,$B49,O$1,$B$1)</f>
        <v>1279.8599999999999</v>
      </c>
      <c r="P49" s="55">
        <f>_xll.EQNXTDZ($A$1,$B49,P$1,$B$1)</f>
        <v>1658.11</v>
      </c>
      <c r="Q49" s="55">
        <f>_xll.EQNXTDZ($A$1,$B49,Q$1,$B$1)</f>
        <v>2518.62</v>
      </c>
      <c r="R49" s="55">
        <f>_xll.EQNXTDZ($A$1,$B49,R$1,$B$1)</f>
        <v>-2498</v>
      </c>
      <c r="S49" s="55">
        <f>_xll.EQNXTDZ($A$1,$B49,S$1,$B$1)</f>
        <v>-2748</v>
      </c>
      <c r="T49" s="55">
        <f>_xll.EQNXTDZ($A$1,$B49,T$1,$B$1)</f>
        <v>-2208</v>
      </c>
      <c r="U49" s="55">
        <f>_xll.EQNXTDZ($A$1,$B49,U$1,$B$1)</f>
        <v>-1925</v>
      </c>
      <c r="V49" s="55">
        <f>_xll.EQNXTDZ($A$1,$B49,V$1,$B$1)</f>
        <v>-1822</v>
      </c>
      <c r="W49" s="55">
        <f>_xll.EQNXTDZ($A$1,$B49,W$1,$B$1)</f>
        <v>-1058</v>
      </c>
      <c r="X49" s="55">
        <f>_xll.EQNXTDZ($A$1,$B49,X$1,$B$1)</f>
        <v>942</v>
      </c>
      <c r="Y49" s="55">
        <f>_xll.EQNXTDZ($A$1,$B49,Y$1,$B$1)</f>
        <v>2314</v>
      </c>
      <c r="Z49" s="55">
        <f>_xll.EQNXTDZ($A$1,$B49,Z$1,$B$1)</f>
        <v>2311</v>
      </c>
      <c r="AA49" s="55">
        <f>_xll.EQNXTDZ($A$1,$B49,AA$1,$B$1)</f>
        <v>2292</v>
      </c>
      <c r="AB49" s="55">
        <f>_xll.EQNXTDZ($A$1,$B49,AB$1,$B$1)</f>
        <v>2265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23.79</v>
      </c>
      <c r="N50" s="55">
        <f>_xll.EQNXTDZ($A$1,$B50,N$1,$B$1)</f>
        <v>17.149999999999999</v>
      </c>
      <c r="O50" s="55">
        <f>_xll.EQNXTDZ($A$1,$B50,O$1,$B$1)</f>
        <v>28.23</v>
      </c>
      <c r="P50" s="55">
        <f>_xll.EQNXTDZ($A$1,$B50,P$1,$B$1)</f>
        <v>56.37</v>
      </c>
      <c r="Q50" s="55">
        <f>_xll.EQNXTDZ($A$1,$B50,Q$1,$B$1)</f>
        <v>132.08000000000001</v>
      </c>
      <c r="R50" s="55">
        <f>_xll.EQNXTDZ($A$1,$B50,R$1,$B$1)</f>
        <v>563</v>
      </c>
      <c r="S50" s="55">
        <f>_xll.EQNXTDZ($A$1,$B50,S$1,$B$1)</f>
        <v>556</v>
      </c>
      <c r="T50" s="55">
        <f>_xll.EQNXTDZ($A$1,$B50,T$1,$B$1)</f>
        <v>802</v>
      </c>
      <c r="U50" s="55">
        <f>_xll.EQNXTDZ($A$1,$B50,U$1,$B$1)</f>
        <v>956</v>
      </c>
      <c r="V50" s="55">
        <f>_xll.EQNXTDZ($A$1,$B50,V$1,$B$1)</f>
        <v>1090</v>
      </c>
      <c r="W50" s="55">
        <f>_xll.EQNXTDZ($A$1,$B50,W$1,$B$1)</f>
        <v>1044</v>
      </c>
      <c r="X50" s="55">
        <f>_xll.EQNXTDZ($A$1,$B50,X$1,$B$1)</f>
        <v>1030</v>
      </c>
      <c r="Y50" s="55">
        <f>_xll.EQNXTDZ($A$1,$B50,Y$1,$B$1)</f>
        <v>1079</v>
      </c>
      <c r="Z50" s="55">
        <f>_xll.EQNXTDZ($A$1,$B50,Z$1,$B$1)</f>
        <v>1103</v>
      </c>
      <c r="AA50" s="55">
        <f>_xll.EQNXTDZ($A$1,$B50,AA$1,$B$1)</f>
        <v>1483</v>
      </c>
      <c r="AB50" s="55">
        <f>_xll.EQNXTDZ($A$1,$B50,AB$1,$B$1)</f>
        <v>1388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101</v>
      </c>
      <c r="S51" s="55">
        <f>_xll.EQNXTDZ($A$1,$B51,S$1,$B$1)</f>
        <v>93</v>
      </c>
      <c r="T51" s="55">
        <f>_xll.EQNXTDZ($A$1,$B51,T$1,$B$1)</f>
        <v>59</v>
      </c>
      <c r="U51" s="55">
        <f>_xll.EQNXTDZ($A$1,$B51,U$1,$B$1)</f>
        <v>8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19</v>
      </c>
      <c r="S52" s="55">
        <f>_xll.EQNXTDZ($A$1,$B52,S$1,$B$1)</f>
        <v>111</v>
      </c>
      <c r="T52" s="55">
        <f>_xll.EQNXTDZ($A$1,$B52,T$1,$B$1)</f>
        <v>134</v>
      </c>
      <c r="U52" s="55">
        <f>_xll.EQNXTDZ($A$1,$B52,U$1,$B$1)</f>
        <v>145</v>
      </c>
      <c r="V52" s="55">
        <f>_xll.EQNXTDZ($A$1,$B52,V$1,$B$1)</f>
        <v>162</v>
      </c>
      <c r="W52" s="55">
        <f>_xll.EQNXTDZ($A$1,$B52,W$1,$B$1)</f>
        <v>182</v>
      </c>
      <c r="X52" s="55">
        <f>_xll.EQNXTDZ($A$1,$B52,X$1,$B$1)</f>
        <v>212</v>
      </c>
      <c r="Y52" s="55">
        <f>_xll.EQNXTDZ($A$1,$B52,Y$1,$B$1)</f>
        <v>189</v>
      </c>
      <c r="Z52" s="55">
        <f>_xll.EQNXTDZ($A$1,$B52,Z$1,$B$1)</f>
        <v>199</v>
      </c>
      <c r="AA52" s="55">
        <f>_xll.EQNXTDZ($A$1,$B52,AA$1,$B$1)</f>
        <v>200</v>
      </c>
      <c r="AB52" s="55">
        <f>_xll.EQNXTDZ($A$1,$B52,AB$1,$B$1)</f>
        <v>200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5.6623999999999999</v>
      </c>
      <c r="D53" s="55">
        <f>_xll.EQNXTDZ($A$1,$B53,D$1,$B$1)</f>
        <v>139.68199999999999</v>
      </c>
      <c r="E53" s="55">
        <f>_xll.EQNXTDZ($A$1,$B53,E$1,$B$1)</f>
        <v>138.49100000000001</v>
      </c>
      <c r="F53" s="55">
        <f>_xll.EQNXTDZ($A$1,$B53,F$1,$B$1)</f>
        <v>673.43399999999997</v>
      </c>
      <c r="G53" s="55">
        <f>_xll.EQNXTDZ($A$1,$B53,G$1,$B$1)</f>
        <v>679.43</v>
      </c>
      <c r="H53" s="55">
        <f>_xll.EQNXTDZ($A$1,$B53,H$1,$B$1)</f>
        <v>799.4</v>
      </c>
      <c r="I53" s="55">
        <f>_xll.EQNXTDZ($A$1,$B53,I$1,$B$1)</f>
        <v>301.02</v>
      </c>
      <c r="J53" s="55">
        <f>_xll.EQNXTDZ($A$1,$B53,J$1,$B$1)</f>
        <v>460.07</v>
      </c>
      <c r="K53" s="55">
        <f>_xll.EQNXTDZ($A$1,$B53,K$1,$B$1)</f>
        <v>567.54999999999995</v>
      </c>
      <c r="L53" s="55">
        <f>_xll.EQNXTDZ($A$1,$B53,L$1,$B$1)</f>
        <v>771.7</v>
      </c>
      <c r="M53" s="55">
        <f>_xll.EQNXTDZ($A$1,$B53,M$1,$B$1)</f>
        <v>968.49</v>
      </c>
      <c r="N53" s="55">
        <f>_xll.EQNXTDZ($A$1,$B53,N$1,$B$1)</f>
        <v>1125.96</v>
      </c>
      <c r="O53" s="55">
        <f>_xll.EQNXTDZ($A$1,$B53,O$1,$B$1)</f>
        <v>1308.0899999999999</v>
      </c>
      <c r="P53" s="55">
        <f>_xll.EQNXTDZ($A$1,$B53,P$1,$B$1)</f>
        <v>1714.48</v>
      </c>
      <c r="Q53" s="55">
        <f>_xll.EQNXTDZ($A$1,$B53,Q$1,$B$1)</f>
        <v>2650.7</v>
      </c>
      <c r="R53" s="55">
        <f>_xll.EQNXTDZ($A$1,$B53,R$1,$B$1)</f>
        <v>-1815</v>
      </c>
      <c r="S53" s="55">
        <f>_xll.EQNXTDZ($A$1,$B53,S$1,$B$1)</f>
        <v>-1988</v>
      </c>
      <c r="T53" s="55">
        <f>_xll.EQNXTDZ($A$1,$B53,T$1,$B$1)</f>
        <v>-1213</v>
      </c>
      <c r="U53" s="55">
        <f>_xll.EQNXTDZ($A$1,$B53,U$1,$B$1)</f>
        <v>-816</v>
      </c>
      <c r="V53" s="55">
        <f>_xll.EQNXTDZ($A$1,$B53,V$1,$B$1)</f>
        <v>-570</v>
      </c>
      <c r="W53" s="55">
        <f>_xll.EQNXTDZ($A$1,$B53,W$1,$B$1)</f>
        <v>4480</v>
      </c>
      <c r="X53" s="55">
        <f>_xll.EQNXTDZ($A$1,$B53,X$1,$B$1)</f>
        <v>4295</v>
      </c>
      <c r="Y53" s="55">
        <f>_xll.EQNXTDZ($A$1,$B53,Y$1,$B$1)</f>
        <v>5082</v>
      </c>
      <c r="Z53" s="55">
        <f>_xll.EQNXTDZ($A$1,$B53,Z$1,$B$1)</f>
        <v>7859</v>
      </c>
      <c r="AA53" s="55">
        <f>_xll.EQNXTDZ($A$1,$B53,AA$1,$B$1)</f>
        <v>9965</v>
      </c>
      <c r="AB53" s="55">
        <f>_xll.EQNXTDZ($A$1,$B53,AB$1,$B$1)</f>
        <v>8467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149.4333</v>
      </c>
      <c r="D54" s="55">
        <f>_xll.EQNXTDZ($A$1,$B54,D$1,$B$1)</f>
        <v>118.483</v>
      </c>
      <c r="E54" s="55">
        <f>_xll.EQNXTDZ($A$1,$B54,E$1,$B$1)</f>
        <v>111.464</v>
      </c>
      <c r="F54" s="55">
        <f>_xll.EQNXTDZ($A$1,$B54,F$1,$B$1)</f>
        <v>138.65799999999999</v>
      </c>
      <c r="G54" s="55">
        <f>_xll.EQNXTDZ($A$1,$B54,G$1,$B$1)</f>
        <v>146.52000000000001</v>
      </c>
      <c r="H54" s="55">
        <f>_xll.EQNXTDZ($A$1,$B54,H$1,$B$1)</f>
        <v>183.72</v>
      </c>
      <c r="I54" s="55">
        <f>_xll.EQNXTDZ($A$1,$B54,I$1,$B$1)</f>
        <v>206.53</v>
      </c>
      <c r="J54" s="55">
        <f>_xll.EQNXTDZ($A$1,$B54,J$1,$B$1)</f>
        <v>354.67</v>
      </c>
      <c r="K54" s="55">
        <f>_xll.EQNXTDZ($A$1,$B54,K$1,$B$1)</f>
        <v>372.22</v>
      </c>
      <c r="L54" s="55">
        <f>_xll.EQNXTDZ($A$1,$B54,L$1,$B$1)</f>
        <v>477.66</v>
      </c>
      <c r="M54" s="55">
        <f>_xll.EQNXTDZ($A$1,$B54,M$1,$B$1)</f>
        <v>368.24</v>
      </c>
      <c r="N54" s="55">
        <f>_xll.EQNXTDZ($A$1,$B54,N$1,$B$1)</f>
        <v>410.29</v>
      </c>
      <c r="O54" s="55">
        <f>_xll.EQNXTDZ($A$1,$B54,O$1,$B$1)</f>
        <v>403.47</v>
      </c>
      <c r="P54" s="55">
        <f>_xll.EQNXTDZ($A$1,$B54,P$1,$B$1)</f>
        <v>510.32</v>
      </c>
      <c r="Q54" s="55">
        <f>_xll.EQNXTDZ($A$1,$B54,Q$1,$B$1)</f>
        <v>630.79</v>
      </c>
      <c r="R54" s="55">
        <f>_xll.EQNXTDZ($A$1,$B54,R$1,$B$1)</f>
        <v>931</v>
      </c>
      <c r="S54" s="55">
        <f>_xll.EQNXTDZ($A$1,$B54,S$1,$B$1)</f>
        <v>824</v>
      </c>
      <c r="T54" s="55">
        <f>_xll.EQNXTDZ($A$1,$B54,T$1,$B$1)</f>
        <v>947</v>
      </c>
      <c r="U54" s="55">
        <f>_xll.EQNXTDZ($A$1,$B54,U$1,$B$1)</f>
        <v>1174</v>
      </c>
      <c r="V54" s="55">
        <f>_xll.EQNXTDZ($A$1,$B54,V$1,$B$1)</f>
        <v>1488</v>
      </c>
      <c r="W54" s="55">
        <f>_xll.EQNXTDZ($A$1,$B54,W$1,$B$1)</f>
        <v>1545</v>
      </c>
      <c r="X54" s="55">
        <f>_xll.EQNXTDZ($A$1,$B54,X$1,$B$1)</f>
        <v>2038</v>
      </c>
      <c r="Y54" s="55">
        <f>_xll.EQNXTDZ($A$1,$B54,Y$1,$B$1)</f>
        <v>2088</v>
      </c>
      <c r="Z54" s="55">
        <f>_xll.EQNXTDZ($A$1,$B54,Z$1,$B$1)</f>
        <v>2106</v>
      </c>
      <c r="AA54" s="55">
        <f>_xll.EQNXTDZ($A$1,$B54,AA$1,$B$1)</f>
        <v>2204</v>
      </c>
      <c r="AB54" s="55">
        <f>_xll.EQNXTDZ($A$1,$B54,AB$1,$B$1)</f>
        <v>3073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138.58160000000001</v>
      </c>
      <c r="D55" s="55">
        <f>_xll.EQNXTDZ($A$1,$B55,D$1,$B$1)</f>
        <v>154.934</v>
      </c>
      <c r="E55" s="55">
        <f>_xll.EQNXTDZ($A$1,$B55,E$1,$B$1)</f>
        <v>133.60499999999999</v>
      </c>
      <c r="F55" s="55">
        <f>_xll.EQNXTDZ($A$1,$B55,F$1,$B$1)</f>
        <v>186.78299999999999</v>
      </c>
      <c r="G55" s="55">
        <f>_xll.EQNXTDZ($A$1,$B55,G$1,$B$1)</f>
        <v>280.89999999999998</v>
      </c>
      <c r="H55" s="55">
        <f>_xll.EQNXTDZ($A$1,$B55,H$1,$B$1)</f>
        <v>232.09</v>
      </c>
      <c r="I55" s="55">
        <f>_xll.EQNXTDZ($A$1,$B55,I$1,$B$1)</f>
        <v>435.28</v>
      </c>
      <c r="J55" s="55">
        <f>_xll.EQNXTDZ($A$1,$B55,J$1,$B$1)</f>
        <v>420.19</v>
      </c>
      <c r="K55" s="55">
        <f>_xll.EQNXTDZ($A$1,$B55,K$1,$B$1)</f>
        <v>430.6</v>
      </c>
      <c r="L55" s="55">
        <f>_xll.EQNXTDZ($A$1,$B55,L$1,$B$1)</f>
        <v>508.6</v>
      </c>
      <c r="M55" s="55">
        <f>_xll.EQNXTDZ($A$1,$B55,M$1,$B$1)</f>
        <v>615.57000000000005</v>
      </c>
      <c r="N55" s="55">
        <f>_xll.EQNXTDZ($A$1,$B55,N$1,$B$1)</f>
        <v>563.15</v>
      </c>
      <c r="O55" s="55">
        <f>_xll.EQNXTDZ($A$1,$B55,O$1,$B$1)</f>
        <v>653.24</v>
      </c>
      <c r="P55" s="55">
        <f>_xll.EQNXTDZ($A$1,$B55,P$1,$B$1)</f>
        <v>1018.48</v>
      </c>
      <c r="Q55" s="55">
        <f>_xll.EQNXTDZ($A$1,$B55,Q$1,$B$1)</f>
        <v>1045.9100000000001</v>
      </c>
      <c r="R55" s="55">
        <f>_xll.EQNXTDZ($A$1,$B55,R$1,$B$1)</f>
        <v>14052</v>
      </c>
      <c r="S55" s="55">
        <f>_xll.EQNXTDZ($A$1,$B55,S$1,$B$1)</f>
        <v>11311</v>
      </c>
      <c r="T55" s="55">
        <f>_xll.EQNXTDZ($A$1,$B55,T$1,$B$1)</f>
        <v>4807</v>
      </c>
      <c r="U55" s="55">
        <f>_xll.EQNXTDZ($A$1,$B55,U$1,$B$1)</f>
        <v>3798</v>
      </c>
      <c r="V55" s="55">
        <f>_xll.EQNXTDZ($A$1,$B55,V$1,$B$1)</f>
        <v>3181</v>
      </c>
      <c r="W55" s="55">
        <f>_xll.EQNXTDZ($A$1,$B55,W$1,$B$1)</f>
        <v>3918</v>
      </c>
      <c r="X55" s="55">
        <f>_xll.EQNXTDZ($A$1,$B55,X$1,$B$1)</f>
        <v>3479</v>
      </c>
      <c r="Y55" s="55">
        <f>_xll.EQNXTDZ($A$1,$B55,Y$1,$B$1)</f>
        <v>6238</v>
      </c>
      <c r="Z55" s="55">
        <f>_xll.EQNXTDZ($A$1,$B55,Z$1,$B$1)</f>
        <v>6326</v>
      </c>
      <c r="AA55" s="55">
        <f>_xll.EQNXTDZ($A$1,$B55,AA$1,$B$1)</f>
        <v>6156</v>
      </c>
      <c r="AB55" s="55">
        <f>_xll.EQNXTDZ($A$1,$B55,AB$1,$B$1)</f>
        <v>7678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0.39</v>
      </c>
      <c r="N56" s="55">
        <f>_xll.EQNXTDZ($A$1,$B56,N$1,$B$1)</f>
        <v>0.39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7908</v>
      </c>
      <c r="T56" s="55">
        <f>_xll.EQNXTDZ($A$1,$B56,T$1,$B$1)</f>
        <v>0</v>
      </c>
      <c r="U56" s="55">
        <f>_xll.EQNXTDZ($A$1,$B56,U$1,$B$1)</f>
        <v>2538</v>
      </c>
      <c r="V56" s="55">
        <f>_xll.EQNXTDZ($A$1,$B56,V$1,$B$1)</f>
        <v>611</v>
      </c>
      <c r="W56" s="55">
        <f>_xll.EQNXTDZ($A$1,$B56,W$1,$B$1)</f>
        <v>2161</v>
      </c>
      <c r="X56" s="55">
        <f>_xll.EQNXTDZ($A$1,$B56,X$1,$B$1)</f>
        <v>289</v>
      </c>
      <c r="Y56" s="55">
        <f>_xll.EQNXTDZ($A$1,$B56,Y$1,$B$1)</f>
        <v>8537</v>
      </c>
      <c r="Z56" s="55">
        <f>_xll.EQNXTDZ($A$1,$B56,Z$1,$B$1)</f>
        <v>1911</v>
      </c>
      <c r="AA56" s="55">
        <f>_xll.EQNXTDZ($A$1,$B56,AA$1,$B$1)</f>
        <v>2508</v>
      </c>
      <c r="AB56" s="55">
        <f>_xll.EQNXTDZ($A$1,$B56,AB$1,$B$1)</f>
        <v>105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58.203800000000001</v>
      </c>
      <c r="D57" s="55">
        <f>_xll.EQNXTDZ($A$1,$B57,D$1,$B$1)</f>
        <v>21.126999999999999</v>
      </c>
      <c r="E57" s="55">
        <f>_xll.EQNXTDZ($A$1,$B57,E$1,$B$1)</f>
        <v>54.283000000000001</v>
      </c>
      <c r="F57" s="55">
        <f>_xll.EQNXTDZ($A$1,$B57,F$1,$B$1)</f>
        <v>100.413</v>
      </c>
      <c r="G57" s="55">
        <f>_xll.EQNXTDZ($A$1,$B57,G$1,$B$1)</f>
        <v>84.31</v>
      </c>
      <c r="H57" s="55">
        <f>_xll.EQNXTDZ($A$1,$B57,H$1,$B$1)</f>
        <v>187.37</v>
      </c>
      <c r="I57" s="55">
        <f>_xll.EQNXTDZ($A$1,$B57,I$1,$B$1)</f>
        <v>184.95</v>
      </c>
      <c r="J57" s="55">
        <f>_xll.EQNXTDZ($A$1,$B57,J$1,$B$1)</f>
        <v>123.58</v>
      </c>
      <c r="K57" s="55">
        <f>_xll.EQNXTDZ($A$1,$B57,K$1,$B$1)</f>
        <v>198.13</v>
      </c>
      <c r="L57" s="55">
        <f>_xll.EQNXTDZ($A$1,$B57,L$1,$B$1)</f>
        <v>339.54</v>
      </c>
      <c r="M57" s="55">
        <f>_xll.EQNXTDZ($A$1,$B57,M$1,$B$1)</f>
        <v>567.08000000000004</v>
      </c>
      <c r="N57" s="55">
        <f>_xll.EQNXTDZ($A$1,$B57,N$1,$B$1)</f>
        <v>503.94</v>
      </c>
      <c r="O57" s="55">
        <f>_xll.EQNXTDZ($A$1,$B57,O$1,$B$1)</f>
        <v>824.87</v>
      </c>
      <c r="P57" s="55">
        <f>_xll.EQNXTDZ($A$1,$B57,P$1,$B$1)</f>
        <v>1015.78</v>
      </c>
      <c r="Q57" s="55">
        <f>_xll.EQNXTDZ($A$1,$B57,Q$1,$B$1)</f>
        <v>1311.53</v>
      </c>
      <c r="R57" s="55">
        <f>_xll.EQNXTDZ($A$1,$B57,R$1,$B$1)</f>
        <v>144</v>
      </c>
      <c r="S57" s="55">
        <f>_xll.EQNXTDZ($A$1,$B57,S$1,$B$1)</f>
        <v>187</v>
      </c>
      <c r="T57" s="55">
        <f>_xll.EQNXTDZ($A$1,$B57,T$1,$B$1)</f>
        <v>251</v>
      </c>
      <c r="U57" s="55">
        <f>_xll.EQNXTDZ($A$1,$B57,U$1,$B$1)</f>
        <v>234</v>
      </c>
      <c r="V57" s="55">
        <f>_xll.EQNXTDZ($A$1,$B57,V$1,$B$1)</f>
        <v>133</v>
      </c>
      <c r="W57" s="55">
        <f>_xll.EQNXTDZ($A$1,$B57,W$1,$B$1)</f>
        <v>252</v>
      </c>
      <c r="X57" s="55">
        <f>_xll.EQNXTDZ($A$1,$B57,X$1,$B$1)</f>
        <v>288</v>
      </c>
      <c r="Y57" s="55">
        <f>_xll.EQNXTDZ($A$1,$B57,Y$1,$B$1)</f>
        <v>590</v>
      </c>
      <c r="Z57" s="55">
        <f>_xll.EQNXTDZ($A$1,$B57,Z$1,$B$1)</f>
        <v>498</v>
      </c>
      <c r="AA57" s="55">
        <f>_xll.EQNXTDZ($A$1,$B57,AA$1,$B$1)</f>
        <v>331</v>
      </c>
      <c r="AB57" s="55">
        <f>_xll.EQNXTDZ($A$1,$B57,AB$1,$B$1)</f>
        <v>418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346.21870000000001</v>
      </c>
      <c r="D59" s="55">
        <f>_xll.EQNXTDZ($A$1,$B59,D$1,$B$1)</f>
        <v>294.54399999999998</v>
      </c>
      <c r="E59" s="55">
        <f>_xll.EQNXTDZ($A$1,$B59,E$1,$B$1)</f>
        <v>299.35199999999998</v>
      </c>
      <c r="F59" s="55">
        <f>_xll.EQNXTDZ($A$1,$B59,F$1,$B$1)</f>
        <v>425.85399999999998</v>
      </c>
      <c r="G59" s="55">
        <f>_xll.EQNXTDZ($A$1,$B59,G$1,$B$1)</f>
        <v>511.73</v>
      </c>
      <c r="H59" s="55">
        <f>_xll.EQNXTDZ($A$1,$B59,H$1,$B$1)</f>
        <v>603.17999999999995</v>
      </c>
      <c r="I59" s="55">
        <f>_xll.EQNXTDZ($A$1,$B59,I$1,$B$1)</f>
        <v>826.76</v>
      </c>
      <c r="J59" s="55">
        <f>_xll.EQNXTDZ($A$1,$B59,J$1,$B$1)</f>
        <v>898.44</v>
      </c>
      <c r="K59" s="55">
        <f>_xll.EQNXTDZ($A$1,$B59,K$1,$B$1)</f>
        <v>1000.95</v>
      </c>
      <c r="L59" s="55">
        <f>_xll.EQNXTDZ($A$1,$B59,L$1,$B$1)</f>
        <v>1325.8</v>
      </c>
      <c r="M59" s="55">
        <f>_xll.EQNXTDZ($A$1,$B59,M$1,$B$1)</f>
        <v>1551.28</v>
      </c>
      <c r="N59" s="55">
        <f>_xll.EQNXTDZ($A$1,$B59,N$1,$B$1)</f>
        <v>1477.77</v>
      </c>
      <c r="O59" s="55">
        <f>_xll.EQNXTDZ($A$1,$B59,O$1,$B$1)</f>
        <v>1881.58</v>
      </c>
      <c r="P59" s="55">
        <f>_xll.EQNXTDZ($A$1,$B59,P$1,$B$1)</f>
        <v>2544.58</v>
      </c>
      <c r="Q59" s="55">
        <f>_xll.EQNXTDZ($A$1,$B59,Q$1,$B$1)</f>
        <v>2988.23</v>
      </c>
      <c r="R59" s="55">
        <f>_xll.EQNXTDZ($A$1,$B59,R$1,$B$1)</f>
        <v>15127</v>
      </c>
      <c r="S59" s="55">
        <f>_xll.EQNXTDZ($A$1,$B59,S$1,$B$1)</f>
        <v>20230</v>
      </c>
      <c r="T59" s="55">
        <f>_xll.EQNXTDZ($A$1,$B59,T$1,$B$1)</f>
        <v>6005</v>
      </c>
      <c r="U59" s="55">
        <f>_xll.EQNXTDZ($A$1,$B59,U$1,$B$1)</f>
        <v>7744</v>
      </c>
      <c r="V59" s="55">
        <f>_xll.EQNXTDZ($A$1,$B59,V$1,$B$1)</f>
        <v>5413</v>
      </c>
      <c r="W59" s="55">
        <f>_xll.EQNXTDZ($A$1,$B59,W$1,$B$1)</f>
        <v>7876</v>
      </c>
      <c r="X59" s="55">
        <f>_xll.EQNXTDZ($A$1,$B59,X$1,$B$1)</f>
        <v>6094</v>
      </c>
      <c r="Y59" s="55">
        <f>_xll.EQNXTDZ($A$1,$B59,Y$1,$B$1)</f>
        <v>17453</v>
      </c>
      <c r="Z59" s="55">
        <f>_xll.EQNXTDZ($A$1,$B59,Z$1,$B$1)</f>
        <v>10841</v>
      </c>
      <c r="AA59" s="55">
        <f>_xll.EQNXTDZ($A$1,$B59,AA$1,$B$1)</f>
        <v>11199</v>
      </c>
      <c r="AB59" s="55">
        <f>_xll.EQNXTDZ($A$1,$B59,AB$1,$B$1)</f>
        <v>11274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1512.1394</v>
      </c>
      <c r="D60" s="55">
        <f>_xll.EQNXTDZ($A$1,$B60,D$1,$B$1)</f>
        <v>1501.501</v>
      </c>
      <c r="E60" s="55">
        <f>_xll.EQNXTDZ($A$1,$B60,E$1,$B$1)</f>
        <v>1607.58</v>
      </c>
      <c r="F60" s="55">
        <f>_xll.EQNXTDZ($A$1,$B60,F$1,$B$1)</f>
        <v>2606.1619999999998</v>
      </c>
      <c r="G60" s="55">
        <f>_xll.EQNXTDZ($A$1,$B60,G$1,$B$1)</f>
        <v>3268.91</v>
      </c>
      <c r="H60" s="55">
        <f>_xll.EQNXTDZ($A$1,$B60,H$1,$B$1)</f>
        <v>4832.3599999999997</v>
      </c>
      <c r="I60" s="55">
        <f>_xll.EQNXTDZ($A$1,$B60,I$1,$B$1)</f>
        <v>8754.84</v>
      </c>
      <c r="J60" s="55">
        <f>_xll.EQNXTDZ($A$1,$B60,J$1,$B$1)</f>
        <v>13206.7</v>
      </c>
      <c r="K60" s="55">
        <f>_xll.EQNXTDZ($A$1,$B60,K$1,$B$1)</f>
        <v>15926.08</v>
      </c>
      <c r="L60" s="55">
        <f>_xll.EQNXTDZ($A$1,$B60,L$1,$B$1)</f>
        <v>20221.47</v>
      </c>
      <c r="M60" s="55">
        <f>_xll.EQNXTDZ($A$1,$B60,M$1,$B$1)</f>
        <v>25052.959999999999</v>
      </c>
      <c r="N60" s="55">
        <f>_xll.EQNXTDZ($A$1,$B60,N$1,$B$1)</f>
        <v>29484.99</v>
      </c>
      <c r="O60" s="55">
        <f>_xll.EQNXTDZ($A$1,$B60,O$1,$B$1)</f>
        <v>35465.410000000003</v>
      </c>
      <c r="P60" s="55">
        <f>_xll.EQNXTDZ($A$1,$B60,P$1,$B$1)</f>
        <v>41676.67</v>
      </c>
      <c r="Q60" s="55">
        <f>_xll.EQNXTDZ($A$1,$B60,Q$1,$B$1)</f>
        <v>48992</v>
      </c>
      <c r="R60" s="55">
        <f>_xll.EQNXTDZ($A$1,$B60,R$1,$B$1)</f>
        <v>50697</v>
      </c>
      <c r="S60" s="55">
        <f>_xll.EQNXTDZ($A$1,$B60,S$1,$B$1)</f>
        <v>49047</v>
      </c>
      <c r="T60" s="55">
        <f>_xll.EQNXTDZ($A$1,$B60,T$1,$B$1)</f>
        <v>40724</v>
      </c>
      <c r="U60" s="55">
        <f>_xll.EQNXTDZ($A$1,$B60,U$1,$B$1)</f>
        <v>40533</v>
      </c>
      <c r="V60" s="55">
        <f>_xll.EQNXTDZ($A$1,$B60,V$1,$B$1)</f>
        <v>45153</v>
      </c>
      <c r="W60" s="55">
        <f>_xll.EQNXTDZ($A$1,$B60,W$1,$B$1)</f>
        <v>44669</v>
      </c>
      <c r="X60" s="55">
        <f>_xll.EQNXTDZ($A$1,$B60,X$1,$B$1)</f>
        <v>44670</v>
      </c>
      <c r="Y60" s="55">
        <f>_xll.EQNXTDZ($A$1,$B60,Y$1,$B$1)</f>
        <v>35467</v>
      </c>
      <c r="Z60" s="55">
        <f>_xll.EQNXTDZ($A$1,$B60,Z$1,$B$1)</f>
        <v>33895</v>
      </c>
      <c r="AA60" s="55">
        <f>_xll.EQNXTDZ($A$1,$B60,AA$1,$B$1)</f>
        <v>34490</v>
      </c>
      <c r="AB60" s="55">
        <f>_xll.EQNXTDZ($A$1,$B60,AB$1,$B$1)</f>
        <v>42370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1396.8424</v>
      </c>
      <c r="D62" s="55">
        <f>_xll.EQNXTDZ($A$1,$B62,D$1,$B$1)</f>
        <v>1527.335</v>
      </c>
      <c r="E62" s="55">
        <f>_xll.EQNXTDZ($A$1,$B62,E$1,$B$1)</f>
        <v>1548.2149999999999</v>
      </c>
      <c r="F62" s="55">
        <f>_xll.EQNXTDZ($A$1,$B62,F$1,$B$1)</f>
        <v>1599.748</v>
      </c>
      <c r="G62" s="55">
        <f>_xll.EQNXTDZ($A$1,$B62,G$1,$B$1)</f>
        <v>2398.81</v>
      </c>
      <c r="H62" s="55">
        <f>_xll.EQNXTDZ($A$1,$B62,H$1,$B$1)</f>
        <v>2989.96</v>
      </c>
      <c r="I62" s="55">
        <f>_xll.EQNXTDZ($A$1,$B62,I$1,$B$1)</f>
        <v>3499.79</v>
      </c>
      <c r="J62" s="55">
        <f>_xll.EQNXTDZ($A$1,$B62,J$1,$B$1)</f>
        <v>5181.8</v>
      </c>
      <c r="K62" s="55">
        <f>_xll.EQNXTDZ($A$1,$B62,K$1,$B$1)</f>
        <v>5855.51</v>
      </c>
      <c r="L62" s="55">
        <f>_xll.EQNXTDZ($A$1,$B62,L$1,$B$1)</f>
        <v>8240.66</v>
      </c>
      <c r="M62" s="55">
        <f>_xll.EQNXTDZ($A$1,$B62,M$1,$B$1)</f>
        <v>9802.33</v>
      </c>
      <c r="N62" s="55">
        <f>_xll.EQNXTDZ($A$1,$B62,N$1,$B$1)</f>
        <v>11657.9</v>
      </c>
      <c r="O62" s="55">
        <f>_xll.EQNXTDZ($A$1,$B62,O$1,$B$1)</f>
        <v>12264.8</v>
      </c>
      <c r="P62" s="55">
        <f>_xll.EQNXTDZ($A$1,$B62,P$1,$B$1)</f>
        <v>13584.11</v>
      </c>
      <c r="Q62" s="55">
        <f>_xll.EQNXTDZ($A$1,$B62,Q$1,$B$1)</f>
        <v>14550.51</v>
      </c>
      <c r="R62" s="55">
        <f>_xll.EQNXTDZ($A$1,$B62,R$1,$B$1)</f>
        <v>16524</v>
      </c>
      <c r="S62" s="55">
        <f>_xll.EQNXTDZ($A$1,$B62,S$1,$B$1)</f>
        <v>17904</v>
      </c>
      <c r="T62" s="55">
        <f>_xll.EQNXTDZ($A$1,$B62,T$1,$B$1)</f>
        <v>20657</v>
      </c>
      <c r="U62" s="55">
        <f>_xll.EQNXTDZ($A$1,$B62,U$1,$B$1)</f>
        <v>25841</v>
      </c>
      <c r="V62" s="55">
        <f>_xll.EQNXTDZ($A$1,$B62,V$1,$B$1)</f>
        <v>29611</v>
      </c>
      <c r="W62" s="55">
        <f>_xll.EQNXTDZ($A$1,$B62,W$1,$B$1)</f>
        <v>32292</v>
      </c>
      <c r="X62" s="55">
        <f>_xll.EQNXTDZ($A$1,$B62,X$1,$B$1)</f>
        <v>35364</v>
      </c>
      <c r="Y62" s="55">
        <f>_xll.EQNXTDZ($A$1,$B62,Y$1,$B$1)</f>
        <v>38091</v>
      </c>
      <c r="Z62" s="55">
        <f>_xll.EQNXTDZ($A$1,$B62,Z$1,$B$1)</f>
        <v>41879</v>
      </c>
      <c r="AA62" s="55">
        <f>_xll.EQNXTDZ($A$1,$B62,AA$1,$B$1)</f>
        <v>45754</v>
      </c>
      <c r="AB62" s="55">
        <f>_xll.EQNXTDZ($A$1,$B62,AB$1,$B$1)</f>
        <v>50453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780.41200000000003</v>
      </c>
      <c r="D63" s="55">
        <f>_xll.EQNXTDZ($A$1,$B63,D$1,$B$1)</f>
        <v>842.59</v>
      </c>
      <c r="E63" s="55">
        <f>_xll.EQNXTDZ($A$1,$B63,E$1,$B$1)</f>
        <v>892.96500000000003</v>
      </c>
      <c r="F63" s="55">
        <f>_xll.EQNXTDZ($A$1,$B63,F$1,$B$1)</f>
        <v>959.71</v>
      </c>
      <c r="G63" s="55">
        <f>_xll.EQNXTDZ($A$1,$B63,G$1,$B$1)</f>
        <v>1010.93</v>
      </c>
      <c r="H63" s="55">
        <f>_xll.EQNXTDZ($A$1,$B63,H$1,$B$1)</f>
        <v>1129.6600000000001</v>
      </c>
      <c r="I63" s="55">
        <f>_xll.EQNXTDZ($A$1,$B63,I$1,$B$1)</f>
        <v>1264.19</v>
      </c>
      <c r="J63" s="55">
        <f>_xll.EQNXTDZ($A$1,$B63,J$1,$B$1)</f>
        <v>1484.64</v>
      </c>
      <c r="K63" s="55">
        <f>_xll.EQNXTDZ($A$1,$B63,K$1,$B$1)</f>
        <v>1750.59</v>
      </c>
      <c r="L63" s="55">
        <f>_xll.EQNXTDZ($A$1,$B63,L$1,$B$1)</f>
        <v>2076.5700000000002</v>
      </c>
      <c r="M63" s="55">
        <f>_xll.EQNXTDZ($A$1,$B63,M$1,$B$1)</f>
        <v>2548.12</v>
      </c>
      <c r="N63" s="55">
        <f>_xll.EQNXTDZ($A$1,$B63,N$1,$B$1)</f>
        <v>3145.08</v>
      </c>
      <c r="O63" s="55">
        <f>_xll.EQNXTDZ($A$1,$B63,O$1,$B$1)</f>
        <v>3781.06</v>
      </c>
      <c r="P63" s="55">
        <f>_xll.EQNXTDZ($A$1,$B63,P$1,$B$1)</f>
        <v>4436.8599999999997</v>
      </c>
      <c r="Q63" s="55">
        <f>_xll.EQNXTDZ($A$1,$B63,Q$1,$B$1)</f>
        <v>5104.34</v>
      </c>
      <c r="R63" s="55">
        <f>_xll.EQNXTDZ($A$1,$B63,R$1,$B$1)</f>
        <v>6139</v>
      </c>
      <c r="S63" s="55">
        <f>_xll.EQNXTDZ($A$1,$B63,S$1,$B$1)</f>
        <v>7911</v>
      </c>
      <c r="T63" s="55">
        <f>_xll.EQNXTDZ($A$1,$B63,T$1,$B$1)</f>
        <v>9355</v>
      </c>
      <c r="U63" s="55">
        <f>_xll.EQNXTDZ($A$1,$B63,U$1,$B$1)</f>
        <v>11063</v>
      </c>
      <c r="V63" s="55">
        <f>_xll.EQNXTDZ($A$1,$B63,V$1,$B$1)</f>
        <v>13142</v>
      </c>
      <c r="W63" s="55">
        <f>_xll.EQNXTDZ($A$1,$B63,W$1,$B$1)</f>
        <v>15484</v>
      </c>
      <c r="X63" s="55">
        <f>_xll.EQNXTDZ($A$1,$B63,X$1,$B$1)</f>
        <v>17968</v>
      </c>
      <c r="Y63" s="55">
        <f>_xll.EQNXTDZ($A$1,$B63,Y$1,$B$1)</f>
        <v>20527</v>
      </c>
      <c r="Z63" s="55">
        <f>_xll.EQNXTDZ($A$1,$B63,Z$1,$B$1)</f>
        <v>23837</v>
      </c>
      <c r="AA63" s="55">
        <f>_xll.EQNXTDZ($A$1,$B63,AA$1,$B$1)</f>
        <v>27211</v>
      </c>
      <c r="AB63" s="55">
        <f>_xll.EQNXTDZ($A$1,$B63,AB$1,$B$1)</f>
        <v>30564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616.43039999999996</v>
      </c>
      <c r="D65" s="55">
        <f>_xll.EQNXTDZ($A$1,$B65,D$1,$B$1)</f>
        <v>684.745</v>
      </c>
      <c r="E65" s="55">
        <f>_xll.EQNXTDZ($A$1,$B65,E$1,$B$1)</f>
        <v>655.25</v>
      </c>
      <c r="F65" s="55">
        <f>_xll.EQNXTDZ($A$1,$B65,F$1,$B$1)</f>
        <v>640.03800000000001</v>
      </c>
      <c r="G65" s="55">
        <f>_xll.EQNXTDZ($A$1,$B65,G$1,$B$1)</f>
        <v>1387.88</v>
      </c>
      <c r="H65" s="55">
        <f>_xll.EQNXTDZ($A$1,$B65,H$1,$B$1)</f>
        <v>1860.3</v>
      </c>
      <c r="I65" s="55">
        <f>_xll.EQNXTDZ($A$1,$B65,I$1,$B$1)</f>
        <v>2235.6</v>
      </c>
      <c r="J65" s="55">
        <f>_xll.EQNXTDZ($A$1,$B65,J$1,$B$1)</f>
        <v>3697.16</v>
      </c>
      <c r="K65" s="55">
        <f>_xll.EQNXTDZ($A$1,$B65,K$1,$B$1)</f>
        <v>4104.92</v>
      </c>
      <c r="L65" s="55">
        <f>_xll.EQNXTDZ($A$1,$B65,L$1,$B$1)</f>
        <v>6164.09</v>
      </c>
      <c r="M65" s="55">
        <f>_xll.EQNXTDZ($A$1,$B65,M$1,$B$1)</f>
        <v>7254.21</v>
      </c>
      <c r="N65" s="55">
        <f>_xll.EQNXTDZ($A$1,$B65,N$1,$B$1)</f>
        <v>8512.82</v>
      </c>
      <c r="O65" s="55">
        <f>_xll.EQNXTDZ($A$1,$B65,O$1,$B$1)</f>
        <v>8483.74</v>
      </c>
      <c r="P65" s="55">
        <f>_xll.EQNXTDZ($A$1,$B65,P$1,$B$1)</f>
        <v>9147.25</v>
      </c>
      <c r="Q65" s="55">
        <f>_xll.EQNXTDZ($A$1,$B65,Q$1,$B$1)</f>
        <v>9446.17</v>
      </c>
      <c r="R65" s="55">
        <f>_xll.EQNXTDZ($A$1,$B65,R$1,$B$1)</f>
        <v>10385</v>
      </c>
      <c r="S65" s="55">
        <f>_xll.EQNXTDZ($A$1,$B65,S$1,$B$1)</f>
        <v>9993</v>
      </c>
      <c r="T65" s="55">
        <f>_xll.EQNXTDZ($A$1,$B65,T$1,$B$1)</f>
        <v>11302</v>
      </c>
      <c r="U65" s="55">
        <f>_xll.EQNXTDZ($A$1,$B65,U$1,$B$1)</f>
        <v>14778</v>
      </c>
      <c r="V65" s="55">
        <f>_xll.EQNXTDZ($A$1,$B65,V$1,$B$1)</f>
        <v>16469</v>
      </c>
      <c r="W65" s="55">
        <f>_xll.EQNXTDZ($A$1,$B65,W$1,$B$1)</f>
        <v>16808</v>
      </c>
      <c r="X65" s="55">
        <f>_xll.EQNXTDZ($A$1,$B65,X$1,$B$1)</f>
        <v>17396</v>
      </c>
      <c r="Y65" s="55">
        <f>_xll.EQNXTDZ($A$1,$B65,Y$1,$B$1)</f>
        <v>17564</v>
      </c>
      <c r="Z65" s="55">
        <f>_xll.EQNXTDZ($A$1,$B65,Z$1,$B$1)</f>
        <v>18042</v>
      </c>
      <c r="AA65" s="55">
        <f>_xll.EQNXTDZ($A$1,$B65,AA$1,$B$1)</f>
        <v>18543</v>
      </c>
      <c r="AB65" s="55">
        <f>_xll.EQNXTDZ($A$1,$B65,AB$1,$B$1)</f>
        <v>19889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47.812100000000001</v>
      </c>
      <c r="D67" s="55">
        <f>_xll.EQNXTDZ($A$1,$B67,D$1,$B$1)</f>
        <v>7.4660000000000002</v>
      </c>
      <c r="E67" s="55">
        <f>_xll.EQNXTDZ($A$1,$B67,E$1,$B$1)</f>
        <v>4.8689999999999998</v>
      </c>
      <c r="F67" s="55">
        <f>_xll.EQNXTDZ($A$1,$B67,F$1,$B$1)</f>
        <v>251.83199999999999</v>
      </c>
      <c r="G67" s="55">
        <f>_xll.EQNXTDZ($A$1,$B67,G$1,$B$1)</f>
        <v>456.26</v>
      </c>
      <c r="H67" s="55">
        <f>_xll.EQNXTDZ($A$1,$B67,H$1,$B$1)</f>
        <v>57.8</v>
      </c>
      <c r="I67" s="55">
        <f>_xll.EQNXTDZ($A$1,$B67,I$1,$B$1)</f>
        <v>634.99</v>
      </c>
      <c r="J67" s="55">
        <f>_xll.EQNXTDZ($A$1,$B67,J$1,$B$1)</f>
        <v>465.46</v>
      </c>
      <c r="K67" s="55">
        <f>_xll.EQNXTDZ($A$1,$B67,K$1,$B$1)</f>
        <v>1108.3900000000001</v>
      </c>
      <c r="L67" s="55">
        <f>_xll.EQNXTDZ($A$1,$B67,L$1,$B$1)</f>
        <v>1112.96</v>
      </c>
      <c r="M67" s="55">
        <f>_xll.EQNXTDZ($A$1,$B67,M$1,$B$1)</f>
        <v>594.82000000000005</v>
      </c>
      <c r="N67" s="55">
        <f>_xll.EQNXTDZ($A$1,$B67,N$1,$B$1)</f>
        <v>444.96</v>
      </c>
      <c r="O67" s="55">
        <f>_xll.EQNXTDZ($A$1,$B67,O$1,$B$1)</f>
        <v>1081.8499999999999</v>
      </c>
      <c r="P67" s="55">
        <f>_xll.EQNXTDZ($A$1,$B67,P$1,$B$1)</f>
        <v>1540.94</v>
      </c>
      <c r="Q67" s="55">
        <f>_xll.EQNXTDZ($A$1,$B67,Q$1,$B$1)</f>
        <v>2004.71</v>
      </c>
      <c r="R67" s="55">
        <f>_xll.EQNXTDZ($A$1,$B67,R$1,$B$1)</f>
        <v>2428</v>
      </c>
      <c r="S67" s="55">
        <f>_xll.EQNXTDZ($A$1,$B67,S$1,$B$1)</f>
        <v>3071</v>
      </c>
      <c r="T67" s="55">
        <f>_xll.EQNXTDZ($A$1,$B67,T$1,$B$1)</f>
        <v>3220</v>
      </c>
      <c r="U67" s="55">
        <f>_xll.EQNXTDZ($A$1,$B67,U$1,$B$1)</f>
        <v>2254</v>
      </c>
      <c r="V67" s="55">
        <f>_xll.EQNXTDZ($A$1,$B67,V$1,$B$1)</f>
        <v>2489</v>
      </c>
      <c r="W67" s="55">
        <f>_xll.EQNXTDZ($A$1,$B67,W$1,$B$1)</f>
        <v>1922</v>
      </c>
      <c r="X67" s="55">
        <f>_xll.EQNXTDZ($A$1,$B67,X$1,$B$1)</f>
        <v>2075</v>
      </c>
      <c r="Y67" s="55">
        <f>_xll.EQNXTDZ($A$1,$B67,Y$1,$B$1)</f>
        <v>2237</v>
      </c>
      <c r="Z67" s="55">
        <f>_xll.EQNXTDZ($A$1,$B67,Z$1,$B$1)</f>
        <v>1696</v>
      </c>
      <c r="AA67" s="55">
        <f>_xll.EQNXTDZ($A$1,$B67,AA$1,$B$1)</f>
        <v>2606</v>
      </c>
      <c r="AB67" s="55">
        <f>_xll.EQNXTDZ($A$1,$B67,AB$1,$B$1)</f>
        <v>3409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58</v>
      </c>
      <c r="Z68" s="55">
        <f>_xll.EQNXTDZ($A$1,$B68,Z$1,$B$1)</f>
        <v>109</v>
      </c>
      <c r="AA68" s="55">
        <f>_xll.EQNXTDZ($A$1,$B68,AA$1,$B$1)</f>
        <v>65</v>
      </c>
      <c r="AB68" s="55">
        <f>_xll.EQNXTDZ($A$1,$B68,AB$1,$B$1)</f>
        <v>48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83.043199999999999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1.00000000002183E-2</v>
      </c>
      <c r="J71" s="55">
        <f>_xll.EQNXTDZ($A$1,$B71,J$1,$B$1)</f>
        <v>1.3899999999994199</v>
      </c>
      <c r="K71" s="55">
        <f>_xll.EQNXTDZ($A$1,$B71,K$1,$B$1)</f>
        <v>1.80999999999949</v>
      </c>
      <c r="L71" s="55">
        <f>_xll.EQNXTDZ($A$1,$B71,L$1,$B$1)</f>
        <v>2.0799999999999299</v>
      </c>
      <c r="M71" s="55">
        <f>_xll.EQNXTDZ($A$1,$B71,M$1,$B$1)</f>
        <v>2.08</v>
      </c>
      <c r="N71" s="55">
        <f>_xll.EQNXTDZ($A$1,$B71,N$1,$B$1)</f>
        <v>2.59</v>
      </c>
      <c r="O71" s="55">
        <f>_xll.EQNXTDZ($A$1,$B71,O$1,$B$1)</f>
        <v>2.7</v>
      </c>
      <c r="P71" s="55">
        <f>_xll.EQNXTDZ($A$1,$B71,P$1,$B$1)</f>
        <v>2.81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257</v>
      </c>
      <c r="Z71" s="55">
        <f>_xll.EQNXTDZ($A$1,$B71,Z$1,$B$1)</f>
        <v>578</v>
      </c>
      <c r="AA71" s="55">
        <f>_xll.EQNXTDZ($A$1,$B71,AA$1,$B$1)</f>
        <v>823</v>
      </c>
      <c r="AB71" s="55">
        <f>_xll.EQNXTDZ($A$1,$B71,AB$1,$B$1)</f>
        <v>1114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672.1</v>
      </c>
      <c r="N72" s="55">
        <f>_xll.EQNXTDZ($A$1,$B72,N$1,$B$1)</f>
        <v>794.16</v>
      </c>
      <c r="O72" s="55">
        <f>_xll.EQNXTDZ($A$1,$B72,O$1,$B$1)</f>
        <v>1878.99</v>
      </c>
      <c r="P72" s="55">
        <f>_xll.EQNXTDZ($A$1,$B72,P$1,$B$1)</f>
        <v>2918.65</v>
      </c>
      <c r="Q72" s="55">
        <f>_xll.EQNXTDZ($A$1,$B72,Q$1,$B$1)</f>
        <v>4316.6499999999996</v>
      </c>
      <c r="R72" s="55">
        <f>_xll.EQNXTDZ($A$1,$B72,R$1,$B$1)</f>
        <v>640</v>
      </c>
      <c r="S72" s="55">
        <f>_xll.EQNXTDZ($A$1,$B72,S$1,$B$1)</f>
        <v>980</v>
      </c>
      <c r="T72" s="55">
        <f>_xll.EQNXTDZ($A$1,$B72,T$1,$B$1)</f>
        <v>1708</v>
      </c>
      <c r="U72" s="55">
        <f>_xll.EQNXTDZ($A$1,$B72,U$1,$B$1)</f>
        <v>1536</v>
      </c>
      <c r="V72" s="55">
        <f>_xll.EQNXTDZ($A$1,$B72,V$1,$B$1)</f>
        <v>1115</v>
      </c>
      <c r="W72" s="55">
        <f>_xll.EQNXTDZ($A$1,$B72,W$1,$B$1)</f>
        <v>1119</v>
      </c>
      <c r="X72" s="55">
        <f>_xll.EQNXTDZ($A$1,$B72,X$1,$B$1)</f>
        <v>1103</v>
      </c>
      <c r="Y72" s="55">
        <f>_xll.EQNXTDZ($A$1,$B72,Y$1,$B$1)</f>
        <v>431</v>
      </c>
      <c r="Z72" s="55">
        <f>_xll.EQNXTDZ($A$1,$B72,Z$1,$B$1)</f>
        <v>744</v>
      </c>
      <c r="AA72" s="55">
        <f>_xll.EQNXTDZ($A$1,$B72,AA$1,$B$1)</f>
        <v>650</v>
      </c>
      <c r="AB72" s="55">
        <f>_xll.EQNXTDZ($A$1,$B72,AB$1,$B$1)</f>
        <v>1125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74.400000000000006</v>
      </c>
      <c r="N73" s="55">
        <f>_xll.EQNXTDZ($A$1,$B73,N$1,$B$1)</f>
        <v>96.25</v>
      </c>
      <c r="O73" s="55">
        <f>_xll.EQNXTDZ($A$1,$B73,O$1,$B$1)</f>
        <v>258.49</v>
      </c>
      <c r="P73" s="55">
        <f>_xll.EQNXTDZ($A$1,$B73,P$1,$B$1)</f>
        <v>20.71</v>
      </c>
      <c r="Q73" s="55">
        <f>_xll.EQNXTDZ($A$1,$B73,Q$1,$B$1)</f>
        <v>20.67</v>
      </c>
      <c r="R73" s="55">
        <f>_xll.EQNXTDZ($A$1,$B73,R$1,$B$1)</f>
        <v>331</v>
      </c>
      <c r="S73" s="55">
        <f>_xll.EQNXTDZ($A$1,$B73,S$1,$B$1)</f>
        <v>354</v>
      </c>
      <c r="T73" s="55">
        <f>_xll.EQNXTDZ($A$1,$B73,T$1,$B$1)</f>
        <v>351</v>
      </c>
      <c r="U73" s="55">
        <f>_xll.EQNXTDZ($A$1,$B73,U$1,$B$1)</f>
        <v>393</v>
      </c>
      <c r="V73" s="55">
        <f>_xll.EQNXTDZ($A$1,$B73,V$1,$B$1)</f>
        <v>267</v>
      </c>
      <c r="W73" s="55">
        <f>_xll.EQNXTDZ($A$1,$B73,W$1,$B$1)</f>
        <v>252</v>
      </c>
      <c r="X73" s="55">
        <f>_xll.EQNXTDZ($A$1,$B73,X$1,$B$1)</f>
        <v>114</v>
      </c>
      <c r="Y73" s="55">
        <f>_xll.EQNXTDZ($A$1,$B73,Y$1,$B$1)</f>
        <v>116</v>
      </c>
      <c r="Z73" s="55">
        <f>_xll.EQNXTDZ($A$1,$B73,Z$1,$B$1)</f>
        <v>101</v>
      </c>
      <c r="AA73" s="55">
        <f>_xll.EQNXTDZ($A$1,$B73,AA$1,$B$1)</f>
        <v>177</v>
      </c>
      <c r="AB73" s="55">
        <f>_xll.EQNXTDZ($A$1,$B73,AB$1,$B$1)</f>
        <v>185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747.28570000000002</v>
      </c>
      <c r="D74" s="55">
        <f>_xll.EQNXTDZ($A$1,$B74,D$1,$B$1)</f>
        <v>692.21100000000001</v>
      </c>
      <c r="E74" s="55">
        <f>_xll.EQNXTDZ($A$1,$B74,E$1,$B$1)</f>
        <v>660.11900000000003</v>
      </c>
      <c r="F74" s="55">
        <f>_xll.EQNXTDZ($A$1,$B74,F$1,$B$1)</f>
        <v>891.87</v>
      </c>
      <c r="G74" s="55">
        <f>_xll.EQNXTDZ($A$1,$B74,G$1,$B$1)</f>
        <v>1844.14</v>
      </c>
      <c r="H74" s="55">
        <f>_xll.EQNXTDZ($A$1,$B74,H$1,$B$1)</f>
        <v>1918.1</v>
      </c>
      <c r="I74" s="55">
        <f>_xll.EQNXTDZ($A$1,$B74,I$1,$B$1)</f>
        <v>2870.6</v>
      </c>
      <c r="J74" s="55">
        <f>_xll.EQNXTDZ($A$1,$B74,J$1,$B$1)</f>
        <v>4164.01</v>
      </c>
      <c r="K74" s="55">
        <f>_xll.EQNXTDZ($A$1,$B74,K$1,$B$1)</f>
        <v>5215.12</v>
      </c>
      <c r="L74" s="55">
        <f>_xll.EQNXTDZ($A$1,$B74,L$1,$B$1)</f>
        <v>7279.13</v>
      </c>
      <c r="M74" s="55">
        <f>_xll.EQNXTDZ($A$1,$B74,M$1,$B$1)</f>
        <v>8597.61</v>
      </c>
      <c r="N74" s="55">
        <f>_xll.EQNXTDZ($A$1,$B74,N$1,$B$1)</f>
        <v>9850.7800000000007</v>
      </c>
      <c r="O74" s="55">
        <f>_xll.EQNXTDZ($A$1,$B74,O$1,$B$1)</f>
        <v>11705.77</v>
      </c>
      <c r="P74" s="55">
        <f>_xll.EQNXTDZ($A$1,$B74,P$1,$B$1)</f>
        <v>13630.36</v>
      </c>
      <c r="Q74" s="55">
        <f>_xll.EQNXTDZ($A$1,$B74,Q$1,$B$1)</f>
        <v>15788.2</v>
      </c>
      <c r="R74" s="55">
        <f>_xll.EQNXTDZ($A$1,$B74,R$1,$B$1)</f>
        <v>13784</v>
      </c>
      <c r="S74" s="55">
        <f>_xll.EQNXTDZ($A$1,$B74,S$1,$B$1)</f>
        <v>14398</v>
      </c>
      <c r="T74" s="55">
        <f>_xll.EQNXTDZ($A$1,$B74,T$1,$B$1)</f>
        <v>16581</v>
      </c>
      <c r="U74" s="55">
        <f>_xll.EQNXTDZ($A$1,$B74,U$1,$B$1)</f>
        <v>18961</v>
      </c>
      <c r="V74" s="55">
        <f>_xll.EQNXTDZ($A$1,$B74,V$1,$B$1)</f>
        <v>20340</v>
      </c>
      <c r="W74" s="55">
        <f>_xll.EQNXTDZ($A$1,$B74,W$1,$B$1)</f>
        <v>20101</v>
      </c>
      <c r="X74" s="55">
        <f>_xll.EQNXTDZ($A$1,$B74,X$1,$B$1)</f>
        <v>20688</v>
      </c>
      <c r="Y74" s="55">
        <f>_xll.EQNXTDZ($A$1,$B74,Y$1,$B$1)</f>
        <v>20663</v>
      </c>
      <c r="Z74" s="55">
        <f>_xll.EQNXTDZ($A$1,$B74,Z$1,$B$1)</f>
        <v>21270</v>
      </c>
      <c r="AA74" s="55">
        <f>_xll.EQNXTDZ($A$1,$B74,AA$1,$B$1)</f>
        <v>22864</v>
      </c>
      <c r="AB74" s="55">
        <f>_xll.EQNXTDZ($A$1,$B74,AB$1,$B$1)</f>
        <v>25770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619.32500000000005</v>
      </c>
      <c r="G75" s="55">
        <f>_xll.EQNXTDZ($A$1,$B75,G$1,$B$1)</f>
        <v>687.88</v>
      </c>
      <c r="H75" s="55">
        <f>_xll.EQNXTDZ($A$1,$B75,H$1,$B$1)</f>
        <v>1604.88</v>
      </c>
      <c r="I75" s="55">
        <f>_xll.EQNXTDZ($A$1,$B75,I$1,$B$1)</f>
        <v>4403.29</v>
      </c>
      <c r="J75" s="55">
        <f>_xll.EQNXTDZ($A$1,$B75,J$1,$B$1)</f>
        <v>6331.06</v>
      </c>
      <c r="K75" s="55">
        <f>_xll.EQNXTDZ($A$1,$B75,K$1,$B$1)</f>
        <v>6927.06</v>
      </c>
      <c r="L75" s="55">
        <f>_xll.EQNXTDZ($A$1,$B75,L$1,$B$1)</f>
        <v>10947.09</v>
      </c>
      <c r="M75" s="55">
        <f>_xll.EQNXTDZ($A$1,$B75,M$1,$B$1)</f>
        <v>9332.51</v>
      </c>
      <c r="N75" s="55">
        <f>_xll.EQNXTDZ($A$1,$B75,N$1,$B$1)</f>
        <v>12692.26</v>
      </c>
      <c r="O75" s="55">
        <f>_xll.EQNXTDZ($A$1,$B75,O$1,$B$1)</f>
        <v>14537.18</v>
      </c>
      <c r="P75" s="55">
        <f>_xll.EQNXTDZ($A$1,$B75,P$1,$B$1)</f>
        <v>22503.58</v>
      </c>
      <c r="Q75" s="55">
        <f>_xll.EQNXTDZ($A$1,$B75,Q$1,$B$1)</f>
        <v>27253.59</v>
      </c>
      <c r="R75" s="55">
        <f>_xll.EQNXTDZ($A$1,$B75,R$1,$B$1)</f>
        <v>35221</v>
      </c>
      <c r="S75" s="55">
        <f>_xll.EQNXTDZ($A$1,$B75,S$1,$B$1)</f>
        <v>23783</v>
      </c>
      <c r="T75" s="55">
        <f>_xll.EQNXTDZ($A$1,$B75,T$1,$B$1)</f>
        <v>20222</v>
      </c>
      <c r="U75" s="55">
        <f>_xll.EQNXTDZ($A$1,$B75,U$1,$B$1)</f>
        <v>19488</v>
      </c>
      <c r="V75" s="55">
        <f>_xll.EQNXTDZ($A$1,$B75,V$1,$B$1)</f>
        <v>20329</v>
      </c>
      <c r="W75" s="55">
        <f>_xll.EQNXTDZ($A$1,$B75,W$1,$B$1)</f>
        <v>12957</v>
      </c>
      <c r="X75" s="55">
        <f>_xll.EQNXTDZ($A$1,$B75,X$1,$B$1)</f>
        <v>15052</v>
      </c>
      <c r="Y75" s="55">
        <f>_xll.EQNXTDZ($A$1,$B75,Y$1,$B$1)</f>
        <v>9850</v>
      </c>
      <c r="Z75" s="55">
        <f>_xll.EQNXTDZ($A$1,$B75,Z$1,$B$1)</f>
        <v>9874</v>
      </c>
      <c r="AA75" s="55">
        <f>_xll.EQNXTDZ($A$1,$B75,AA$1,$B$1)</f>
        <v>9149</v>
      </c>
      <c r="AB75" s="55">
        <f>_xll.EQNXTDZ($A$1,$B75,AB$1,$B$1)</f>
        <v>13354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455.64319999999998</v>
      </c>
      <c r="D76" s="55">
        <f>_xll.EQNXTDZ($A$1,$B76,D$1,$B$1)</f>
        <v>442.76299999999998</v>
      </c>
      <c r="E76" s="55">
        <f>_xll.EQNXTDZ($A$1,$B76,E$1,$B$1)</f>
        <v>306.17700000000002</v>
      </c>
      <c r="F76" s="55">
        <f>_xll.EQNXTDZ($A$1,$B76,F$1,$B$1)</f>
        <v>322.58199999999999</v>
      </c>
      <c r="G76" s="55">
        <f>_xll.EQNXTDZ($A$1,$B76,G$1,$B$1)</f>
        <v>334.31</v>
      </c>
      <c r="H76" s="55">
        <f>_xll.EQNXTDZ($A$1,$B76,H$1,$B$1)</f>
        <v>383.1</v>
      </c>
      <c r="I76" s="55">
        <f>_xll.EQNXTDZ($A$1,$B76,I$1,$B$1)</f>
        <v>499.28</v>
      </c>
      <c r="J76" s="55">
        <f>_xll.EQNXTDZ($A$1,$B76,J$1,$B$1)</f>
        <v>518.1</v>
      </c>
      <c r="K76" s="55">
        <f>_xll.EQNXTDZ($A$1,$B76,K$1,$B$1)</f>
        <v>545.66</v>
      </c>
      <c r="L76" s="55">
        <f>_xll.EQNXTDZ($A$1,$B76,L$1,$B$1)</f>
        <v>451.74</v>
      </c>
      <c r="M76" s="55">
        <f>_xll.EQNXTDZ($A$1,$B76,M$1,$B$1)</f>
        <v>762.38</v>
      </c>
      <c r="N76" s="55">
        <f>_xll.EQNXTDZ($A$1,$B76,N$1,$B$1)</f>
        <v>797.94</v>
      </c>
      <c r="O76" s="55">
        <f>_xll.EQNXTDZ($A$1,$B76,O$1,$B$1)</f>
        <v>1111.0899999999999</v>
      </c>
      <c r="P76" s="55">
        <f>_xll.EQNXTDZ($A$1,$B76,P$1,$B$1)</f>
        <v>1198.24</v>
      </c>
      <c r="Q76" s="55">
        <f>_xll.EQNXTDZ($A$1,$B76,Q$1,$B$1)</f>
        <v>1211.75</v>
      </c>
      <c r="R76" s="55">
        <f>_xll.EQNXTDZ($A$1,$B76,R$1,$B$1)</f>
        <v>1058</v>
      </c>
      <c r="S76" s="55">
        <f>_xll.EQNXTDZ($A$1,$B76,S$1,$B$1)</f>
        <v>1936</v>
      </c>
      <c r="T76" s="55">
        <f>_xll.EQNXTDZ($A$1,$B76,T$1,$B$1)</f>
        <v>1379</v>
      </c>
      <c r="U76" s="55">
        <f>_xll.EQNXTDZ($A$1,$B76,U$1,$B$1)</f>
        <v>1544</v>
      </c>
      <c r="V76" s="55">
        <f>_xll.EQNXTDZ($A$1,$B76,V$1,$B$1)</f>
        <v>1835</v>
      </c>
      <c r="W76" s="55">
        <f>_xll.EQNXTDZ($A$1,$B76,W$1,$B$1)</f>
        <v>1425</v>
      </c>
      <c r="X76" s="55">
        <f>_xll.EQNXTDZ($A$1,$B76,X$1,$B$1)</f>
        <v>1953</v>
      </c>
      <c r="Y76" s="55">
        <f>_xll.EQNXTDZ($A$1,$B76,Y$1,$B$1)</f>
        <v>1862</v>
      </c>
      <c r="Z76" s="55">
        <f>_xll.EQNXTDZ($A$1,$B76,Z$1,$B$1)</f>
        <v>1926</v>
      </c>
      <c r="AA76" s="55">
        <f>_xll.EQNXTDZ($A$1,$B76,AA$1,$B$1)</f>
        <v>1889</v>
      </c>
      <c r="AB76" s="55">
        <f>_xll.EQNXTDZ($A$1,$B76,AB$1,$B$1)</f>
        <v>2054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88.887500000000003</v>
      </c>
      <c r="D77" s="55">
        <f>_xll.EQNXTDZ($A$1,$B77,D$1,$B$1)</f>
        <v>55.122</v>
      </c>
      <c r="E77" s="55">
        <f>_xll.EQNXTDZ($A$1,$B77,E$1,$B$1)</f>
        <v>62.268999999999998</v>
      </c>
      <c r="F77" s="55">
        <f>_xll.EQNXTDZ($A$1,$B77,F$1,$B$1)</f>
        <v>272.73</v>
      </c>
      <c r="G77" s="55">
        <f>_xll.EQNXTDZ($A$1,$B77,G$1,$B$1)</f>
        <v>260.85000000000002</v>
      </c>
      <c r="H77" s="55">
        <f>_xll.EQNXTDZ($A$1,$B77,H$1,$B$1)</f>
        <v>689.85</v>
      </c>
      <c r="I77" s="55">
        <f>_xll.EQNXTDZ($A$1,$B77,I$1,$B$1)</f>
        <v>556.62</v>
      </c>
      <c r="J77" s="55">
        <f>_xll.EQNXTDZ($A$1,$B77,J$1,$B$1)</f>
        <v>443.66</v>
      </c>
      <c r="K77" s="55">
        <f>_xll.EQNXTDZ($A$1,$B77,K$1,$B$1)</f>
        <v>164.94</v>
      </c>
      <c r="L77" s="55">
        <f>_xll.EQNXTDZ($A$1,$B77,L$1,$B$1)</f>
        <v>151.83000000000001</v>
      </c>
      <c r="M77" s="55">
        <f>_xll.EQNXTDZ($A$1,$B77,M$1,$B$1)</f>
        <v>208.89</v>
      </c>
      <c r="N77" s="55">
        <f>_xll.EQNXTDZ($A$1,$B77,N$1,$B$1)</f>
        <v>332.45</v>
      </c>
      <c r="O77" s="55">
        <f>_xll.EQNXTDZ($A$1,$B77,O$1,$B$1)</f>
        <v>402.87</v>
      </c>
      <c r="P77" s="55">
        <f>_xll.EQNXTDZ($A$1,$B77,P$1,$B$1)</f>
        <v>399.51</v>
      </c>
      <c r="Q77" s="55">
        <f>_xll.EQNXTDZ($A$1,$B77,Q$1,$B$1)</f>
        <v>658.82</v>
      </c>
      <c r="R77" s="55">
        <f>_xll.EQNXTDZ($A$1,$B77,R$1,$B$1)</f>
        <v>107</v>
      </c>
      <c r="S77" s="55">
        <f>_xll.EQNXTDZ($A$1,$B77,S$1,$B$1)</f>
        <v>136</v>
      </c>
      <c r="T77" s="55">
        <f>_xll.EQNXTDZ($A$1,$B77,T$1,$B$1)</f>
        <v>184</v>
      </c>
      <c r="U77" s="55">
        <f>_xll.EQNXTDZ($A$1,$B77,U$1,$B$1)</f>
        <v>196</v>
      </c>
      <c r="V77" s="55">
        <f>_xll.EQNXTDZ($A$1,$B77,V$1,$B$1)</f>
        <v>379</v>
      </c>
      <c r="W77" s="55">
        <f>_xll.EQNXTDZ($A$1,$B77,W$1,$B$1)</f>
        <v>406</v>
      </c>
      <c r="X77" s="55">
        <f>_xll.EQNXTDZ($A$1,$B77,X$1,$B$1)</f>
        <v>716</v>
      </c>
      <c r="Y77" s="55">
        <f>_xll.EQNXTDZ($A$1,$B77,Y$1,$B$1)</f>
        <v>380</v>
      </c>
      <c r="Z77" s="55">
        <f>_xll.EQNXTDZ($A$1,$B77,Z$1,$B$1)</f>
        <v>155</v>
      </c>
      <c r="AA77" s="55">
        <f>_xll.EQNXTDZ($A$1,$B77,AA$1,$B$1)</f>
        <v>117</v>
      </c>
      <c r="AB77" s="55">
        <f>_xll.EQNXTDZ($A$1,$B77,AB$1,$B$1)</f>
        <v>399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69.471299999999999</v>
      </c>
      <c r="D78" s="55">
        <f>_xll.EQNXTDZ($A$1,$B78,D$1,$B$1)</f>
        <v>56.37</v>
      </c>
      <c r="E78" s="55">
        <f>_xll.EQNXTDZ($A$1,$B78,E$1,$B$1)</f>
        <v>256.91000000000003</v>
      </c>
      <c r="F78" s="55">
        <f>_xll.EQNXTDZ($A$1,$B78,F$1,$B$1)</f>
        <v>404.613</v>
      </c>
      <c r="G78" s="55">
        <f>_xll.EQNXTDZ($A$1,$B78,G$1,$B$1)</f>
        <v>22.11</v>
      </c>
      <c r="H78" s="55">
        <f>_xll.EQNXTDZ($A$1,$B78,H$1,$B$1)</f>
        <v>74.03</v>
      </c>
      <c r="I78" s="55">
        <f>_xll.EQNXTDZ($A$1,$B78,I$1,$B$1)</f>
        <v>119.7</v>
      </c>
      <c r="J78" s="55">
        <f>_xll.EQNXTDZ($A$1,$B78,J$1,$B$1)</f>
        <v>1362.78</v>
      </c>
      <c r="K78" s="55">
        <f>_xll.EQNXTDZ($A$1,$B78,K$1,$B$1)</f>
        <v>2719.15</v>
      </c>
      <c r="L78" s="55">
        <f>_xll.EQNXTDZ($A$1,$B78,L$1,$B$1)</f>
        <v>927.53</v>
      </c>
      <c r="M78" s="55">
        <f>_xll.EQNXTDZ($A$1,$B78,M$1,$B$1)</f>
        <v>5632.91</v>
      </c>
      <c r="N78" s="55">
        <f>_xll.EQNXTDZ($A$1,$B78,N$1,$B$1)</f>
        <v>5255.32</v>
      </c>
      <c r="O78" s="55">
        <f>_xll.EQNXTDZ($A$1,$B78,O$1,$B$1)</f>
        <v>6942.1</v>
      </c>
      <c r="P78" s="55">
        <f>_xll.EQNXTDZ($A$1,$B78,P$1,$B$1)</f>
        <v>3031.42</v>
      </c>
      <c r="Q78" s="55">
        <f>_xll.EQNXTDZ($A$1,$B78,Q$1,$B$1)</f>
        <v>3531.51</v>
      </c>
      <c r="R78" s="55">
        <f>_xll.EQNXTDZ($A$1,$B78,R$1,$B$1)</f>
        <v>53</v>
      </c>
      <c r="S78" s="55">
        <f>_xll.EQNXTDZ($A$1,$B78,S$1,$B$1)</f>
        <v>8380</v>
      </c>
      <c r="T78" s="55">
        <f>_xll.EQNXTDZ($A$1,$B78,T$1,$B$1)</f>
        <v>1964</v>
      </c>
      <c r="U78" s="55">
        <f>_xll.EQNXTDZ($A$1,$B78,U$1,$B$1)</f>
        <v>23</v>
      </c>
      <c r="V78" s="55">
        <f>_xll.EQNXTDZ($A$1,$B78,V$1,$B$1)</f>
        <v>1918</v>
      </c>
      <c r="W78" s="55">
        <f>_xll.EQNXTDZ($A$1,$B78,W$1,$B$1)</f>
        <v>9376</v>
      </c>
      <c r="X78" s="55">
        <f>_xll.EQNXTDZ($A$1,$B78,X$1,$B$1)</f>
        <v>5763</v>
      </c>
      <c r="Y78" s="55">
        <f>_xll.EQNXTDZ($A$1,$B78,Y$1,$B$1)</f>
        <v>1412</v>
      </c>
      <c r="Z78" s="55">
        <f>_xll.EQNXTDZ($A$1,$B78,Z$1,$B$1)</f>
        <v>175</v>
      </c>
      <c r="AA78" s="55">
        <f>_xll.EQNXTDZ($A$1,$B78,AA$1,$B$1)</f>
        <v>177</v>
      </c>
      <c r="AB78" s="55">
        <f>_xll.EQNXTDZ($A$1,$B78,AB$1,$B$1)</f>
        <v>319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37.2502</v>
      </c>
      <c r="D79" s="55">
        <f>_xll.EQNXTDZ($A$1,$B79,D$1,$B$1)</f>
        <v>34.96</v>
      </c>
      <c r="E79" s="55">
        <f>_xll.EQNXTDZ($A$1,$B79,E$1,$B$1)</f>
        <v>37.284999999999997</v>
      </c>
      <c r="F79" s="55">
        <f>_xll.EQNXTDZ($A$1,$B79,F$1,$B$1)</f>
        <v>35.502000000000002</v>
      </c>
      <c r="G79" s="55">
        <f>_xll.EQNXTDZ($A$1,$B79,G$1,$B$1)</f>
        <v>19.63</v>
      </c>
      <c r="H79" s="55">
        <f>_xll.EQNXTDZ($A$1,$B79,H$1,$B$1)</f>
        <v>26.02</v>
      </c>
      <c r="I79" s="55">
        <f>_xll.EQNXTDZ($A$1,$B79,I$1,$B$1)</f>
        <v>41.98</v>
      </c>
      <c r="J79" s="55">
        <f>_xll.EQNXTDZ($A$1,$B79,J$1,$B$1)</f>
        <v>44.92</v>
      </c>
      <c r="K79" s="55">
        <f>_xll.EQNXTDZ($A$1,$B79,K$1,$B$1)</f>
        <v>86.85</v>
      </c>
      <c r="L79" s="55">
        <f>_xll.EQNXTDZ($A$1,$B79,L$1,$B$1)</f>
        <v>66.09</v>
      </c>
      <c r="M79" s="55">
        <f>_xll.EQNXTDZ($A$1,$B79,M$1,$B$1)</f>
        <v>246.68</v>
      </c>
      <c r="N79" s="55">
        <f>_xll.EQNXTDZ($A$1,$B79,N$1,$B$1)</f>
        <v>337.96</v>
      </c>
      <c r="O79" s="55">
        <f>_xll.EQNXTDZ($A$1,$B79,O$1,$B$1)</f>
        <v>415.64</v>
      </c>
      <c r="P79" s="55">
        <f>_xll.EQNXTDZ($A$1,$B79,P$1,$B$1)</f>
        <v>659.4</v>
      </c>
      <c r="Q79" s="55">
        <f>_xll.EQNXTDZ($A$1,$B79,Q$1,$B$1)</f>
        <v>193.6</v>
      </c>
      <c r="R79" s="55">
        <f>_xll.EQNXTDZ($A$1,$B79,R$1,$B$1)</f>
        <v>90</v>
      </c>
      <c r="S79" s="55">
        <f>_xll.EQNXTDZ($A$1,$B79,S$1,$B$1)</f>
        <v>91</v>
      </c>
      <c r="T79" s="55">
        <f>_xll.EQNXTDZ($A$1,$B79,T$1,$B$1)</f>
        <v>112</v>
      </c>
      <c r="U79" s="55">
        <f>_xll.EQNXTDZ($A$1,$B79,U$1,$B$1)</f>
        <v>48</v>
      </c>
      <c r="V79" s="55">
        <f>_xll.EQNXTDZ($A$1,$B79,V$1,$B$1)</f>
        <v>68</v>
      </c>
      <c r="W79" s="55">
        <f>_xll.EQNXTDZ($A$1,$B79,W$1,$B$1)</f>
        <v>126</v>
      </c>
      <c r="X79" s="55">
        <f>_xll.EQNXTDZ($A$1,$B79,X$1,$B$1)</f>
        <v>160</v>
      </c>
      <c r="Y79" s="55">
        <f>_xll.EQNXTDZ($A$1,$B79,Y$1,$B$1)</f>
        <v>224</v>
      </c>
      <c r="Z79" s="55">
        <f>_xll.EQNXTDZ($A$1,$B79,Z$1,$B$1)</f>
        <v>248</v>
      </c>
      <c r="AA79" s="55">
        <f>_xll.EQNXTDZ($A$1,$B79,AA$1,$B$1)</f>
        <v>105</v>
      </c>
      <c r="AB79" s="55">
        <f>_xll.EQNXTDZ($A$1,$B79,AB$1,$B$1)</f>
        <v>149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113.6015</v>
      </c>
      <c r="D80" s="55">
        <f>_xll.EQNXTDZ($A$1,$B80,D$1,$B$1)</f>
        <v>103.66500000000001</v>
      </c>
      <c r="E80" s="55">
        <f>_xll.EQNXTDZ($A$1,$B80,E$1,$B$1)</f>
        <v>73.933000000000007</v>
      </c>
      <c r="F80" s="55">
        <f>_xll.EQNXTDZ($A$1,$B80,F$1,$B$1)</f>
        <v>59.54</v>
      </c>
      <c r="G80" s="55">
        <f>_xll.EQNXTDZ($A$1,$B80,G$1,$B$1)</f>
        <v>99.99</v>
      </c>
      <c r="H80" s="55">
        <f>_xll.EQNXTDZ($A$1,$B80,H$1,$B$1)</f>
        <v>136.38</v>
      </c>
      <c r="I80" s="55">
        <f>_xll.EQNXTDZ($A$1,$B80,I$1,$B$1)</f>
        <v>263.37</v>
      </c>
      <c r="J80" s="55">
        <f>_xll.EQNXTDZ($A$1,$B80,J$1,$B$1)</f>
        <v>342.17</v>
      </c>
      <c r="K80" s="55">
        <f>_xll.EQNXTDZ($A$1,$B80,K$1,$B$1)</f>
        <v>267.3</v>
      </c>
      <c r="L80" s="55">
        <f>_xll.EQNXTDZ($A$1,$B80,L$1,$B$1)</f>
        <v>398.06</v>
      </c>
      <c r="M80" s="55">
        <f>_xll.EQNXTDZ($A$1,$B80,M$1,$B$1)</f>
        <v>271.98</v>
      </c>
      <c r="N80" s="55">
        <f>_xll.EQNXTDZ($A$1,$B80,N$1,$B$1)</f>
        <v>218.28</v>
      </c>
      <c r="O80" s="55">
        <f>_xll.EQNXTDZ($A$1,$B80,O$1,$B$1)</f>
        <v>350.76</v>
      </c>
      <c r="P80" s="55">
        <f>_xll.EQNXTDZ($A$1,$B80,P$1,$B$1)</f>
        <v>254.16</v>
      </c>
      <c r="Q80" s="55">
        <f>_xll.EQNXTDZ($A$1,$B80,Q$1,$B$1)</f>
        <v>354.53</v>
      </c>
      <c r="R80" s="55">
        <f>_xll.EQNXTDZ($A$1,$B80,R$1,$B$1)</f>
        <v>384</v>
      </c>
      <c r="S80" s="55">
        <f>_xll.EQNXTDZ($A$1,$B80,S$1,$B$1)</f>
        <v>323</v>
      </c>
      <c r="T80" s="55">
        <f>_xll.EQNXTDZ($A$1,$B80,T$1,$B$1)</f>
        <v>282</v>
      </c>
      <c r="U80" s="55">
        <f>_xll.EQNXTDZ($A$1,$B80,U$1,$B$1)</f>
        <v>273</v>
      </c>
      <c r="V80" s="55">
        <f>_xll.EQNXTDZ($A$1,$B80,V$1,$B$1)</f>
        <v>284</v>
      </c>
      <c r="W80" s="55">
        <f>_xll.EQNXTDZ($A$1,$B80,W$1,$B$1)</f>
        <v>278</v>
      </c>
      <c r="X80" s="55">
        <f>_xll.EQNXTDZ($A$1,$B80,X$1,$B$1)</f>
        <v>338</v>
      </c>
      <c r="Y80" s="55">
        <f>_xll.EQNXTDZ($A$1,$B80,Y$1,$B$1)</f>
        <v>1076</v>
      </c>
      <c r="Z80" s="55">
        <f>_xll.EQNXTDZ($A$1,$B80,Z$1,$B$1)</f>
        <v>247</v>
      </c>
      <c r="AA80" s="55">
        <f>_xll.EQNXTDZ($A$1,$B80,AA$1,$B$1)</f>
        <v>189</v>
      </c>
      <c r="AB80" s="55">
        <f>_xll.EQNXTDZ($A$1,$B80,AB$1,$B$1)</f>
        <v>325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764.8537</v>
      </c>
      <c r="D82" s="55">
        <f>_xll.EQNXTDZ($A$1,$B82,D$1,$B$1)</f>
        <v>692.88</v>
      </c>
      <c r="E82" s="55">
        <f>_xll.EQNXTDZ($A$1,$B82,E$1,$B$1)</f>
        <v>736.57399999999996</v>
      </c>
      <c r="F82" s="55">
        <f>_xll.EQNXTDZ($A$1,$B82,F$1,$B$1)</f>
        <v>1714.2919999999999</v>
      </c>
      <c r="G82" s="55">
        <f>_xll.EQNXTDZ($A$1,$B82,G$1,$B$1)</f>
        <v>1424.77</v>
      </c>
      <c r="H82" s="55">
        <f>_xll.EQNXTDZ($A$1,$B82,H$1,$B$1)</f>
        <v>2914.26</v>
      </c>
      <c r="I82" s="55">
        <f>_xll.EQNXTDZ($A$1,$B82,I$1,$B$1)</f>
        <v>5884.24</v>
      </c>
      <c r="J82" s="55">
        <f>_xll.EQNXTDZ($A$1,$B82,J$1,$B$1)</f>
        <v>9042.69</v>
      </c>
      <c r="K82" s="55">
        <f>_xll.EQNXTDZ($A$1,$B82,K$1,$B$1)</f>
        <v>10710.96</v>
      </c>
      <c r="L82" s="55">
        <f>_xll.EQNXTDZ($A$1,$B82,L$1,$B$1)</f>
        <v>12942.34</v>
      </c>
      <c r="M82" s="55">
        <f>_xll.EQNXTDZ($A$1,$B82,M$1,$B$1)</f>
        <v>16455.349999999999</v>
      </c>
      <c r="N82" s="55">
        <f>_xll.EQNXTDZ($A$1,$B82,N$1,$B$1)</f>
        <v>19634.21</v>
      </c>
      <c r="O82" s="55">
        <f>_xll.EQNXTDZ($A$1,$B82,O$1,$B$1)</f>
        <v>23759.64</v>
      </c>
      <c r="P82" s="55">
        <f>_xll.EQNXTDZ($A$1,$B82,P$1,$B$1)</f>
        <v>28046.31</v>
      </c>
      <c r="Q82" s="55">
        <f>_xll.EQNXTDZ($A$1,$B82,Q$1,$B$1)</f>
        <v>33203.800000000003</v>
      </c>
      <c r="R82" s="55">
        <f>_xll.EQNXTDZ($A$1,$B82,R$1,$B$1)</f>
        <v>36913</v>
      </c>
      <c r="S82" s="55">
        <f>_xll.EQNXTDZ($A$1,$B82,S$1,$B$1)</f>
        <v>34649</v>
      </c>
      <c r="T82" s="55">
        <f>_xll.EQNXTDZ($A$1,$B82,T$1,$B$1)</f>
        <v>24143</v>
      </c>
      <c r="U82" s="55">
        <f>_xll.EQNXTDZ($A$1,$B82,U$1,$B$1)</f>
        <v>21572</v>
      </c>
      <c r="V82" s="55">
        <f>_xll.EQNXTDZ($A$1,$B82,V$1,$B$1)</f>
        <v>24813</v>
      </c>
      <c r="W82" s="55">
        <f>_xll.EQNXTDZ($A$1,$B82,W$1,$B$1)</f>
        <v>24568</v>
      </c>
      <c r="X82" s="55">
        <f>_xll.EQNXTDZ($A$1,$B82,X$1,$B$1)</f>
        <v>23982</v>
      </c>
      <c r="Y82" s="55">
        <f>_xll.EQNXTDZ($A$1,$B82,Y$1,$B$1)</f>
        <v>14804</v>
      </c>
      <c r="Z82" s="55">
        <f>_xll.EQNXTDZ($A$1,$B82,Z$1,$B$1)</f>
        <v>12625</v>
      </c>
      <c r="AA82" s="55">
        <f>_xll.EQNXTDZ($A$1,$B82,AA$1,$B$1)</f>
        <v>11626</v>
      </c>
      <c r="AB82" s="55">
        <f>_xll.EQNXTDZ($A$1,$B82,AB$1,$B$1)</f>
        <v>16600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116.41</v>
      </c>
      <c r="E83" s="55">
        <f>_xll.EQNXTDZ($A$1,$B83,E$1,$B$1)</f>
        <v>210.887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1512.1394</v>
      </c>
      <c r="D84" s="55">
        <f>_xll.EQNXTDZ($A$1,$B84,D$1,$B$1)</f>
        <v>1501.501</v>
      </c>
      <c r="E84" s="55">
        <f>_xll.EQNXTDZ($A$1,$B84,E$1,$B$1)</f>
        <v>1607.58</v>
      </c>
      <c r="F84" s="55">
        <f>_xll.EQNXTDZ($A$1,$B84,F$1,$B$1)</f>
        <v>2606.1619999999998</v>
      </c>
      <c r="G84" s="55">
        <f>_xll.EQNXTDZ($A$1,$B84,G$1,$B$1)</f>
        <v>3268.91</v>
      </c>
      <c r="H84" s="55">
        <f>_xll.EQNXTDZ($A$1,$B84,H$1,$B$1)</f>
        <v>4832.3599999999997</v>
      </c>
      <c r="I84" s="55">
        <f>_xll.EQNXTDZ($A$1,$B84,I$1,$B$1)</f>
        <v>8754.84</v>
      </c>
      <c r="J84" s="55">
        <f>_xll.EQNXTDZ($A$1,$B84,J$1,$B$1)</f>
        <v>13206.7</v>
      </c>
      <c r="K84" s="55">
        <f>_xll.EQNXTDZ($A$1,$B84,K$1,$B$1)</f>
        <v>15926.08</v>
      </c>
      <c r="L84" s="55">
        <f>_xll.EQNXTDZ($A$1,$B84,L$1,$B$1)</f>
        <v>20221.47</v>
      </c>
      <c r="M84" s="55">
        <f>_xll.EQNXTDZ($A$1,$B84,M$1,$B$1)</f>
        <v>25052.959999999999</v>
      </c>
      <c r="N84" s="55">
        <f>_xll.EQNXTDZ($A$1,$B84,N$1,$B$1)</f>
        <v>29484.99</v>
      </c>
      <c r="O84" s="55">
        <f>_xll.EQNXTDZ($A$1,$B84,O$1,$B$1)</f>
        <v>35465.410000000003</v>
      </c>
      <c r="P84" s="55">
        <f>_xll.EQNXTDZ($A$1,$B84,P$1,$B$1)</f>
        <v>41676.67</v>
      </c>
      <c r="Q84" s="55">
        <f>_xll.EQNXTDZ($A$1,$B84,Q$1,$B$1)</f>
        <v>48992</v>
      </c>
      <c r="R84" s="55">
        <f>_xll.EQNXTDZ($A$1,$B84,R$1,$B$1)</f>
        <v>50697</v>
      </c>
      <c r="S84" s="55">
        <f>_xll.EQNXTDZ($A$1,$B84,S$1,$B$1)</f>
        <v>49047</v>
      </c>
      <c r="T84" s="55">
        <f>_xll.EQNXTDZ($A$1,$B84,T$1,$B$1)</f>
        <v>40724</v>
      </c>
      <c r="U84" s="55">
        <f>_xll.EQNXTDZ($A$1,$B84,U$1,$B$1)</f>
        <v>40533</v>
      </c>
      <c r="V84" s="55">
        <f>_xll.EQNXTDZ($A$1,$B84,V$1,$B$1)</f>
        <v>45153</v>
      </c>
      <c r="W84" s="55">
        <f>_xll.EQNXTDZ($A$1,$B84,W$1,$B$1)</f>
        <v>44669</v>
      </c>
      <c r="X84" s="55">
        <f>_xll.EQNXTDZ($A$1,$B84,X$1,$B$1)</f>
        <v>44670</v>
      </c>
      <c r="Y84" s="55">
        <f>_xll.EQNXTDZ($A$1,$B84,Y$1,$B$1)</f>
        <v>35467</v>
      </c>
      <c r="Z84" s="55">
        <f>_xll.EQNXTDZ($A$1,$B84,Z$1,$B$1)</f>
        <v>33895</v>
      </c>
      <c r="AA84" s="55">
        <f>_xll.EQNXTDZ($A$1,$B84,AA$1,$B$1)</f>
        <v>34490</v>
      </c>
      <c r="AB84" s="55">
        <f>_xll.EQNXTDZ($A$1,$B84,AB$1,$B$1)</f>
        <v>42370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158.2199</v>
      </c>
      <c r="D85" s="55">
        <f>_xll.EQNXTDZ($A$1,$B85,D$1,$B$1)</f>
        <v>66.370999999999995</v>
      </c>
      <c r="E85" s="55">
        <f>_xll.EQNXTDZ($A$1,$B85,E$1,$B$1)</f>
        <v>71.349000000000004</v>
      </c>
      <c r="F85" s="55">
        <f>_xll.EQNXTDZ($A$1,$B85,F$1,$B$1)</f>
        <v>60.722999999999999</v>
      </c>
      <c r="G85" s="55">
        <f>_xll.EQNXTDZ($A$1,$B85,G$1,$B$1)</f>
        <v>66.73</v>
      </c>
      <c r="H85" s="55">
        <f>_xll.EQNXTDZ($A$1,$B85,H$1,$B$1)</f>
        <v>95.19</v>
      </c>
      <c r="I85" s="55">
        <f>_xll.EQNXTDZ($A$1,$B85,I$1,$B$1)</f>
        <v>373.78</v>
      </c>
      <c r="J85" s="55">
        <f>_xll.EQNXTDZ($A$1,$B85,J$1,$B$1)</f>
        <v>487.65</v>
      </c>
      <c r="K85" s="55">
        <f>_xll.EQNXTDZ($A$1,$B85,K$1,$B$1)</f>
        <v>470.29</v>
      </c>
      <c r="L85" s="55">
        <f>_xll.EQNXTDZ($A$1,$B85,L$1,$B$1)</f>
        <v>1024.0899999999999</v>
      </c>
      <c r="M85" s="55">
        <f>_xll.EQNXTDZ($A$1,$B85,M$1,$B$1)</f>
        <v>1127.54</v>
      </c>
      <c r="N85" s="55">
        <f>_xll.EQNXTDZ($A$1,$B85,N$1,$B$1)</f>
        <v>1430.58</v>
      </c>
      <c r="O85" s="55">
        <f>_xll.EQNXTDZ($A$1,$B85,O$1,$B$1)</f>
        <v>1865.77</v>
      </c>
      <c r="P85" s="55">
        <f>_xll.EQNXTDZ($A$1,$B85,P$1,$B$1)</f>
        <v>2007.49</v>
      </c>
      <c r="Q85" s="55">
        <f>_xll.EQNXTDZ($A$1,$B85,Q$1,$B$1)</f>
        <v>2467.52</v>
      </c>
      <c r="R85" s="55">
        <f>_xll.EQNXTDZ($A$1,$B85,R$1,$B$1)</f>
        <v>3201</v>
      </c>
      <c r="S85" s="55">
        <f>_xll.EQNXTDZ($A$1,$B85,S$1,$B$1)</f>
        <v>5539</v>
      </c>
      <c r="T85" s="55">
        <f>_xll.EQNXTDZ($A$1,$B85,T$1,$B$1)</f>
        <v>5588</v>
      </c>
      <c r="U85" s="55">
        <f>_xll.EQNXTDZ($A$1,$B85,U$1,$B$1)</f>
        <v>1520</v>
      </c>
      <c r="V85" s="55">
        <f>_xll.EQNXTDZ($A$1,$B85,V$1,$B$1)</f>
        <v>2231</v>
      </c>
      <c r="W85" s="55">
        <f>_xll.EQNXTDZ($A$1,$B85,W$1,$B$1)</f>
        <v>2235</v>
      </c>
      <c r="X85" s="55">
        <f>_xll.EQNXTDZ($A$1,$B85,X$1,$B$1)</f>
        <v>2091</v>
      </c>
      <c r="Y85" s="55">
        <f>_xll.EQNXTDZ($A$1,$B85,Y$1,$B$1)</f>
        <v>2178</v>
      </c>
      <c r="Z85" s="55">
        <f>_xll.EQNXTDZ($A$1,$B85,Z$1,$B$1)</f>
        <v>2212</v>
      </c>
      <c r="AA85" s="55">
        <f>_xll.EQNXTDZ($A$1,$B85,AA$1,$B$1)</f>
        <v>1810</v>
      </c>
      <c r="AB85" s="55">
        <f>_xll.EQNXTDZ($A$1,$B85,AB$1,$B$1)</f>
        <v>1686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704</v>
      </c>
      <c r="X88" s="55">
        <f>_xll.EQNXTDZ($A$1,$B88,X$1,$B$1)</f>
        <v>703</v>
      </c>
      <c r="Y88" s="55">
        <f>_xll.EQNXTDZ($A$1,$B88,Y$1,$B$1)</f>
        <v>2111</v>
      </c>
      <c r="Z88" s="55">
        <f>_xll.EQNXTDZ($A$1,$B88,Z$1,$B$1)</f>
        <v>2698</v>
      </c>
      <c r="AA88" s="55">
        <f>_xll.EQNXTDZ($A$1,$B88,AA$1,$B$1)</f>
        <v>2722</v>
      </c>
      <c r="AB88" s="55">
        <f>_xll.EQNXTDZ($A$1,$B88,AB$1,$B$1)</f>
        <v>3638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31.513400000000001</v>
      </c>
      <c r="D93" s="55">
        <f>_xll.EQNXTDZ($A$1,$B93,D$1,$B$1)</f>
        <v>27.126999999999999</v>
      </c>
      <c r="E93" s="55">
        <f>_xll.EQNXTDZ($A$1,$B93,E$1,$B$1)</f>
        <v>16.105</v>
      </c>
      <c r="F93" s="55">
        <f>_xll.EQNXTDZ($A$1,$B93,F$1,$B$1)</f>
        <v>57.701999999999998</v>
      </c>
      <c r="G93" s="55">
        <f>_xll.EQNXTDZ($A$1,$B93,G$1,$B$1)</f>
        <v>57.12</v>
      </c>
      <c r="H93" s="55">
        <f>_xll.EQNXTDZ($A$1,$B93,H$1,$B$1)</f>
        <v>77.8</v>
      </c>
      <c r="I93" s="55">
        <f>_xll.EQNXTDZ($A$1,$B93,I$1,$B$1)</f>
        <v>147.77000000000001</v>
      </c>
      <c r="J93" s="55">
        <f>_xll.EQNXTDZ($A$1,$B93,J$1,$B$1)</f>
        <v>136.96</v>
      </c>
      <c r="K93" s="55">
        <f>_xll.EQNXTDZ($A$1,$B93,K$1,$B$1)</f>
        <v>236.48</v>
      </c>
      <c r="L93" s="55">
        <f>_xll.EQNXTDZ($A$1,$B93,L$1,$B$1)</f>
        <v>890.37</v>
      </c>
      <c r="M93" s="55">
        <f>_xll.EQNXTDZ($A$1,$B93,M$1,$B$1)</f>
        <v>1081.52</v>
      </c>
      <c r="N93" s="55">
        <f>_xll.EQNXTDZ($A$1,$B93,N$1,$B$1)</f>
        <v>1368.34</v>
      </c>
      <c r="O93" s="55">
        <f>_xll.EQNXTDZ($A$1,$B93,O$1,$B$1)</f>
        <v>1799.87</v>
      </c>
      <c r="P93" s="55">
        <f>_xll.EQNXTDZ($A$1,$B93,P$1,$B$1)</f>
        <v>1943.66</v>
      </c>
      <c r="Q93" s="55">
        <f>_xll.EQNXTDZ($A$1,$B93,Q$1,$B$1)</f>
        <v>2411.6</v>
      </c>
      <c r="R93" s="55">
        <f>_xll.EQNXTDZ($A$1,$B93,R$1,$B$1)</f>
        <v>3150</v>
      </c>
      <c r="S93" s="55">
        <f>_xll.EQNXTDZ($A$1,$B93,S$1,$B$1)</f>
        <v>5474</v>
      </c>
      <c r="T93" s="55">
        <f>_xll.EQNXTDZ($A$1,$B93,T$1,$B$1)</f>
        <v>5418</v>
      </c>
      <c r="U93" s="55">
        <f>_xll.EQNXTDZ($A$1,$B93,U$1,$B$1)</f>
        <v>1324</v>
      </c>
      <c r="V93" s="55">
        <f>_xll.EQNXTDZ($A$1,$B93,V$1,$B$1)</f>
        <v>2006</v>
      </c>
      <c r="W93" s="55">
        <f>_xll.EQNXTDZ($A$1,$B93,W$1,$B$1)</f>
        <v>2008</v>
      </c>
      <c r="X93" s="55">
        <f>_xll.EQNXTDZ($A$1,$B93,X$1,$B$1)</f>
        <v>1813</v>
      </c>
      <c r="Y93" s="55">
        <f>_xll.EQNXTDZ($A$1,$B93,Y$1,$B$1)</f>
        <v>1901</v>
      </c>
      <c r="Z93" s="55">
        <f>_xll.EQNXTDZ($A$1,$B93,Z$1,$B$1)</f>
        <v>1929</v>
      </c>
      <c r="AA93" s="55">
        <f>_xll.EQNXTDZ($A$1,$B93,AA$1,$B$1)</f>
        <v>1416</v>
      </c>
      <c r="AB93" s="55">
        <f>_xll.EQNXTDZ($A$1,$B93,AB$1,$B$1)</f>
        <v>1303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7.7755000000000001</v>
      </c>
      <c r="D95" s="55">
        <f>_xll.EQNXTDZ($A$1,$B95,D$1,$B$1)</f>
        <v>0.159</v>
      </c>
      <c r="E95" s="55">
        <f>_xll.EQNXTDZ($A$1,$B95,E$1,$B$1)</f>
        <v>3.1379999999999999</v>
      </c>
      <c r="F95" s="55">
        <f>_xll.EQNXTDZ($A$1,$B95,F$1,$B$1)</f>
        <v>3.0209999999999999</v>
      </c>
      <c r="G95" s="55">
        <f>_xll.EQNXTDZ($A$1,$B95,G$1,$B$1)</f>
        <v>9.61</v>
      </c>
      <c r="H95" s="55">
        <f>_xll.EQNXTDZ($A$1,$B95,H$1,$B$1)</f>
        <v>17.39</v>
      </c>
      <c r="I95" s="55">
        <f>_xll.EQNXTDZ($A$1,$B95,I$1,$B$1)</f>
        <v>18.57</v>
      </c>
      <c r="J95" s="55">
        <f>_xll.EQNXTDZ($A$1,$B95,J$1,$B$1)</f>
        <v>23.55</v>
      </c>
      <c r="K95" s="55">
        <f>_xll.EQNXTDZ($A$1,$B95,K$1,$B$1)</f>
        <v>25.91</v>
      </c>
      <c r="L95" s="55">
        <f>_xll.EQNXTDZ($A$1,$B95,L$1,$B$1)</f>
        <v>27.91</v>
      </c>
      <c r="M95" s="55">
        <f>_xll.EQNXTDZ($A$1,$B95,M$1,$B$1)</f>
        <v>46.02</v>
      </c>
      <c r="N95" s="55">
        <f>_xll.EQNXTDZ($A$1,$B95,N$1,$B$1)</f>
        <v>62.24</v>
      </c>
      <c r="O95" s="55">
        <f>_xll.EQNXTDZ($A$1,$B95,O$1,$B$1)</f>
        <v>65.900000000000006</v>
      </c>
      <c r="P95" s="55">
        <f>_xll.EQNXTDZ($A$1,$B95,P$1,$B$1)</f>
        <v>63.83</v>
      </c>
      <c r="Q95" s="55">
        <f>_xll.EQNXTDZ($A$1,$B95,Q$1,$B$1)</f>
        <v>55.92</v>
      </c>
      <c r="R95" s="55">
        <f>_xll.EQNXTDZ($A$1,$B95,R$1,$B$1)</f>
        <v>51</v>
      </c>
      <c r="S95" s="55">
        <f>_xll.EQNXTDZ($A$1,$B95,S$1,$B$1)</f>
        <v>65</v>
      </c>
      <c r="T95" s="55">
        <f>_xll.EQNXTDZ($A$1,$B95,T$1,$B$1)</f>
        <v>170</v>
      </c>
      <c r="U95" s="55">
        <f>_xll.EQNXTDZ($A$1,$B95,U$1,$B$1)</f>
        <v>196</v>
      </c>
      <c r="V95" s="55">
        <f>_xll.EQNXTDZ($A$1,$B95,V$1,$B$1)</f>
        <v>225</v>
      </c>
      <c r="W95" s="55">
        <f>_xll.EQNXTDZ($A$1,$B95,W$1,$B$1)</f>
        <v>227</v>
      </c>
      <c r="X95" s="55">
        <f>_xll.EQNXTDZ($A$1,$B95,X$1,$B$1)</f>
        <v>278</v>
      </c>
      <c r="Y95" s="55">
        <f>_xll.EQNXTDZ($A$1,$B95,Y$1,$B$1)</f>
        <v>277</v>
      </c>
      <c r="Z95" s="55">
        <f>_xll.EQNXTDZ($A$1,$B95,Z$1,$B$1)</f>
        <v>283</v>
      </c>
      <c r="AA95" s="55">
        <f>_xll.EQNXTDZ($A$1,$B95,AA$1,$B$1)</f>
        <v>394</v>
      </c>
      <c r="AB95" s="55">
        <f>_xll.EQNXTDZ($A$1,$B95,AB$1,$B$1)</f>
        <v>383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207.44</v>
      </c>
      <c r="J97" s="55">
        <f>_xll.EQNXTDZ($A$1,$B97,J$1,$B$1)</f>
        <v>327.14</v>
      </c>
      <c r="K97" s="55">
        <f>_xll.EQNXTDZ($A$1,$B97,K$1,$B$1)</f>
        <v>207.9</v>
      </c>
      <c r="L97" s="55">
        <f>_xll.EQNXTDZ($A$1,$B97,L$1,$B$1)</f>
        <v>105.81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118.931</v>
      </c>
      <c r="D98" s="55">
        <f>_xll.EQNXTDZ($A$1,$B98,D$1,$B$1)</f>
        <v>39.085000000000001</v>
      </c>
      <c r="E98" s="55">
        <f>_xll.EQNXTDZ($A$1,$B98,E$1,$B$1)</f>
        <v>52.106000000000002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422.53190000000001</v>
      </c>
      <c r="D104" s="55">
        <f>_xll.EQNXTDZ($A$1,$B104,D$1,$B$1)</f>
        <v>422.53199999999998</v>
      </c>
      <c r="E104" s="55">
        <f>_xll.EQNXTDZ($A$1,$B104,E$1,$B$1)</f>
        <v>422.53199999999998</v>
      </c>
      <c r="F104" s="55">
        <f>_xll.EQNXTDZ($A$1,$B104,F$1,$B$1)</f>
        <v>422.53199999999998</v>
      </c>
      <c r="G104" s="55">
        <f>_xll.EQNXTDZ($A$1,$B104,G$1,$B$1)</f>
        <v>422.53</v>
      </c>
      <c r="H104" s="55">
        <f>_xll.EQNXTDZ($A$1,$B104,H$1,$B$1)</f>
        <v>422.53</v>
      </c>
      <c r="I104" s="55">
        <f>_xll.EQNXTDZ($A$1,$B104,I$1,$B$1)</f>
        <v>422.53</v>
      </c>
      <c r="J104" s="55">
        <f>_xll.EQNXTDZ($A$1,$B104,J$1,$B$1)</f>
        <v>422.53</v>
      </c>
      <c r="K104" s="55">
        <f>_xll.EQNXTDZ($A$1,$B104,K$1,$B$1)</f>
        <v>422.53</v>
      </c>
      <c r="L104" s="55">
        <f>_xll.EQNXTDZ($A$1,$B104,L$1,$B$1)</f>
        <v>422.53</v>
      </c>
      <c r="M104" s="55">
        <f>_xll.EQNXTDZ($A$1,$B104,M$1,$B$1)</f>
        <v>845.06</v>
      </c>
      <c r="N104" s="55">
        <f>_xll.EQNXTDZ($A$1,$B104,N$1,$B$1)</f>
        <v>845.06</v>
      </c>
      <c r="O104" s="55">
        <f>_xll.EQNXTDZ($A$1,$B104,O$1,$B$1)</f>
        <v>845.06</v>
      </c>
      <c r="P104" s="55">
        <f>_xll.EQNXTDZ($A$1,$B104,P$1,$B$1)</f>
        <v>845.06</v>
      </c>
      <c r="Q104" s="55">
        <f>_xll.EQNXTDZ($A$1,$B104,Q$1,$B$1)</f>
        <v>845.06</v>
      </c>
      <c r="R104" s="55">
        <f>_xll.EQNXTDZ($A$1,$B104,R$1,$B$1)</f>
        <v>845</v>
      </c>
      <c r="S104" s="55">
        <f>_xll.EQNXTDZ($A$1,$B104,S$1,$B$1)</f>
        <v>845</v>
      </c>
      <c r="T104" s="55">
        <f>_xll.EQNXTDZ($A$1,$B104,T$1,$B$1)</f>
        <v>845</v>
      </c>
      <c r="U104" s="55">
        <f>_xll.EQNXTDZ($A$1,$B104,U$1,$B$1)</f>
        <v>845</v>
      </c>
      <c r="V104" s="55">
        <f>_xll.EQNXTDZ($A$1,$B104,V$1,$B$1)</f>
        <v>845</v>
      </c>
      <c r="W104" s="55">
        <f>_xll.EQNXTDZ($A$1,$B104,W$1,$B$1)</f>
        <v>845</v>
      </c>
      <c r="X104" s="55">
        <f>_xll.EQNXTDZ($A$1,$B104,X$1,$B$1)</f>
        <v>845</v>
      </c>
      <c r="Y104" s="55">
        <f>_xll.EQNXTDZ($A$1,$B104,Y$1,$B$1)</f>
        <v>845</v>
      </c>
      <c r="Z104" s="55">
        <f>_xll.EQNXTDZ($A$1,$B104,Z$1,$B$1)</f>
        <v>845</v>
      </c>
      <c r="AA104" s="55">
        <f>_xll.EQNXTDZ($A$1,$B104,AA$1,$B$1)</f>
        <v>845</v>
      </c>
      <c r="AB104" s="55">
        <f>_xll.EQNXTDZ($A$1,$B104,AB$1,$B$1)</f>
        <v>845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2.11</v>
      </c>
      <c r="D106" s="55">
        <f>_xll.EQNXTDZ($A$1,$B106,D$1,$B$1)</f>
        <v>3.6150000000000002</v>
      </c>
      <c r="E106" s="55">
        <f>_xll.EQNXTDZ($A$1,$B106,E$1,$B$1)</f>
        <v>1.47</v>
      </c>
      <c r="F106" s="55">
        <f>_xll.EQNXTDZ($A$1,$B106,F$1,$B$1)</f>
        <v>10.16</v>
      </c>
      <c r="G106" s="55">
        <f>_xll.EQNXTDZ($A$1,$B106,G$1,$B$1)</f>
        <v>17</v>
      </c>
      <c r="H106" s="55">
        <f>_xll.EQNXTDZ($A$1,$B106,H$1,$B$1)</f>
        <v>52.32</v>
      </c>
      <c r="I106" s="55">
        <f>_xll.EQNXTDZ($A$1,$B106,I$1,$B$1)</f>
        <v>56.335000000000001</v>
      </c>
      <c r="J106" s="55">
        <f>_xll.EQNXTDZ($A$1,$B106,J$1,$B$1)</f>
        <v>52.65</v>
      </c>
      <c r="K106" s="55">
        <f>_xll.EQNXTDZ($A$1,$B106,K$1,$B$1)</f>
        <v>44.74</v>
      </c>
      <c r="L106" s="55">
        <f>_xll.EQNXTDZ($A$1,$B106,L$1,$B$1)</f>
        <v>120.315</v>
      </c>
      <c r="M106" s="55">
        <f>_xll.EQNXTDZ($A$1,$B106,M$1,$B$1)</f>
        <v>137.55000000000001</v>
      </c>
      <c r="N106" s="55">
        <f>_xll.EQNXTDZ($A$1,$B106,N$1,$B$1)</f>
        <v>132.25</v>
      </c>
      <c r="O106" s="55">
        <f>_xll.EQNXTDZ($A$1,$B106,O$1,$B$1)</f>
        <v>121.15</v>
      </c>
      <c r="P106" s="55">
        <f>_xll.EQNXTDZ($A$1,$B106,P$1,$B$1)</f>
        <v>128.35</v>
      </c>
      <c r="Q106" s="55">
        <f>_xll.EQNXTDZ($A$1,$B106,Q$1,$B$1)</f>
        <v>161.85</v>
      </c>
      <c r="R106" s="55">
        <f>_xll.EQNXTDZ($A$1,$B106,R$1,$B$1)</f>
        <v>183.5</v>
      </c>
      <c r="S106" s="55">
        <f>_xll.EQNXTDZ($A$1,$B106,S$1,$B$1)</f>
        <v>288.85000000000002</v>
      </c>
      <c r="T106" s="55">
        <f>_xll.EQNXTDZ($A$1,$B106,T$1,$B$1)</f>
        <v>300.95</v>
      </c>
      <c r="U106" s="55">
        <f>_xll.EQNXTDZ($A$1,$B106,U$1,$B$1)</f>
        <v>276.39999999999998</v>
      </c>
      <c r="V106" s="55">
        <f>_xll.EQNXTDZ($A$1,$B106,V$1,$B$1)</f>
        <v>155.15</v>
      </c>
      <c r="W106" s="55">
        <f>_xll.EQNXTDZ($A$1,$B106,W$1,$B$1)</f>
        <v>272.8</v>
      </c>
      <c r="X106" s="55">
        <f>_xll.EQNXTDZ($A$1,$B106,X$1,$B$1)</f>
        <v>309.7</v>
      </c>
      <c r="Y106" s="55">
        <f>_xll.EQNXTDZ($A$1,$B106,Y$1,$B$1)</f>
        <v>293.39999999999998</v>
      </c>
      <c r="Z106" s="55">
        <f>_xll.EQNXTDZ($A$1,$B106,Z$1,$B$1)</f>
        <v>292.25</v>
      </c>
      <c r="AA106" s="55">
        <f>_xll.EQNXTDZ($A$1,$B106,AA$1,$B$1)</f>
        <v>462</v>
      </c>
      <c r="AB106" s="55">
        <f>_xll.EQNXTDZ($A$1,$B106,AB$1,$B$1)</f>
        <v>502.2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2.7</v>
      </c>
      <c r="D107" s="55">
        <f>_xll.EQNXTDZ($A$1,$B107,D$1,$B$1)</f>
        <v>3.79</v>
      </c>
      <c r="E107" s="55">
        <f>_xll.EQNXTDZ($A$1,$B107,E$1,$B$1)</f>
        <v>3.8250000000000002</v>
      </c>
      <c r="F107" s="55">
        <f>_xll.EQNXTDZ($A$1,$B107,F$1,$B$1)</f>
        <v>14.5</v>
      </c>
      <c r="G107" s="55">
        <f>_xll.EQNXTDZ($A$1,$B107,G$1,$B$1)</f>
        <v>19.3</v>
      </c>
      <c r="H107" s="55">
        <f>_xll.EQNXTDZ($A$1,$B107,H$1,$B$1)</f>
        <v>54</v>
      </c>
      <c r="I107" s="55">
        <f>_xll.EQNXTDZ($A$1,$B107,I$1,$B$1)</f>
        <v>111.9</v>
      </c>
      <c r="J107" s="55">
        <f>_xll.EQNXTDZ($A$1,$B107,J$1,$B$1)</f>
        <v>96.9</v>
      </c>
      <c r="K107" s="55">
        <f>_xll.EQNXTDZ($A$1,$B107,K$1,$B$1)</f>
        <v>76.319999999999993</v>
      </c>
      <c r="L107" s="55">
        <f>_xll.EQNXTDZ($A$1,$B107,L$1,$B$1)</f>
        <v>132.47999999999999</v>
      </c>
      <c r="M107" s="55">
        <f>_xll.EQNXTDZ($A$1,$B107,M$1,$B$1)</f>
        <v>145.55000000000001</v>
      </c>
      <c r="N107" s="55">
        <f>_xll.EQNXTDZ($A$1,$B107,N$1,$B$1)</f>
        <v>155.25</v>
      </c>
      <c r="O107" s="55">
        <f>_xll.EQNXTDZ($A$1,$B107,O$1,$B$1)</f>
        <v>146.80000000000001</v>
      </c>
      <c r="P107" s="55">
        <f>_xll.EQNXTDZ($A$1,$B107,P$1,$B$1)</f>
        <v>141.80000000000001</v>
      </c>
      <c r="Q107" s="55">
        <f>_xll.EQNXTDZ($A$1,$B107,Q$1,$B$1)</f>
        <v>190.4</v>
      </c>
      <c r="R107" s="55">
        <f>_xll.EQNXTDZ($A$1,$B107,R$1,$B$1)</f>
        <v>199.8</v>
      </c>
      <c r="S107" s="55">
        <f>_xll.EQNXTDZ($A$1,$B107,S$1,$B$1)</f>
        <v>333.4</v>
      </c>
      <c r="T107" s="55">
        <f>_xll.EQNXTDZ($A$1,$B107,T$1,$B$1)</f>
        <v>339.55</v>
      </c>
      <c r="U107" s="55">
        <f>_xll.EQNXTDZ($A$1,$B107,U$1,$B$1)</f>
        <v>336.35</v>
      </c>
      <c r="V107" s="55">
        <f>_xll.EQNXTDZ($A$1,$B107,V$1,$B$1)</f>
        <v>291.8</v>
      </c>
      <c r="W107" s="55">
        <f>_xll.EQNXTDZ($A$1,$B107,W$1,$B$1)</f>
        <v>334.25</v>
      </c>
      <c r="X107" s="55">
        <f>_xll.EQNXTDZ($A$1,$B107,X$1,$B$1)</f>
        <v>407.9</v>
      </c>
      <c r="Y107" s="55">
        <f>_xll.EQNXTDZ($A$1,$B107,Y$1,$B$1)</f>
        <v>383</v>
      </c>
      <c r="Z107" s="55">
        <f>_xll.EQNXTDZ($A$1,$B107,Z$1,$B$1)</f>
        <v>344</v>
      </c>
      <c r="AA107" s="55">
        <f>_xll.EQNXTDZ($A$1,$B107,AA$1,$B$1)</f>
        <v>807</v>
      </c>
      <c r="AB107" s="55">
        <f>_xll.EQNXTDZ($A$1,$B107,AB$1,$B$1)</f>
        <v>732.6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0.56999999999999995</v>
      </c>
      <c r="D108" s="55">
        <f>_xll.EQNXTDZ($A$1,$B108,D$1,$B$1)</f>
        <v>1.0900000000000001</v>
      </c>
      <c r="E108" s="55">
        <f>_xll.EQNXTDZ($A$1,$B108,E$1,$B$1)</f>
        <v>1.47</v>
      </c>
      <c r="F108" s="55">
        <f>_xll.EQNXTDZ($A$1,$B108,F$1,$B$1)</f>
        <v>1.43</v>
      </c>
      <c r="G108" s="55">
        <f>_xll.EQNXTDZ($A$1,$B108,G$1,$B$1)</f>
        <v>6.75</v>
      </c>
      <c r="H108" s="55">
        <f>_xll.EQNXTDZ($A$1,$B108,H$1,$B$1)</f>
        <v>14.05</v>
      </c>
      <c r="I108" s="55">
        <f>_xll.EQNXTDZ($A$1,$B108,I$1,$B$1)</f>
        <v>41.5</v>
      </c>
      <c r="J108" s="55">
        <f>_xll.EQNXTDZ($A$1,$B108,J$1,$B$1)</f>
        <v>50.7</v>
      </c>
      <c r="K108" s="55">
        <f>_xll.EQNXTDZ($A$1,$B108,K$1,$B$1)</f>
        <v>21.5</v>
      </c>
      <c r="L108" s="55">
        <f>_xll.EQNXTDZ($A$1,$B108,L$1,$B$1)</f>
        <v>44.805</v>
      </c>
      <c r="M108" s="55">
        <f>_xll.EQNXTDZ($A$1,$B108,M$1,$B$1)</f>
        <v>90</v>
      </c>
      <c r="N108" s="55">
        <f>_xll.EQNXTDZ($A$1,$B108,N$1,$B$1)</f>
        <v>106.7</v>
      </c>
      <c r="O108" s="55">
        <f>_xll.EQNXTDZ($A$1,$B108,O$1,$B$1)</f>
        <v>110.55</v>
      </c>
      <c r="P108" s="55">
        <f>_xll.EQNXTDZ($A$1,$B108,P$1,$B$1)</f>
        <v>94</v>
      </c>
      <c r="Q108" s="55">
        <f>_xll.EQNXTDZ($A$1,$B108,Q$1,$B$1)</f>
        <v>121.1</v>
      </c>
      <c r="R108" s="55">
        <f>_xll.EQNXTDZ($A$1,$B108,R$1,$B$1)</f>
        <v>117.2</v>
      </c>
      <c r="S108" s="55">
        <f>_xll.EQNXTDZ($A$1,$B108,S$1,$B$1)</f>
        <v>158.19999999999999</v>
      </c>
      <c r="T108" s="55">
        <f>_xll.EQNXTDZ($A$1,$B108,T$1,$B$1)</f>
        <v>226.75</v>
      </c>
      <c r="U108" s="55">
        <f>_xll.EQNXTDZ($A$1,$B108,U$1,$B$1)</f>
        <v>243</v>
      </c>
      <c r="V108" s="55">
        <f>_xll.EQNXTDZ($A$1,$B108,V$1,$B$1)</f>
        <v>122</v>
      </c>
      <c r="W108" s="55">
        <f>_xll.EQNXTDZ($A$1,$B108,W$1,$B$1)</f>
        <v>151.69999999999999</v>
      </c>
      <c r="X108" s="55">
        <f>_xll.EQNXTDZ($A$1,$B108,X$1,$B$1)</f>
        <v>274.3</v>
      </c>
      <c r="Y108" s="55">
        <f>_xll.EQNXTDZ($A$1,$B108,Y$1,$B$1)</f>
        <v>242.4</v>
      </c>
      <c r="Z108" s="55">
        <f>_xll.EQNXTDZ($A$1,$B108,Z$1,$B$1)</f>
        <v>285</v>
      </c>
      <c r="AA108" s="55">
        <f>_xll.EQNXTDZ($A$1,$B108,AA$1,$B$1)</f>
        <v>295.14999999999998</v>
      </c>
      <c r="AB108" s="55">
        <f>_xll.EQNXTDZ($A$1,$B108,AB$1,$B$1)</f>
        <v>385.05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891.54230900000005</v>
      </c>
      <c r="D109" s="55">
        <f>_xll.EQNXTDZ($A$1,$B109,D$1,$B$1)</f>
        <v>1527.45318</v>
      </c>
      <c r="E109" s="55">
        <f>_xll.EQNXTDZ($A$1,$B109,E$1,$B$1)</f>
        <v>621.12203999999997</v>
      </c>
      <c r="F109" s="55">
        <f>_xll.EQNXTDZ($A$1,$B109,F$1,$B$1)</f>
        <v>4292.9251199999999</v>
      </c>
      <c r="G109" s="55">
        <f>_xll.EQNXTDZ($A$1,$B109,G$1,$B$1)</f>
        <v>7183.01</v>
      </c>
      <c r="H109" s="55">
        <f>_xll.EQNXTDZ($A$1,$B109,H$1,$B$1)</f>
        <v>22106.7696</v>
      </c>
      <c r="I109" s="55">
        <f>_xll.EQNXTDZ($A$1,$B109,I$1,$B$1)</f>
        <v>23803.22755</v>
      </c>
      <c r="J109" s="55">
        <f>_xll.EQNXTDZ($A$1,$B109,J$1,$B$1)</f>
        <v>22246.2045</v>
      </c>
      <c r="K109" s="55">
        <f>_xll.EQNXTDZ($A$1,$B109,K$1,$B$1)</f>
        <v>18903.992200000001</v>
      </c>
      <c r="L109" s="55">
        <f>_xll.EQNXTDZ($A$1,$B109,L$1,$B$1)</f>
        <v>50836.696949999998</v>
      </c>
      <c r="M109" s="55">
        <f>_xll.EQNXTDZ($A$1,$B109,M$1,$B$1)</f>
        <v>58119.001499999998</v>
      </c>
      <c r="N109" s="55">
        <f>_xll.EQNXTDZ($A$1,$B109,N$1,$B$1)</f>
        <v>55879.592499999999</v>
      </c>
      <c r="O109" s="55">
        <f>_xll.EQNXTDZ($A$1,$B109,O$1,$B$1)</f>
        <v>51189.5095</v>
      </c>
      <c r="P109" s="55">
        <f>_xll.EQNXTDZ($A$1,$B109,P$1,$B$1)</f>
        <v>54231.7255</v>
      </c>
      <c r="Q109" s="55">
        <f>_xll.EQNXTDZ($A$1,$B109,Q$1,$B$1)</f>
        <v>68386.480500000005</v>
      </c>
      <c r="R109" s="55">
        <f>_xll.EQNXTDZ($A$1,$B109,R$1,$B$1)</f>
        <v>77528.75</v>
      </c>
      <c r="S109" s="55">
        <f>_xll.EQNXTDZ($A$1,$B109,S$1,$B$1)</f>
        <v>122039.125</v>
      </c>
      <c r="T109" s="55">
        <f>_xll.EQNXTDZ($A$1,$B109,T$1,$B$1)</f>
        <v>127151.375</v>
      </c>
      <c r="U109" s="55">
        <f>_xll.EQNXTDZ($A$1,$B109,U$1,$B$1)</f>
        <v>116779</v>
      </c>
      <c r="V109" s="55">
        <f>_xll.EQNXTDZ($A$1,$B109,V$1,$B$1)</f>
        <v>65550.875</v>
      </c>
      <c r="W109" s="55">
        <f>_xll.EQNXTDZ($A$1,$B109,W$1,$B$1)</f>
        <v>115258</v>
      </c>
      <c r="X109" s="55">
        <f>_xll.EQNXTDZ($A$1,$B109,X$1,$B$1)</f>
        <v>130848.25</v>
      </c>
      <c r="Y109" s="55">
        <f>_xll.EQNXTDZ($A$1,$B109,Y$1,$B$1)</f>
        <v>123961.5</v>
      </c>
      <c r="Z109" s="55">
        <f>_xll.EQNXTDZ($A$1,$B109,Z$1,$B$1)</f>
        <v>123475.625</v>
      </c>
      <c r="AA109" s="55">
        <f>_xll.EQNXTDZ($A$1,$B109,AA$1,$B$1)</f>
        <v>195195</v>
      </c>
      <c r="AB109" s="55">
        <f>_xll.EQNXTDZ($A$1,$B109,AB$1,$B$1)</f>
        <v>212179.5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0.125</v>
      </c>
      <c r="D110" s="55">
        <f>_xll.EQNXTDZ($A$1,$B110,D$1,$B$1)</f>
        <v>0.05</v>
      </c>
      <c r="E110" s="55">
        <f>_xll.EQNXTDZ($A$1,$B110,E$1,$B$1)</f>
        <v>0.08</v>
      </c>
      <c r="F110" s="55">
        <f>_xll.EQNXTDZ($A$1,$B110,F$1,$B$1)</f>
        <v>0.14000000000000001</v>
      </c>
      <c r="G110" s="55">
        <f>_xll.EQNXTDZ($A$1,$B110,G$1,$B$1)</f>
        <v>0.17499999999999999</v>
      </c>
      <c r="H110" s="55">
        <f>_xll.EQNXTDZ($A$1,$B110,H$1,$B$1)</f>
        <v>0.25</v>
      </c>
      <c r="I110" s="55">
        <f>_xll.EQNXTDZ($A$1,$B110,I$1,$B$1)</f>
        <v>0.5</v>
      </c>
      <c r="J110" s="55">
        <f>_xll.EQNXTDZ($A$1,$B110,J$1,$B$1)</f>
        <v>0.5</v>
      </c>
      <c r="K110" s="55">
        <f>_xll.EQNXTDZ($A$1,$B110,K$1,$B$1)</f>
        <v>0.4</v>
      </c>
      <c r="L110" s="55">
        <f>_xll.EQNXTDZ($A$1,$B110,L$1,$B$1)</f>
        <v>0.6</v>
      </c>
      <c r="M110" s="55">
        <f>_xll.EQNXTDZ($A$1,$B110,M$1,$B$1)</f>
        <v>1</v>
      </c>
      <c r="N110" s="55">
        <f>_xll.EQNXTDZ($A$1,$B110,N$1,$B$1)</f>
        <v>2.4</v>
      </c>
      <c r="O110" s="55">
        <f>_xll.EQNXTDZ($A$1,$B110,O$1,$B$1)</f>
        <v>3.1</v>
      </c>
      <c r="P110" s="55">
        <f>_xll.EQNXTDZ($A$1,$B110,P$1,$B$1)</f>
        <v>3.5</v>
      </c>
      <c r="Q110" s="55">
        <f>_xll.EQNXTDZ($A$1,$B110,Q$1,$B$1)</f>
        <v>4.4000000000000004</v>
      </c>
      <c r="R110" s="55">
        <f>_xll.EQNXTDZ($A$1,$B110,R$1,$B$1)</f>
        <v>27.8</v>
      </c>
      <c r="S110" s="55">
        <f>_xll.EQNXTDZ($A$1,$B110,S$1,$B$1)</f>
        <v>29.4</v>
      </c>
      <c r="T110" s="55">
        <f>_xll.EQNXTDZ($A$1,$B110,T$1,$B$1)</f>
        <v>8</v>
      </c>
      <c r="U110" s="55">
        <f>_xll.EQNXTDZ($A$1,$B110,U$1,$B$1)</f>
        <v>20</v>
      </c>
      <c r="V110" s="55">
        <f>_xll.EQNXTDZ($A$1,$B110,V$1,$B$1)</f>
        <v>16.5</v>
      </c>
      <c r="W110" s="55">
        <f>_xll.EQNXTDZ($A$1,$B110,W$1,$B$1)</f>
        <v>21.3</v>
      </c>
      <c r="X110" s="55">
        <f>_xll.EQNXTDZ($A$1,$B110,X$1,$B$1)</f>
        <v>18</v>
      </c>
      <c r="Y110" s="55">
        <f>_xll.EQNXTDZ($A$1,$B110,Y$1,$B$1)</f>
        <v>75.5</v>
      </c>
      <c r="Z110" s="55">
        <f>_xll.EQNXTDZ($A$1,$B110,Z$1,$B$1)</f>
        <v>13</v>
      </c>
      <c r="AA110" s="55">
        <f>_xll.EQNXTDZ($A$1,$B110,AA$1,$B$1)</f>
        <v>29</v>
      </c>
      <c r="AB110" s="55">
        <f>_xll.EQNXTDZ($A$1,$B110,AB$1,$B$1)</f>
        <v>10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0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75.92</v>
      </c>
      <c r="D112" s="56">
        <f>_xll.EQNXTDZ($A$1,$B112,D$5)</f>
        <v>0</v>
      </c>
      <c r="E112" s="56">
        <f>_xll.EQNXTDZ($A$1,$B112,E$5)</f>
        <v>94.75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64.92</v>
      </c>
      <c r="I112" s="56">
        <f>_xll.EQNXTDZ($A$1,$B112,I$5)</f>
        <v>64.92</v>
      </c>
      <c r="J112" s="56">
        <f>_xll.EQNXTDZ($A$1,$B112,J$5)</f>
        <v>64.92</v>
      </c>
      <c r="K112" s="56">
        <f>_xll.EQNXTDZ($A$1,$B112,K$5)</f>
        <v>64.92</v>
      </c>
      <c r="L112" s="56">
        <f>_xll.EQNXTDZ($A$1,$B112,L$5)</f>
        <v>64.92</v>
      </c>
      <c r="M112" s="56">
        <f>_xll.EQNXTDZ($A$1,$B112,M$5)</f>
        <v>64.92</v>
      </c>
      <c r="N112" s="56">
        <f>_xll.EQNXTDZ($A$1,$B112,N$5)</f>
        <v>64.92</v>
      </c>
      <c r="O112" s="56">
        <f>_xll.EQNXTDZ($A$1,$B112,O$5)</f>
        <v>64.92</v>
      </c>
      <c r="P112" s="56">
        <f>_xll.EQNXTDZ($A$1,$B112,P$5)</f>
        <v>64.92</v>
      </c>
      <c r="Q112" s="56">
        <f>_xll.EQNXTDZ($A$1,$B112,Q$5)</f>
        <v>64.92</v>
      </c>
      <c r="R112" s="56">
        <f>_xll.EQNXTDZ($A$1,$B112,R$5)</f>
        <v>64.92</v>
      </c>
      <c r="S112" s="56">
        <f>_xll.EQNXTDZ($A$1,$B112,S$5)</f>
        <v>64.92</v>
      </c>
      <c r="T112" s="56">
        <f>_xll.EQNXTDZ($A$1,$B112,T$5)</f>
        <v>64.92</v>
      </c>
      <c r="U112" s="56">
        <f>_xll.EQNXTDZ($A$1,$B112,U$5)</f>
        <v>64.92</v>
      </c>
      <c r="V112" s="56">
        <f>_xll.EQNXTDZ($A$1,$B112,V$5)</f>
        <v>64.92</v>
      </c>
      <c r="W112" s="56">
        <f>_xll.EQNXTDZ($A$1,$B112,W$5)</f>
        <v>64.92</v>
      </c>
      <c r="X112" s="56">
        <f>_xll.EQNXTDZ($A$1,$B112,X$5)</f>
        <v>64.92</v>
      </c>
      <c r="Y112" s="56">
        <f>_xll.EQNXTDZ($A$1,$B112,Y$5)</f>
        <v>64.92</v>
      </c>
      <c r="Z112" s="56">
        <f>_xll.EQNXTDZ($A$1,$B112,Z$5)</f>
        <v>64.92</v>
      </c>
      <c r="AA112" s="56">
        <f>_xll.EQNXTDZ($A$1,$B112,AA$5)</f>
        <v>63.42</v>
      </c>
      <c r="AB112" s="56">
        <f>_xll.EQNXTDZ($A$1,$B112,AB$5)</f>
        <v>60.71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22.83</v>
      </c>
      <c r="X113" s="56">
        <f>_xll.EQNXTDZ($A$1,$B113,X$5)</f>
        <v>86.05</v>
      </c>
      <c r="Y113" s="56">
        <f>_xll.EQNXTDZ($A$1,$B113,Y$5)</f>
        <v>87.59</v>
      </c>
      <c r="Z113" s="56">
        <f>_xll.EQNXTDZ($A$1,$B113,Z$5)</f>
        <v>98.35</v>
      </c>
      <c r="AA113" s="56">
        <f>_xll.EQNXTDZ($A$1,$B113,AA$5)</f>
        <v>93.5</v>
      </c>
      <c r="AB113" s="56">
        <f>_xll.EQNXTDZ($A$1,$B113,AB$5)</f>
        <v>9.44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100188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116.85</v>
      </c>
      <c r="D6" cm="1">
        <f t="array" ref="D6">_xll.EQNXTDZ($A$1,$B6,D$1)</f>
        <v>124.95</v>
      </c>
      <c r="E6" cm="1">
        <f t="array" ref="E6">_xll.EQNXTDZ($A$1,$B6,E$1)</f>
        <v>120</v>
      </c>
      <c r="F6" cm="1">
        <f t="array" ref="F6">_xll.EQNXTDZ($A$1,$B6,F$1)</f>
        <v>124.2</v>
      </c>
      <c r="G6" cm="1">
        <f t="array" ref="G6">_xll.EQNXTDZ($A$1,$B6,G$1)</f>
        <v>136.30000000000001</v>
      </c>
      <c r="H6" cm="1">
        <f t="array" ref="H6">_xll.EQNXTDZ($A$1,$B6,H$1)</f>
        <v>134.05000000000001</v>
      </c>
      <c r="I6" cm="1">
        <f t="array" ref="I6">_xll.EQNXTDZ($A$1,$B6,I$1)</f>
        <v>136.65</v>
      </c>
      <c r="J6" cm="1">
        <f t="array" ref="J6">_xll.EQNXTDZ($A$1,$B6,J$1)</f>
        <v>137.1</v>
      </c>
      <c r="K6" cm="1">
        <f t="array" ref="K6">_xll.EQNXTDZ($A$1,$B6,K$1)</f>
        <v>129.55000000000001</v>
      </c>
      <c r="L6" cm="1">
        <f t="array" ref="L6">_xll.EQNXTDZ($A$1,$B6,L$1)</f>
        <v>115.35</v>
      </c>
      <c r="M6" cm="1">
        <f t="array" ref="M6">_xll.EQNXTDZ($A$1,$B6,M$1)</f>
        <v>121.25</v>
      </c>
      <c r="N6" cm="1">
        <f t="array" ref="N6">_xll.EQNXTDZ($A$1,$B6,N$1)</f>
        <v>118</v>
      </c>
      <c r="O6" cm="1">
        <f t="array" ref="O6">_xll.EQNXTDZ($A$1,$B6,O$1)</f>
        <v>113.55</v>
      </c>
      <c r="P6" cm="1">
        <f t="array" ref="P6">_xll.EQNXTDZ($A$1,$B6,P$1)</f>
        <v>102.25</v>
      </c>
      <c r="Q6" cm="1">
        <f t="array" ref="Q6">_xll.EQNXTDZ($A$1,$B6,Q$1)</f>
        <v>102</v>
      </c>
      <c r="R6" cm="1">
        <f t="array" ref="R6">_xll.EQNXTDZ($A$1,$B6,R$1)</f>
        <v>125.2</v>
      </c>
      <c r="S6" cm="1">
        <f t="array" ref="S6">_xll.EQNXTDZ($A$1,$B6,S$1)</f>
        <v>133.25</v>
      </c>
      <c r="T6" cm="1">
        <f t="array" ref="T6">_xll.EQNXTDZ($A$1,$B6,T$1)</f>
        <v>132.9</v>
      </c>
      <c r="U6" cm="1">
        <f t="array" ref="U6">_xll.EQNXTDZ($A$1,$B6,U$1)</f>
        <v>129</v>
      </c>
      <c r="V6" cm="1">
        <f t="array" ref="V6">_xll.EQNXTDZ($A$1,$B6,V$1)</f>
        <v>133.80000000000001</v>
      </c>
      <c r="W6" cm="1">
        <f t="array" ref="W6">_xll.EQNXTDZ($A$1,$B6,W$1)</f>
        <v>129.05000000000001</v>
      </c>
      <c r="X6" cm="1">
        <f t="array" ref="X6">_xll.EQNXTDZ($A$1,$B6,X$1)</f>
        <v>116.95</v>
      </c>
      <c r="Y6" cm="1">
        <f t="array" ref="Y6">_xll.EQNXTDZ($A$1,$B6,Y$1)</f>
        <v>130</v>
      </c>
      <c r="Z6" cm="1">
        <f t="array" ref="Z6">_xll.EQNXTDZ($A$1,$B6,Z$1)</f>
        <v>128.75</v>
      </c>
      <c r="AA6" cm="1">
        <f t="array" ref="AA6">_xll.EQNXTDZ($A$1,$B6,AA$1)</f>
        <v>156.94999999999999</v>
      </c>
      <c r="AB6" cm="1">
        <f t="array" ref="AB6">_xll.EQNXTDZ($A$1,$B6,AB$1)</f>
        <v>167.85</v>
      </c>
      <c r="AC6" cm="1">
        <f t="array" ref="AC6">_xll.EQNXTDZ($A$1,$B6,AC$1)</f>
        <v>160.5</v>
      </c>
      <c r="AD6" cm="1">
        <f t="array" ref="AD6">_xll.EQNXTDZ($A$1,$B6,AD$1)</f>
        <v>165.2</v>
      </c>
      <c r="AE6" cm="1">
        <f t="array" ref="AE6">_xll.EQNXTDZ($A$1,$B6,AE$1)</f>
        <v>161.94999999999999</v>
      </c>
      <c r="AF6" cm="1">
        <f t="array" ref="AF6">_xll.EQNXTDZ($A$1,$B6,AF$1)</f>
        <v>171.45</v>
      </c>
      <c r="AG6" cm="1">
        <f t="array" ref="AG6">_xll.EQNXTDZ($A$1,$B6,AG$1)</f>
        <v>162.25</v>
      </c>
      <c r="AH6" cm="1">
        <f t="array" ref="AH6">_xll.EQNXTDZ($A$1,$B6,AH$1)</f>
        <v>170.75</v>
      </c>
      <c r="AI6" cm="1">
        <f t="array" ref="AI6">_xll.EQNXTDZ($A$1,$B6,AI$1)</f>
        <v>175.9</v>
      </c>
      <c r="AJ6" cm="1">
        <f t="array" ref="AJ6">_xll.EQNXTDZ($A$1,$B6,AJ$1)</f>
        <v>179.3</v>
      </c>
      <c r="AK6" cm="1">
        <f t="array" ref="AK6">_xll.EQNXTDZ($A$1,$B6,AK$1)</f>
        <v>162.1</v>
      </c>
      <c r="AL6" cm="1">
        <f t="array" ref="AL6">_xll.EQNXTDZ($A$1,$B6,AL$1)</f>
        <v>170.5</v>
      </c>
      <c r="AM6" cm="1">
        <f t="array" ref="AM6">_xll.EQNXTDZ($A$1,$B6,AM$1)</f>
        <v>169</v>
      </c>
      <c r="AN6" cm="1">
        <f t="array" ref="AN6">_xll.EQNXTDZ($A$1,$B6,AN$1)</f>
        <v>167.1</v>
      </c>
      <c r="AO6" cm="1">
        <f t="array" ref="AO6">_xll.EQNXTDZ($A$1,$B6,AO$1)</f>
        <v>157.6</v>
      </c>
      <c r="AP6" cm="1">
        <f t="array" ref="AP6">_xll.EQNXTDZ($A$1,$B6,AP$1)</f>
        <v>126.7</v>
      </c>
      <c r="AQ6" cm="1">
        <f t="array" ref="AQ6">_xll.EQNXTDZ($A$1,$B6,AQ$1)</f>
        <v>140.4</v>
      </c>
      <c r="AR6" cm="1">
        <f t="array" ref="AR6">_xll.EQNXTDZ($A$1,$B6,AR$1)</f>
        <v>156.94999999999999</v>
      </c>
      <c r="AS6" cm="1">
        <f t="array" ref="AS6">_xll.EQNXTDZ($A$1,$B6,AS$1)</f>
        <v>144.1</v>
      </c>
      <c r="AT6" cm="1">
        <f t="array" ref="AT6">_xll.EQNXTDZ($A$1,$B6,AT$1)</f>
        <v>146.4</v>
      </c>
      <c r="AU6" cm="1">
        <f t="array" ref="AU6">_xll.EQNXTDZ($A$1,$B6,AU$1)</f>
        <v>160.5</v>
      </c>
      <c r="AV6" cm="1">
        <f t="array" ref="AV6">_xll.EQNXTDZ($A$1,$B6,AV$1)</f>
        <v>161.1</v>
      </c>
      <c r="AW6" cm="1">
        <f t="array" ref="AW6">_xll.EQNXTDZ($A$1,$B6,AW$1)</f>
        <v>183.85</v>
      </c>
      <c r="AX6" cm="1">
        <f t="array" ref="AX6">_xll.EQNXTDZ($A$1,$B6,AX$1)</f>
        <v>171.9</v>
      </c>
      <c r="AY6" cm="1">
        <f t="array" ref="AY6">_xll.EQNXTDZ($A$1,$B6,AY$1)</f>
        <v>170.75</v>
      </c>
      <c r="AZ6" cm="1">
        <f t="array" ref="AZ6">_xll.EQNXTDZ($A$1,$B6,AZ$1)</f>
        <v>180.55</v>
      </c>
      <c r="BA6" cm="1">
        <f t="array" ref="BA6">_xll.EQNXTDZ($A$1,$B6,BA$1)</f>
        <v>206.4</v>
      </c>
      <c r="BB6" cm="1">
        <f t="array" ref="BB6">_xll.EQNXTDZ($A$1,$B6,BB$1)</f>
        <v>228</v>
      </c>
      <c r="BC6" cm="1">
        <f t="array" ref="BC6">_xll.EQNXTDZ($A$1,$B6,BC$1)</f>
        <v>234.8</v>
      </c>
      <c r="BD6" cm="1">
        <f t="array" ref="BD6">_xll.EQNXTDZ($A$1,$B6,BD$1)</f>
        <v>255.45</v>
      </c>
      <c r="BE6" cm="1">
        <f t="array" ref="BE6">_xll.EQNXTDZ($A$1,$B6,BE$1)</f>
        <v>284.05</v>
      </c>
      <c r="BF6" cm="1">
        <f t="array" ref="BF6">_xll.EQNXTDZ($A$1,$B6,BF$1)</f>
        <v>256.95</v>
      </c>
      <c r="BG6" cm="1">
        <f t="array" ref="BG6">_xll.EQNXTDZ($A$1,$B6,BG$1)</f>
        <v>302</v>
      </c>
      <c r="BH6" cm="1">
        <f t="array" ref="BH6">_xll.EQNXTDZ($A$1,$B6,BH$1)</f>
        <v>311</v>
      </c>
      <c r="BI6" cm="1">
        <f t="array" ref="BI6">_xll.EQNXTDZ($A$1,$B6,BI$1)</f>
        <v>291.10000000000002</v>
      </c>
      <c r="BJ6" cm="1">
        <f t="array" ref="BJ6">_xll.EQNXTDZ($A$1,$B6,BJ$1)</f>
        <v>268.89999999999998</v>
      </c>
      <c r="BK6" cm="1">
        <f t="array" ref="BK6">_xll.EQNXTDZ($A$1,$B6,BK$1)</f>
        <v>240.55</v>
      </c>
      <c r="BL6" cm="1">
        <f t="array" ref="BL6">_xll.EQNXTDZ($A$1,$B6,BL$1)</f>
        <v>264.10000000000002</v>
      </c>
      <c r="BM6" cm="1">
        <f t="array" ref="BM6">_xll.EQNXTDZ($A$1,$B6,BM$1)</f>
        <v>283</v>
      </c>
      <c r="BN6" cm="1">
        <f t="array" ref="BN6">_xll.EQNXTDZ($A$1,$B6,BN$1)</f>
        <v>301.25</v>
      </c>
      <c r="BO6" cm="1">
        <f t="array" ref="BO6">_xll.EQNXTDZ($A$1,$B6,BO$1)</f>
        <v>300</v>
      </c>
      <c r="BP6" cm="1">
        <f t="array" ref="BP6">_xll.EQNXTDZ($A$1,$B6,BP$1)</f>
        <v>316.5</v>
      </c>
      <c r="BQ6" cm="1">
        <f t="array" ref="BQ6">_xll.EQNXTDZ($A$1,$B6,BQ$1)</f>
        <v>301.95</v>
      </c>
      <c r="BR6" cm="1">
        <f t="array" ref="BR6">_xll.EQNXTDZ($A$1,$B6,BR$1)</f>
        <v>309.89999999999998</v>
      </c>
      <c r="BS6" cm="1">
        <f t="array" ref="BS6">_xll.EQNXTDZ($A$1,$B6,BS$1)</f>
        <v>308</v>
      </c>
      <c r="BT6" cm="1">
        <f t="array" ref="BT6">_xll.EQNXTDZ($A$1,$B6,BT$1)</f>
        <v>325.89999999999998</v>
      </c>
      <c r="BU6" cm="1">
        <f t="array" ref="BU6">_xll.EQNXTDZ($A$1,$B6,BU$1)</f>
        <v>304.35000000000002</v>
      </c>
      <c r="BV6" cm="1">
        <f t="array" ref="BV6">_xll.EQNXTDZ($A$1,$B6,BV$1)</f>
        <v>320</v>
      </c>
      <c r="BW6" cm="1">
        <f t="array" ref="BW6">_xll.EQNXTDZ($A$1,$B6,BW$1)</f>
        <v>296.3</v>
      </c>
      <c r="BX6" cm="1">
        <f t="array" ref="BX6">_xll.EQNXTDZ($A$1,$B6,BX$1)</f>
        <v>277.75</v>
      </c>
      <c r="BY6" cm="1">
        <f t="array" ref="BY6">_xll.EQNXTDZ($A$1,$B6,BY$1)</f>
        <v>282</v>
      </c>
      <c r="BZ6" cm="1">
        <f t="array" ref="BZ6">_xll.EQNXTDZ($A$1,$B6,BZ$1)</f>
        <v>300.89999999999998</v>
      </c>
      <c r="CA6" cm="1">
        <f t="array" ref="CA6">_xll.EQNXTDZ($A$1,$B6,CA$1)</f>
        <v>288.5</v>
      </c>
      <c r="CB6" cm="1">
        <f t="array" ref="CB6">_xll.EQNXTDZ($A$1,$B6,CB$1)</f>
        <v>263.05</v>
      </c>
      <c r="CC6" cm="1">
        <f t="array" ref="CC6">_xll.EQNXTDZ($A$1,$B6,CC$1)</f>
        <v>270.60000000000002</v>
      </c>
      <c r="CD6" cm="1">
        <f t="array" ref="CD6">_xll.EQNXTDZ($A$1,$B6,CD$1)</f>
        <v>278.64999999999998</v>
      </c>
      <c r="CE6" cm="1">
        <f t="array" ref="CE6">_xll.EQNXTDZ($A$1,$B6,CE$1)</f>
        <v>257.85000000000002</v>
      </c>
      <c r="CF6" cm="1">
        <f t="array" ref="CF6">_xll.EQNXTDZ($A$1,$B6,CF$1)</f>
        <v>269</v>
      </c>
      <c r="CG6" cm="1">
        <f t="array" ref="CG6">_xll.EQNXTDZ($A$1,$B6,CG$1)</f>
        <v>279.3</v>
      </c>
      <c r="CH6" cm="1">
        <f t="array" ref="CH6">_xll.EQNXTDZ($A$1,$B6,CH$1)</f>
        <v>276</v>
      </c>
      <c r="CI6" cm="1">
        <f t="array" ref="CI6">_xll.EQNXTDZ($A$1,$B6,CI$1)</f>
        <v>246</v>
      </c>
      <c r="CJ6" cm="1">
        <f t="array" ref="CJ6">_xll.EQNXTDZ($A$1,$B6,CJ$1)</f>
        <v>244.05</v>
      </c>
      <c r="CK6" cm="1">
        <f t="array" ref="CK6">_xll.EQNXTDZ($A$1,$B6,CK$1)</f>
        <v>214.35</v>
      </c>
      <c r="CL6" cm="1">
        <f t="array" ref="CL6">_xll.EQNXTDZ($A$1,$B6,CL$1)</f>
        <v>216.1</v>
      </c>
      <c r="CM6" cm="1">
        <f t="array" ref="CM6">_xll.EQNXTDZ($A$1,$B6,CM$1)</f>
        <v>213.4</v>
      </c>
      <c r="CN6" cm="1">
        <f t="array" ref="CN6">_xll.EQNXTDZ($A$1,$B6,CN$1)</f>
        <v>213</v>
      </c>
      <c r="CO6" cm="1">
        <f t="array" ref="CO6">_xll.EQNXTDZ($A$1,$B6,CO$1)</f>
        <v>216</v>
      </c>
      <c r="CP6" cm="1">
        <f t="array" ref="CP6">_xll.EQNXTDZ($A$1,$B6,CP$1)</f>
        <v>210.8</v>
      </c>
      <c r="CQ6" cm="1">
        <f t="array" ref="CQ6">_xll.EQNXTDZ($A$1,$B6,CQ$1)</f>
        <v>195.3</v>
      </c>
      <c r="CR6" cm="1">
        <f t="array" ref="CR6">_xll.EQNXTDZ($A$1,$B6,CR$1)</f>
        <v>173.3</v>
      </c>
      <c r="CS6" cm="1">
        <f t="array" ref="CS6">_xll.EQNXTDZ($A$1,$B6,CS$1)</f>
        <v>155</v>
      </c>
      <c r="CT6" cm="1">
        <f t="array" ref="CT6">_xll.EQNXTDZ($A$1,$B6,CT$1)</f>
        <v>167</v>
      </c>
      <c r="CU6" cm="1">
        <f t="array" ref="CU6">_xll.EQNXTDZ($A$1,$B6,CU$1)</f>
        <v>173.5</v>
      </c>
      <c r="CV6" cm="1">
        <f t="array" ref="CV6">_xll.EQNXTDZ($A$1,$B6,CV$1)</f>
        <v>196.4</v>
      </c>
      <c r="CW6" cm="1">
        <f t="array" ref="CW6">_xll.EQNXTDZ($A$1,$B6,CW$1)</f>
        <v>211</v>
      </c>
      <c r="CX6" cm="1">
        <f t="array" ref="CX6">_xll.EQNXTDZ($A$1,$B6,CX$1)</f>
        <v>226.75</v>
      </c>
      <c r="CY6" cm="1">
        <f t="array" ref="CY6">_xll.EQNXTDZ($A$1,$B6,CY$1)</f>
        <v>210.5</v>
      </c>
      <c r="CZ6" cm="1">
        <f t="array" ref="CZ6">_xll.EQNXTDZ($A$1,$B6,CZ$1)</f>
        <v>203.6</v>
      </c>
      <c r="DA6" cm="1">
        <f t="array" ref="DA6">_xll.EQNXTDZ($A$1,$B6,DA$1)</f>
        <v>232</v>
      </c>
      <c r="DB6" cm="1">
        <f t="array" ref="DB6">_xll.EQNXTDZ($A$1,$B6,DB$1)</f>
        <v>239.15</v>
      </c>
      <c r="DC6" cm="1">
        <f t="array" ref="DC6">_xll.EQNXTDZ($A$1,$B6,DC$1)</f>
        <v>290</v>
      </c>
      <c r="DD6" cm="1">
        <f t="array" ref="DD6">_xll.EQNXTDZ($A$1,$B6,DD$1)</f>
        <v>300.10000000000002</v>
      </c>
      <c r="DE6" cm="1">
        <f t="array" ref="DE6">_xll.EQNXTDZ($A$1,$B6,DE$1)</f>
        <v>276</v>
      </c>
      <c r="DF6" cm="1">
        <f t="array" ref="DF6">_xll.EQNXTDZ($A$1,$B6,DF$1)</f>
        <v>306.14999999999998</v>
      </c>
      <c r="DG6" cm="1">
        <f t="array" ref="DG6">_xll.EQNXTDZ($A$1,$B6,DG$1)</f>
        <v>330.35</v>
      </c>
      <c r="DH6" cm="1">
        <f t="array" ref="DH6">_xll.EQNXTDZ($A$1,$B6,DH$1)</f>
        <v>337.6</v>
      </c>
      <c r="DI6" cm="1">
        <f t="array" ref="DI6">_xll.EQNXTDZ($A$1,$B6,DI$1)</f>
        <v>324.5</v>
      </c>
      <c r="DJ6" cm="1">
        <f t="array" ref="DJ6">_xll.EQNXTDZ($A$1,$B6,DJ$1)</f>
        <v>321.75</v>
      </c>
      <c r="DK6" cm="1">
        <f t="array" ref="DK6">_xll.EQNXTDZ($A$1,$B6,DK$1)</f>
        <v>311.5</v>
      </c>
      <c r="DL6" cm="1">
        <f t="array" ref="DL6">_xll.EQNXTDZ($A$1,$B6,DL$1)</f>
        <v>314.89999999999998</v>
      </c>
      <c r="DM6" cm="1">
        <f t="array" ref="DM6">_xll.EQNXTDZ($A$1,$B6,DM$1)</f>
        <v>333.4</v>
      </c>
      <c r="DN6" cm="1">
        <f t="array" ref="DN6">_xll.EQNXTDZ($A$1,$B6,DN$1)</f>
        <v>316.95</v>
      </c>
      <c r="DO6" cm="1">
        <f t="array" ref="DO6">_xll.EQNXTDZ($A$1,$B6,DO$1)</f>
        <v>316.60000000000002</v>
      </c>
      <c r="DP6" cm="1">
        <f t="array" ref="DP6">_xll.EQNXTDZ($A$1,$B6,DP$1)</f>
        <v>311.39999999999998</v>
      </c>
      <c r="DQ6" cm="1">
        <f t="array" ref="DQ6">_xll.EQNXTDZ($A$1,$B6,DQ$1)</f>
        <v>311.55</v>
      </c>
      <c r="DR6" cm="1">
        <f t="array" ref="DR6">_xll.EQNXTDZ($A$1,$B6,DR$1)</f>
        <v>321.85000000000002</v>
      </c>
      <c r="DS6" cm="1">
        <f t="array" ref="DS6">_xll.EQNXTDZ($A$1,$B6,DS$1)</f>
        <v>304</v>
      </c>
      <c r="DT6" cm="1">
        <f t="array" ref="DT6">_xll.EQNXTDZ($A$1,$B6,DT$1)</f>
        <v>246</v>
      </c>
      <c r="DU6" cm="1">
        <f t="array" ref="DU6">_xll.EQNXTDZ($A$1,$B6,DU$1)</f>
        <v>272.25</v>
      </c>
      <c r="DV6" cm="1">
        <f t="array" ref="DV6">_xll.EQNXTDZ($A$1,$B6,DV$1)</f>
        <v>285</v>
      </c>
      <c r="DW6" cm="1">
        <f t="array" ref="DW6">_xll.EQNXTDZ($A$1,$B6,DW$1)</f>
        <v>267.2</v>
      </c>
      <c r="DX6" cm="1">
        <f t="array" ref="DX6">_xll.EQNXTDZ($A$1,$B6,DX$1)</f>
        <v>283</v>
      </c>
      <c r="DY6" cm="1">
        <f t="array" ref="DY6">_xll.EQNXTDZ($A$1,$B6,DY$1)</f>
        <v>308.8</v>
      </c>
      <c r="DZ6" cm="1">
        <f t="array" ref="DZ6">_xll.EQNXTDZ($A$1,$B6,DZ$1)</f>
        <v>323.3</v>
      </c>
      <c r="EA6" cm="1">
        <f t="array" ref="EA6">_xll.EQNXTDZ($A$1,$B6,EA$1)</f>
        <v>337.45</v>
      </c>
      <c r="EB6" cm="1">
        <f t="array" ref="EB6">_xll.EQNXTDZ($A$1,$B6,EB$1)</f>
        <v>304</v>
      </c>
      <c r="EC6" cm="1">
        <f t="array" ref="EC6">_xll.EQNXTDZ($A$1,$B6,EC$1)</f>
        <v>294</v>
      </c>
      <c r="ED6" cm="1">
        <f t="array" ref="ED6">_xll.EQNXTDZ($A$1,$B6,ED$1)</f>
        <v>316.39999999999998</v>
      </c>
      <c r="EE6" cm="1">
        <f t="array" ref="EE6">_xll.EQNXTDZ($A$1,$B6,EE$1)</f>
        <v>306.75</v>
      </c>
      <c r="EF6" cm="1">
        <f t="array" ref="EF6">_xll.EQNXTDZ($A$1,$B6,EF$1)</f>
        <v>309</v>
      </c>
      <c r="EG6" cm="1">
        <f t="array" ref="EG6">_xll.EQNXTDZ($A$1,$B6,EG$1)</f>
        <v>323.55</v>
      </c>
      <c r="EH6" cm="1">
        <f t="array" ref="EH6">_xll.EQNXTDZ($A$1,$B6,EH$1)</f>
        <v>318.14999999999998</v>
      </c>
      <c r="EI6" cm="1">
        <f t="array" ref="EI6">_xll.EQNXTDZ($A$1,$B6,EI$1)</f>
        <v>308.64999999999998</v>
      </c>
      <c r="EJ6" cm="1">
        <f t="array" ref="EJ6">_xll.EQNXTDZ($A$1,$B6,EJ$1)</f>
        <v>295.85000000000002</v>
      </c>
      <c r="EK6" cm="1">
        <f t="array" ref="EK6">_xll.EQNXTDZ($A$1,$B6,EK$1)</f>
        <v>300.95</v>
      </c>
      <c r="EL6" cm="1">
        <f t="array" ref="EL6">_xll.EQNXTDZ($A$1,$B6,EL$1)</f>
        <v>318.05</v>
      </c>
      <c r="EM6" cm="1">
        <f t="array" ref="EM6">_xll.EQNXTDZ($A$1,$B6,EM$1)</f>
        <v>320</v>
      </c>
      <c r="EN6" cm="1">
        <f t="array" ref="EN6">_xll.EQNXTDZ($A$1,$B6,EN$1)</f>
        <v>307.95</v>
      </c>
      <c r="EO6" cm="1">
        <f t="array" ref="EO6">_xll.EQNXTDZ($A$1,$B6,EO$1)</f>
        <v>295.45</v>
      </c>
      <c r="EP6" cm="1">
        <f t="array" ref="EP6">_xll.EQNXTDZ($A$1,$B6,EP$1)</f>
        <v>428.8</v>
      </c>
      <c r="EQ6" cm="1">
        <f t="array" ref="EQ6">_xll.EQNXTDZ($A$1,$B6,EQ$1)</f>
        <v>740</v>
      </c>
      <c r="ER6" cm="1">
        <f t="array" ref="ER6">_xll.EQNXTDZ($A$1,$B6,ER$1)</f>
        <v>670</v>
      </c>
      <c r="ES6" cm="1">
        <f t="array" ref="ES6">_xll.EQNXTDZ($A$1,$B6,ES$1)</f>
        <v>654</v>
      </c>
      <c r="ET6" cm="1">
        <f t="array" ref="ET6">_xll.EQNXTDZ($A$1,$B6,ET$1)</f>
        <v>502</v>
      </c>
      <c r="EU6" cm="1">
        <f t="array" ref="EU6">_xll.EQNXTDZ($A$1,$B6,EU$1)</f>
        <v>522.9</v>
      </c>
      <c r="EV6" cm="1">
        <f t="array" ref="EV6">_xll.EQNXTDZ($A$1,$B6,EV$1)</f>
        <v>558.95000000000005</v>
      </c>
      <c r="EW6" cm="1">
        <f t="array" ref="EW6">_xll.EQNXTDZ($A$1,$B6,EW$1)</f>
        <v>502.05</v>
      </c>
      <c r="EX6" cm="1">
        <f t="array" ref="EX6">_xll.EQNXTDZ($A$1,$B6,EX$1)</f>
        <v>443.9</v>
      </c>
      <c r="EY6" cm="1">
        <f t="array" ref="EY6">_xll.EQNXTDZ($A$1,$B6,EY$1)</f>
        <v>450.15</v>
      </c>
      <c r="EZ6" cm="1">
        <f t="array" ref="EZ6">_xll.EQNXTDZ($A$1,$B6,EZ$1)</f>
        <v>392</v>
      </c>
      <c r="FA6" cm="1">
        <f t="array" ref="FA6">_xll.EQNXTDZ($A$1,$B6,FA$1)</f>
        <v>462.55</v>
      </c>
      <c r="FB6" cm="1">
        <f t="array" ref="FB6">_xll.EQNXTDZ($A$1,$B6,FB$1)</f>
        <v>439.2</v>
      </c>
      <c r="FC6" cm="1">
        <f t="array" ref="FC6">_xll.EQNXTDZ($A$1,$B6,FC$1)</f>
        <v>457</v>
      </c>
      <c r="FD6" cm="1">
        <f t="array" ref="FD6">_xll.EQNXTDZ($A$1,$B6,FD$1)</f>
        <v>452</v>
      </c>
      <c r="FE6" cm="1">
        <f t="array" ref="FE6">_xll.EQNXTDZ($A$1,$B6,FE$1)</f>
        <v>424</v>
      </c>
      <c r="FF6" cm="1">
        <f t="array" ref="FF6">_xll.EQNXTDZ($A$1,$B6,FF$1)</f>
        <v>424</v>
      </c>
      <c r="FG6" cm="1">
        <f t="array" ref="FG6">_xll.EQNXTDZ($A$1,$B6,FG$1)</f>
        <v>485.1</v>
      </c>
      <c r="FH6" cm="1">
        <f t="array" ref="FH6">_xll.EQNXTDZ($A$1,$B6,FH$1)</f>
        <v>476.5</v>
      </c>
      <c r="FI6" cm="1">
        <f t="array" ref="FI6">_xll.EQNXTDZ($A$1,$B6,FI$1)</f>
        <v>500.1</v>
      </c>
      <c r="FJ6" cm="1">
        <f t="array" ref="FJ6">_xll.EQNXTDZ($A$1,$B6,FJ$1)</f>
        <v>610.54999999999995</v>
      </c>
      <c r="FK6" cm="1">
        <f t="array" ref="FK6">_xll.EQNXTDZ($A$1,$B6,FK$1)</f>
        <v>575</v>
      </c>
      <c r="FL6" cm="1">
        <f t="array" ref="FL6">_xll.EQNXTDZ($A$1,$B6,FL$1)</f>
        <v>606</v>
      </c>
      <c r="FM6" cm="1">
        <f t="array" ref="FM6">_xll.EQNXTDZ($A$1,$B6,FM$1)</f>
        <v>520</v>
      </c>
      <c r="FN6" cm="1">
        <f t="array" ref="FN6">_xll.EQNXTDZ($A$1,$B6,FN$1)</f>
        <v>600.15</v>
      </c>
      <c r="FO6" cm="1">
        <f t="array" ref="FO6">_xll.EQNXTDZ($A$1,$B6,FO$1)</f>
        <v>635.95000000000005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124.75</v>
      </c>
      <c r="D7" s="116" cm="1">
        <f t="array" ref="D7">_xll.EQNXTDZ($A$1,$B7,D$1)</f>
        <v>128.9</v>
      </c>
      <c r="E7" s="116" cm="1">
        <f t="array" ref="E7">_xll.EQNXTDZ($A$1,$B7,E$1)</f>
        <v>136.85</v>
      </c>
      <c r="F7" s="116" cm="1">
        <f t="array" ref="F7">_xll.EQNXTDZ($A$1,$B7,F$1)</f>
        <v>145</v>
      </c>
      <c r="G7" s="116" cm="1">
        <f t="array" ref="G7">_xll.EQNXTDZ($A$1,$B7,G$1)</f>
        <v>139.94999999999999</v>
      </c>
      <c r="H7" s="116" cm="1">
        <f t="array" ref="H7">_xll.EQNXTDZ($A$1,$B7,H$1)</f>
        <v>142.4</v>
      </c>
      <c r="I7" s="116" cm="1">
        <f t="array" ref="I7">_xll.EQNXTDZ($A$1,$B7,I$1)</f>
        <v>147</v>
      </c>
      <c r="J7" s="116" cm="1">
        <f t="array" ref="J7">_xll.EQNXTDZ($A$1,$B7,J$1)</f>
        <v>143.25</v>
      </c>
      <c r="K7" s="116" cm="1">
        <f t="array" ref="K7">_xll.EQNXTDZ($A$1,$B7,K$1)</f>
        <v>130.19999999999999</v>
      </c>
      <c r="L7" s="116" cm="1">
        <f t="array" ref="L7">_xll.EQNXTDZ($A$1,$B7,L$1)</f>
        <v>124</v>
      </c>
      <c r="M7" s="116" cm="1">
        <f t="array" ref="M7">_xll.EQNXTDZ($A$1,$B7,M$1)</f>
        <v>124</v>
      </c>
      <c r="N7" s="116" cm="1">
        <f t="array" ref="N7">_xll.EQNXTDZ($A$1,$B7,N$1)</f>
        <v>125.05</v>
      </c>
      <c r="O7" s="116" cm="1">
        <f t="array" ref="O7">_xll.EQNXTDZ($A$1,$B7,O$1)</f>
        <v>118.2</v>
      </c>
      <c r="P7" s="116" cm="1">
        <f t="array" ref="P7">_xll.EQNXTDZ($A$1,$B7,P$1)</f>
        <v>108.75</v>
      </c>
      <c r="Q7" s="116" cm="1">
        <f t="array" ref="Q7">_xll.EQNXTDZ($A$1,$B7,Q$1)</f>
        <v>128.9</v>
      </c>
      <c r="R7" s="116" cm="1">
        <f t="array" ref="R7">_xll.EQNXTDZ($A$1,$B7,R$1)</f>
        <v>137.80000000000001</v>
      </c>
      <c r="S7" s="116" cm="1">
        <f t="array" ref="S7">_xll.EQNXTDZ($A$1,$B7,S$1)</f>
        <v>137.1</v>
      </c>
      <c r="T7" s="116" cm="1">
        <f t="array" ref="T7">_xll.EQNXTDZ($A$1,$B7,T$1)</f>
        <v>139.25</v>
      </c>
      <c r="U7" s="116" cm="1">
        <f t="array" ref="U7">_xll.EQNXTDZ($A$1,$B7,U$1)</f>
        <v>140.25</v>
      </c>
      <c r="V7" s="116" cm="1">
        <f t="array" ref="V7">_xll.EQNXTDZ($A$1,$B7,V$1)</f>
        <v>142</v>
      </c>
      <c r="W7" s="116" cm="1">
        <f t="array" ref="W7">_xll.EQNXTDZ($A$1,$B7,W$1)</f>
        <v>129.6</v>
      </c>
      <c r="X7" s="116" cm="1">
        <f t="array" ref="X7">_xll.EQNXTDZ($A$1,$B7,X$1)</f>
        <v>129.44999999999999</v>
      </c>
      <c r="Y7" s="116" cm="1">
        <f t="array" ref="Y7">_xll.EQNXTDZ($A$1,$B7,Y$1)</f>
        <v>135.1</v>
      </c>
      <c r="Z7" s="116" cm="1">
        <f t="array" ref="Z7">_xll.EQNXTDZ($A$1,$B7,Z$1)</f>
        <v>166</v>
      </c>
      <c r="AA7" s="116" cm="1">
        <f t="array" ref="AA7">_xll.EQNXTDZ($A$1,$B7,AA$1)</f>
        <v>184</v>
      </c>
      <c r="AB7" s="116" cm="1">
        <f t="array" ref="AB7">_xll.EQNXTDZ($A$1,$B7,AB$1)</f>
        <v>174.85</v>
      </c>
      <c r="AC7" s="116" cm="1">
        <f t="array" ref="AC7">_xll.EQNXTDZ($A$1,$B7,AC$1)</f>
        <v>172.75</v>
      </c>
      <c r="AD7" s="116" cm="1">
        <f t="array" ref="AD7">_xll.EQNXTDZ($A$1,$B7,AD$1)</f>
        <v>178.15</v>
      </c>
      <c r="AE7" s="116" cm="1">
        <f t="array" ref="AE7">_xll.EQNXTDZ($A$1,$B7,AE$1)</f>
        <v>173.2</v>
      </c>
      <c r="AF7" s="116" cm="1">
        <f t="array" ref="AF7">_xll.EQNXTDZ($A$1,$B7,AF$1)</f>
        <v>173.9</v>
      </c>
      <c r="AG7" s="116" cm="1">
        <f t="array" ref="AG7">_xll.EQNXTDZ($A$1,$B7,AG$1)</f>
        <v>178.9</v>
      </c>
      <c r="AH7" s="116" cm="1">
        <f t="array" ref="AH7">_xll.EQNXTDZ($A$1,$B7,AH$1)</f>
        <v>177.95</v>
      </c>
      <c r="AI7" s="116" cm="1">
        <f t="array" ref="AI7">_xll.EQNXTDZ($A$1,$B7,AI$1)</f>
        <v>190.5</v>
      </c>
      <c r="AJ7" s="116" cm="1">
        <f t="array" ref="AJ7">_xll.EQNXTDZ($A$1,$B7,AJ$1)</f>
        <v>182.5</v>
      </c>
      <c r="AK7" s="116" cm="1">
        <f t="array" ref="AK7">_xll.EQNXTDZ($A$1,$B7,AK$1)</f>
        <v>175</v>
      </c>
      <c r="AL7" s="116" cm="1">
        <f t="array" ref="AL7">_xll.EQNXTDZ($A$1,$B7,AL$1)</f>
        <v>183.45</v>
      </c>
      <c r="AM7" s="116" cm="1">
        <f t="array" ref="AM7">_xll.EQNXTDZ($A$1,$B7,AM$1)</f>
        <v>174</v>
      </c>
      <c r="AN7" s="116" cm="1">
        <f t="array" ref="AN7">_xll.EQNXTDZ($A$1,$B7,AN$1)</f>
        <v>170.4</v>
      </c>
      <c r="AO7" s="116" cm="1">
        <f t="array" ref="AO7">_xll.EQNXTDZ($A$1,$B7,AO$1)</f>
        <v>162.5</v>
      </c>
      <c r="AP7" s="116" cm="1">
        <f t="array" ref="AP7">_xll.EQNXTDZ($A$1,$B7,AP$1)</f>
        <v>144.69999999999999</v>
      </c>
      <c r="AQ7" s="116" cm="1">
        <f t="array" ref="AQ7">_xll.EQNXTDZ($A$1,$B7,AQ$1)</f>
        <v>163.75</v>
      </c>
      <c r="AR7" s="116" cm="1">
        <f t="array" ref="AR7">_xll.EQNXTDZ($A$1,$B7,AR$1)</f>
        <v>159.6</v>
      </c>
      <c r="AS7" s="116" cm="1">
        <f t="array" ref="AS7">_xll.EQNXTDZ($A$1,$B7,AS$1)</f>
        <v>151.9</v>
      </c>
      <c r="AT7" s="116" cm="1">
        <f t="array" ref="AT7">_xll.EQNXTDZ($A$1,$B7,AT$1)</f>
        <v>173</v>
      </c>
      <c r="AU7" s="116" cm="1">
        <f t="array" ref="AU7">_xll.EQNXTDZ($A$1,$B7,AU$1)</f>
        <v>170.9</v>
      </c>
      <c r="AV7" s="116" cm="1">
        <f t="array" ref="AV7">_xll.EQNXTDZ($A$1,$B7,AV$1)</f>
        <v>196.8</v>
      </c>
      <c r="AW7" s="116" cm="1">
        <f t="array" ref="AW7">_xll.EQNXTDZ($A$1,$B7,AW$1)</f>
        <v>189.8</v>
      </c>
      <c r="AX7" s="116" cm="1">
        <f t="array" ref="AX7">_xll.EQNXTDZ($A$1,$B7,AX$1)</f>
        <v>177</v>
      </c>
      <c r="AY7" s="116" cm="1">
        <f t="array" ref="AY7">_xll.EQNXTDZ($A$1,$B7,AY$1)</f>
        <v>181.5</v>
      </c>
      <c r="AZ7" s="116" cm="1">
        <f t="array" ref="AZ7">_xll.EQNXTDZ($A$1,$B7,AZ$1)</f>
        <v>210.8</v>
      </c>
      <c r="BA7" s="116" cm="1">
        <f t="array" ref="BA7">_xll.EQNXTDZ($A$1,$B7,BA$1)</f>
        <v>232.65</v>
      </c>
      <c r="BB7" s="116" cm="1">
        <f t="array" ref="BB7">_xll.EQNXTDZ($A$1,$B7,BB$1)</f>
        <v>236.4</v>
      </c>
      <c r="BC7" s="116" cm="1">
        <f t="array" ref="BC7">_xll.EQNXTDZ($A$1,$B7,BC$1)</f>
        <v>262.5</v>
      </c>
      <c r="BD7" s="116" cm="1">
        <f t="array" ref="BD7">_xll.EQNXTDZ($A$1,$B7,BD$1)</f>
        <v>287.95</v>
      </c>
      <c r="BE7" s="116" cm="1">
        <f t="array" ref="BE7">_xll.EQNXTDZ($A$1,$B7,BE$1)</f>
        <v>290</v>
      </c>
      <c r="BF7" s="116" cm="1">
        <f t="array" ref="BF7">_xll.EQNXTDZ($A$1,$B7,BF$1)</f>
        <v>307.5</v>
      </c>
      <c r="BG7" s="116" cm="1">
        <f t="array" ref="BG7">_xll.EQNXTDZ($A$1,$B7,BG$1)</f>
        <v>333.2</v>
      </c>
      <c r="BH7" s="116" cm="1">
        <f t="array" ref="BH7">_xll.EQNXTDZ($A$1,$B7,BH$1)</f>
        <v>327.5</v>
      </c>
      <c r="BI7" s="116" cm="1">
        <f t="array" ref="BI7">_xll.EQNXTDZ($A$1,$B7,BI$1)</f>
        <v>294.25</v>
      </c>
      <c r="BJ7" s="116" cm="1">
        <f t="array" ref="BJ7">_xll.EQNXTDZ($A$1,$B7,BJ$1)</f>
        <v>271.75</v>
      </c>
      <c r="BK7" s="116" cm="1">
        <f t="array" ref="BK7">_xll.EQNXTDZ($A$1,$B7,BK$1)</f>
        <v>266</v>
      </c>
      <c r="BL7" s="116" cm="1">
        <f t="array" ref="BL7">_xll.EQNXTDZ($A$1,$B7,BL$1)</f>
        <v>285.95</v>
      </c>
      <c r="BM7" s="116" cm="1">
        <f t="array" ref="BM7">_xll.EQNXTDZ($A$1,$B7,BM$1)</f>
        <v>305.3</v>
      </c>
      <c r="BN7" s="116" cm="1">
        <f t="array" ref="BN7">_xll.EQNXTDZ($A$1,$B7,BN$1)</f>
        <v>314</v>
      </c>
      <c r="BO7" s="116" cm="1">
        <f t="array" ref="BO7">_xll.EQNXTDZ($A$1,$B7,BO$1)</f>
        <v>331</v>
      </c>
      <c r="BP7" s="116" cm="1">
        <f t="array" ref="BP7">_xll.EQNXTDZ($A$1,$B7,BP$1)</f>
        <v>328.35</v>
      </c>
      <c r="BQ7" s="116" cm="1">
        <f t="array" ref="BQ7">_xll.EQNXTDZ($A$1,$B7,BQ$1)</f>
        <v>314</v>
      </c>
      <c r="BR7" s="116" cm="1">
        <f t="array" ref="BR7">_xll.EQNXTDZ($A$1,$B7,BR$1)</f>
        <v>328.8</v>
      </c>
      <c r="BS7" s="116" cm="1">
        <f t="array" ref="BS7">_xll.EQNXTDZ($A$1,$B7,BS$1)</f>
        <v>340.2</v>
      </c>
      <c r="BT7" s="116" cm="1">
        <f t="array" ref="BT7">_xll.EQNXTDZ($A$1,$B7,BT$1)</f>
        <v>330.3</v>
      </c>
      <c r="BU7" s="116" cm="1">
        <f t="array" ref="BU7">_xll.EQNXTDZ($A$1,$B7,BU$1)</f>
        <v>336.5</v>
      </c>
      <c r="BV7" s="116" cm="1">
        <f t="array" ref="BV7">_xll.EQNXTDZ($A$1,$B7,BV$1)</f>
        <v>321.35000000000002</v>
      </c>
      <c r="BW7" s="116" cm="1">
        <f t="array" ref="BW7">_xll.EQNXTDZ($A$1,$B7,BW$1)</f>
        <v>306</v>
      </c>
      <c r="BX7" s="116" cm="1">
        <f t="array" ref="BX7">_xll.EQNXTDZ($A$1,$B7,BX$1)</f>
        <v>283.85000000000002</v>
      </c>
      <c r="BY7" s="116" cm="1">
        <f t="array" ref="BY7">_xll.EQNXTDZ($A$1,$B7,BY$1)</f>
        <v>303.3</v>
      </c>
      <c r="BZ7" s="116" cm="1">
        <f t="array" ref="BZ7">_xll.EQNXTDZ($A$1,$B7,BZ$1)</f>
        <v>309.45</v>
      </c>
      <c r="CA7" s="116" cm="1">
        <f t="array" ref="CA7">_xll.EQNXTDZ($A$1,$B7,CA$1)</f>
        <v>298.64999999999998</v>
      </c>
      <c r="CB7" s="116" cm="1">
        <f t="array" ref="CB7">_xll.EQNXTDZ($A$1,$B7,CB$1)</f>
        <v>273.3</v>
      </c>
      <c r="CC7" s="116" cm="1">
        <f t="array" ref="CC7">_xll.EQNXTDZ($A$1,$B7,CC$1)</f>
        <v>283.5</v>
      </c>
      <c r="CD7" s="116" cm="1">
        <f t="array" ref="CD7">_xll.EQNXTDZ($A$1,$B7,CD$1)</f>
        <v>279.45</v>
      </c>
      <c r="CE7" s="116" cm="1">
        <f t="array" ref="CE7">_xll.EQNXTDZ($A$1,$B7,CE$1)</f>
        <v>272.39999999999998</v>
      </c>
      <c r="CF7" s="116" cm="1">
        <f t="array" ref="CF7">_xll.EQNXTDZ($A$1,$B7,CF$1)</f>
        <v>281.75</v>
      </c>
      <c r="CG7" s="116" cm="1">
        <f t="array" ref="CG7">_xll.EQNXTDZ($A$1,$B7,CG$1)</f>
        <v>291.64999999999998</v>
      </c>
      <c r="CH7" s="116" cm="1">
        <f t="array" ref="CH7">_xll.EQNXTDZ($A$1,$B7,CH$1)</f>
        <v>277.60000000000002</v>
      </c>
      <c r="CI7" s="116" cm="1">
        <f t="array" ref="CI7">_xll.EQNXTDZ($A$1,$B7,CI$1)</f>
        <v>251.7</v>
      </c>
      <c r="CJ7" s="116" cm="1">
        <f t="array" ref="CJ7">_xll.EQNXTDZ($A$1,$B7,CJ$1)</f>
        <v>248.55</v>
      </c>
      <c r="CK7" s="116" cm="1">
        <f t="array" ref="CK7">_xll.EQNXTDZ($A$1,$B7,CK$1)</f>
        <v>222.3</v>
      </c>
      <c r="CL7" s="116" cm="1">
        <f t="array" ref="CL7">_xll.EQNXTDZ($A$1,$B7,CL$1)</f>
        <v>224</v>
      </c>
      <c r="CM7" s="116" cm="1">
        <f t="array" ref="CM7">_xll.EQNXTDZ($A$1,$B7,CM$1)</f>
        <v>224.8</v>
      </c>
      <c r="CN7" s="116" cm="1">
        <f t="array" ref="CN7">_xll.EQNXTDZ($A$1,$B7,CN$1)</f>
        <v>220.65</v>
      </c>
      <c r="CO7" s="116" cm="1">
        <f t="array" ref="CO7">_xll.EQNXTDZ($A$1,$B7,CO$1)</f>
        <v>217.95</v>
      </c>
      <c r="CP7" s="116" cm="1">
        <f t="array" ref="CP7">_xll.EQNXTDZ($A$1,$B7,CP$1)</f>
        <v>224.45</v>
      </c>
      <c r="CQ7" s="116" cm="1">
        <f t="array" ref="CQ7">_xll.EQNXTDZ($A$1,$B7,CQ$1)</f>
        <v>198.7</v>
      </c>
      <c r="CR7" s="116" cm="1">
        <f t="array" ref="CR7">_xll.EQNXTDZ($A$1,$B7,CR$1)</f>
        <v>177.15</v>
      </c>
      <c r="CS7" s="116" cm="1">
        <f t="array" ref="CS7">_xll.EQNXTDZ($A$1,$B7,CS$1)</f>
        <v>181.6</v>
      </c>
      <c r="CT7" s="116" cm="1">
        <f t="array" ref="CT7">_xll.EQNXTDZ($A$1,$B7,CT$1)</f>
        <v>200.4</v>
      </c>
      <c r="CU7" s="116" cm="1">
        <f t="array" ref="CU7">_xll.EQNXTDZ($A$1,$B7,CU$1)</f>
        <v>204.75</v>
      </c>
      <c r="CV7" s="116" cm="1">
        <f t="array" ref="CV7">_xll.EQNXTDZ($A$1,$B7,CV$1)</f>
        <v>215.9</v>
      </c>
      <c r="CW7" s="116" cm="1">
        <f t="array" ref="CW7">_xll.EQNXTDZ($A$1,$B7,CW$1)</f>
        <v>258.95</v>
      </c>
      <c r="CX7" s="116" cm="1">
        <f t="array" ref="CX7">_xll.EQNXTDZ($A$1,$B7,CX$1)</f>
        <v>239</v>
      </c>
      <c r="CY7" s="116" cm="1">
        <f t="array" ref="CY7">_xll.EQNXTDZ($A$1,$B7,CY$1)</f>
        <v>243</v>
      </c>
      <c r="CZ7" s="116" cm="1">
        <f t="array" ref="CZ7">_xll.EQNXTDZ($A$1,$B7,CZ$1)</f>
        <v>235.6</v>
      </c>
      <c r="DA7" s="116" cm="1">
        <f t="array" ref="DA7">_xll.EQNXTDZ($A$1,$B7,DA$1)</f>
        <v>249.4</v>
      </c>
      <c r="DB7" s="116" cm="1">
        <f t="array" ref="DB7">_xll.EQNXTDZ($A$1,$B7,DB$1)</f>
        <v>328.4</v>
      </c>
      <c r="DC7" s="116" cm="1">
        <f t="array" ref="DC7">_xll.EQNXTDZ($A$1,$B7,DC$1)</f>
        <v>312</v>
      </c>
      <c r="DD7" s="116" cm="1">
        <f t="array" ref="DD7">_xll.EQNXTDZ($A$1,$B7,DD$1)</f>
        <v>334.4</v>
      </c>
      <c r="DE7" s="116" cm="1">
        <f t="array" ref="DE7">_xll.EQNXTDZ($A$1,$B7,DE$1)</f>
        <v>323.5</v>
      </c>
      <c r="DF7" s="116" cm="1">
        <f t="array" ref="DF7">_xll.EQNXTDZ($A$1,$B7,DF$1)</f>
        <v>362.1</v>
      </c>
      <c r="DG7" s="116" cm="1">
        <f t="array" ref="DG7">_xll.EQNXTDZ($A$1,$B7,DG$1)</f>
        <v>351.9</v>
      </c>
      <c r="DH7" s="116" cm="1">
        <f t="array" ref="DH7">_xll.EQNXTDZ($A$1,$B7,DH$1)</f>
        <v>350.9</v>
      </c>
      <c r="DI7" s="116" cm="1">
        <f t="array" ref="DI7">_xll.EQNXTDZ($A$1,$B7,DI$1)</f>
        <v>332.9</v>
      </c>
      <c r="DJ7" s="116" cm="1">
        <f t="array" ref="DJ7">_xll.EQNXTDZ($A$1,$B7,DJ$1)</f>
        <v>338.8</v>
      </c>
      <c r="DK7" s="116" cm="1">
        <f t="array" ref="DK7">_xll.EQNXTDZ($A$1,$B7,DK$1)</f>
        <v>408.6</v>
      </c>
      <c r="DL7" s="116" cm="1">
        <f t="array" ref="DL7">_xll.EQNXTDZ($A$1,$B7,DL$1)</f>
        <v>345</v>
      </c>
      <c r="DM7" s="116" cm="1">
        <f t="array" ref="DM7">_xll.EQNXTDZ($A$1,$B7,DM$1)</f>
        <v>369.85</v>
      </c>
      <c r="DN7" s="116" cm="1">
        <f t="array" ref="DN7">_xll.EQNXTDZ($A$1,$B7,DN$1)</f>
        <v>334.95</v>
      </c>
      <c r="DO7" s="116" cm="1">
        <f t="array" ref="DO7">_xll.EQNXTDZ($A$1,$B7,DO$1)</f>
        <v>338</v>
      </c>
      <c r="DP7" s="116" cm="1">
        <f t="array" ref="DP7">_xll.EQNXTDZ($A$1,$B7,DP$1)</f>
        <v>371.7</v>
      </c>
      <c r="DQ7" s="116" cm="1">
        <f t="array" ref="DQ7">_xll.EQNXTDZ($A$1,$B7,DQ$1)</f>
        <v>356.75</v>
      </c>
      <c r="DR7" s="116" cm="1">
        <f t="array" ref="DR7">_xll.EQNXTDZ($A$1,$B7,DR$1)</f>
        <v>328.8</v>
      </c>
      <c r="DS7" s="116" cm="1">
        <f t="array" ref="DS7">_xll.EQNXTDZ($A$1,$B7,DS$1)</f>
        <v>311.64999999999998</v>
      </c>
      <c r="DT7" s="116" cm="1">
        <f t="array" ref="DT7">_xll.EQNXTDZ($A$1,$B7,DT$1)</f>
        <v>299.75</v>
      </c>
      <c r="DU7" s="116" cm="1">
        <f t="array" ref="DU7">_xll.EQNXTDZ($A$1,$B7,DU$1)</f>
        <v>302</v>
      </c>
      <c r="DV7" s="116" cm="1">
        <f t="array" ref="DV7">_xll.EQNXTDZ($A$1,$B7,DV$1)</f>
        <v>295</v>
      </c>
      <c r="DW7" s="116" cm="1">
        <f t="array" ref="DW7">_xll.EQNXTDZ($A$1,$B7,DW$1)</f>
        <v>292.75</v>
      </c>
      <c r="DX7" s="116" cm="1">
        <f t="array" ref="DX7">_xll.EQNXTDZ($A$1,$B7,DX$1)</f>
        <v>326.8</v>
      </c>
      <c r="DY7" s="116" cm="1">
        <f t="array" ref="DY7">_xll.EQNXTDZ($A$1,$B7,DY$1)</f>
        <v>333</v>
      </c>
      <c r="DZ7" s="116" cm="1">
        <f t="array" ref="DZ7">_xll.EQNXTDZ($A$1,$B7,DZ$1)</f>
        <v>383</v>
      </c>
      <c r="EA7" s="116" cm="1">
        <f t="array" ref="EA7">_xll.EQNXTDZ($A$1,$B7,EA$1)</f>
        <v>349.6</v>
      </c>
      <c r="EB7" s="116" cm="1">
        <f t="array" ref="EB7">_xll.EQNXTDZ($A$1,$B7,EB$1)</f>
        <v>331.55</v>
      </c>
      <c r="EC7" s="116" cm="1">
        <f t="array" ref="EC7">_xll.EQNXTDZ($A$1,$B7,EC$1)</f>
        <v>328.5</v>
      </c>
      <c r="ED7" s="116" cm="1">
        <f t="array" ref="ED7">_xll.EQNXTDZ($A$1,$B7,ED$1)</f>
        <v>317.8</v>
      </c>
      <c r="EE7" s="116" cm="1">
        <f t="array" ref="EE7">_xll.EQNXTDZ($A$1,$B7,EE$1)</f>
        <v>313.60000000000002</v>
      </c>
      <c r="EF7" s="116" cm="1">
        <f t="array" ref="EF7">_xll.EQNXTDZ($A$1,$B7,EF$1)</f>
        <v>344</v>
      </c>
      <c r="EG7" s="116" cm="1">
        <f t="array" ref="EG7">_xll.EQNXTDZ($A$1,$B7,EG$1)</f>
        <v>324.7</v>
      </c>
      <c r="EH7" s="116" cm="1">
        <f t="array" ref="EH7">_xll.EQNXTDZ($A$1,$B7,EH$1)</f>
        <v>326.45</v>
      </c>
      <c r="EI7" s="116" cm="1">
        <f t="array" ref="EI7">_xll.EQNXTDZ($A$1,$B7,EI$1)</f>
        <v>324.60000000000002</v>
      </c>
      <c r="EJ7" s="116" cm="1">
        <f t="array" ref="EJ7">_xll.EQNXTDZ($A$1,$B7,EJ$1)</f>
        <v>308.95</v>
      </c>
      <c r="EK7" s="116" cm="1">
        <f t="array" ref="EK7">_xll.EQNXTDZ($A$1,$B7,EK$1)</f>
        <v>332</v>
      </c>
      <c r="EL7" s="116" cm="1">
        <f t="array" ref="EL7">_xll.EQNXTDZ($A$1,$B7,EL$1)</f>
        <v>325.45</v>
      </c>
      <c r="EM7" s="116" cm="1">
        <f t="array" ref="EM7">_xll.EQNXTDZ($A$1,$B7,EM$1)</f>
        <v>321.45</v>
      </c>
      <c r="EN7" s="116" cm="1">
        <f t="array" ref="EN7">_xll.EQNXTDZ($A$1,$B7,EN$1)</f>
        <v>314.95</v>
      </c>
      <c r="EO7" s="116" cm="1">
        <f t="array" ref="EO7">_xll.EQNXTDZ($A$1,$B7,EO$1)</f>
        <v>442.55</v>
      </c>
      <c r="EP7" s="116" cm="1">
        <f t="array" ref="EP7">_xll.EQNXTDZ($A$1,$B7,EP$1)</f>
        <v>807.7</v>
      </c>
      <c r="EQ7" s="116" cm="1">
        <f t="array" ref="EQ7">_xll.EQNXTDZ($A$1,$B7,EQ$1)</f>
        <v>740</v>
      </c>
      <c r="ER7" s="116" cm="1">
        <f t="array" ref="ER7">_xll.EQNXTDZ($A$1,$B7,ER$1)</f>
        <v>717</v>
      </c>
      <c r="ES7" s="116" cm="1">
        <f t="array" ref="ES7">_xll.EQNXTDZ($A$1,$B7,ES$1)</f>
        <v>663.15</v>
      </c>
      <c r="ET7" s="116" cm="1">
        <f t="array" ref="ET7">_xll.EQNXTDZ($A$1,$B7,ET$1)</f>
        <v>531.25</v>
      </c>
      <c r="EU7" s="116" cm="1">
        <f t="array" ref="EU7">_xll.EQNXTDZ($A$1,$B7,EU$1)</f>
        <v>575.4</v>
      </c>
      <c r="EV7" s="116" cm="1">
        <f t="array" ref="EV7">_xll.EQNXTDZ($A$1,$B7,EV$1)</f>
        <v>565</v>
      </c>
      <c r="EW7" s="116" cm="1">
        <f t="array" ref="EW7">_xll.EQNXTDZ($A$1,$B7,EW$1)</f>
        <v>516.4</v>
      </c>
      <c r="EX7" s="116" cm="1">
        <f t="array" ref="EX7">_xll.EQNXTDZ($A$1,$B7,EX$1)</f>
        <v>480.5</v>
      </c>
      <c r="EY7" s="116" cm="1">
        <f t="array" ref="EY7">_xll.EQNXTDZ($A$1,$B7,EY$1)</f>
        <v>469.2</v>
      </c>
      <c r="EZ7" s="116" cm="1">
        <f t="array" ref="EZ7">_xll.EQNXTDZ($A$1,$B7,EZ$1)</f>
        <v>477.8</v>
      </c>
      <c r="FA7" s="116" cm="1">
        <f t="array" ref="FA7">_xll.EQNXTDZ($A$1,$B7,FA$1)</f>
        <v>468.45</v>
      </c>
      <c r="FB7" s="116" cm="1">
        <f t="array" ref="FB7">_xll.EQNXTDZ($A$1,$B7,FB$1)</f>
        <v>469.9</v>
      </c>
      <c r="FC7" s="116" cm="1">
        <f t="array" ref="FC7">_xll.EQNXTDZ($A$1,$B7,FC$1)</f>
        <v>546.79999999999995</v>
      </c>
      <c r="FD7" s="116" cm="1">
        <f t="array" ref="FD7">_xll.EQNXTDZ($A$1,$B7,FD$1)</f>
        <v>453.9</v>
      </c>
      <c r="FE7" s="116" cm="1">
        <f t="array" ref="FE7">_xll.EQNXTDZ($A$1,$B7,FE$1)</f>
        <v>436.8</v>
      </c>
      <c r="FF7" s="116" cm="1">
        <f t="array" ref="FF7">_xll.EQNXTDZ($A$1,$B7,FF$1)</f>
        <v>483.9</v>
      </c>
      <c r="FG7" s="116" cm="1">
        <f t="array" ref="FG7">_xll.EQNXTDZ($A$1,$B7,FG$1)</f>
        <v>525.79999999999995</v>
      </c>
      <c r="FH7" s="116" cm="1">
        <f t="array" ref="FH7">_xll.EQNXTDZ($A$1,$B7,FH$1)</f>
        <v>504</v>
      </c>
      <c r="FI7" s="116" cm="1">
        <f t="array" ref="FI7">_xll.EQNXTDZ($A$1,$B7,FI$1)</f>
        <v>656.35</v>
      </c>
      <c r="FJ7" s="116" cm="1">
        <f t="array" ref="FJ7">_xll.EQNXTDZ($A$1,$B7,FJ$1)</f>
        <v>733</v>
      </c>
      <c r="FK7" s="116" cm="1">
        <f t="array" ref="FK7">_xll.EQNXTDZ($A$1,$B7,FK$1)</f>
        <v>643.95000000000005</v>
      </c>
      <c r="FL7" s="116" cm="1">
        <f t="array" ref="FL7">_xll.EQNXTDZ($A$1,$B7,FL$1)</f>
        <v>624.79999999999995</v>
      </c>
      <c r="FM7" s="116" cm="1">
        <f t="array" ref="FM7">_xll.EQNXTDZ($A$1,$B7,FM$1)</f>
        <v>633.29999999999995</v>
      </c>
      <c r="FN7" s="116" cm="1">
        <f t="array" ref="FN7">_xll.EQNXTDZ($A$1,$B7,FN$1)</f>
        <v>678.25</v>
      </c>
      <c r="FO7" s="116" cm="1">
        <f t="array" ref="FO7">_xll.EQNXTDZ($A$1,$B7,FO$1)</f>
        <v>639.95000000000005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145</v>
      </c>
      <c r="HQ7" s="116">
        <f>+MAX(G7:I7)</f>
        <v>147</v>
      </c>
      <c r="HR7" s="116">
        <f>+MAX(J7:L7)</f>
        <v>143.25</v>
      </c>
      <c r="HS7" s="116">
        <f>+MAX(M7:O7)</f>
        <v>125.05</v>
      </c>
      <c r="HT7" s="116">
        <f>+MAX(P7:R7)</f>
        <v>137.80000000000001</v>
      </c>
      <c r="HU7" s="116">
        <f>+MAX(S7:U7)</f>
        <v>140.25</v>
      </c>
      <c r="HV7" s="116">
        <f>+MAX(V7:X7)</f>
        <v>142</v>
      </c>
      <c r="HW7" s="116">
        <f>+MAX(Y7:AA7)</f>
        <v>184</v>
      </c>
      <c r="HX7" s="116">
        <f>+MAX(AB7:AD7)</f>
        <v>178.15</v>
      </c>
      <c r="HY7" s="116">
        <f>+MAX(AE7:AG7)</f>
        <v>178.9</v>
      </c>
      <c r="HZ7" s="116">
        <f>+MAX(AH7:AJ7)</f>
        <v>190.5</v>
      </c>
      <c r="IA7" s="116">
        <f>+MAX(AK7:AM7)</f>
        <v>183.45</v>
      </c>
      <c r="IB7" s="116">
        <f>+MAX(AN7:AP7)</f>
        <v>170.4</v>
      </c>
      <c r="IC7" s="116">
        <f>+MAX(AQ7:AS7)</f>
        <v>163.75</v>
      </c>
      <c r="ID7" s="116">
        <f>+MAX(AT7:AV7)</f>
        <v>196.8</v>
      </c>
      <c r="IE7" s="116">
        <f>+MAX(AW7:AY7)</f>
        <v>189.8</v>
      </c>
      <c r="IF7" s="116">
        <f>+MAX(AZ7:BB7)</f>
        <v>236.4</v>
      </c>
      <c r="IG7" s="116">
        <f>+MAX(BC7:BE7)</f>
        <v>290</v>
      </c>
      <c r="IH7" s="116">
        <f>+MAX(BF7:BH7)</f>
        <v>333.2</v>
      </c>
      <c r="II7" s="116">
        <f>+MAX(BI7:BK7)</f>
        <v>294.25</v>
      </c>
      <c r="IJ7" s="116">
        <f>+MAX(BL7:BN7)</f>
        <v>314</v>
      </c>
      <c r="IK7" s="116">
        <f>+MAX(BO7:BQ7)</f>
        <v>331</v>
      </c>
      <c r="IL7" s="116">
        <f>+MAX(BR7:BT7)</f>
        <v>340.2</v>
      </c>
      <c r="IM7" s="116">
        <f>+MAX(BU7:BW7)</f>
        <v>336.5</v>
      </c>
      <c r="IN7" s="116">
        <f>+MAX(BX7:BZ7)</f>
        <v>309.45</v>
      </c>
      <c r="IO7" s="116">
        <f>+MAX(CA7:CC7)</f>
        <v>298.64999999999998</v>
      </c>
      <c r="IP7" s="116">
        <f>+MAX(CD7:CF7)</f>
        <v>281.75</v>
      </c>
      <c r="IQ7" s="116">
        <f>+MAX(CG7:CI7)</f>
        <v>291.64999999999998</v>
      </c>
      <c r="IR7" s="116">
        <f>+MAX(CJ7:CL7)</f>
        <v>248.55</v>
      </c>
      <c r="IS7" s="116">
        <f>+MAX(CM7:CO7)</f>
        <v>224.8</v>
      </c>
      <c r="IT7" s="116">
        <f>+MAX(CP7:CR7)</f>
        <v>224.45</v>
      </c>
      <c r="IU7" s="116">
        <f>+MAX(CS7:CU7)</f>
        <v>204.75</v>
      </c>
      <c r="IV7" s="116">
        <f>+MAX(CV7:CX7)</f>
        <v>258.95</v>
      </c>
      <c r="IW7" s="116">
        <f>+MAX(CY7:DA7)</f>
        <v>249.4</v>
      </c>
      <c r="IX7" s="116">
        <f>+MAX(DB7:DD7)</f>
        <v>334.4</v>
      </c>
      <c r="IY7" s="116">
        <f>+MAX(DE7:DG7)</f>
        <v>362.1</v>
      </c>
      <c r="IZ7" s="116">
        <f>+MAX(DH7:DJ7)</f>
        <v>350.9</v>
      </c>
      <c r="JA7" s="116">
        <f>+MAX(DK7:DM7)</f>
        <v>408.6</v>
      </c>
      <c r="JB7" s="116">
        <f>+MAX(DN7:DP7)</f>
        <v>371.7</v>
      </c>
      <c r="JC7" s="116">
        <f>+MAX(DQ7:DS7)</f>
        <v>356.75</v>
      </c>
      <c r="JD7" s="116">
        <f>+MAX(DT7:DV7)</f>
        <v>302</v>
      </c>
      <c r="JE7" s="116">
        <f>+MAX(DW7:DY7)</f>
        <v>333</v>
      </c>
      <c r="JF7" s="116">
        <f>+MAX(DZ7:EB7)</f>
        <v>383</v>
      </c>
      <c r="JG7" s="116">
        <f>+MAX(EC7:EE7)</f>
        <v>328.5</v>
      </c>
      <c r="JH7" s="116">
        <f>+MAX(EF7:EH7)</f>
        <v>344</v>
      </c>
      <c r="JI7" s="116">
        <f>+MAX(EI7:EK7)</f>
        <v>332</v>
      </c>
      <c r="JJ7" s="116">
        <f>+MAX(EL7:EN7)</f>
        <v>325.45</v>
      </c>
      <c r="JK7" s="116">
        <f>MAX(EO7:EQ7)</f>
        <v>807.7</v>
      </c>
      <c r="JL7" s="116">
        <f>MAX(ER7:ET7)</f>
        <v>717</v>
      </c>
      <c r="JM7" s="116">
        <f>MAX(EU7:EW7)</f>
        <v>575.4</v>
      </c>
      <c r="JN7" s="116">
        <f>MAX(EX7:EZ7)</f>
        <v>480.5</v>
      </c>
      <c r="JO7" s="116">
        <f>MAX(FA7:FC7)</f>
        <v>546.79999999999995</v>
      </c>
      <c r="JP7" s="116">
        <f>MAX(FD7:FF7)</f>
        <v>483.9</v>
      </c>
      <c r="JQ7" s="116">
        <f>MAX(FG7:FI7)</f>
        <v>656.35</v>
      </c>
      <c r="JR7" s="116">
        <f>MAX(FJ7:FL7)</f>
        <v>733</v>
      </c>
      <c r="JS7" s="116">
        <f>MAX(FM7:FO7)</f>
        <v>678.25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114.1</v>
      </c>
      <c r="D8" s="116" cm="1">
        <f t="array" ref="D8">_xll.EQNXTDZ($A$1,$B8,D$1)</f>
        <v>113.6</v>
      </c>
      <c r="E8" s="116" cm="1">
        <f t="array" ref="E8">_xll.EQNXTDZ($A$1,$B8,E$1)</f>
        <v>117.15</v>
      </c>
      <c r="F8" s="116" cm="1">
        <f t="array" ref="F8">_xll.EQNXTDZ($A$1,$B8,F$1)</f>
        <v>122.35</v>
      </c>
      <c r="G8" s="116" cm="1">
        <f t="array" ref="G8">_xll.EQNXTDZ($A$1,$B8,G$1)</f>
        <v>128.69999999999999</v>
      </c>
      <c r="H8" s="116" cm="1">
        <f t="array" ref="H8">_xll.EQNXTDZ($A$1,$B8,H$1)</f>
        <v>130.75</v>
      </c>
      <c r="I8" s="116" cm="1">
        <f t="array" ref="I8">_xll.EQNXTDZ($A$1,$B8,I$1)</f>
        <v>134.30000000000001</v>
      </c>
      <c r="J8" s="116" cm="1">
        <f t="array" ref="J8">_xll.EQNXTDZ($A$1,$B8,J$1)</f>
        <v>124.3</v>
      </c>
      <c r="K8" s="116" cm="1">
        <f t="array" ref="K8">_xll.EQNXTDZ($A$1,$B8,K$1)</f>
        <v>113</v>
      </c>
      <c r="L8" s="116" cm="1">
        <f t="array" ref="L8">_xll.EQNXTDZ($A$1,$B8,L$1)</f>
        <v>110.7</v>
      </c>
      <c r="M8" s="116" cm="1">
        <f t="array" ref="M8">_xll.EQNXTDZ($A$1,$B8,M$1)</f>
        <v>106.55</v>
      </c>
      <c r="N8" s="116" cm="1">
        <f t="array" ref="N8">_xll.EQNXTDZ($A$1,$B8,N$1)</f>
        <v>113</v>
      </c>
      <c r="O8" s="116" cm="1">
        <f t="array" ref="O8">_xll.EQNXTDZ($A$1,$B8,O$1)</f>
        <v>96.05</v>
      </c>
      <c r="P8" s="116" cm="1">
        <f t="array" ref="P8">_xll.EQNXTDZ($A$1,$B8,P$1)</f>
        <v>96.55</v>
      </c>
      <c r="Q8" s="116" cm="1">
        <f t="array" ref="Q8">_xll.EQNXTDZ($A$1,$B8,Q$1)</f>
        <v>94</v>
      </c>
      <c r="R8" s="116" cm="1">
        <f t="array" ref="R8">_xll.EQNXTDZ($A$1,$B8,R$1)</f>
        <v>116</v>
      </c>
      <c r="S8" s="116" cm="1">
        <f t="array" ref="S8">_xll.EQNXTDZ($A$1,$B8,S$1)</f>
        <v>127</v>
      </c>
      <c r="T8" s="116" cm="1">
        <f t="array" ref="T8">_xll.EQNXTDZ($A$1,$B8,T$1)</f>
        <v>121.4</v>
      </c>
      <c r="U8" s="116" cm="1">
        <f t="array" ref="U8">_xll.EQNXTDZ($A$1,$B8,U$1)</f>
        <v>123.45</v>
      </c>
      <c r="V8" s="116" cm="1">
        <f t="array" ref="V8">_xll.EQNXTDZ($A$1,$B8,V$1)</f>
        <v>124.5</v>
      </c>
      <c r="W8" s="116" cm="1">
        <f t="array" ref="W8">_xll.EQNXTDZ($A$1,$B8,W$1)</f>
        <v>114.8</v>
      </c>
      <c r="X8" s="116" cm="1">
        <f t="array" ref="X8">_xll.EQNXTDZ($A$1,$B8,X$1)</f>
        <v>115.25</v>
      </c>
      <c r="Y8" s="116" cm="1">
        <f t="array" ref="Y8">_xll.EQNXTDZ($A$1,$B8,Y$1)</f>
        <v>126.25</v>
      </c>
      <c r="Z8" s="116" cm="1">
        <f t="array" ref="Z8">_xll.EQNXTDZ($A$1,$B8,Z$1)</f>
        <v>121.3</v>
      </c>
      <c r="AA8" s="116" cm="1">
        <f t="array" ref="AA8">_xll.EQNXTDZ($A$1,$B8,AA$1)</f>
        <v>155.35</v>
      </c>
      <c r="AB8" s="116" cm="1">
        <f t="array" ref="AB8">_xll.EQNXTDZ($A$1,$B8,AB$1)</f>
        <v>151.94999999999999</v>
      </c>
      <c r="AC8" s="116" cm="1">
        <f t="array" ref="AC8">_xll.EQNXTDZ($A$1,$B8,AC$1)</f>
        <v>156.6</v>
      </c>
      <c r="AD8" s="116" cm="1">
        <f t="array" ref="AD8">_xll.EQNXTDZ($A$1,$B8,AD$1)</f>
        <v>155.1</v>
      </c>
      <c r="AE8" s="116" cm="1">
        <f t="array" ref="AE8">_xll.EQNXTDZ($A$1,$B8,AE$1)</f>
        <v>152.80000000000001</v>
      </c>
      <c r="AF8" s="116" cm="1">
        <f t="array" ref="AF8">_xll.EQNXTDZ($A$1,$B8,AF$1)</f>
        <v>160.55000000000001</v>
      </c>
      <c r="AG8" s="116" cm="1">
        <f t="array" ref="AG8">_xll.EQNXTDZ($A$1,$B8,AG$1)</f>
        <v>153.4</v>
      </c>
      <c r="AH8" s="116" cm="1">
        <f t="array" ref="AH8">_xll.EQNXTDZ($A$1,$B8,AH$1)</f>
        <v>152.25</v>
      </c>
      <c r="AI8" s="116" cm="1">
        <f t="array" ref="AI8">_xll.EQNXTDZ($A$1,$B8,AI$1)</f>
        <v>165.55</v>
      </c>
      <c r="AJ8" s="116" cm="1">
        <f t="array" ref="AJ8">_xll.EQNXTDZ($A$1,$B8,AJ$1)</f>
        <v>156.35</v>
      </c>
      <c r="AK8" s="116" cm="1">
        <f t="array" ref="AK8">_xll.EQNXTDZ($A$1,$B8,AK$1)</f>
        <v>160.5</v>
      </c>
      <c r="AL8" s="116" cm="1">
        <f t="array" ref="AL8">_xll.EQNXTDZ($A$1,$B8,AL$1)</f>
        <v>166.8</v>
      </c>
      <c r="AM8" s="116" cm="1">
        <f t="array" ref="AM8">_xll.EQNXTDZ($A$1,$B8,AM$1)</f>
        <v>162.5</v>
      </c>
      <c r="AN8" s="116" cm="1">
        <f t="array" ref="AN8">_xll.EQNXTDZ($A$1,$B8,AN$1)</f>
        <v>153.05000000000001</v>
      </c>
      <c r="AO8" s="116" cm="1">
        <f t="array" ref="AO8">_xll.EQNXTDZ($A$1,$B8,AO$1)</f>
        <v>117.05</v>
      </c>
      <c r="AP8" s="116" cm="1">
        <f t="array" ref="AP8">_xll.EQNXTDZ($A$1,$B8,AP$1)</f>
        <v>124.35</v>
      </c>
      <c r="AQ8" s="116" cm="1">
        <f t="array" ref="AQ8">_xll.EQNXTDZ($A$1,$B8,AQ$1)</f>
        <v>136.1</v>
      </c>
      <c r="AR8" s="116" cm="1">
        <f t="array" ref="AR8">_xll.EQNXTDZ($A$1,$B8,AR$1)</f>
        <v>140.30000000000001</v>
      </c>
      <c r="AS8" s="116" cm="1">
        <f t="array" ref="AS8">_xll.EQNXTDZ($A$1,$B8,AS$1)</f>
        <v>138.55000000000001</v>
      </c>
      <c r="AT8" s="116" cm="1">
        <f t="array" ref="AT8">_xll.EQNXTDZ($A$1,$B8,AT$1)</f>
        <v>135.80000000000001</v>
      </c>
      <c r="AU8" s="116" cm="1">
        <f t="array" ref="AU8">_xll.EQNXTDZ($A$1,$B8,AU$1)</f>
        <v>153</v>
      </c>
      <c r="AV8" s="116" cm="1">
        <f t="array" ref="AV8">_xll.EQNXTDZ($A$1,$B8,AV$1)</f>
        <v>160.94999999999999</v>
      </c>
      <c r="AW8" s="116" cm="1">
        <f t="array" ref="AW8">_xll.EQNXTDZ($A$1,$B8,AW$1)</f>
        <v>158.19999999999999</v>
      </c>
      <c r="AX8" s="116" cm="1">
        <f t="array" ref="AX8">_xll.EQNXTDZ($A$1,$B8,AX$1)</f>
        <v>160.85</v>
      </c>
      <c r="AY8" s="116" cm="1">
        <f t="array" ref="AY8">_xll.EQNXTDZ($A$1,$B8,AY$1)</f>
        <v>165.5</v>
      </c>
      <c r="AZ8" s="116" cm="1">
        <f t="array" ref="AZ8">_xll.EQNXTDZ($A$1,$B8,AZ$1)</f>
        <v>176.1</v>
      </c>
      <c r="BA8" s="116" cm="1">
        <f t="array" ref="BA8">_xll.EQNXTDZ($A$1,$B8,BA$1)</f>
        <v>204.05</v>
      </c>
      <c r="BB8" s="116" cm="1">
        <f t="array" ref="BB8">_xll.EQNXTDZ($A$1,$B8,BB$1)</f>
        <v>210</v>
      </c>
      <c r="BC8" s="116" cm="1">
        <f t="array" ref="BC8">_xll.EQNXTDZ($A$1,$B8,BC$1)</f>
        <v>234.05</v>
      </c>
      <c r="BD8" s="116" cm="1">
        <f t="array" ref="BD8">_xll.EQNXTDZ($A$1,$B8,BD$1)</f>
        <v>221</v>
      </c>
      <c r="BE8" s="116" cm="1">
        <f t="array" ref="BE8">_xll.EQNXTDZ($A$1,$B8,BE$1)</f>
        <v>247.05</v>
      </c>
      <c r="BF8" s="116" cm="1">
        <f t="array" ref="BF8">_xll.EQNXTDZ($A$1,$B8,BF$1)</f>
        <v>250.2</v>
      </c>
      <c r="BG8" s="116" cm="1">
        <f t="array" ref="BG8">_xll.EQNXTDZ($A$1,$B8,BG$1)</f>
        <v>290.95</v>
      </c>
      <c r="BH8" s="116" cm="1">
        <f t="array" ref="BH8">_xll.EQNXTDZ($A$1,$B8,BH$1)</f>
        <v>282.5</v>
      </c>
      <c r="BI8" s="116" cm="1">
        <f t="array" ref="BI8">_xll.EQNXTDZ($A$1,$B8,BI$1)</f>
        <v>265.5</v>
      </c>
      <c r="BJ8" s="116" cm="1">
        <f t="array" ref="BJ8">_xll.EQNXTDZ($A$1,$B8,BJ$1)</f>
        <v>226.85</v>
      </c>
      <c r="BK8" s="116" cm="1">
        <f t="array" ref="BK8">_xll.EQNXTDZ($A$1,$B8,BK$1)</f>
        <v>230.55</v>
      </c>
      <c r="BL8" s="116" cm="1">
        <f t="array" ref="BL8">_xll.EQNXTDZ($A$1,$B8,BL$1)</f>
        <v>263.10000000000002</v>
      </c>
      <c r="BM8" s="116" cm="1">
        <f t="array" ref="BM8">_xll.EQNXTDZ($A$1,$B8,BM$1)</f>
        <v>267.5</v>
      </c>
      <c r="BN8" s="116" cm="1">
        <f t="array" ref="BN8">_xll.EQNXTDZ($A$1,$B8,BN$1)</f>
        <v>286.05</v>
      </c>
      <c r="BO8" s="116" cm="1">
        <f t="array" ref="BO8">_xll.EQNXTDZ($A$1,$B8,BO$1)</f>
        <v>299.85000000000002</v>
      </c>
      <c r="BP8" s="116" cm="1">
        <f t="array" ref="BP8">_xll.EQNXTDZ($A$1,$B8,BP$1)</f>
        <v>294.5</v>
      </c>
      <c r="BQ8" s="116" cm="1">
        <f t="array" ref="BQ8">_xll.EQNXTDZ($A$1,$B8,BQ$1)</f>
        <v>281.25</v>
      </c>
      <c r="BR8" s="116" cm="1">
        <f t="array" ref="BR8">_xll.EQNXTDZ($A$1,$B8,BR$1)</f>
        <v>289.60000000000002</v>
      </c>
      <c r="BS8" s="116" cm="1">
        <f t="array" ref="BS8">_xll.EQNXTDZ($A$1,$B8,BS$1)</f>
        <v>275.05</v>
      </c>
      <c r="BT8" s="116" cm="1">
        <f t="array" ref="BT8">_xll.EQNXTDZ($A$1,$B8,BT$1)</f>
        <v>296.35000000000002</v>
      </c>
      <c r="BU8" s="116" cm="1">
        <f t="array" ref="BU8">_xll.EQNXTDZ($A$1,$B8,BU$1)</f>
        <v>300.8</v>
      </c>
      <c r="BV8" s="116" cm="1">
        <f t="array" ref="BV8">_xll.EQNXTDZ($A$1,$B8,BV$1)</f>
        <v>281.14999999999998</v>
      </c>
      <c r="BW8" s="116" cm="1">
        <f t="array" ref="BW8">_xll.EQNXTDZ($A$1,$B8,BW$1)</f>
        <v>269.55</v>
      </c>
      <c r="BX8" s="116" cm="1">
        <f t="array" ref="BX8">_xll.EQNXTDZ($A$1,$B8,BX$1)</f>
        <v>260.64999999999998</v>
      </c>
      <c r="BY8" s="116" cm="1">
        <f t="array" ref="BY8">_xll.EQNXTDZ($A$1,$B8,BY$1)</f>
        <v>272.05</v>
      </c>
      <c r="BZ8" s="116" cm="1">
        <f t="array" ref="BZ8">_xll.EQNXTDZ($A$1,$B8,BZ$1)</f>
        <v>268.95</v>
      </c>
      <c r="CA8" s="116" cm="1">
        <f t="array" ref="CA8">_xll.EQNXTDZ($A$1,$B8,CA$1)</f>
        <v>261.2</v>
      </c>
      <c r="CB8" s="116" cm="1">
        <f t="array" ref="CB8">_xll.EQNXTDZ($A$1,$B8,CB$1)</f>
        <v>259.39999999999998</v>
      </c>
      <c r="CC8" s="116" cm="1">
        <f t="array" ref="CC8">_xll.EQNXTDZ($A$1,$B8,CC$1)</f>
        <v>264.2</v>
      </c>
      <c r="CD8" s="116" cm="1">
        <f t="array" ref="CD8">_xll.EQNXTDZ($A$1,$B8,CD$1)</f>
        <v>244</v>
      </c>
      <c r="CE8" s="116" cm="1">
        <f t="array" ref="CE8">_xll.EQNXTDZ($A$1,$B8,CE$1)</f>
        <v>242.85</v>
      </c>
      <c r="CF8" s="116" cm="1">
        <f t="array" ref="CF8">_xll.EQNXTDZ($A$1,$B8,CF$1)</f>
        <v>265.85000000000002</v>
      </c>
      <c r="CG8" s="116" cm="1">
        <f t="array" ref="CG8">_xll.EQNXTDZ($A$1,$B8,CG$1)</f>
        <v>268.25</v>
      </c>
      <c r="CH8" s="116" cm="1">
        <f t="array" ref="CH8">_xll.EQNXTDZ($A$1,$B8,CH$1)</f>
        <v>244.55</v>
      </c>
      <c r="CI8" s="116" cm="1">
        <f t="array" ref="CI8">_xll.EQNXTDZ($A$1,$B8,CI$1)</f>
        <v>225.85</v>
      </c>
      <c r="CJ8" s="116" cm="1">
        <f t="array" ref="CJ8">_xll.EQNXTDZ($A$1,$B8,CJ$1)</f>
        <v>211.05</v>
      </c>
      <c r="CK8" s="116" cm="1">
        <f t="array" ref="CK8">_xll.EQNXTDZ($A$1,$B8,CK$1)</f>
        <v>193.05</v>
      </c>
      <c r="CL8" s="116" cm="1">
        <f t="array" ref="CL8">_xll.EQNXTDZ($A$1,$B8,CL$1)</f>
        <v>197.25</v>
      </c>
      <c r="CM8" s="116" cm="1">
        <f t="array" ref="CM8">_xll.EQNXTDZ($A$1,$B8,CM$1)</f>
        <v>203</v>
      </c>
      <c r="CN8" s="116" cm="1">
        <f t="array" ref="CN8">_xll.EQNXTDZ($A$1,$B8,CN$1)</f>
        <v>205.05</v>
      </c>
      <c r="CO8" s="116" cm="1">
        <f t="array" ref="CO8">_xll.EQNXTDZ($A$1,$B8,CO$1)</f>
        <v>204.5</v>
      </c>
      <c r="CP8" s="116" cm="1">
        <f t="array" ref="CP8">_xll.EQNXTDZ($A$1,$B8,CP$1)</f>
        <v>193.5</v>
      </c>
      <c r="CQ8" s="116" cm="1">
        <f t="array" ref="CQ8">_xll.EQNXTDZ($A$1,$B8,CQ$1)</f>
        <v>170</v>
      </c>
      <c r="CR8" s="116" cm="1">
        <f t="array" ref="CR8">_xll.EQNXTDZ($A$1,$B8,CR$1)</f>
        <v>116.05</v>
      </c>
      <c r="CS8" s="116" cm="1">
        <f t="array" ref="CS8">_xll.EQNXTDZ($A$1,$B8,CS$1)</f>
        <v>151.44999999999999</v>
      </c>
      <c r="CT8" s="116" cm="1">
        <f t="array" ref="CT8">_xll.EQNXTDZ($A$1,$B8,CT$1)</f>
        <v>164.05</v>
      </c>
      <c r="CU8" s="116" cm="1">
        <f t="array" ref="CU8">_xll.EQNXTDZ($A$1,$B8,CU$1)</f>
        <v>166.85</v>
      </c>
      <c r="CV8" s="116" cm="1">
        <f t="array" ref="CV8">_xll.EQNXTDZ($A$1,$B8,CV$1)</f>
        <v>182.25</v>
      </c>
      <c r="CW8" s="116" cm="1">
        <f t="array" ref="CW8">_xll.EQNXTDZ($A$1,$B8,CW$1)</f>
        <v>203.1</v>
      </c>
      <c r="CX8" s="116" cm="1">
        <f t="array" ref="CX8">_xll.EQNXTDZ($A$1,$B8,CX$1)</f>
        <v>200.1</v>
      </c>
      <c r="CY8" s="116" cm="1">
        <f t="array" ref="CY8">_xll.EQNXTDZ($A$1,$B8,CY$1)</f>
        <v>197.3</v>
      </c>
      <c r="CZ8" s="116" cm="1">
        <f t="array" ref="CZ8">_xll.EQNXTDZ($A$1,$B8,CZ$1)</f>
        <v>200.05</v>
      </c>
      <c r="DA8" s="116" cm="1">
        <f t="array" ref="DA8">_xll.EQNXTDZ($A$1,$B8,DA$1)</f>
        <v>224.8</v>
      </c>
      <c r="DB8" s="116" cm="1">
        <f t="array" ref="DB8">_xll.EQNXTDZ($A$1,$B8,DB$1)</f>
        <v>237.2</v>
      </c>
      <c r="DC8" s="116" cm="1">
        <f t="array" ref="DC8">_xll.EQNXTDZ($A$1,$B8,DC$1)</f>
        <v>281.60000000000002</v>
      </c>
      <c r="DD8" s="116" cm="1">
        <f t="array" ref="DD8">_xll.EQNXTDZ($A$1,$B8,DD$1)</f>
        <v>257</v>
      </c>
      <c r="DE8" s="116" cm="1">
        <f t="array" ref="DE8">_xll.EQNXTDZ($A$1,$B8,DE$1)</f>
        <v>274.25</v>
      </c>
      <c r="DF8" s="116" cm="1">
        <f t="array" ref="DF8">_xll.EQNXTDZ($A$1,$B8,DF$1)</f>
        <v>287</v>
      </c>
      <c r="DG8" s="116" cm="1">
        <f t="array" ref="DG8">_xll.EQNXTDZ($A$1,$B8,DG$1)</f>
        <v>322.05</v>
      </c>
      <c r="DH8" s="116" cm="1">
        <f t="array" ref="DH8">_xll.EQNXTDZ($A$1,$B8,DH$1)</f>
        <v>313.7</v>
      </c>
      <c r="DI8" s="116" cm="1">
        <f t="array" ref="DI8">_xll.EQNXTDZ($A$1,$B8,DI$1)</f>
        <v>294.10000000000002</v>
      </c>
      <c r="DJ8" s="116" cm="1">
        <f t="array" ref="DJ8">_xll.EQNXTDZ($A$1,$B8,DJ$1)</f>
        <v>310.10000000000002</v>
      </c>
      <c r="DK8" s="116" cm="1">
        <f t="array" ref="DK8">_xll.EQNXTDZ($A$1,$B8,DK$1)</f>
        <v>305.39999999999998</v>
      </c>
      <c r="DL8" s="116" cm="1">
        <f t="array" ref="DL8">_xll.EQNXTDZ($A$1,$B8,DL$1)</f>
        <v>310.95</v>
      </c>
      <c r="DM8" s="116" cm="1">
        <f t="array" ref="DM8">_xll.EQNXTDZ($A$1,$B8,DM$1)</f>
        <v>305.75</v>
      </c>
      <c r="DN8" s="116" cm="1">
        <f t="array" ref="DN8">_xll.EQNXTDZ($A$1,$B8,DN$1)</f>
        <v>308</v>
      </c>
      <c r="DO8" s="116" cm="1">
        <f t="array" ref="DO8">_xll.EQNXTDZ($A$1,$B8,DO$1)</f>
        <v>296.05</v>
      </c>
      <c r="DP8" s="116" cm="1">
        <f t="array" ref="DP8">_xll.EQNXTDZ($A$1,$B8,DP$1)</f>
        <v>305</v>
      </c>
      <c r="DQ8" s="116" cm="1">
        <f t="array" ref="DQ8">_xll.EQNXTDZ($A$1,$B8,DQ$1)</f>
        <v>309.95</v>
      </c>
      <c r="DR8" s="116" cm="1">
        <f t="array" ref="DR8">_xll.EQNXTDZ($A$1,$B8,DR$1)</f>
        <v>278.95</v>
      </c>
      <c r="DS8" s="116" cm="1">
        <f t="array" ref="DS8">_xll.EQNXTDZ($A$1,$B8,DS$1)</f>
        <v>245.1</v>
      </c>
      <c r="DT8" s="116" cm="1">
        <f t="array" ref="DT8">_xll.EQNXTDZ($A$1,$B8,DT$1)</f>
        <v>242.05</v>
      </c>
      <c r="DU8" s="116" cm="1">
        <f t="array" ref="DU8">_xll.EQNXTDZ($A$1,$B8,DU$1)</f>
        <v>266.85000000000002</v>
      </c>
      <c r="DV8" s="116" cm="1">
        <f t="array" ref="DV8">_xll.EQNXTDZ($A$1,$B8,DV$1)</f>
        <v>262.64999999999998</v>
      </c>
      <c r="DW8" s="116" cm="1">
        <f t="array" ref="DW8">_xll.EQNXTDZ($A$1,$B8,DW$1)</f>
        <v>264</v>
      </c>
      <c r="DX8" s="116" cm="1">
        <f t="array" ref="DX8">_xll.EQNXTDZ($A$1,$B8,DX$1)</f>
        <v>282.60000000000002</v>
      </c>
      <c r="DY8" s="116" cm="1">
        <f t="array" ref="DY8">_xll.EQNXTDZ($A$1,$B8,DY$1)</f>
        <v>304.2</v>
      </c>
      <c r="DZ8" s="116" cm="1">
        <f t="array" ref="DZ8">_xll.EQNXTDZ($A$1,$B8,DZ$1)</f>
        <v>323.25</v>
      </c>
      <c r="EA8" s="116" cm="1">
        <f t="array" ref="EA8">_xll.EQNXTDZ($A$1,$B8,EA$1)</f>
        <v>295.95</v>
      </c>
      <c r="EB8" s="116" cm="1">
        <f t="array" ref="EB8">_xll.EQNXTDZ($A$1,$B8,EB$1)</f>
        <v>292.3</v>
      </c>
      <c r="EC8" s="116" cm="1">
        <f t="array" ref="EC8">_xll.EQNXTDZ($A$1,$B8,EC$1)</f>
        <v>293.35000000000002</v>
      </c>
      <c r="ED8" s="116" cm="1">
        <f t="array" ref="ED8">_xll.EQNXTDZ($A$1,$B8,ED$1)</f>
        <v>304.39999999999998</v>
      </c>
      <c r="EE8" s="116" cm="1">
        <f t="array" ref="EE8">_xll.EQNXTDZ($A$1,$B8,EE$1)</f>
        <v>298.7</v>
      </c>
      <c r="EF8" s="116" cm="1">
        <f t="array" ref="EF8">_xll.EQNXTDZ($A$1,$B8,EF$1)</f>
        <v>308.2</v>
      </c>
      <c r="EG8" s="116" cm="1">
        <f t="array" ref="EG8">_xll.EQNXTDZ($A$1,$B8,EG$1)</f>
        <v>312.05</v>
      </c>
      <c r="EH8" s="116" cm="1">
        <f t="array" ref="EH8">_xll.EQNXTDZ($A$1,$B8,EH$1)</f>
        <v>294</v>
      </c>
      <c r="EI8" s="116" cm="1">
        <f t="array" ref="EI8">_xll.EQNXTDZ($A$1,$B8,EI$1)</f>
        <v>290.5</v>
      </c>
      <c r="EJ8" s="116" cm="1">
        <f t="array" ref="EJ8">_xll.EQNXTDZ($A$1,$B8,EJ$1)</f>
        <v>291.14999999999998</v>
      </c>
      <c r="EK8" s="116" cm="1">
        <f t="array" ref="EK8">_xll.EQNXTDZ($A$1,$B8,EK$1)</f>
        <v>297.85000000000002</v>
      </c>
      <c r="EL8" s="116" cm="1">
        <f t="array" ref="EL8">_xll.EQNXTDZ($A$1,$B8,EL$1)</f>
        <v>304.39999999999998</v>
      </c>
      <c r="EM8" s="116" cm="1">
        <f t="array" ref="EM8">_xll.EQNXTDZ($A$1,$B8,EM$1)</f>
        <v>305</v>
      </c>
      <c r="EN8" s="116" cm="1">
        <f t="array" ref="EN8">_xll.EQNXTDZ($A$1,$B8,EN$1)</f>
        <v>284.60000000000002</v>
      </c>
      <c r="EO8" s="116" cm="1">
        <f t="array" ref="EO8">_xll.EQNXTDZ($A$1,$B8,EO$1)</f>
        <v>294.14999999999998</v>
      </c>
      <c r="EP8" s="116" cm="1">
        <f t="array" ref="EP8">_xll.EQNXTDZ($A$1,$B8,EP$1)</f>
        <v>424.2</v>
      </c>
      <c r="EQ8" s="116" cm="1">
        <f t="array" ref="EQ8">_xll.EQNXTDZ($A$1,$B8,EQ$1)</f>
        <v>596.79999999999995</v>
      </c>
      <c r="ER8" s="116" cm="1">
        <f t="array" ref="ER8">_xll.EQNXTDZ($A$1,$B8,ER$1)</f>
        <v>599</v>
      </c>
      <c r="ES8" s="116" cm="1">
        <f t="array" ref="ES8">_xll.EQNXTDZ($A$1,$B8,ES$1)</f>
        <v>488.05</v>
      </c>
      <c r="ET8" s="116" cm="1">
        <f t="array" ref="ET8">_xll.EQNXTDZ($A$1,$B8,ET$1)</f>
        <v>475.4</v>
      </c>
      <c r="EU8" s="116" cm="1">
        <f t="array" ref="EU8">_xll.EQNXTDZ($A$1,$B8,EU$1)</f>
        <v>490.5</v>
      </c>
      <c r="EV8" s="116" cm="1">
        <f t="array" ref="EV8">_xll.EQNXTDZ($A$1,$B8,EV$1)</f>
        <v>483.2</v>
      </c>
      <c r="EW8" s="116" cm="1">
        <f t="array" ref="EW8">_xll.EQNXTDZ($A$1,$B8,EW$1)</f>
        <v>429.6</v>
      </c>
      <c r="EX8" s="116" cm="1">
        <f t="array" ref="EX8">_xll.EQNXTDZ($A$1,$B8,EX$1)</f>
        <v>414.7</v>
      </c>
      <c r="EY8" s="116" cm="1">
        <f t="array" ref="EY8">_xll.EQNXTDZ($A$1,$B8,EY$1)</f>
        <v>390</v>
      </c>
      <c r="EZ8" s="116" cm="1">
        <f t="array" ref="EZ8">_xll.EQNXTDZ($A$1,$B8,EZ$1)</f>
        <v>378.15</v>
      </c>
      <c r="FA8" s="116" cm="1">
        <f t="array" ref="FA8">_xll.EQNXTDZ($A$1,$B8,FA$1)</f>
        <v>388.55</v>
      </c>
      <c r="FB8" s="116" cm="1">
        <f t="array" ref="FB8">_xll.EQNXTDZ($A$1,$B8,FB$1)</f>
        <v>398</v>
      </c>
      <c r="FC8" s="116" cm="1">
        <f t="array" ref="FC8">_xll.EQNXTDZ($A$1,$B8,FC$1)</f>
        <v>434.75</v>
      </c>
      <c r="FD8" s="116" cm="1">
        <f t="array" ref="FD8">_xll.EQNXTDZ($A$1,$B8,FD$1)</f>
        <v>415.15</v>
      </c>
      <c r="FE8" s="116" cm="1">
        <f t="array" ref="FE8">_xll.EQNXTDZ($A$1,$B8,FE$1)</f>
        <v>413.5</v>
      </c>
      <c r="FF8" s="116" cm="1">
        <f t="array" ref="FF8">_xll.EQNXTDZ($A$1,$B8,FF$1)</f>
        <v>424</v>
      </c>
      <c r="FG8" s="116" cm="1">
        <f t="array" ref="FG8">_xll.EQNXTDZ($A$1,$B8,FG$1)</f>
        <v>468.2</v>
      </c>
      <c r="FH8" s="116" cm="1">
        <f t="array" ref="FH8">_xll.EQNXTDZ($A$1,$B8,FH$1)</f>
        <v>453.5</v>
      </c>
      <c r="FI8" s="116" cm="1">
        <f t="array" ref="FI8">_xll.EQNXTDZ($A$1,$B8,FI$1)</f>
        <v>482</v>
      </c>
      <c r="FJ8" s="116" cm="1">
        <f t="array" ref="FJ8">_xll.EQNXTDZ($A$1,$B8,FJ$1)</f>
        <v>588.15</v>
      </c>
      <c r="FK8" s="116" cm="1">
        <f t="array" ref="FK8">_xll.EQNXTDZ($A$1,$B8,FK$1)</f>
        <v>543.54999999999995</v>
      </c>
      <c r="FL8" s="116" cm="1">
        <f t="array" ref="FL8">_xll.EQNXTDZ($A$1,$B8,FL$1)</f>
        <v>484</v>
      </c>
      <c r="FM8" s="116" cm="1">
        <f t="array" ref="FM8">_xll.EQNXTDZ($A$1,$B8,FM$1)</f>
        <v>503.35</v>
      </c>
      <c r="FN8" s="116" cm="1">
        <f t="array" ref="FN8">_xll.EQNXTDZ($A$1,$B8,FN$1)</f>
        <v>597.29999999999995</v>
      </c>
      <c r="FO8" s="116" cm="1">
        <f t="array" ref="FO8">_xll.EQNXTDZ($A$1,$B8,FO$1)</f>
        <v>534.45000000000005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113.6</v>
      </c>
      <c r="HQ8" s="116">
        <f>+MIN(G8:I8)</f>
        <v>128.69999999999999</v>
      </c>
      <c r="HR8" s="116">
        <f>+MIN(J8:L8)</f>
        <v>110.7</v>
      </c>
      <c r="HS8" s="116">
        <f>+MIN(M8:O8)</f>
        <v>96.05</v>
      </c>
      <c r="HT8" s="116">
        <f>+MIN(P8:R8)</f>
        <v>94</v>
      </c>
      <c r="HU8" s="116">
        <f>+MIN(S8:U8)</f>
        <v>121.4</v>
      </c>
      <c r="HV8" s="116">
        <f>+MIN(V8:X8)</f>
        <v>114.8</v>
      </c>
      <c r="HW8" s="116">
        <f>+MIN(Y8:AA8)</f>
        <v>121.3</v>
      </c>
      <c r="HX8" s="116">
        <f>+MIN(AB8:AD8)</f>
        <v>151.94999999999999</v>
      </c>
      <c r="HY8" s="116">
        <f>+MIN(AE8:AG8)</f>
        <v>152.80000000000001</v>
      </c>
      <c r="HZ8" s="116">
        <f>+MIN(AH8:AJ8)</f>
        <v>152.25</v>
      </c>
      <c r="IA8" s="116">
        <f>+MIN(AK8:AM8)</f>
        <v>160.5</v>
      </c>
      <c r="IB8" s="116">
        <f>+MIN(AN8:AP8)</f>
        <v>117.05</v>
      </c>
      <c r="IC8" s="116">
        <f>+MIN(AQ8:AS8)</f>
        <v>136.1</v>
      </c>
      <c r="ID8" s="116">
        <f>+MIN(AT8:AV8)</f>
        <v>135.80000000000001</v>
      </c>
      <c r="IE8" s="116">
        <f>+MIN(AW8:AY8)</f>
        <v>158.19999999999999</v>
      </c>
      <c r="IF8" s="116">
        <f>+MIN(AZ8:BB8)</f>
        <v>176.1</v>
      </c>
      <c r="IG8" s="116">
        <f>+MIN(BC8:BE8)</f>
        <v>221</v>
      </c>
      <c r="IH8" s="116">
        <f>+MIN(BF8:BH8)</f>
        <v>250.2</v>
      </c>
      <c r="II8" s="116">
        <f>+MIN(BI8:BK8)</f>
        <v>226.85</v>
      </c>
      <c r="IJ8" s="116">
        <f>+MIN(BL8:BN8)</f>
        <v>263.10000000000002</v>
      </c>
      <c r="IK8" s="116">
        <f>+MIN(BO8:BQ8)</f>
        <v>281.25</v>
      </c>
      <c r="IL8" s="116">
        <f>+MIN(BR8:BT8)</f>
        <v>275.05</v>
      </c>
      <c r="IM8" s="116">
        <f>+MIN(BU8:BW8)</f>
        <v>269.55</v>
      </c>
      <c r="IN8" s="116">
        <f>+MIN(BX8:BZ8)</f>
        <v>260.64999999999998</v>
      </c>
      <c r="IO8" s="116">
        <f>+MIN(CA8:CC8)</f>
        <v>259.39999999999998</v>
      </c>
      <c r="IP8" s="116">
        <f>+MIN(CD8:CF8)</f>
        <v>242.85</v>
      </c>
      <c r="IQ8" s="116">
        <f>+MIN(CG8:CI8)</f>
        <v>225.85</v>
      </c>
      <c r="IR8" s="116">
        <f>+MIN(CJ8:CL8)</f>
        <v>193.05</v>
      </c>
      <c r="IS8" s="116">
        <f>+MIN(CM8:CO8)</f>
        <v>203</v>
      </c>
      <c r="IT8" s="116">
        <f>+MIN(CP8:CR8)</f>
        <v>116.05</v>
      </c>
      <c r="IU8" s="116">
        <f>+MIN(CS8:CU8)</f>
        <v>151.44999999999999</v>
      </c>
      <c r="IV8" s="116">
        <f>+MIN(CV8:CX8)</f>
        <v>182.25</v>
      </c>
      <c r="IW8" s="116">
        <f>+MIN(CY8:DA8)</f>
        <v>197.3</v>
      </c>
      <c r="IX8" s="116">
        <f>+MIN(DB8:DD8)</f>
        <v>237.2</v>
      </c>
      <c r="IY8" s="116">
        <f>+MIN(DE8:DG8)</f>
        <v>274.25</v>
      </c>
      <c r="IZ8" s="116">
        <f>+MIN(DH8:DJ8)</f>
        <v>294.10000000000002</v>
      </c>
      <c r="JA8" s="116">
        <f>+MIN(DK8:DM8)</f>
        <v>305.39999999999998</v>
      </c>
      <c r="JB8" s="116">
        <f>+MIN(DN8:DP8)</f>
        <v>296.05</v>
      </c>
      <c r="JC8" s="116">
        <f>+MIN(DQ8:DS8)</f>
        <v>245.1</v>
      </c>
      <c r="JD8" s="116">
        <f>+MIN(DT8:DV8)</f>
        <v>242.05</v>
      </c>
      <c r="JE8" s="116">
        <f>+MIN(DW8:DY8)</f>
        <v>264</v>
      </c>
      <c r="JF8" s="116">
        <f>+MIN(DZ8:EB8)</f>
        <v>292.3</v>
      </c>
      <c r="JG8" s="116">
        <f>+MIN(EC8:EE8)</f>
        <v>293.35000000000002</v>
      </c>
      <c r="JH8" s="116">
        <f>+MIN(EF8:EH8)</f>
        <v>294</v>
      </c>
      <c r="JI8" s="116">
        <f>+MIN(EI8:EK8)</f>
        <v>290.5</v>
      </c>
      <c r="JJ8" s="116">
        <f>+MIN(EL8:EN8)</f>
        <v>284.60000000000002</v>
      </c>
      <c r="JK8" s="116">
        <f>MIN(EO8:EQ8)</f>
        <v>294.14999999999998</v>
      </c>
      <c r="JL8" s="116">
        <f>MIN(ER8:ET8)</f>
        <v>475.4</v>
      </c>
      <c r="JM8" s="116">
        <f>MIN(EU8:EW8)</f>
        <v>429.6</v>
      </c>
      <c r="JN8" s="116">
        <f>MIN(EX8:EZ8)</f>
        <v>378.15</v>
      </c>
      <c r="JO8" s="116">
        <f>MIN(FA8:FC8)</f>
        <v>388.55</v>
      </c>
      <c r="JP8" s="116">
        <f>MIN(FD8:FF8)</f>
        <v>413.5</v>
      </c>
      <c r="JQ8" s="116">
        <f>MIN(FG8:FI8)</f>
        <v>453.5</v>
      </c>
      <c r="JR8" s="116">
        <f>MIN(FJ8:FL8)</f>
        <v>484</v>
      </c>
      <c r="JS8" s="116">
        <f>MIN(FM8:FO8)</f>
        <v>503.35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123.35</v>
      </c>
      <c r="D9" s="116" cm="1">
        <f t="array" ref="D9">_xll.EQNXTDZ($A$1,$B9,D$1)</f>
        <v>119.35</v>
      </c>
      <c r="E9" s="116" cm="1">
        <f t="array" ref="E9">_xll.EQNXTDZ($A$1,$B9,E$1)</f>
        <v>123.35</v>
      </c>
      <c r="F9" s="116" cm="1">
        <f t="array" ref="F9">_xll.EQNXTDZ($A$1,$B9,F$1)</f>
        <v>136</v>
      </c>
      <c r="G9" s="116" cm="1">
        <f t="array" ref="G9">_xll.EQNXTDZ($A$1,$B9,G$1)</f>
        <v>133.9</v>
      </c>
      <c r="H9" s="116" cm="1">
        <f t="array" ref="H9">_xll.EQNXTDZ($A$1,$B9,H$1)</f>
        <v>139.4</v>
      </c>
      <c r="I9" s="116" cm="1">
        <f t="array" ref="I9">_xll.EQNXTDZ($A$1,$B9,I$1)</f>
        <v>136.1</v>
      </c>
      <c r="J9" s="116" cm="1">
        <f t="array" ref="J9">_xll.EQNXTDZ($A$1,$B9,J$1)</f>
        <v>128.44999999999999</v>
      </c>
      <c r="K9" s="116" cm="1">
        <f t="array" ref="K9">_xll.EQNXTDZ($A$1,$B9,K$1)</f>
        <v>114.75</v>
      </c>
      <c r="L9" s="116" cm="1">
        <f t="array" ref="L9">_xll.EQNXTDZ($A$1,$B9,L$1)</f>
        <v>121.3</v>
      </c>
      <c r="M9" s="116" cm="1">
        <f t="array" ref="M9">_xll.EQNXTDZ($A$1,$B9,M$1)</f>
        <v>119.15</v>
      </c>
      <c r="N9" s="116" cm="1">
        <f t="array" ref="N9">_xll.EQNXTDZ($A$1,$B9,N$1)</f>
        <v>115.65</v>
      </c>
      <c r="O9" s="116" cm="1">
        <f t="array" ref="O9">_xll.EQNXTDZ($A$1,$B9,O$1)</f>
        <v>102.25</v>
      </c>
      <c r="P9" s="116" cm="1">
        <f t="array" ref="P9">_xll.EQNXTDZ($A$1,$B9,P$1)</f>
        <v>101.65</v>
      </c>
      <c r="Q9" s="116" cm="1">
        <f t="array" ref="Q9">_xll.EQNXTDZ($A$1,$B9,Q$1)</f>
        <v>123.75</v>
      </c>
      <c r="R9" s="116" cm="1">
        <f t="array" ref="R9">_xll.EQNXTDZ($A$1,$B9,R$1)</f>
        <v>133.55000000000001</v>
      </c>
      <c r="S9" s="116" cm="1">
        <f t="array" ref="S9">_xll.EQNXTDZ($A$1,$B9,S$1)</f>
        <v>133.6</v>
      </c>
      <c r="T9" s="116" cm="1">
        <f t="array" ref="T9">_xll.EQNXTDZ($A$1,$B9,T$1)</f>
        <v>128.44999999999999</v>
      </c>
      <c r="U9" s="116" cm="1">
        <f t="array" ref="U9">_xll.EQNXTDZ($A$1,$B9,U$1)</f>
        <v>132.5</v>
      </c>
      <c r="V9" s="116" cm="1">
        <f t="array" ref="V9">_xll.EQNXTDZ($A$1,$B9,V$1)</f>
        <v>129.44999999999999</v>
      </c>
      <c r="W9" s="116" cm="1">
        <f t="array" ref="W9">_xll.EQNXTDZ($A$1,$B9,W$1)</f>
        <v>116.65</v>
      </c>
      <c r="X9" s="116" cm="1">
        <f t="array" ref="X9">_xll.EQNXTDZ($A$1,$B9,X$1)</f>
        <v>128.9</v>
      </c>
      <c r="Y9" s="116" cm="1">
        <f t="array" ref="Y9">_xll.EQNXTDZ($A$1,$B9,Y$1)</f>
        <v>128.9</v>
      </c>
      <c r="Z9" s="116" cm="1">
        <f t="array" ref="Z9">_xll.EQNXTDZ($A$1,$B9,Z$1)</f>
        <v>156.94999999999999</v>
      </c>
      <c r="AA9" s="116" cm="1">
        <f t="array" ref="AA9">_xll.EQNXTDZ($A$1,$B9,AA$1)</f>
        <v>167.3</v>
      </c>
      <c r="AB9" s="116" cm="1">
        <f t="array" ref="AB9">_xll.EQNXTDZ($A$1,$B9,AB$1)</f>
        <v>161.19999999999999</v>
      </c>
      <c r="AC9" s="116" cm="1">
        <f t="array" ref="AC9">_xll.EQNXTDZ($A$1,$B9,AC$1)</f>
        <v>165.75</v>
      </c>
      <c r="AD9" s="116" cm="1">
        <f t="array" ref="AD9">_xll.EQNXTDZ($A$1,$B9,AD$1)</f>
        <v>160.94999999999999</v>
      </c>
      <c r="AE9" s="116" cm="1">
        <f t="array" ref="AE9">_xll.EQNXTDZ($A$1,$B9,AE$1)</f>
        <v>171.45</v>
      </c>
      <c r="AF9" s="116" cm="1">
        <f t="array" ref="AF9">_xll.EQNXTDZ($A$1,$B9,AF$1)</f>
        <v>163.05000000000001</v>
      </c>
      <c r="AG9" s="116" cm="1">
        <f t="array" ref="AG9">_xll.EQNXTDZ($A$1,$B9,AG$1)</f>
        <v>170.45</v>
      </c>
      <c r="AH9" s="116" cm="1">
        <f t="array" ref="AH9">_xll.EQNXTDZ($A$1,$B9,AH$1)</f>
        <v>175</v>
      </c>
      <c r="AI9" s="116" cm="1">
        <f t="array" ref="AI9">_xll.EQNXTDZ($A$1,$B9,AI$1)</f>
        <v>176.15</v>
      </c>
      <c r="AJ9" s="116" cm="1">
        <f t="array" ref="AJ9">_xll.EQNXTDZ($A$1,$B9,AJ$1)</f>
        <v>162.15</v>
      </c>
      <c r="AK9" s="116" cm="1">
        <f t="array" ref="AK9">_xll.EQNXTDZ($A$1,$B9,AK$1)</f>
        <v>169.4</v>
      </c>
      <c r="AL9" s="116" cm="1">
        <f t="array" ref="AL9">_xll.EQNXTDZ($A$1,$B9,AL$1)</f>
        <v>169.2</v>
      </c>
      <c r="AM9" s="116" cm="1">
        <f t="array" ref="AM9">_xll.EQNXTDZ($A$1,$B9,AM$1)</f>
        <v>167.1</v>
      </c>
      <c r="AN9" s="116" cm="1">
        <f t="array" ref="AN9">_xll.EQNXTDZ($A$1,$B9,AN$1)</f>
        <v>157.05000000000001</v>
      </c>
      <c r="AO9" s="116" cm="1">
        <f t="array" ref="AO9">_xll.EQNXTDZ($A$1,$B9,AO$1)</f>
        <v>127.15</v>
      </c>
      <c r="AP9" s="116" cm="1">
        <f t="array" ref="AP9">_xll.EQNXTDZ($A$1,$B9,AP$1)</f>
        <v>139.80000000000001</v>
      </c>
      <c r="AQ9" s="116" cm="1">
        <f t="array" ref="AQ9">_xll.EQNXTDZ($A$1,$B9,AQ$1)</f>
        <v>157.15</v>
      </c>
      <c r="AR9" s="116" cm="1">
        <f t="array" ref="AR9">_xll.EQNXTDZ($A$1,$B9,AR$1)</f>
        <v>143.6</v>
      </c>
      <c r="AS9" s="116" cm="1">
        <f t="array" ref="AS9">_xll.EQNXTDZ($A$1,$B9,AS$1)</f>
        <v>146.4</v>
      </c>
      <c r="AT9" s="116" cm="1">
        <f t="array" ref="AT9">_xll.EQNXTDZ($A$1,$B9,AT$1)</f>
        <v>161</v>
      </c>
      <c r="AU9" s="116" cm="1">
        <f t="array" ref="AU9">_xll.EQNXTDZ($A$1,$B9,AU$1)</f>
        <v>160.35</v>
      </c>
      <c r="AV9" s="116" cm="1">
        <f t="array" ref="AV9">_xll.EQNXTDZ($A$1,$B9,AV$1)</f>
        <v>183.6</v>
      </c>
      <c r="AW9" s="116" cm="1">
        <f t="array" ref="AW9">_xll.EQNXTDZ($A$1,$B9,AW$1)</f>
        <v>172.1</v>
      </c>
      <c r="AX9" s="116" cm="1">
        <f t="array" ref="AX9">_xll.EQNXTDZ($A$1,$B9,AX$1)</f>
        <v>170.75</v>
      </c>
      <c r="AY9" s="116" cm="1">
        <f t="array" ref="AY9">_xll.EQNXTDZ($A$1,$B9,AY$1)</f>
        <v>180.55</v>
      </c>
      <c r="AZ9" s="116" cm="1">
        <f t="array" ref="AZ9">_xll.EQNXTDZ($A$1,$B9,AZ$1)</f>
        <v>203.95</v>
      </c>
      <c r="BA9" s="116" cm="1">
        <f t="array" ref="BA9">_xll.EQNXTDZ($A$1,$B9,BA$1)</f>
        <v>227</v>
      </c>
      <c r="BB9" s="116" cm="1">
        <f t="array" ref="BB9">_xll.EQNXTDZ($A$1,$B9,BB$1)</f>
        <v>233.35</v>
      </c>
      <c r="BC9" s="116" cm="1">
        <f t="array" ref="BC9">_xll.EQNXTDZ($A$1,$B9,BC$1)</f>
        <v>252.5</v>
      </c>
      <c r="BD9" s="116" cm="1">
        <f t="array" ref="BD9">_xll.EQNXTDZ($A$1,$B9,BD$1)</f>
        <v>282.60000000000002</v>
      </c>
      <c r="BE9" s="116" cm="1">
        <f t="array" ref="BE9">_xll.EQNXTDZ($A$1,$B9,BE$1)</f>
        <v>255.4</v>
      </c>
      <c r="BF9" s="116" cm="1">
        <f t="array" ref="BF9">_xll.EQNXTDZ($A$1,$B9,BF$1)</f>
        <v>298.89999999999998</v>
      </c>
      <c r="BG9" s="116" cm="1">
        <f t="array" ref="BG9">_xll.EQNXTDZ($A$1,$B9,BG$1)</f>
        <v>308.35000000000002</v>
      </c>
      <c r="BH9" s="116" cm="1">
        <f t="array" ref="BH9">_xll.EQNXTDZ($A$1,$B9,BH$1)</f>
        <v>288.8</v>
      </c>
      <c r="BI9" s="116" cm="1">
        <f t="array" ref="BI9">_xll.EQNXTDZ($A$1,$B9,BI$1)</f>
        <v>267.95</v>
      </c>
      <c r="BJ9" s="116" cm="1">
        <f t="array" ref="BJ9">_xll.EQNXTDZ($A$1,$B9,BJ$1)</f>
        <v>240.35</v>
      </c>
      <c r="BK9" s="116" cm="1">
        <f t="array" ref="BK9">_xll.EQNXTDZ($A$1,$B9,BK$1)</f>
        <v>263.64999999999998</v>
      </c>
      <c r="BL9" s="116" cm="1">
        <f t="array" ref="BL9">_xll.EQNXTDZ($A$1,$B9,BL$1)</f>
        <v>282.89999999999998</v>
      </c>
      <c r="BM9" s="116" cm="1">
        <f t="array" ref="BM9">_xll.EQNXTDZ($A$1,$B9,BM$1)</f>
        <v>294.55</v>
      </c>
      <c r="BN9" s="116" cm="1">
        <f t="array" ref="BN9">_xll.EQNXTDZ($A$1,$B9,BN$1)</f>
        <v>295.89999999999998</v>
      </c>
      <c r="BO9" s="116" cm="1">
        <f t="array" ref="BO9">_xll.EQNXTDZ($A$1,$B9,BO$1)</f>
        <v>315.25</v>
      </c>
      <c r="BP9" s="116" cm="1">
        <f t="array" ref="BP9">_xll.EQNXTDZ($A$1,$B9,BP$1)</f>
        <v>299.39999999999998</v>
      </c>
      <c r="BQ9" s="116" cm="1">
        <f t="array" ref="BQ9">_xll.EQNXTDZ($A$1,$B9,BQ$1)</f>
        <v>308.85000000000002</v>
      </c>
      <c r="BR9" s="116" cm="1">
        <f t="array" ref="BR9">_xll.EQNXTDZ($A$1,$B9,BR$1)</f>
        <v>310.25</v>
      </c>
      <c r="BS9" s="116" cm="1">
        <f t="array" ref="BS9">_xll.EQNXTDZ($A$1,$B9,BS$1)</f>
        <v>326.45</v>
      </c>
      <c r="BT9" s="116" cm="1">
        <f t="array" ref="BT9">_xll.EQNXTDZ($A$1,$B9,BT$1)</f>
        <v>300.55</v>
      </c>
      <c r="BU9" s="116" cm="1">
        <f t="array" ref="BU9">_xll.EQNXTDZ($A$1,$B9,BU$1)</f>
        <v>326.85000000000002</v>
      </c>
      <c r="BV9" s="116" cm="1">
        <f t="array" ref="BV9">_xll.EQNXTDZ($A$1,$B9,BV$1)</f>
        <v>296.35000000000002</v>
      </c>
      <c r="BW9" s="116" cm="1">
        <f t="array" ref="BW9">_xll.EQNXTDZ($A$1,$B9,BW$1)</f>
        <v>274.5</v>
      </c>
      <c r="BX9" s="116" cm="1">
        <f t="array" ref="BX9">_xll.EQNXTDZ($A$1,$B9,BX$1)</f>
        <v>280.05</v>
      </c>
      <c r="BY9" s="116" cm="1">
        <f t="array" ref="BY9">_xll.EQNXTDZ($A$1,$B9,BY$1)</f>
        <v>299.55</v>
      </c>
      <c r="BZ9" s="116" cm="1">
        <f t="array" ref="BZ9">_xll.EQNXTDZ($A$1,$B9,BZ$1)</f>
        <v>289.3</v>
      </c>
      <c r="CA9" s="116" cm="1">
        <f t="array" ref="CA9">_xll.EQNXTDZ($A$1,$B9,CA$1)</f>
        <v>262.39999999999998</v>
      </c>
      <c r="CB9" s="116" cm="1">
        <f t="array" ref="CB9">_xll.EQNXTDZ($A$1,$B9,CB$1)</f>
        <v>266.7</v>
      </c>
      <c r="CC9" s="116" cm="1">
        <f t="array" ref="CC9">_xll.EQNXTDZ($A$1,$B9,CC$1)</f>
        <v>278.64999999999998</v>
      </c>
      <c r="CD9" s="116" cm="1">
        <f t="array" ref="CD9">_xll.EQNXTDZ($A$1,$B9,CD$1)</f>
        <v>260.2</v>
      </c>
      <c r="CE9" s="116" cm="1">
        <f t="array" ref="CE9">_xll.EQNXTDZ($A$1,$B9,CE$1)</f>
        <v>269.45</v>
      </c>
      <c r="CF9" s="116" cm="1">
        <f t="array" ref="CF9">_xll.EQNXTDZ($A$1,$B9,CF$1)</f>
        <v>276.85000000000002</v>
      </c>
      <c r="CG9" s="116" cm="1">
        <f t="array" ref="CG9">_xll.EQNXTDZ($A$1,$B9,CG$1)</f>
        <v>276.85000000000002</v>
      </c>
      <c r="CH9" s="116" cm="1">
        <f t="array" ref="CH9">_xll.EQNXTDZ($A$1,$B9,CH$1)</f>
        <v>245.8</v>
      </c>
      <c r="CI9" s="116" cm="1">
        <f t="array" ref="CI9">_xll.EQNXTDZ($A$1,$B9,CI$1)</f>
        <v>244.1</v>
      </c>
      <c r="CJ9" s="116" cm="1">
        <f t="array" ref="CJ9">_xll.EQNXTDZ($A$1,$B9,CJ$1)</f>
        <v>216.95</v>
      </c>
      <c r="CK9" s="116" cm="1">
        <f t="array" ref="CK9">_xll.EQNXTDZ($A$1,$B9,CK$1)</f>
        <v>216.65</v>
      </c>
      <c r="CL9" s="116" cm="1">
        <f t="array" ref="CL9">_xll.EQNXTDZ($A$1,$B9,CL$1)</f>
        <v>213.45</v>
      </c>
      <c r="CM9" s="116" cm="1">
        <f t="array" ref="CM9">_xll.EQNXTDZ($A$1,$B9,CM$1)</f>
        <v>212.65</v>
      </c>
      <c r="CN9" s="116" cm="1">
        <f t="array" ref="CN9">_xll.EQNXTDZ($A$1,$B9,CN$1)</f>
        <v>215.35</v>
      </c>
      <c r="CO9" s="116" cm="1">
        <f t="array" ref="CO9">_xll.EQNXTDZ($A$1,$B9,CO$1)</f>
        <v>209.65</v>
      </c>
      <c r="CP9" s="116" cm="1">
        <f t="array" ref="CP9">_xll.EQNXTDZ($A$1,$B9,CP$1)</f>
        <v>194.1</v>
      </c>
      <c r="CQ9" s="116" cm="1">
        <f t="array" ref="CQ9">_xll.EQNXTDZ($A$1,$B9,CQ$1)</f>
        <v>172.25</v>
      </c>
      <c r="CR9" s="116" cm="1">
        <f t="array" ref="CR9">_xll.EQNXTDZ($A$1,$B9,CR$1)</f>
        <v>155.4</v>
      </c>
      <c r="CS9" s="116" cm="1">
        <f t="array" ref="CS9">_xll.EQNXTDZ($A$1,$B9,CS$1)</f>
        <v>174.6</v>
      </c>
      <c r="CT9" s="116" cm="1">
        <f t="array" ref="CT9">_xll.EQNXTDZ($A$1,$B9,CT$1)</f>
        <v>171.55</v>
      </c>
      <c r="CU9" s="116" cm="1">
        <f t="array" ref="CU9">_xll.EQNXTDZ($A$1,$B9,CU$1)</f>
        <v>195.95</v>
      </c>
      <c r="CV9" s="116" cm="1">
        <f t="array" ref="CV9">_xll.EQNXTDZ($A$1,$B9,CV$1)</f>
        <v>210.05</v>
      </c>
      <c r="CW9" s="116" cm="1">
        <f t="array" ref="CW9">_xll.EQNXTDZ($A$1,$B9,CW$1)</f>
        <v>226.6</v>
      </c>
      <c r="CX9" s="116" cm="1">
        <f t="array" ref="CX9">_xll.EQNXTDZ($A$1,$B9,CX$1)</f>
        <v>209.95</v>
      </c>
      <c r="CY9" s="116" cm="1">
        <f t="array" ref="CY9">_xll.EQNXTDZ($A$1,$B9,CY$1)</f>
        <v>203.3</v>
      </c>
      <c r="CZ9" s="116" cm="1">
        <f t="array" ref="CZ9">_xll.EQNXTDZ($A$1,$B9,CZ$1)</f>
        <v>229.7</v>
      </c>
      <c r="DA9" s="116" cm="1">
        <f t="array" ref="DA9">_xll.EQNXTDZ($A$1,$B9,DA$1)</f>
        <v>239.05</v>
      </c>
      <c r="DB9" s="116" cm="1">
        <f t="array" ref="DB9">_xll.EQNXTDZ($A$1,$B9,DB$1)</f>
        <v>274.75</v>
      </c>
      <c r="DC9" s="116" cm="1">
        <f t="array" ref="DC9">_xll.EQNXTDZ($A$1,$B9,DC$1)</f>
        <v>297.5</v>
      </c>
      <c r="DD9" s="116" cm="1">
        <f t="array" ref="DD9">_xll.EQNXTDZ($A$1,$B9,DD$1)</f>
        <v>272.89999999999998</v>
      </c>
      <c r="DE9" s="116" cm="1">
        <f t="array" ref="DE9">_xll.EQNXTDZ($A$1,$B9,DE$1)</f>
        <v>305.10000000000002</v>
      </c>
      <c r="DF9" s="116" cm="1">
        <f t="array" ref="DF9">_xll.EQNXTDZ($A$1,$B9,DF$1)</f>
        <v>327</v>
      </c>
      <c r="DG9" s="116" cm="1">
        <f t="array" ref="DG9">_xll.EQNXTDZ($A$1,$B9,DG$1)</f>
        <v>339.3</v>
      </c>
      <c r="DH9" s="116" cm="1">
        <f t="array" ref="DH9">_xll.EQNXTDZ($A$1,$B9,DH$1)</f>
        <v>320.5</v>
      </c>
      <c r="DI9" s="116" cm="1">
        <f t="array" ref="DI9">_xll.EQNXTDZ($A$1,$B9,DI$1)</f>
        <v>321.75</v>
      </c>
      <c r="DJ9" s="116" cm="1">
        <f t="array" ref="DJ9">_xll.EQNXTDZ($A$1,$B9,DJ$1)</f>
        <v>311.60000000000002</v>
      </c>
      <c r="DK9" s="116" cm="1">
        <f t="array" ref="DK9">_xll.EQNXTDZ($A$1,$B9,DK$1)</f>
        <v>311.35000000000002</v>
      </c>
      <c r="DL9" s="116" cm="1">
        <f t="array" ref="DL9">_xll.EQNXTDZ($A$1,$B9,DL$1)</f>
        <v>333.05</v>
      </c>
      <c r="DM9" s="116" cm="1">
        <f t="array" ref="DM9">_xll.EQNXTDZ($A$1,$B9,DM$1)</f>
        <v>316.8</v>
      </c>
      <c r="DN9" s="116" cm="1">
        <f t="array" ref="DN9">_xll.EQNXTDZ($A$1,$B9,DN$1)</f>
        <v>315.45</v>
      </c>
      <c r="DO9" s="116" cm="1">
        <f t="array" ref="DO9">_xll.EQNXTDZ($A$1,$B9,DO$1)</f>
        <v>311.95</v>
      </c>
      <c r="DP9" s="116" cm="1">
        <f t="array" ref="DP9">_xll.EQNXTDZ($A$1,$B9,DP$1)</f>
        <v>310.14999999999998</v>
      </c>
      <c r="DQ9" s="116" cm="1">
        <f t="array" ref="DQ9">_xll.EQNXTDZ($A$1,$B9,DQ$1)</f>
        <v>321.89999999999998</v>
      </c>
      <c r="DR9" s="116" cm="1">
        <f t="array" ref="DR9">_xll.EQNXTDZ($A$1,$B9,DR$1)</f>
        <v>300.95</v>
      </c>
      <c r="DS9" s="116" cm="1">
        <f t="array" ref="DS9">_xll.EQNXTDZ($A$1,$B9,DS$1)</f>
        <v>249.35</v>
      </c>
      <c r="DT9" s="116" cm="1">
        <f t="array" ref="DT9">_xll.EQNXTDZ($A$1,$B9,DT$1)</f>
        <v>269.7</v>
      </c>
      <c r="DU9" s="116" cm="1">
        <f t="array" ref="DU9">_xll.EQNXTDZ($A$1,$B9,DU$1)</f>
        <v>285</v>
      </c>
      <c r="DV9" s="116" cm="1">
        <f t="array" ref="DV9">_xll.EQNXTDZ($A$1,$B9,DV$1)</f>
        <v>267.2</v>
      </c>
      <c r="DW9" s="116" cm="1">
        <f t="array" ref="DW9">_xll.EQNXTDZ($A$1,$B9,DW$1)</f>
        <v>283.7</v>
      </c>
      <c r="DX9" s="116" cm="1">
        <f t="array" ref="DX9">_xll.EQNXTDZ($A$1,$B9,DX$1)</f>
        <v>307.25</v>
      </c>
      <c r="DY9" s="116" cm="1">
        <f t="array" ref="DY9">_xll.EQNXTDZ($A$1,$B9,DY$1)</f>
        <v>321.7</v>
      </c>
      <c r="DZ9" s="116" cm="1">
        <f t="array" ref="DZ9">_xll.EQNXTDZ($A$1,$B9,DZ$1)</f>
        <v>332.85</v>
      </c>
      <c r="EA9" s="116" cm="1">
        <f t="array" ref="EA9">_xll.EQNXTDZ($A$1,$B9,EA$1)</f>
        <v>304</v>
      </c>
      <c r="EB9" s="116" cm="1">
        <f t="array" ref="EB9">_xll.EQNXTDZ($A$1,$B9,EB$1)</f>
        <v>293.35000000000002</v>
      </c>
      <c r="EC9" s="116" cm="1">
        <f t="array" ref="EC9">_xll.EQNXTDZ($A$1,$B9,EC$1)</f>
        <v>314.35000000000002</v>
      </c>
      <c r="ED9" s="116" cm="1">
        <f t="array" ref="ED9">_xll.EQNXTDZ($A$1,$B9,ED$1)</f>
        <v>306</v>
      </c>
      <c r="EE9" s="116" cm="1">
        <f t="array" ref="EE9">_xll.EQNXTDZ($A$1,$B9,EE$1)</f>
        <v>307.35000000000002</v>
      </c>
      <c r="EF9" s="116" cm="1">
        <f t="array" ref="EF9">_xll.EQNXTDZ($A$1,$B9,EF$1)</f>
        <v>321.95</v>
      </c>
      <c r="EG9" s="116" cm="1">
        <f t="array" ref="EG9">_xll.EQNXTDZ($A$1,$B9,EG$1)</f>
        <v>318.14999999999998</v>
      </c>
      <c r="EH9" s="116" cm="1">
        <f t="array" ref="EH9">_xll.EQNXTDZ($A$1,$B9,EH$1)</f>
        <v>308.64999999999998</v>
      </c>
      <c r="EI9" s="116" cm="1">
        <f t="array" ref="EI9">_xll.EQNXTDZ($A$1,$B9,EI$1)</f>
        <v>295.55</v>
      </c>
      <c r="EJ9" s="116" cm="1">
        <f t="array" ref="EJ9">_xll.EQNXTDZ($A$1,$B9,EJ$1)</f>
        <v>299.25</v>
      </c>
      <c r="EK9" s="116" cm="1">
        <f t="array" ref="EK9">_xll.EQNXTDZ($A$1,$B9,EK$1)</f>
        <v>318.05</v>
      </c>
      <c r="EL9" s="116" cm="1">
        <f t="array" ref="EL9">_xll.EQNXTDZ($A$1,$B9,EL$1)</f>
        <v>317.25</v>
      </c>
      <c r="EM9" s="116" cm="1">
        <f t="array" ref="EM9">_xll.EQNXTDZ($A$1,$B9,EM$1)</f>
        <v>306.45</v>
      </c>
      <c r="EN9" s="116" cm="1">
        <f t="array" ref="EN9">_xll.EQNXTDZ($A$1,$B9,EN$1)</f>
        <v>292.3</v>
      </c>
      <c r="EO9" s="116" cm="1">
        <f t="array" ref="EO9">_xll.EQNXTDZ($A$1,$B9,EO$1)</f>
        <v>426.95</v>
      </c>
      <c r="EP9" s="116" cm="1">
        <f t="array" ref="EP9">_xll.EQNXTDZ($A$1,$B9,EP$1)</f>
        <v>687.25</v>
      </c>
      <c r="EQ9" s="116" cm="1">
        <f t="array" ref="EQ9">_xll.EQNXTDZ($A$1,$B9,EQ$1)</f>
        <v>669.65</v>
      </c>
      <c r="ER9" s="116" cm="1">
        <f t="array" ref="ER9">_xll.EQNXTDZ($A$1,$B9,ER$1)</f>
        <v>646.85</v>
      </c>
      <c r="ES9" s="116" cm="1">
        <f t="array" ref="ES9">_xll.EQNXTDZ($A$1,$B9,ES$1)</f>
        <v>500.75</v>
      </c>
      <c r="ET9" s="116" cm="1">
        <f t="array" ref="ET9">_xll.EQNXTDZ($A$1,$B9,ET$1)</f>
        <v>522.5</v>
      </c>
      <c r="EU9" s="116" cm="1">
        <f t="array" ref="EU9">_xll.EQNXTDZ($A$1,$B9,EU$1)</f>
        <v>553.20000000000005</v>
      </c>
      <c r="EV9" s="116" cm="1">
        <f t="array" ref="EV9">_xll.EQNXTDZ($A$1,$B9,EV$1)</f>
        <v>504.6</v>
      </c>
      <c r="EW9" s="116" cm="1">
        <f t="array" ref="EW9">_xll.EQNXTDZ($A$1,$B9,EW$1)</f>
        <v>444</v>
      </c>
      <c r="EX9" s="116" cm="1">
        <f t="array" ref="EX9">_xll.EQNXTDZ($A$1,$B9,EX$1)</f>
        <v>450.15</v>
      </c>
      <c r="EY9" s="116" cm="1">
        <f t="array" ref="EY9">_xll.EQNXTDZ($A$1,$B9,EY$1)</f>
        <v>390.8</v>
      </c>
      <c r="EZ9" s="116" cm="1">
        <f t="array" ref="EZ9">_xll.EQNXTDZ($A$1,$B9,EZ$1)</f>
        <v>461.9</v>
      </c>
      <c r="FA9" s="116" cm="1">
        <f t="array" ref="FA9">_xll.EQNXTDZ($A$1,$B9,FA$1)</f>
        <v>439.2</v>
      </c>
      <c r="FB9" s="116" cm="1">
        <f t="array" ref="FB9">_xll.EQNXTDZ($A$1,$B9,FB$1)</f>
        <v>458.2</v>
      </c>
      <c r="FC9" s="116" cm="1">
        <f t="array" ref="FC9">_xll.EQNXTDZ($A$1,$B9,FC$1)</f>
        <v>450.85</v>
      </c>
      <c r="FD9" s="116" cm="1">
        <f t="array" ref="FD9">_xll.EQNXTDZ($A$1,$B9,FD$1)</f>
        <v>424.05</v>
      </c>
      <c r="FE9" s="116" cm="1">
        <f t="array" ref="FE9">_xll.EQNXTDZ($A$1,$B9,FE$1)</f>
        <v>419.25</v>
      </c>
      <c r="FF9" s="116" cm="1">
        <f t="array" ref="FF9">_xll.EQNXTDZ($A$1,$B9,FF$1)</f>
        <v>482.45</v>
      </c>
      <c r="FG9" s="116" cm="1">
        <f t="array" ref="FG9">_xll.EQNXTDZ($A$1,$B9,FG$1)</f>
        <v>476.5</v>
      </c>
      <c r="FH9" s="116" cm="1">
        <f t="array" ref="FH9">_xll.EQNXTDZ($A$1,$B9,FH$1)</f>
        <v>485.2</v>
      </c>
      <c r="FI9" s="116" cm="1">
        <f t="array" ref="FI9">_xll.EQNXTDZ($A$1,$B9,FI$1)</f>
        <v>612.45000000000005</v>
      </c>
      <c r="FJ9" s="116" cm="1">
        <f t="array" ref="FJ9">_xll.EQNXTDZ($A$1,$B9,FJ$1)</f>
        <v>628.5</v>
      </c>
      <c r="FK9" s="116" cm="1">
        <f t="array" ref="FK9">_xll.EQNXTDZ($A$1,$B9,FK$1)</f>
        <v>603.79999999999995</v>
      </c>
      <c r="FL9" s="116" cm="1">
        <f t="array" ref="FL9">_xll.EQNXTDZ($A$1,$B9,FL$1)</f>
        <v>502.15</v>
      </c>
      <c r="FM9" s="116" cm="1">
        <f t="array" ref="FM9">_xll.EQNXTDZ($A$1,$B9,FM$1)</f>
        <v>595.95000000000005</v>
      </c>
      <c r="FN9" s="116" cm="1">
        <f t="array" ref="FN9">_xll.EQNXTDZ($A$1,$B9,FN$1)</f>
        <v>632.95000000000005</v>
      </c>
      <c r="FO9" s="116" cm="1">
        <f t="array" ref="FO9">_xll.EQNXTDZ($A$1,$B9,FO$1)</f>
        <v>564.29999999999995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136</v>
      </c>
      <c r="HQ9" s="116">
        <f>+I9</f>
        <v>136.1</v>
      </c>
      <c r="HR9" s="116">
        <f>+L9</f>
        <v>121.3</v>
      </c>
      <c r="HS9" s="116">
        <f>+O9</f>
        <v>102.25</v>
      </c>
      <c r="HT9" s="116">
        <f>+R9</f>
        <v>133.55000000000001</v>
      </c>
      <c r="HU9" s="116">
        <f>+U9</f>
        <v>132.5</v>
      </c>
      <c r="HV9" s="116">
        <f>+X9</f>
        <v>128.9</v>
      </c>
      <c r="HW9" s="116">
        <f>+AA9</f>
        <v>167.3</v>
      </c>
      <c r="HX9" s="116">
        <f>+AD9</f>
        <v>160.94999999999999</v>
      </c>
      <c r="HY9" s="116">
        <f>+AG9</f>
        <v>170.45</v>
      </c>
      <c r="HZ9" s="116">
        <f>+AJ9</f>
        <v>162.15</v>
      </c>
      <c r="IA9" s="116">
        <f>+AM9</f>
        <v>167.1</v>
      </c>
      <c r="IB9" s="116">
        <f>+AP9</f>
        <v>139.80000000000001</v>
      </c>
      <c r="IC9" s="116">
        <f>+AS9</f>
        <v>146.4</v>
      </c>
      <c r="ID9" s="116">
        <f>+AV9</f>
        <v>183.6</v>
      </c>
      <c r="IE9" s="116">
        <f>+AY9</f>
        <v>180.55</v>
      </c>
      <c r="IF9" s="116">
        <f>+BB9</f>
        <v>233.35</v>
      </c>
      <c r="IG9" s="116">
        <f>+BE9</f>
        <v>255.4</v>
      </c>
      <c r="IH9" s="116">
        <f>+BH9</f>
        <v>288.8</v>
      </c>
      <c r="II9" s="116">
        <f>+BK9</f>
        <v>263.64999999999998</v>
      </c>
      <c r="IJ9" s="116">
        <f>+BN9</f>
        <v>295.89999999999998</v>
      </c>
      <c r="IK9" s="116">
        <f>+BQ9</f>
        <v>308.85000000000002</v>
      </c>
      <c r="IL9" s="116">
        <f>+BT9</f>
        <v>300.55</v>
      </c>
      <c r="IM9" s="116">
        <f>+BW9</f>
        <v>274.5</v>
      </c>
      <c r="IN9" s="116">
        <f>+BZ9</f>
        <v>289.3</v>
      </c>
      <c r="IO9" s="116">
        <f>+CC9</f>
        <v>278.64999999999998</v>
      </c>
      <c r="IP9" s="116">
        <f>+CF9</f>
        <v>276.85000000000002</v>
      </c>
      <c r="IQ9" s="116">
        <f>+CI9</f>
        <v>244.1</v>
      </c>
      <c r="IR9" s="116">
        <f>+CL9</f>
        <v>213.45</v>
      </c>
      <c r="IS9" s="116">
        <f>+CO9</f>
        <v>209.65</v>
      </c>
      <c r="IT9" s="116">
        <f>+CR9</f>
        <v>155.4</v>
      </c>
      <c r="IU9" s="116">
        <f>+CU9</f>
        <v>195.95</v>
      </c>
      <c r="IV9" s="116">
        <f>+CX9</f>
        <v>209.95</v>
      </c>
      <c r="IW9" s="116">
        <f>+DA9</f>
        <v>239.05</v>
      </c>
      <c r="IX9" s="116">
        <f>+DD9</f>
        <v>272.89999999999998</v>
      </c>
      <c r="IY9" s="116">
        <f>+DG9</f>
        <v>339.3</v>
      </c>
      <c r="IZ9" s="116">
        <f>+DJ9</f>
        <v>311.60000000000002</v>
      </c>
      <c r="JA9" s="116">
        <f>+DM9</f>
        <v>316.8</v>
      </c>
      <c r="JB9" s="116">
        <f>+DP9</f>
        <v>310.14999999999998</v>
      </c>
      <c r="JC9" s="116">
        <f>+DS9</f>
        <v>249.35</v>
      </c>
      <c r="JD9" s="116">
        <f>+DV9</f>
        <v>267.2</v>
      </c>
      <c r="JE9" s="116">
        <f>+DY9</f>
        <v>321.7</v>
      </c>
      <c r="JF9" s="116">
        <f>+EB9</f>
        <v>293.35000000000002</v>
      </c>
      <c r="JG9" s="116">
        <f>+EE9</f>
        <v>307.35000000000002</v>
      </c>
      <c r="JH9" s="116">
        <f>+EH9</f>
        <v>308.64999999999998</v>
      </c>
      <c r="JI9" s="116">
        <f>+EK9</f>
        <v>318.05</v>
      </c>
      <c r="JJ9" s="116">
        <f>+EN9</f>
        <v>292.3</v>
      </c>
      <c r="JK9" s="116">
        <f>EQ9</f>
        <v>669.65</v>
      </c>
      <c r="JL9" s="116">
        <f>ET9</f>
        <v>522.5</v>
      </c>
      <c r="JM9" s="116">
        <f>EW9</f>
        <v>444</v>
      </c>
      <c r="JN9" s="116">
        <f>EZ9</f>
        <v>461.9</v>
      </c>
      <c r="JO9" s="116">
        <f>FC9</f>
        <v>450.85</v>
      </c>
      <c r="JP9" s="116">
        <f>FF9</f>
        <v>482.45</v>
      </c>
      <c r="JQ9" s="116">
        <f>FI9</f>
        <v>612.45000000000005</v>
      </c>
      <c r="JR9" s="116">
        <f>FL9</f>
        <v>502.15</v>
      </c>
      <c r="JS9" s="116">
        <f>FO9</f>
        <v>564.29999999999995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117.05</v>
      </c>
      <c r="D13" cm="1">
        <f t="array" ref="D13">_xll.EQNXTDZ($A$1,$B13,D$1)</f>
        <v>123.8</v>
      </c>
      <c r="E13" cm="1">
        <f t="array" ref="E13">_xll.EQNXTDZ($A$1,$B13,E$1)</f>
        <v>119.2</v>
      </c>
      <c r="F13" cm="1">
        <f t="array" ref="F13">_xll.EQNXTDZ($A$1,$B13,F$1)</f>
        <v>124.85</v>
      </c>
      <c r="G13" cm="1">
        <f t="array" ref="G13">_xll.EQNXTDZ($A$1,$B13,G$1)</f>
        <v>136.19999999999999</v>
      </c>
      <c r="H13" cm="1">
        <f t="array" ref="H13">_xll.EQNXTDZ($A$1,$B13,H$1)</f>
        <v>134</v>
      </c>
      <c r="I13" cm="1">
        <f t="array" ref="I13">_xll.EQNXTDZ($A$1,$B13,I$1)</f>
        <v>139.75</v>
      </c>
      <c r="J13" cm="1">
        <f t="array" ref="J13">_xll.EQNXTDZ($A$1,$B13,J$1)</f>
        <v>137.5</v>
      </c>
      <c r="K13" cm="1">
        <f t="array" ref="K13">_xll.EQNXTDZ($A$1,$B13,K$1)</f>
        <v>128.6</v>
      </c>
      <c r="L13" cm="1">
        <f t="array" ref="L13">_xll.EQNXTDZ($A$1,$B13,L$1)</f>
        <v>115.4</v>
      </c>
      <c r="M13" cm="1">
        <f t="array" ref="M13">_xll.EQNXTDZ($A$1,$B13,M$1)</f>
        <v>121.1</v>
      </c>
      <c r="N13" cm="1">
        <f t="array" ref="N13">_xll.EQNXTDZ($A$1,$B13,N$1)</f>
        <v>120</v>
      </c>
      <c r="O13" cm="1">
        <f t="array" ref="O13">_xll.EQNXTDZ($A$1,$B13,O$1)</f>
        <v>115</v>
      </c>
      <c r="P13" cm="1">
        <f t="array" ref="P13">_xll.EQNXTDZ($A$1,$B13,P$1)</f>
        <v>103</v>
      </c>
      <c r="Q13" cm="1">
        <f t="array" ref="Q13">_xll.EQNXTDZ($A$1,$B13,Q$1)</f>
        <v>102.9</v>
      </c>
      <c r="R13" cm="1">
        <f t="array" ref="R13">_xll.EQNXTDZ($A$1,$B13,R$1)</f>
        <v>125.25</v>
      </c>
      <c r="S13" cm="1">
        <f t="array" ref="S13">_xll.EQNXTDZ($A$1,$B13,S$1)</f>
        <v>133</v>
      </c>
      <c r="T13" cm="1">
        <f t="array" ref="T13">_xll.EQNXTDZ($A$1,$B13,T$1)</f>
        <v>134.5</v>
      </c>
      <c r="U13" cm="1">
        <f t="array" ref="U13">_xll.EQNXTDZ($A$1,$B13,U$1)</f>
        <v>128.65</v>
      </c>
      <c r="V13" cm="1">
        <f t="array" ref="V13">_xll.EQNXTDZ($A$1,$B13,V$1)</f>
        <v>133.69999999999999</v>
      </c>
      <c r="W13" cm="1">
        <f t="array" ref="W13">_xll.EQNXTDZ($A$1,$B13,W$1)</f>
        <v>129.25</v>
      </c>
      <c r="X13" cm="1">
        <f t="array" ref="X13">_xll.EQNXTDZ($A$1,$B13,X$1)</f>
        <v>116</v>
      </c>
      <c r="Y13" cm="1">
        <f t="array" ref="Y13">_xll.EQNXTDZ($A$1,$B13,Y$1)</f>
        <v>130</v>
      </c>
      <c r="Z13" cm="1">
        <f t="array" ref="Z13">_xll.EQNXTDZ($A$1,$B13,Z$1)</f>
        <v>129.6</v>
      </c>
      <c r="AA13" cm="1">
        <f t="array" ref="AA13">_xll.EQNXTDZ($A$1,$B13,AA$1)</f>
        <v>159.6</v>
      </c>
      <c r="AB13" cm="1">
        <f t="array" ref="AB13">_xll.EQNXTDZ($A$1,$B13,AB$1)</f>
        <v>168.8</v>
      </c>
      <c r="AC13" cm="1">
        <f t="array" ref="AC13">_xll.EQNXTDZ($A$1,$B13,AC$1)</f>
        <v>160.9</v>
      </c>
      <c r="AD13" cm="1">
        <f t="array" ref="AD13">_xll.EQNXTDZ($A$1,$B13,AD$1)</f>
        <v>166.8</v>
      </c>
      <c r="AE13" cm="1">
        <f t="array" ref="AE13">_xll.EQNXTDZ($A$1,$B13,AE$1)</f>
        <v>161.65</v>
      </c>
      <c r="AF13" cm="1">
        <f t="array" ref="AF13">_xll.EQNXTDZ($A$1,$B13,AF$1)</f>
        <v>171.8</v>
      </c>
      <c r="AG13" cm="1">
        <f t="array" ref="AG13">_xll.EQNXTDZ($A$1,$B13,AG$1)</f>
        <v>162</v>
      </c>
      <c r="AH13" cm="1">
        <f t="array" ref="AH13">_xll.EQNXTDZ($A$1,$B13,AH$1)</f>
        <v>171</v>
      </c>
      <c r="AI13" cm="1">
        <f t="array" ref="AI13">_xll.EQNXTDZ($A$1,$B13,AI$1)</f>
        <v>177</v>
      </c>
      <c r="AJ13" cm="1">
        <f t="array" ref="AJ13">_xll.EQNXTDZ($A$1,$B13,AJ$1)</f>
        <v>180</v>
      </c>
      <c r="AK13" cm="1">
        <f t="array" ref="AK13">_xll.EQNXTDZ($A$1,$B13,AK$1)</f>
        <v>161.15</v>
      </c>
      <c r="AL13" cm="1">
        <f t="array" ref="AL13">_xll.EQNXTDZ($A$1,$B13,AL$1)</f>
        <v>170.3</v>
      </c>
      <c r="AM13" cm="1">
        <f t="array" ref="AM13">_xll.EQNXTDZ($A$1,$B13,AM$1)</f>
        <v>169.5</v>
      </c>
      <c r="AN13" cm="1">
        <f t="array" ref="AN13">_xll.EQNXTDZ($A$1,$B13,AN$1)</f>
        <v>165.2</v>
      </c>
      <c r="AO13" cm="1">
        <f t="array" ref="AO13">_xll.EQNXTDZ($A$1,$B13,AO$1)</f>
        <v>157.85</v>
      </c>
      <c r="AP13" cm="1">
        <f t="array" ref="AP13">_xll.EQNXTDZ($A$1,$B13,AP$1)</f>
        <v>127.15</v>
      </c>
      <c r="AQ13" cm="1">
        <f t="array" ref="AQ13">_xll.EQNXTDZ($A$1,$B13,AQ$1)</f>
        <v>139.65</v>
      </c>
      <c r="AR13" cm="1">
        <f t="array" ref="AR13">_xll.EQNXTDZ($A$1,$B13,AR$1)</f>
        <v>158</v>
      </c>
      <c r="AS13" cm="1">
        <f t="array" ref="AS13">_xll.EQNXTDZ($A$1,$B13,AS$1)</f>
        <v>143.44999999999999</v>
      </c>
      <c r="AT13" cm="1">
        <f t="array" ref="AT13">_xll.EQNXTDZ($A$1,$B13,AT$1)</f>
        <v>147</v>
      </c>
      <c r="AU13" cm="1">
        <f t="array" ref="AU13">_xll.EQNXTDZ($A$1,$B13,AU$1)</f>
        <v>160.1</v>
      </c>
      <c r="AV13" cm="1">
        <f t="array" ref="AV13">_xll.EQNXTDZ($A$1,$B13,AV$1)</f>
        <v>161.19999999999999</v>
      </c>
      <c r="AW13" cm="1">
        <f t="array" ref="AW13">_xll.EQNXTDZ($A$1,$B13,AW$1)</f>
        <v>185</v>
      </c>
      <c r="AX13" cm="1">
        <f t="array" ref="AX13">_xll.EQNXTDZ($A$1,$B13,AX$1)</f>
        <v>171</v>
      </c>
      <c r="AY13" cm="1">
        <f t="array" ref="AY13">_xll.EQNXTDZ($A$1,$B13,AY$1)</f>
        <v>170.9</v>
      </c>
      <c r="AZ13" cm="1">
        <f t="array" ref="AZ13">_xll.EQNXTDZ($A$1,$B13,AZ$1)</f>
        <v>180.5</v>
      </c>
      <c r="BA13" cm="1">
        <f t="array" ref="BA13">_xll.EQNXTDZ($A$1,$B13,BA$1)</f>
        <v>203.8</v>
      </c>
      <c r="BB13" cm="1">
        <f t="array" ref="BB13">_xll.EQNXTDZ($A$1,$B13,BB$1)</f>
        <v>227.8</v>
      </c>
      <c r="BC13" cm="1">
        <f t="array" ref="BC13">_xll.EQNXTDZ($A$1,$B13,BC$1)</f>
        <v>234.85</v>
      </c>
      <c r="BD13" cm="1">
        <f t="array" ref="BD13">_xll.EQNXTDZ($A$1,$B13,BD$1)</f>
        <v>254</v>
      </c>
      <c r="BE13" cm="1">
        <f t="array" ref="BE13">_xll.EQNXTDZ($A$1,$B13,BE$1)</f>
        <v>280.89999999999998</v>
      </c>
      <c r="BF13" cm="1">
        <f t="array" ref="BF13">_xll.EQNXTDZ($A$1,$B13,BF$1)</f>
        <v>257</v>
      </c>
      <c r="BG13" cm="1">
        <f t="array" ref="BG13">_xll.EQNXTDZ($A$1,$B13,BG$1)</f>
        <v>300.7</v>
      </c>
      <c r="BH13" cm="1">
        <f t="array" ref="BH13">_xll.EQNXTDZ($A$1,$B13,BH$1)</f>
        <v>308.05</v>
      </c>
      <c r="BI13" cm="1">
        <f t="array" ref="BI13">_xll.EQNXTDZ($A$1,$B13,BI$1)</f>
        <v>290.2</v>
      </c>
      <c r="BJ13" cm="1">
        <f t="array" ref="BJ13">_xll.EQNXTDZ($A$1,$B13,BJ$1)</f>
        <v>270</v>
      </c>
      <c r="BK13" cm="1">
        <f t="array" ref="BK13">_xll.EQNXTDZ($A$1,$B13,BK$1)</f>
        <v>240.85</v>
      </c>
      <c r="BL13" cm="1">
        <f t="array" ref="BL13">_xll.EQNXTDZ($A$1,$B13,BL$1)</f>
        <v>264.55</v>
      </c>
      <c r="BM13" cm="1">
        <f t="array" ref="BM13">_xll.EQNXTDZ($A$1,$B13,BM$1)</f>
        <v>284</v>
      </c>
      <c r="BN13" cm="1">
        <f t="array" ref="BN13">_xll.EQNXTDZ($A$1,$B13,BN$1)</f>
        <v>300</v>
      </c>
      <c r="BO13" cm="1">
        <f t="array" ref="BO13">_xll.EQNXTDZ($A$1,$B13,BO$1)</f>
        <v>301</v>
      </c>
      <c r="BP13" cm="1">
        <f t="array" ref="BP13">_xll.EQNXTDZ($A$1,$B13,BP$1)</f>
        <v>316.05</v>
      </c>
      <c r="BQ13" cm="1">
        <f t="array" ref="BQ13">_xll.EQNXTDZ($A$1,$B13,BQ$1)</f>
        <v>304</v>
      </c>
      <c r="BR13" cm="1">
        <f t="array" ref="BR13">_xll.EQNXTDZ($A$1,$B13,BR$1)</f>
        <v>313.5</v>
      </c>
      <c r="BS13" cm="1">
        <f t="array" ref="BS13">_xll.EQNXTDZ($A$1,$B13,BS$1)</f>
        <v>309.7</v>
      </c>
      <c r="BT13" cm="1">
        <f t="array" ref="BT13">_xll.EQNXTDZ($A$1,$B13,BT$1)</f>
        <v>326</v>
      </c>
      <c r="BU13" cm="1">
        <f t="array" ref="BU13">_xll.EQNXTDZ($A$1,$B13,BU$1)</f>
        <v>303</v>
      </c>
      <c r="BV13" cm="1">
        <f t="array" ref="BV13">_xll.EQNXTDZ($A$1,$B13,BV$1)</f>
        <v>321.14999999999998</v>
      </c>
      <c r="BW13" cm="1">
        <f t="array" ref="BW13">_xll.EQNXTDZ($A$1,$B13,BW$1)</f>
        <v>294.05</v>
      </c>
      <c r="BX13" cm="1">
        <f t="array" ref="BX13">_xll.EQNXTDZ($A$1,$B13,BX$1)</f>
        <v>277.35000000000002</v>
      </c>
      <c r="BY13" cm="1">
        <f t="array" ref="BY13">_xll.EQNXTDZ($A$1,$B13,BY$1)</f>
        <v>280</v>
      </c>
      <c r="BZ13" cm="1">
        <f t="array" ref="BZ13">_xll.EQNXTDZ($A$1,$B13,BZ$1)</f>
        <v>300</v>
      </c>
      <c r="CA13" cm="1">
        <f t="array" ref="CA13">_xll.EQNXTDZ($A$1,$B13,CA$1)</f>
        <v>290.39999999999998</v>
      </c>
      <c r="CB13" cm="1">
        <f t="array" ref="CB13">_xll.EQNXTDZ($A$1,$B13,CB$1)</f>
        <v>264.95</v>
      </c>
      <c r="CC13" cm="1">
        <f t="array" ref="CC13">_xll.EQNXTDZ($A$1,$B13,CC$1)</f>
        <v>268.8</v>
      </c>
      <c r="CD13" cm="1">
        <f t="array" ref="CD13">_xll.EQNXTDZ($A$1,$B13,CD$1)</f>
        <v>281</v>
      </c>
      <c r="CE13" cm="1">
        <f t="array" ref="CE13">_xll.EQNXTDZ($A$1,$B13,CE$1)</f>
        <v>259.5</v>
      </c>
      <c r="CF13" cm="1">
        <f t="array" ref="CF13">_xll.EQNXTDZ($A$1,$B13,CF$1)</f>
        <v>269.05</v>
      </c>
      <c r="CG13" cm="1">
        <f t="array" ref="CG13">_xll.EQNXTDZ($A$1,$B13,CG$1)</f>
        <v>278.7</v>
      </c>
      <c r="CH13" cm="1">
        <f t="array" ref="CH13">_xll.EQNXTDZ($A$1,$B13,CH$1)</f>
        <v>277.8</v>
      </c>
      <c r="CI13" cm="1">
        <f t="array" ref="CI13">_xll.EQNXTDZ($A$1,$B13,CI$1)</f>
        <v>245.1</v>
      </c>
      <c r="CJ13" cm="1">
        <f t="array" ref="CJ13">_xll.EQNXTDZ($A$1,$B13,CJ$1)</f>
        <v>244.85</v>
      </c>
      <c r="CK13" cm="1">
        <f t="array" ref="CK13">_xll.EQNXTDZ($A$1,$B13,CK$1)</f>
        <v>216.75</v>
      </c>
      <c r="CL13" cm="1">
        <f t="array" ref="CL13">_xll.EQNXTDZ($A$1,$B13,CL$1)</f>
        <v>216</v>
      </c>
      <c r="CM13" cm="1">
        <f t="array" ref="CM13">_xll.EQNXTDZ($A$1,$B13,CM$1)</f>
        <v>214</v>
      </c>
      <c r="CN13" cm="1">
        <f t="array" ref="CN13">_xll.EQNXTDZ($A$1,$B13,CN$1)</f>
        <v>212.6</v>
      </c>
      <c r="CO13" cm="1">
        <f t="array" ref="CO13">_xll.EQNXTDZ($A$1,$B13,CO$1)</f>
        <v>216</v>
      </c>
      <c r="CP13" cm="1">
        <f t="array" ref="CP13">_xll.EQNXTDZ($A$1,$B13,CP$1)</f>
        <v>210.1</v>
      </c>
      <c r="CQ13" cm="1">
        <f t="array" ref="CQ13">_xll.EQNXTDZ($A$1,$B13,CQ$1)</f>
        <v>195.05</v>
      </c>
      <c r="CR13" cm="1">
        <f t="array" ref="CR13">_xll.EQNXTDZ($A$1,$B13,CR$1)</f>
        <v>173.75</v>
      </c>
      <c r="CS13" cm="1">
        <f t="array" ref="CS13">_xll.EQNXTDZ($A$1,$B13,CS$1)</f>
        <v>159.94999999999999</v>
      </c>
      <c r="CT13" cm="1">
        <f t="array" ref="CT13">_xll.EQNXTDZ($A$1,$B13,CT$1)</f>
        <v>171</v>
      </c>
      <c r="CU13" cm="1">
        <f t="array" ref="CU13">_xll.EQNXTDZ($A$1,$B13,CU$1)</f>
        <v>173.4</v>
      </c>
      <c r="CV13" cm="1">
        <f t="array" ref="CV13">_xll.EQNXTDZ($A$1,$B13,CV$1)</f>
        <v>195.05</v>
      </c>
      <c r="CW13" cm="1">
        <f t="array" ref="CW13">_xll.EQNXTDZ($A$1,$B13,CW$1)</f>
        <v>211</v>
      </c>
      <c r="CX13" cm="1">
        <f t="array" ref="CX13">_xll.EQNXTDZ($A$1,$B13,CX$1)</f>
        <v>223</v>
      </c>
      <c r="CY13" cm="1">
        <f t="array" ref="CY13">_xll.EQNXTDZ($A$1,$B13,CY$1)</f>
        <v>212.5</v>
      </c>
      <c r="CZ13" cm="1">
        <f t="array" ref="CZ13">_xll.EQNXTDZ($A$1,$B13,CZ$1)</f>
        <v>205</v>
      </c>
      <c r="DA13" cm="1">
        <f t="array" ref="DA13">_xll.EQNXTDZ($A$1,$B13,DA$1)</f>
        <v>230.5</v>
      </c>
      <c r="DB13" cm="1">
        <f t="array" ref="DB13">_xll.EQNXTDZ($A$1,$B13,DB$1)</f>
        <v>238.9</v>
      </c>
      <c r="DC13" cm="1">
        <f t="array" ref="DC13">_xll.EQNXTDZ($A$1,$B13,DC$1)</f>
        <v>288.10000000000002</v>
      </c>
      <c r="DD13" cm="1">
        <f t="array" ref="DD13">_xll.EQNXTDZ($A$1,$B13,DD$1)</f>
        <v>298</v>
      </c>
      <c r="DE13" cm="1">
        <f t="array" ref="DE13">_xll.EQNXTDZ($A$1,$B13,DE$1)</f>
        <v>278</v>
      </c>
      <c r="DF13" cm="1">
        <f t="array" ref="DF13">_xll.EQNXTDZ($A$1,$B13,DF$1)</f>
        <v>305.3</v>
      </c>
      <c r="DG13" cm="1">
        <f t="array" ref="DG13">_xll.EQNXTDZ($A$1,$B13,DG$1)</f>
        <v>329.1</v>
      </c>
      <c r="DH13" cm="1">
        <f t="array" ref="DH13">_xll.EQNXTDZ($A$1,$B13,DH$1)</f>
        <v>340.5</v>
      </c>
      <c r="DI13" cm="1">
        <f t="array" ref="DI13">_xll.EQNXTDZ($A$1,$B13,DI$1)</f>
        <v>322</v>
      </c>
      <c r="DJ13" cm="1">
        <f t="array" ref="DJ13">_xll.EQNXTDZ($A$1,$B13,DJ$1)</f>
        <v>323.85000000000002</v>
      </c>
      <c r="DK13" cm="1">
        <f t="array" ref="DK13">_xll.EQNXTDZ($A$1,$B13,DK$1)</f>
        <v>313.5</v>
      </c>
      <c r="DL13" cm="1">
        <f t="array" ref="DL13">_xll.EQNXTDZ($A$1,$B13,DL$1)</f>
        <v>312.3</v>
      </c>
      <c r="DM13" cm="1">
        <f t="array" ref="DM13">_xll.EQNXTDZ($A$1,$B13,DM$1)</f>
        <v>334.4</v>
      </c>
      <c r="DN13" cm="1">
        <f t="array" ref="DN13">_xll.EQNXTDZ($A$1,$B13,DN$1)</f>
        <v>318</v>
      </c>
      <c r="DO13" cm="1">
        <f t="array" ref="DO13">_xll.EQNXTDZ($A$1,$B13,DO$1)</f>
        <v>318.2</v>
      </c>
      <c r="DP13" cm="1">
        <f t="array" ref="DP13">_xll.EQNXTDZ($A$1,$B13,DP$1)</f>
        <v>313.05</v>
      </c>
      <c r="DQ13" cm="1">
        <f t="array" ref="DQ13">_xll.EQNXTDZ($A$1,$B13,DQ$1)</f>
        <v>312.95</v>
      </c>
      <c r="DR13" cm="1">
        <f t="array" ref="DR13">_xll.EQNXTDZ($A$1,$B13,DR$1)</f>
        <v>318.5</v>
      </c>
      <c r="DS13" cm="1">
        <f t="array" ref="DS13">_xll.EQNXTDZ($A$1,$B13,DS$1)</f>
        <v>304.5</v>
      </c>
      <c r="DT13" cm="1">
        <f t="array" ref="DT13">_xll.EQNXTDZ($A$1,$B13,DT$1)</f>
        <v>249.4</v>
      </c>
      <c r="DU13" cm="1">
        <f t="array" ref="DU13">_xll.EQNXTDZ($A$1,$B13,DU$1)</f>
        <v>273.25</v>
      </c>
      <c r="DV13" cm="1">
        <f t="array" ref="DV13">_xll.EQNXTDZ($A$1,$B13,DV$1)</f>
        <v>284.5</v>
      </c>
      <c r="DW13" cm="1">
        <f t="array" ref="DW13">_xll.EQNXTDZ($A$1,$B13,DW$1)</f>
        <v>268.95</v>
      </c>
      <c r="DX13" cm="1">
        <f t="array" ref="DX13">_xll.EQNXTDZ($A$1,$B13,DX$1)</f>
        <v>282.2</v>
      </c>
      <c r="DY13" cm="1">
        <f t="array" ref="DY13">_xll.EQNXTDZ($A$1,$B13,DY$1)</f>
        <v>307.45</v>
      </c>
      <c r="DZ13" cm="1">
        <f t="array" ref="DZ13">_xll.EQNXTDZ($A$1,$B13,DZ$1)</f>
        <v>322.45</v>
      </c>
      <c r="EA13" cm="1">
        <f t="array" ref="EA13">_xll.EQNXTDZ($A$1,$B13,EA$1)</f>
        <v>333.55</v>
      </c>
      <c r="EB13" cm="1">
        <f t="array" ref="EB13">_xll.EQNXTDZ($A$1,$B13,EB$1)</f>
        <v>302.35000000000002</v>
      </c>
      <c r="EC13" cm="1">
        <f t="array" ref="EC13">_xll.EQNXTDZ($A$1,$B13,EC$1)</f>
        <v>293.14999999999998</v>
      </c>
      <c r="ED13" cm="1">
        <f t="array" ref="ED13">_xll.EQNXTDZ($A$1,$B13,ED$1)</f>
        <v>315.05</v>
      </c>
      <c r="EE13" cm="1">
        <f t="array" ref="EE13">_xll.EQNXTDZ($A$1,$B13,EE$1)</f>
        <v>305.60000000000002</v>
      </c>
      <c r="EF13" cm="1">
        <f t="array" ref="EF13">_xll.EQNXTDZ($A$1,$B13,EF$1)</f>
        <v>308</v>
      </c>
      <c r="EG13" cm="1">
        <f t="array" ref="EG13">_xll.EQNXTDZ($A$1,$B13,EG$1)</f>
        <v>323</v>
      </c>
      <c r="EH13" cm="1">
        <f t="array" ref="EH13">_xll.EQNXTDZ($A$1,$B13,EH$1)</f>
        <v>318</v>
      </c>
      <c r="EI13" cm="1">
        <f t="array" ref="EI13">_xll.EQNXTDZ($A$1,$B13,EI$1)</f>
        <v>309.95</v>
      </c>
      <c r="EJ13" cm="1">
        <f t="array" ref="EJ13">_xll.EQNXTDZ($A$1,$B13,EJ$1)</f>
        <v>295.55</v>
      </c>
      <c r="EK13" cm="1">
        <f t="array" ref="EK13">_xll.EQNXTDZ($A$1,$B13,EK$1)</f>
        <v>300.5</v>
      </c>
      <c r="EL13" cm="1">
        <f t="array" ref="EL13">_xll.EQNXTDZ($A$1,$B13,EL$1)</f>
        <v>319.95</v>
      </c>
      <c r="EM13" cm="1">
        <f t="array" ref="EM13">_xll.EQNXTDZ($A$1,$B13,EM$1)</f>
        <v>319.10000000000002</v>
      </c>
      <c r="EN13" cm="1">
        <f t="array" ref="EN13">_xll.EQNXTDZ($A$1,$B13,EN$1)</f>
        <v>308.3</v>
      </c>
      <c r="EO13" cm="1">
        <f t="array" ref="EO13">_xll.EQNXTDZ($A$1,$B13,EO$1)</f>
        <v>295.14999999999998</v>
      </c>
      <c r="EP13" cm="1">
        <f t="array" ref="EP13">_xll.EQNXTDZ($A$1,$B13,EP$1)</f>
        <v>428.3</v>
      </c>
      <c r="EQ13" cm="1">
        <f t="array" ref="EQ13">_xll.EQNXTDZ($A$1,$B13,EQ$1)</f>
        <v>726.1</v>
      </c>
      <c r="ER13" cm="1">
        <f t="array" ref="ER13">_xll.EQNXTDZ($A$1,$B13,ER$1)</f>
        <v>668.85</v>
      </c>
      <c r="ES13" cm="1">
        <f t="array" ref="ES13">_xll.EQNXTDZ($A$1,$B13,ES$1)</f>
        <v>652.04999999999995</v>
      </c>
      <c r="ET13" cm="1">
        <f t="array" ref="ET13">_xll.EQNXTDZ($A$1,$B13,ET$1)</f>
        <v>502</v>
      </c>
      <c r="EU13" cm="1">
        <f t="array" ref="EU13">_xll.EQNXTDZ($A$1,$B13,EU$1)</f>
        <v>522</v>
      </c>
      <c r="EV13" cm="1">
        <f t="array" ref="EV13">_xll.EQNXTDZ($A$1,$B13,EV$1)</f>
        <v>559.95000000000005</v>
      </c>
      <c r="EW13" cm="1">
        <f t="array" ref="EW13">_xll.EQNXTDZ($A$1,$B13,EW$1)</f>
        <v>504.5</v>
      </c>
      <c r="EX13" cm="1">
        <f t="array" ref="EX13">_xll.EQNXTDZ($A$1,$B13,EX$1)</f>
        <v>444</v>
      </c>
      <c r="EY13" cm="1">
        <f t="array" ref="EY13">_xll.EQNXTDZ($A$1,$B13,EY$1)</f>
        <v>454.8</v>
      </c>
      <c r="EZ13" cm="1">
        <f t="array" ref="EZ13">_xll.EQNXTDZ($A$1,$B13,EZ$1)</f>
        <v>397.7</v>
      </c>
      <c r="FA13" cm="1">
        <f t="array" ref="FA13">_xll.EQNXTDZ($A$1,$B13,FA$1)</f>
        <v>460.2</v>
      </c>
      <c r="FB13" cm="1">
        <f t="array" ref="FB13">_xll.EQNXTDZ($A$1,$B13,FB$1)</f>
        <v>440</v>
      </c>
      <c r="FC13" cm="1">
        <f t="array" ref="FC13">_xll.EQNXTDZ($A$1,$B13,FC$1)</f>
        <v>454.2</v>
      </c>
      <c r="FD13" cm="1">
        <f t="array" ref="FD13">_xll.EQNXTDZ($A$1,$B13,FD$1)</f>
        <v>451.5</v>
      </c>
      <c r="FE13" cm="1">
        <f t="array" ref="FE13">_xll.EQNXTDZ($A$1,$B13,FE$1)</f>
        <v>422.2</v>
      </c>
      <c r="FF13" cm="1">
        <f t="array" ref="FF13">_xll.EQNXTDZ($A$1,$B13,FF$1)</f>
        <v>424.35</v>
      </c>
      <c r="FG13" cm="1">
        <f t="array" ref="FG13">_xll.EQNXTDZ($A$1,$B13,FG$1)</f>
        <v>486</v>
      </c>
      <c r="FH13" cm="1">
        <f t="array" ref="FH13">_xll.EQNXTDZ($A$1,$B13,FH$1)</f>
        <v>476.25</v>
      </c>
      <c r="FI13" cm="1">
        <f t="array" ref="FI13">_xll.EQNXTDZ($A$1,$B13,FI$1)</f>
        <v>499.5</v>
      </c>
      <c r="FJ13" cm="1">
        <f t="array" ref="FJ13">_xll.EQNXTDZ($A$1,$B13,FJ$1)</f>
        <v>611.9</v>
      </c>
      <c r="FK13" cm="1">
        <f t="array" ref="FK13">_xll.EQNXTDZ($A$1,$B13,FK$1)</f>
        <v>576</v>
      </c>
      <c r="FL13" cm="1">
        <f t="array" ref="FL13">_xll.EQNXTDZ($A$1,$B13,FL$1)</f>
        <v>601.04999999999995</v>
      </c>
      <c r="FM13" cm="1">
        <f t="array" ref="FM13">_xll.EQNXTDZ($A$1,$B13,FM$1)</f>
        <v>522.45000000000005</v>
      </c>
      <c r="FN13" cm="1">
        <f t="array" ref="FN13">_xll.EQNXTDZ($A$1,$B13,FN$1)</f>
        <v>601.85</v>
      </c>
      <c r="FO13" cm="1">
        <f t="array" ref="FO13">_xll.EQNXTDZ($A$1,$B13,FO$1)</f>
        <v>635.15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124.6</v>
      </c>
      <c r="D14" s="116" cm="1">
        <f t="array" ref="D14">_xll.EQNXTDZ($A$1,$B14,D$1)</f>
        <v>128.94999999999999</v>
      </c>
      <c r="E14" s="116" cm="1">
        <f t="array" ref="E14">_xll.EQNXTDZ($A$1,$B14,E$1)</f>
        <v>136.85</v>
      </c>
      <c r="F14" s="116" cm="1">
        <f t="array" ref="F14">_xll.EQNXTDZ($A$1,$B14,F$1)</f>
        <v>139.94999999999999</v>
      </c>
      <c r="G14" s="116" cm="1">
        <f t="array" ref="G14">_xll.EQNXTDZ($A$1,$B14,G$1)</f>
        <v>140</v>
      </c>
      <c r="H14" s="116" cm="1">
        <f t="array" ref="H14">_xll.EQNXTDZ($A$1,$B14,H$1)</f>
        <v>142.55000000000001</v>
      </c>
      <c r="I14" s="116" cm="1">
        <f t="array" ref="I14">_xll.EQNXTDZ($A$1,$B14,I$1)</f>
        <v>146.80000000000001</v>
      </c>
      <c r="J14" s="116" cm="1">
        <f t="array" ref="J14">_xll.EQNXTDZ($A$1,$B14,J$1)</f>
        <v>142.94999999999999</v>
      </c>
      <c r="K14" s="116" cm="1">
        <f t="array" ref="K14">_xll.EQNXTDZ($A$1,$B14,K$1)</f>
        <v>129.94999999999999</v>
      </c>
      <c r="L14" s="116" cm="1">
        <f t="array" ref="L14">_xll.EQNXTDZ($A$1,$B14,L$1)</f>
        <v>123.4</v>
      </c>
      <c r="M14" s="116" cm="1">
        <f t="array" ref="M14">_xll.EQNXTDZ($A$1,$B14,M$1)</f>
        <v>123.7</v>
      </c>
      <c r="N14" s="116" cm="1">
        <f t="array" ref="N14">_xll.EQNXTDZ($A$1,$B14,N$1)</f>
        <v>125.3</v>
      </c>
      <c r="O14" s="116" cm="1">
        <f t="array" ref="O14">_xll.EQNXTDZ($A$1,$B14,O$1)</f>
        <v>118.55</v>
      </c>
      <c r="P14" s="116" cm="1">
        <f t="array" ref="P14">_xll.EQNXTDZ($A$1,$B14,P$1)</f>
        <v>108.1</v>
      </c>
      <c r="Q14" s="116" cm="1">
        <f t="array" ref="Q14">_xll.EQNXTDZ($A$1,$B14,Q$1)</f>
        <v>129</v>
      </c>
      <c r="R14" s="116" cm="1">
        <f t="array" ref="R14">_xll.EQNXTDZ($A$1,$B14,R$1)</f>
        <v>137.25</v>
      </c>
      <c r="S14" s="116" cm="1">
        <f t="array" ref="S14">_xll.EQNXTDZ($A$1,$B14,S$1)</f>
        <v>140</v>
      </c>
      <c r="T14" s="116" cm="1">
        <f t="array" ref="T14">_xll.EQNXTDZ($A$1,$B14,T$1)</f>
        <v>139.30000000000001</v>
      </c>
      <c r="U14" s="116" cm="1">
        <f t="array" ref="U14">_xll.EQNXTDZ($A$1,$B14,U$1)</f>
        <v>140.44999999999999</v>
      </c>
      <c r="V14" s="116" cm="1">
        <f t="array" ref="V14">_xll.EQNXTDZ($A$1,$B14,V$1)</f>
        <v>141.80000000000001</v>
      </c>
      <c r="W14" s="116" cm="1">
        <f t="array" ref="W14">_xll.EQNXTDZ($A$1,$B14,W$1)</f>
        <v>130</v>
      </c>
      <c r="X14" s="116" cm="1">
        <f t="array" ref="X14">_xll.EQNXTDZ($A$1,$B14,X$1)</f>
        <v>129.19999999999999</v>
      </c>
      <c r="Y14" s="116" cm="1">
        <f t="array" ref="Y14">_xll.EQNXTDZ($A$1,$B14,Y$1)</f>
        <v>135</v>
      </c>
      <c r="Z14" s="116" cm="1">
        <f t="array" ref="Z14">_xll.EQNXTDZ($A$1,$B14,Z$1)</f>
        <v>166</v>
      </c>
      <c r="AA14" s="116" cm="1">
        <f t="array" ref="AA14">_xll.EQNXTDZ($A$1,$B14,AA$1)</f>
        <v>184</v>
      </c>
      <c r="AB14" s="116" cm="1">
        <f t="array" ref="AB14">_xll.EQNXTDZ($A$1,$B14,AB$1)</f>
        <v>174.9</v>
      </c>
      <c r="AC14" s="116" cm="1">
        <f t="array" ref="AC14">_xll.EQNXTDZ($A$1,$B14,AC$1)</f>
        <v>172.5</v>
      </c>
      <c r="AD14" s="116" cm="1">
        <f t="array" ref="AD14">_xll.EQNXTDZ($A$1,$B14,AD$1)</f>
        <v>178</v>
      </c>
      <c r="AE14" s="116" cm="1">
        <f t="array" ref="AE14">_xll.EQNXTDZ($A$1,$B14,AE$1)</f>
        <v>173.3</v>
      </c>
      <c r="AF14" s="116" cm="1">
        <f t="array" ref="AF14">_xll.EQNXTDZ($A$1,$B14,AF$1)</f>
        <v>173.95</v>
      </c>
      <c r="AG14" s="116" cm="1">
        <f t="array" ref="AG14">_xll.EQNXTDZ($A$1,$B14,AG$1)</f>
        <v>178.9</v>
      </c>
      <c r="AH14" s="116" cm="1">
        <f t="array" ref="AH14">_xll.EQNXTDZ($A$1,$B14,AH$1)</f>
        <v>177.9</v>
      </c>
      <c r="AI14" s="116" cm="1">
        <f t="array" ref="AI14">_xll.EQNXTDZ($A$1,$B14,AI$1)</f>
        <v>190.4</v>
      </c>
      <c r="AJ14" s="116" cm="1">
        <f t="array" ref="AJ14">_xll.EQNXTDZ($A$1,$B14,AJ$1)</f>
        <v>182.4</v>
      </c>
      <c r="AK14" s="116" cm="1">
        <f t="array" ref="AK14">_xll.EQNXTDZ($A$1,$B14,AK$1)</f>
        <v>174.7</v>
      </c>
      <c r="AL14" s="116" cm="1">
        <f t="array" ref="AL14">_xll.EQNXTDZ($A$1,$B14,AL$1)</f>
        <v>183.6</v>
      </c>
      <c r="AM14" s="116" cm="1">
        <f t="array" ref="AM14">_xll.EQNXTDZ($A$1,$B14,AM$1)</f>
        <v>174.9</v>
      </c>
      <c r="AN14" s="116" cm="1">
        <f t="array" ref="AN14">_xll.EQNXTDZ($A$1,$B14,AN$1)</f>
        <v>170.05</v>
      </c>
      <c r="AO14" s="116" cm="1">
        <f t="array" ref="AO14">_xll.EQNXTDZ($A$1,$B14,AO$1)</f>
        <v>162.5</v>
      </c>
      <c r="AP14" s="116" cm="1">
        <f t="array" ref="AP14">_xll.EQNXTDZ($A$1,$B14,AP$1)</f>
        <v>144</v>
      </c>
      <c r="AQ14" s="116" cm="1">
        <f t="array" ref="AQ14">_xll.EQNXTDZ($A$1,$B14,AQ$1)</f>
        <v>163.55000000000001</v>
      </c>
      <c r="AR14" s="116" cm="1">
        <f t="array" ref="AR14">_xll.EQNXTDZ($A$1,$B14,AR$1)</f>
        <v>160</v>
      </c>
      <c r="AS14" s="116" cm="1">
        <f t="array" ref="AS14">_xll.EQNXTDZ($A$1,$B14,AS$1)</f>
        <v>151.4</v>
      </c>
      <c r="AT14" s="116" cm="1">
        <f t="array" ref="AT14">_xll.EQNXTDZ($A$1,$B14,AT$1)</f>
        <v>172.5</v>
      </c>
      <c r="AU14" s="116" cm="1">
        <f t="array" ref="AU14">_xll.EQNXTDZ($A$1,$B14,AU$1)</f>
        <v>171.7</v>
      </c>
      <c r="AV14" s="116" cm="1">
        <f t="array" ref="AV14">_xll.EQNXTDZ($A$1,$B14,AV$1)</f>
        <v>199.8</v>
      </c>
      <c r="AW14" s="116" cm="1">
        <f t="array" ref="AW14">_xll.EQNXTDZ($A$1,$B14,AW$1)</f>
        <v>189.65</v>
      </c>
      <c r="AX14" s="116" cm="1">
        <f t="array" ref="AX14">_xll.EQNXTDZ($A$1,$B14,AX$1)</f>
        <v>176.45</v>
      </c>
      <c r="AY14" s="116" cm="1">
        <f t="array" ref="AY14">_xll.EQNXTDZ($A$1,$B14,AY$1)</f>
        <v>181.2</v>
      </c>
      <c r="AZ14" s="116" cm="1">
        <f t="array" ref="AZ14">_xll.EQNXTDZ($A$1,$B14,AZ$1)</f>
        <v>210.8</v>
      </c>
      <c r="BA14" s="116" cm="1">
        <f t="array" ref="BA14">_xll.EQNXTDZ($A$1,$B14,BA$1)</f>
        <v>232.5</v>
      </c>
      <c r="BB14" s="116" cm="1">
        <f t="array" ref="BB14">_xll.EQNXTDZ($A$1,$B14,BB$1)</f>
        <v>235.8</v>
      </c>
      <c r="BC14" s="116" cm="1">
        <f t="array" ref="BC14">_xll.EQNXTDZ($A$1,$B14,BC$1)</f>
        <v>262.8</v>
      </c>
      <c r="BD14" s="116" cm="1">
        <f t="array" ref="BD14">_xll.EQNXTDZ($A$1,$B14,BD$1)</f>
        <v>286.95</v>
      </c>
      <c r="BE14" s="116" cm="1">
        <f t="array" ref="BE14">_xll.EQNXTDZ($A$1,$B14,BE$1)</f>
        <v>289.85000000000002</v>
      </c>
      <c r="BF14" s="116" cm="1">
        <f t="array" ref="BF14">_xll.EQNXTDZ($A$1,$B14,BF$1)</f>
        <v>307.8</v>
      </c>
      <c r="BG14" s="116" cm="1">
        <f t="array" ref="BG14">_xll.EQNXTDZ($A$1,$B14,BG$1)</f>
        <v>333.4</v>
      </c>
      <c r="BH14" s="116" cm="1">
        <f t="array" ref="BH14">_xll.EQNXTDZ($A$1,$B14,BH$1)</f>
        <v>328</v>
      </c>
      <c r="BI14" s="116" cm="1">
        <f t="array" ref="BI14">_xll.EQNXTDZ($A$1,$B14,BI$1)</f>
        <v>294.2</v>
      </c>
      <c r="BJ14" s="116" cm="1">
        <f t="array" ref="BJ14">_xll.EQNXTDZ($A$1,$B14,BJ$1)</f>
        <v>271.7</v>
      </c>
      <c r="BK14" s="116" cm="1">
        <f t="array" ref="BK14">_xll.EQNXTDZ($A$1,$B14,BK$1)</f>
        <v>265.89999999999998</v>
      </c>
      <c r="BL14" s="116" cm="1">
        <f t="array" ref="BL14">_xll.EQNXTDZ($A$1,$B14,BL$1)</f>
        <v>286.7</v>
      </c>
      <c r="BM14" s="116" cm="1">
        <f t="array" ref="BM14">_xll.EQNXTDZ($A$1,$B14,BM$1)</f>
        <v>300.35000000000002</v>
      </c>
      <c r="BN14" s="116" cm="1">
        <f t="array" ref="BN14">_xll.EQNXTDZ($A$1,$B14,BN$1)</f>
        <v>313.60000000000002</v>
      </c>
      <c r="BO14" s="116" cm="1">
        <f t="array" ref="BO14">_xll.EQNXTDZ($A$1,$B14,BO$1)</f>
        <v>330.6</v>
      </c>
      <c r="BP14" s="116" cm="1">
        <f t="array" ref="BP14">_xll.EQNXTDZ($A$1,$B14,BP$1)</f>
        <v>328</v>
      </c>
      <c r="BQ14" s="116" cm="1">
        <f t="array" ref="BQ14">_xll.EQNXTDZ($A$1,$B14,BQ$1)</f>
        <v>314</v>
      </c>
      <c r="BR14" s="116" cm="1">
        <f t="array" ref="BR14">_xll.EQNXTDZ($A$1,$B14,BR$1)</f>
        <v>329.4</v>
      </c>
      <c r="BS14" s="116" cm="1">
        <f t="array" ref="BS14">_xll.EQNXTDZ($A$1,$B14,BS$1)</f>
        <v>339.55</v>
      </c>
      <c r="BT14" s="116" cm="1">
        <f t="array" ref="BT14">_xll.EQNXTDZ($A$1,$B14,BT$1)</f>
        <v>330.2</v>
      </c>
      <c r="BU14" s="116" cm="1">
        <f t="array" ref="BU14">_xll.EQNXTDZ($A$1,$B14,BU$1)</f>
        <v>336.35</v>
      </c>
      <c r="BV14" s="116" cm="1">
        <f t="array" ref="BV14">_xll.EQNXTDZ($A$1,$B14,BV$1)</f>
        <v>321.14999999999998</v>
      </c>
      <c r="BW14" s="116" cm="1">
        <f t="array" ref="BW14">_xll.EQNXTDZ($A$1,$B14,BW$1)</f>
        <v>308</v>
      </c>
      <c r="BX14" s="116" cm="1">
        <f t="array" ref="BX14">_xll.EQNXTDZ($A$1,$B14,BX$1)</f>
        <v>283.8</v>
      </c>
      <c r="BY14" s="116" cm="1">
        <f t="array" ref="BY14">_xll.EQNXTDZ($A$1,$B14,BY$1)</f>
        <v>306</v>
      </c>
      <c r="BZ14" s="116" cm="1">
        <f t="array" ref="BZ14">_xll.EQNXTDZ($A$1,$B14,BZ$1)</f>
        <v>308.89999999999998</v>
      </c>
      <c r="CA14" s="116" cm="1">
        <f t="array" ref="CA14">_xll.EQNXTDZ($A$1,$B14,CA$1)</f>
        <v>299</v>
      </c>
      <c r="CB14" s="116" cm="1">
        <f t="array" ref="CB14">_xll.EQNXTDZ($A$1,$B14,CB$1)</f>
        <v>273.2</v>
      </c>
      <c r="CC14" s="116" cm="1">
        <f t="array" ref="CC14">_xll.EQNXTDZ($A$1,$B14,CC$1)</f>
        <v>283</v>
      </c>
      <c r="CD14" s="116" cm="1">
        <f t="array" ref="CD14">_xll.EQNXTDZ($A$1,$B14,CD$1)</f>
        <v>281</v>
      </c>
      <c r="CE14" s="116" cm="1">
        <f t="array" ref="CE14">_xll.EQNXTDZ($A$1,$B14,CE$1)</f>
        <v>271.5</v>
      </c>
      <c r="CF14" s="116" cm="1">
        <f t="array" ref="CF14">_xll.EQNXTDZ($A$1,$B14,CF$1)</f>
        <v>281.45</v>
      </c>
      <c r="CG14" s="116" cm="1">
        <f t="array" ref="CG14">_xll.EQNXTDZ($A$1,$B14,CG$1)</f>
        <v>291.8</v>
      </c>
      <c r="CH14" s="116" cm="1">
        <f t="array" ref="CH14">_xll.EQNXTDZ($A$1,$B14,CH$1)</f>
        <v>277.8</v>
      </c>
      <c r="CI14" s="116" cm="1">
        <f t="array" ref="CI14">_xll.EQNXTDZ($A$1,$B14,CI$1)</f>
        <v>251.8</v>
      </c>
      <c r="CJ14" s="116" cm="1">
        <f t="array" ref="CJ14">_xll.EQNXTDZ($A$1,$B14,CJ$1)</f>
        <v>248.45</v>
      </c>
      <c r="CK14" s="116" cm="1">
        <f t="array" ref="CK14">_xll.EQNXTDZ($A$1,$B14,CK$1)</f>
        <v>222.15</v>
      </c>
      <c r="CL14" s="116" cm="1">
        <f t="array" ref="CL14">_xll.EQNXTDZ($A$1,$B14,CL$1)</f>
        <v>224.1</v>
      </c>
      <c r="CM14" s="116" cm="1">
        <f t="array" ref="CM14">_xll.EQNXTDZ($A$1,$B14,CM$1)</f>
        <v>225</v>
      </c>
      <c r="CN14" s="116" cm="1">
        <f t="array" ref="CN14">_xll.EQNXTDZ($A$1,$B14,CN$1)</f>
        <v>220.85</v>
      </c>
      <c r="CO14" s="116" cm="1">
        <f t="array" ref="CO14">_xll.EQNXTDZ($A$1,$B14,CO$1)</f>
        <v>217.8</v>
      </c>
      <c r="CP14" s="116" cm="1">
        <f t="array" ref="CP14">_xll.EQNXTDZ($A$1,$B14,CP$1)</f>
        <v>224.6</v>
      </c>
      <c r="CQ14" s="116" cm="1">
        <f t="array" ref="CQ14">_xll.EQNXTDZ($A$1,$B14,CQ$1)</f>
        <v>198.4</v>
      </c>
      <c r="CR14" s="116" cm="1">
        <f t="array" ref="CR14">_xll.EQNXTDZ($A$1,$B14,CR$1)</f>
        <v>177</v>
      </c>
      <c r="CS14" s="116" cm="1">
        <f t="array" ref="CS14">_xll.EQNXTDZ($A$1,$B14,CS$1)</f>
        <v>181.45</v>
      </c>
      <c r="CT14" s="116" cm="1">
        <f t="array" ref="CT14">_xll.EQNXTDZ($A$1,$B14,CT$1)</f>
        <v>200.6</v>
      </c>
      <c r="CU14" s="116" cm="1">
        <f t="array" ref="CU14">_xll.EQNXTDZ($A$1,$B14,CU$1)</f>
        <v>204.75</v>
      </c>
      <c r="CV14" s="116" cm="1">
        <f t="array" ref="CV14">_xll.EQNXTDZ($A$1,$B14,CV$1)</f>
        <v>216</v>
      </c>
      <c r="CW14" s="116" cm="1">
        <f t="array" ref="CW14">_xll.EQNXTDZ($A$1,$B14,CW$1)</f>
        <v>258.8</v>
      </c>
      <c r="CX14" s="116" cm="1">
        <f t="array" ref="CX14">_xll.EQNXTDZ($A$1,$B14,CX$1)</f>
        <v>238.95</v>
      </c>
      <c r="CY14" s="116" cm="1">
        <f t="array" ref="CY14">_xll.EQNXTDZ($A$1,$B14,CY$1)</f>
        <v>243.45</v>
      </c>
      <c r="CZ14" s="116" cm="1">
        <f t="array" ref="CZ14">_xll.EQNXTDZ($A$1,$B14,CZ$1)</f>
        <v>235.55</v>
      </c>
      <c r="DA14" s="116" cm="1">
        <f t="array" ref="DA14">_xll.EQNXTDZ($A$1,$B14,DA$1)</f>
        <v>249.25</v>
      </c>
      <c r="DB14" s="116" cm="1">
        <f t="array" ref="DB14">_xll.EQNXTDZ($A$1,$B14,DB$1)</f>
        <v>328</v>
      </c>
      <c r="DC14" s="116" cm="1">
        <f t="array" ref="DC14">_xll.EQNXTDZ($A$1,$B14,DC$1)</f>
        <v>312</v>
      </c>
      <c r="DD14" s="116" cm="1">
        <f t="array" ref="DD14">_xll.EQNXTDZ($A$1,$B14,DD$1)</f>
        <v>334.25</v>
      </c>
      <c r="DE14" s="116" cm="1">
        <f t="array" ref="DE14">_xll.EQNXTDZ($A$1,$B14,DE$1)</f>
        <v>323.45</v>
      </c>
      <c r="DF14" s="116" cm="1">
        <f t="array" ref="DF14">_xll.EQNXTDZ($A$1,$B14,DF$1)</f>
        <v>362.4</v>
      </c>
      <c r="DG14" s="116" cm="1">
        <f t="array" ref="DG14">_xll.EQNXTDZ($A$1,$B14,DG$1)</f>
        <v>351.5</v>
      </c>
      <c r="DH14" s="116" cm="1">
        <f t="array" ref="DH14">_xll.EQNXTDZ($A$1,$B14,DH$1)</f>
        <v>350.8</v>
      </c>
      <c r="DI14" s="116" cm="1">
        <f t="array" ref="DI14">_xll.EQNXTDZ($A$1,$B14,DI$1)</f>
        <v>332.6</v>
      </c>
      <c r="DJ14" s="116" cm="1">
        <f t="array" ref="DJ14">_xll.EQNXTDZ($A$1,$B14,DJ$1)</f>
        <v>338.65</v>
      </c>
      <c r="DK14" s="116" cm="1">
        <f t="array" ref="DK14">_xll.EQNXTDZ($A$1,$B14,DK$1)</f>
        <v>407.9</v>
      </c>
      <c r="DL14" s="116" cm="1">
        <f t="array" ref="DL14">_xll.EQNXTDZ($A$1,$B14,DL$1)</f>
        <v>344.9</v>
      </c>
      <c r="DM14" s="116" cm="1">
        <f t="array" ref="DM14">_xll.EQNXTDZ($A$1,$B14,DM$1)</f>
        <v>370</v>
      </c>
      <c r="DN14" s="116" cm="1">
        <f t="array" ref="DN14">_xll.EQNXTDZ($A$1,$B14,DN$1)</f>
        <v>335.8</v>
      </c>
      <c r="DO14" s="116" cm="1">
        <f t="array" ref="DO14">_xll.EQNXTDZ($A$1,$B14,DO$1)</f>
        <v>338</v>
      </c>
      <c r="DP14" s="116" cm="1">
        <f t="array" ref="DP14">_xll.EQNXTDZ($A$1,$B14,DP$1)</f>
        <v>372.15</v>
      </c>
      <c r="DQ14" s="116" cm="1">
        <f t="array" ref="DQ14">_xll.EQNXTDZ($A$1,$B14,DQ$1)</f>
        <v>356.7</v>
      </c>
      <c r="DR14" s="116" cm="1">
        <f t="array" ref="DR14">_xll.EQNXTDZ($A$1,$B14,DR$1)</f>
        <v>326.05</v>
      </c>
      <c r="DS14" s="116" cm="1">
        <f t="array" ref="DS14">_xll.EQNXTDZ($A$1,$B14,DS$1)</f>
        <v>311.5</v>
      </c>
      <c r="DT14" s="116" cm="1">
        <f t="array" ref="DT14">_xll.EQNXTDZ($A$1,$B14,DT$1)</f>
        <v>299.5</v>
      </c>
      <c r="DU14" s="116" cm="1">
        <f t="array" ref="DU14">_xll.EQNXTDZ($A$1,$B14,DU$1)</f>
        <v>301.5</v>
      </c>
      <c r="DV14" s="116" cm="1">
        <f t="array" ref="DV14">_xll.EQNXTDZ($A$1,$B14,DV$1)</f>
        <v>295</v>
      </c>
      <c r="DW14" s="116" cm="1">
        <f t="array" ref="DW14">_xll.EQNXTDZ($A$1,$B14,DW$1)</f>
        <v>292</v>
      </c>
      <c r="DX14" s="116" cm="1">
        <f t="array" ref="DX14">_xll.EQNXTDZ($A$1,$B14,DX$1)</f>
        <v>326.8</v>
      </c>
      <c r="DY14" s="116" cm="1">
        <f t="array" ref="DY14">_xll.EQNXTDZ($A$1,$B14,DY$1)</f>
        <v>333</v>
      </c>
      <c r="DZ14" s="116" cm="1">
        <f t="array" ref="DZ14">_xll.EQNXTDZ($A$1,$B14,DZ$1)</f>
        <v>383</v>
      </c>
      <c r="EA14" s="116" cm="1">
        <f t="array" ref="EA14">_xll.EQNXTDZ($A$1,$B14,EA$1)</f>
        <v>349.45</v>
      </c>
      <c r="EB14" s="116" cm="1">
        <f t="array" ref="EB14">_xll.EQNXTDZ($A$1,$B14,EB$1)</f>
        <v>331.9</v>
      </c>
      <c r="EC14" s="116" cm="1">
        <f t="array" ref="EC14">_xll.EQNXTDZ($A$1,$B14,EC$1)</f>
        <v>328.45</v>
      </c>
      <c r="ED14" s="116" cm="1">
        <f t="array" ref="ED14">_xll.EQNXTDZ($A$1,$B14,ED$1)</f>
        <v>317.95</v>
      </c>
      <c r="EE14" s="116" cm="1">
        <f t="array" ref="EE14">_xll.EQNXTDZ($A$1,$B14,EE$1)</f>
        <v>312.8</v>
      </c>
      <c r="EF14" s="116" cm="1">
        <f t="array" ref="EF14">_xll.EQNXTDZ($A$1,$B14,EF$1)</f>
        <v>344</v>
      </c>
      <c r="EG14" s="116" cm="1">
        <f t="array" ref="EG14">_xll.EQNXTDZ($A$1,$B14,EG$1)</f>
        <v>324.7</v>
      </c>
      <c r="EH14" s="116" cm="1">
        <f t="array" ref="EH14">_xll.EQNXTDZ($A$1,$B14,EH$1)</f>
        <v>326</v>
      </c>
      <c r="EI14" s="116" cm="1">
        <f t="array" ref="EI14">_xll.EQNXTDZ($A$1,$B14,EI$1)</f>
        <v>324.5</v>
      </c>
      <c r="EJ14" s="116" cm="1">
        <f t="array" ref="EJ14">_xll.EQNXTDZ($A$1,$B14,EJ$1)</f>
        <v>309.95</v>
      </c>
      <c r="EK14" s="116" cm="1">
        <f t="array" ref="EK14">_xll.EQNXTDZ($A$1,$B14,EK$1)</f>
        <v>331.8</v>
      </c>
      <c r="EL14" s="116" cm="1">
        <f t="array" ref="EL14">_xll.EQNXTDZ($A$1,$B14,EL$1)</f>
        <v>325.10000000000002</v>
      </c>
      <c r="EM14" s="116" cm="1">
        <f t="array" ref="EM14">_xll.EQNXTDZ($A$1,$B14,EM$1)</f>
        <v>321.10000000000002</v>
      </c>
      <c r="EN14" s="116" cm="1">
        <f t="array" ref="EN14">_xll.EQNXTDZ($A$1,$B14,EN$1)</f>
        <v>314.95</v>
      </c>
      <c r="EO14" s="116" cm="1">
        <f t="array" ref="EO14">_xll.EQNXTDZ($A$1,$B14,EO$1)</f>
        <v>442.4</v>
      </c>
      <c r="EP14" s="116" cm="1">
        <f t="array" ref="EP14">_xll.EQNXTDZ($A$1,$B14,EP$1)</f>
        <v>807</v>
      </c>
      <c r="EQ14" s="116" cm="1">
        <f t="array" ref="EQ14">_xll.EQNXTDZ($A$1,$B14,EQ$1)</f>
        <v>735.35</v>
      </c>
      <c r="ER14" s="116" cm="1">
        <f t="array" ref="ER14">_xll.EQNXTDZ($A$1,$B14,ER$1)</f>
        <v>717.1</v>
      </c>
      <c r="ES14" s="116" cm="1">
        <f t="array" ref="ES14">_xll.EQNXTDZ($A$1,$B14,ES$1)</f>
        <v>664.35</v>
      </c>
      <c r="ET14" s="116" cm="1">
        <f t="array" ref="ET14">_xll.EQNXTDZ($A$1,$B14,ET$1)</f>
        <v>531.25</v>
      </c>
      <c r="EU14" s="116" cm="1">
        <f t="array" ref="EU14">_xll.EQNXTDZ($A$1,$B14,EU$1)</f>
        <v>575</v>
      </c>
      <c r="EV14" s="116" cm="1">
        <f t="array" ref="EV14">_xll.EQNXTDZ($A$1,$B14,EV$1)</f>
        <v>565</v>
      </c>
      <c r="EW14" s="116" cm="1">
        <f t="array" ref="EW14">_xll.EQNXTDZ($A$1,$B14,EW$1)</f>
        <v>516</v>
      </c>
      <c r="EX14" s="116" cm="1">
        <f t="array" ref="EX14">_xll.EQNXTDZ($A$1,$B14,EX$1)</f>
        <v>480.3</v>
      </c>
      <c r="EY14" s="116" cm="1">
        <f t="array" ref="EY14">_xll.EQNXTDZ($A$1,$B14,EY$1)</f>
        <v>469.35</v>
      </c>
      <c r="EZ14" s="116" cm="1">
        <f t="array" ref="EZ14">_xll.EQNXTDZ($A$1,$B14,EZ$1)</f>
        <v>477.65</v>
      </c>
      <c r="FA14" s="116" cm="1">
        <f t="array" ref="FA14">_xll.EQNXTDZ($A$1,$B14,FA$1)</f>
        <v>468.25</v>
      </c>
      <c r="FB14" s="116" cm="1">
        <f t="array" ref="FB14">_xll.EQNXTDZ($A$1,$B14,FB$1)</f>
        <v>469.8</v>
      </c>
      <c r="FC14" s="116" cm="1">
        <f t="array" ref="FC14">_xll.EQNXTDZ($A$1,$B14,FC$1)</f>
        <v>546.95000000000005</v>
      </c>
      <c r="FD14" s="116" cm="1">
        <f t="array" ref="FD14">_xll.EQNXTDZ($A$1,$B14,FD$1)</f>
        <v>453.8</v>
      </c>
      <c r="FE14" s="116" cm="1">
        <f t="array" ref="FE14">_xll.EQNXTDZ($A$1,$B14,FE$1)</f>
        <v>436.8</v>
      </c>
      <c r="FF14" s="116" cm="1">
        <f t="array" ref="FF14">_xll.EQNXTDZ($A$1,$B14,FF$1)</f>
        <v>483.7</v>
      </c>
      <c r="FG14" s="116" cm="1">
        <f t="array" ref="FG14">_xll.EQNXTDZ($A$1,$B14,FG$1)</f>
        <v>525.70000000000005</v>
      </c>
      <c r="FH14" s="116" cm="1">
        <f t="array" ref="FH14">_xll.EQNXTDZ($A$1,$B14,FH$1)</f>
        <v>503.85</v>
      </c>
      <c r="FI14" s="116" cm="1">
        <f t="array" ref="FI14">_xll.EQNXTDZ($A$1,$B14,FI$1)</f>
        <v>656.25</v>
      </c>
      <c r="FJ14" s="116" cm="1">
        <f t="array" ref="FJ14">_xll.EQNXTDZ($A$1,$B14,FJ$1)</f>
        <v>732.6</v>
      </c>
      <c r="FK14" s="116" cm="1">
        <f t="array" ref="FK14">_xll.EQNXTDZ($A$1,$B14,FK$1)</f>
        <v>643.85</v>
      </c>
      <c r="FL14" s="116" cm="1">
        <f t="array" ref="FL14">_xll.EQNXTDZ($A$1,$B14,FL$1)</f>
        <v>624.9</v>
      </c>
      <c r="FM14" s="116" cm="1">
        <f t="array" ref="FM14">_xll.EQNXTDZ($A$1,$B14,FM$1)</f>
        <v>634.5</v>
      </c>
      <c r="FN14" s="116" cm="1">
        <f t="array" ref="FN14">_xll.EQNXTDZ($A$1,$B14,FN$1)</f>
        <v>678.3</v>
      </c>
      <c r="FO14" s="116" cm="1">
        <f t="array" ref="FO14">_xll.EQNXTDZ($A$1,$B14,FO$1)</f>
        <v>639.5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139.94999999999999</v>
      </c>
      <c r="HQ14" s="116">
        <f>+MAX(G14:I14)</f>
        <v>146.80000000000001</v>
      </c>
      <c r="HR14" s="116">
        <f>+MAX(J14:L14)</f>
        <v>142.94999999999999</v>
      </c>
      <c r="HS14" s="116">
        <f>+MAX(M14:O14)</f>
        <v>125.3</v>
      </c>
      <c r="HT14" s="116">
        <f>+MAX(P14:R14)</f>
        <v>137.25</v>
      </c>
      <c r="HU14" s="116">
        <f>+MAX(S14:U14)</f>
        <v>140.44999999999999</v>
      </c>
      <c r="HV14" s="116">
        <f>+MAX(V14:X14)</f>
        <v>141.80000000000001</v>
      </c>
      <c r="HW14" s="116">
        <f>+MAX(Y14:AA14)</f>
        <v>184</v>
      </c>
      <c r="HX14" s="116">
        <f>+MAX(AB14:AD14)</f>
        <v>178</v>
      </c>
      <c r="HY14" s="116">
        <f>+MAX(AE14:AG14)</f>
        <v>178.9</v>
      </c>
      <c r="HZ14" s="116">
        <f>+MAX(AH14:AJ14)</f>
        <v>190.4</v>
      </c>
      <c r="IA14" s="116">
        <f>+MAX(AK14:AM14)</f>
        <v>183.6</v>
      </c>
      <c r="IB14" s="116">
        <f>+MAX(AN14:AP14)</f>
        <v>170.05</v>
      </c>
      <c r="IC14" s="116">
        <f>+MAX(AQ14:AS14)</f>
        <v>163.55000000000001</v>
      </c>
      <c r="ID14" s="116">
        <f>+MAX(AT14:AV14)</f>
        <v>199.8</v>
      </c>
      <c r="IE14" s="116">
        <f>+MAX(AW14:AY14)</f>
        <v>189.65</v>
      </c>
      <c r="IF14" s="116">
        <f>+MAX(AZ14:BB14)</f>
        <v>235.8</v>
      </c>
      <c r="IG14" s="116">
        <f>+MAX(BC14:BE14)</f>
        <v>289.85000000000002</v>
      </c>
      <c r="IH14" s="116">
        <f>+MAX(BF14:BH14)</f>
        <v>333.4</v>
      </c>
      <c r="II14" s="116">
        <f>+MAX(BI14:BK14)</f>
        <v>294.2</v>
      </c>
      <c r="IJ14" s="116">
        <f>+MAX(BL14:BN14)</f>
        <v>313.60000000000002</v>
      </c>
      <c r="IK14" s="116">
        <f>+MAX(BO14:BQ14)</f>
        <v>330.6</v>
      </c>
      <c r="IL14" s="116">
        <f>+MAX(BR14:BT14)</f>
        <v>339.55</v>
      </c>
      <c r="IM14" s="116">
        <f>+MAX(BU14:BW14)</f>
        <v>336.35</v>
      </c>
      <c r="IN14" s="116">
        <f>+MAX(BX14:BZ14)</f>
        <v>308.89999999999998</v>
      </c>
      <c r="IO14" s="116">
        <f>+MAX(CA14:CC14)</f>
        <v>299</v>
      </c>
      <c r="IP14" s="116">
        <f>+MAX(CD14:CF14)</f>
        <v>281.45</v>
      </c>
      <c r="IQ14" s="116">
        <f>+MAX(CG14:CI14)</f>
        <v>291.8</v>
      </c>
      <c r="IR14" s="116">
        <f>+MAX(CJ14:CL14)</f>
        <v>248.45</v>
      </c>
      <c r="IS14" s="116">
        <f>+MAX(CM14:CO14)</f>
        <v>225</v>
      </c>
      <c r="IT14" s="116">
        <f>+MAX(CP14:CR14)</f>
        <v>224.6</v>
      </c>
      <c r="IU14" s="116">
        <f>+MAX(CS14:CU14)</f>
        <v>204.75</v>
      </c>
      <c r="IV14" s="116">
        <f>+MAX(CV14:CX14)</f>
        <v>258.8</v>
      </c>
      <c r="IW14" s="116">
        <f>+MAX(CY14:DA14)</f>
        <v>249.25</v>
      </c>
      <c r="IX14" s="116">
        <f>+MAX(DB14:DD14)</f>
        <v>334.25</v>
      </c>
      <c r="IY14" s="116">
        <f>+MAX(DE14:DG14)</f>
        <v>362.4</v>
      </c>
      <c r="IZ14" s="116">
        <f>+MAX(DH14:DJ14)</f>
        <v>350.8</v>
      </c>
      <c r="JA14" s="116">
        <f>+MAX(DK14:DM14)</f>
        <v>407.9</v>
      </c>
      <c r="JB14" s="116">
        <f>+MAX(DN14:DP14)</f>
        <v>372.15</v>
      </c>
      <c r="JC14" s="116">
        <f>+MAX(DQ14:DS14)</f>
        <v>356.7</v>
      </c>
      <c r="JD14" s="116">
        <f>+MAX(DT14:DV14)</f>
        <v>301.5</v>
      </c>
      <c r="JE14" s="116">
        <f>+MAX(DW14:DY14)</f>
        <v>333</v>
      </c>
      <c r="JF14" s="116">
        <f>+MAX(DZ14:EB14)</f>
        <v>383</v>
      </c>
      <c r="JG14" s="116">
        <f>+MAX(EC14:EE14)</f>
        <v>328.45</v>
      </c>
      <c r="JH14" s="116">
        <f>+MAX(EF14:EH14)</f>
        <v>344</v>
      </c>
      <c r="JI14" s="116">
        <f>+MAX(EI14:EK14)</f>
        <v>331.8</v>
      </c>
      <c r="JJ14" s="116">
        <f>+MAX(EL14:EN14)</f>
        <v>325.10000000000002</v>
      </c>
      <c r="JK14" s="116">
        <f>MAX(EO14:EQ14)</f>
        <v>807</v>
      </c>
      <c r="JL14" s="116">
        <f>MAX(ER14:ET14)</f>
        <v>717.1</v>
      </c>
      <c r="JM14" s="116">
        <f>MAX(EU14:EW14)</f>
        <v>575</v>
      </c>
      <c r="JN14" s="116">
        <f>MAX(EX14:EZ14)</f>
        <v>480.3</v>
      </c>
      <c r="JO14" s="116">
        <f>MAX(FA14:FC14)</f>
        <v>546.95000000000005</v>
      </c>
      <c r="JP14" s="116">
        <f>MAX(FD14:FF14)</f>
        <v>483.7</v>
      </c>
      <c r="JQ14" s="116">
        <f>MAX(FG14:FI14)</f>
        <v>656.25</v>
      </c>
      <c r="JR14" s="116">
        <f>MAX(FJ14:FL14)</f>
        <v>732.6</v>
      </c>
      <c r="JS14" s="116">
        <f>MAX(FM14:FO14)</f>
        <v>678.3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114.05</v>
      </c>
      <c r="D15" s="116" cm="1">
        <f t="array" ref="D15">_xll.EQNXTDZ($A$1,$B15,D$1)</f>
        <v>113.55</v>
      </c>
      <c r="E15" s="116" cm="1">
        <f t="array" ref="E15">_xll.EQNXTDZ($A$1,$B15,E$1)</f>
        <v>117.25</v>
      </c>
      <c r="F15" s="116" cm="1">
        <f t="array" ref="F15">_xll.EQNXTDZ($A$1,$B15,F$1)</f>
        <v>122.4</v>
      </c>
      <c r="G15" s="116" cm="1">
        <f t="array" ref="G15">_xll.EQNXTDZ($A$1,$B15,G$1)</f>
        <v>128.55000000000001</v>
      </c>
      <c r="H15" s="116" cm="1">
        <f t="array" ref="H15">_xll.EQNXTDZ($A$1,$B15,H$1)</f>
        <v>130.9</v>
      </c>
      <c r="I15" s="116" cm="1">
        <f t="array" ref="I15">_xll.EQNXTDZ($A$1,$B15,I$1)</f>
        <v>134.75</v>
      </c>
      <c r="J15" s="116" cm="1">
        <f t="array" ref="J15">_xll.EQNXTDZ($A$1,$B15,J$1)</f>
        <v>124.5</v>
      </c>
      <c r="K15" s="116" cm="1">
        <f t="array" ref="K15">_xll.EQNXTDZ($A$1,$B15,K$1)</f>
        <v>113.5</v>
      </c>
      <c r="L15" s="116" cm="1">
        <f t="array" ref="L15">_xll.EQNXTDZ($A$1,$B15,L$1)</f>
        <v>110.55</v>
      </c>
      <c r="M15" s="116" cm="1">
        <f t="array" ref="M15">_xll.EQNXTDZ($A$1,$B15,M$1)</f>
        <v>106.9</v>
      </c>
      <c r="N15" s="116" cm="1">
        <f t="array" ref="N15">_xll.EQNXTDZ($A$1,$B15,N$1)</f>
        <v>113.1</v>
      </c>
      <c r="O15" s="116" cm="1">
        <f t="array" ref="O15">_xll.EQNXTDZ($A$1,$B15,O$1)</f>
        <v>96.2</v>
      </c>
      <c r="P15" s="116" cm="1">
        <f t="array" ref="P15">_xll.EQNXTDZ($A$1,$B15,P$1)</f>
        <v>96.2</v>
      </c>
      <c r="Q15" s="116" cm="1">
        <f t="array" ref="Q15">_xll.EQNXTDZ($A$1,$B15,Q$1)</f>
        <v>94</v>
      </c>
      <c r="R15" s="116" cm="1">
        <f t="array" ref="R15">_xll.EQNXTDZ($A$1,$B15,R$1)</f>
        <v>116</v>
      </c>
      <c r="S15" s="116" cm="1">
        <f t="array" ref="S15">_xll.EQNXTDZ($A$1,$B15,S$1)</f>
        <v>127.15</v>
      </c>
      <c r="T15" s="116" cm="1">
        <f t="array" ref="T15">_xll.EQNXTDZ($A$1,$B15,T$1)</f>
        <v>121.6</v>
      </c>
      <c r="U15" s="116" cm="1">
        <f t="array" ref="U15">_xll.EQNXTDZ($A$1,$B15,U$1)</f>
        <v>123.65</v>
      </c>
      <c r="V15" s="116" cm="1">
        <f t="array" ref="V15">_xll.EQNXTDZ($A$1,$B15,V$1)</f>
        <v>124.5</v>
      </c>
      <c r="W15" s="116" cm="1">
        <f t="array" ref="W15">_xll.EQNXTDZ($A$1,$B15,W$1)</f>
        <v>114.8</v>
      </c>
      <c r="X15" s="116" cm="1">
        <f t="array" ref="X15">_xll.EQNXTDZ($A$1,$B15,X$1)</f>
        <v>115.1</v>
      </c>
      <c r="Y15" s="116" cm="1">
        <f t="array" ref="Y15">_xll.EQNXTDZ($A$1,$B15,Y$1)</f>
        <v>126.35</v>
      </c>
      <c r="Z15" s="116" cm="1">
        <f t="array" ref="Z15">_xll.EQNXTDZ($A$1,$B15,Z$1)</f>
        <v>121.1</v>
      </c>
      <c r="AA15" s="116" cm="1">
        <f t="array" ref="AA15">_xll.EQNXTDZ($A$1,$B15,AA$1)</f>
        <v>155.55000000000001</v>
      </c>
      <c r="AB15" s="116" cm="1">
        <f t="array" ref="AB15">_xll.EQNXTDZ($A$1,$B15,AB$1)</f>
        <v>152</v>
      </c>
      <c r="AC15" s="116" cm="1">
        <f t="array" ref="AC15">_xll.EQNXTDZ($A$1,$B15,AC$1)</f>
        <v>156.5</v>
      </c>
      <c r="AD15" s="116" cm="1">
        <f t="array" ref="AD15">_xll.EQNXTDZ($A$1,$B15,AD$1)</f>
        <v>155.35</v>
      </c>
      <c r="AE15" s="116" cm="1">
        <f t="array" ref="AE15">_xll.EQNXTDZ($A$1,$B15,AE$1)</f>
        <v>153.05000000000001</v>
      </c>
      <c r="AF15" s="116" cm="1">
        <f t="array" ref="AF15">_xll.EQNXTDZ($A$1,$B15,AF$1)</f>
        <v>160.5</v>
      </c>
      <c r="AG15" s="116" cm="1">
        <f t="array" ref="AG15">_xll.EQNXTDZ($A$1,$B15,AG$1)</f>
        <v>153.25</v>
      </c>
      <c r="AH15" s="116" cm="1">
        <f t="array" ref="AH15">_xll.EQNXTDZ($A$1,$B15,AH$1)</f>
        <v>152.5</v>
      </c>
      <c r="AI15" s="116" cm="1">
        <f t="array" ref="AI15">_xll.EQNXTDZ($A$1,$B15,AI$1)</f>
        <v>167.3</v>
      </c>
      <c r="AJ15" s="116" cm="1">
        <f t="array" ref="AJ15">_xll.EQNXTDZ($A$1,$B15,AJ$1)</f>
        <v>157</v>
      </c>
      <c r="AK15" s="116" cm="1">
        <f t="array" ref="AK15">_xll.EQNXTDZ($A$1,$B15,AK$1)</f>
        <v>160.19999999999999</v>
      </c>
      <c r="AL15" s="116" cm="1">
        <f t="array" ref="AL15">_xll.EQNXTDZ($A$1,$B15,AL$1)</f>
        <v>166.8</v>
      </c>
      <c r="AM15" s="116" cm="1">
        <f t="array" ref="AM15">_xll.EQNXTDZ($A$1,$B15,AM$1)</f>
        <v>162.75</v>
      </c>
      <c r="AN15" s="116" cm="1">
        <f t="array" ref="AN15">_xll.EQNXTDZ($A$1,$B15,AN$1)</f>
        <v>153.35</v>
      </c>
      <c r="AO15" s="116" cm="1">
        <f t="array" ref="AO15">_xll.EQNXTDZ($A$1,$B15,AO$1)</f>
        <v>117.2</v>
      </c>
      <c r="AP15" s="116" cm="1">
        <f t="array" ref="AP15">_xll.EQNXTDZ($A$1,$B15,AP$1)</f>
        <v>124.4</v>
      </c>
      <c r="AQ15" s="116" cm="1">
        <f t="array" ref="AQ15">_xll.EQNXTDZ($A$1,$B15,AQ$1)</f>
        <v>136.30000000000001</v>
      </c>
      <c r="AR15" s="116" cm="1">
        <f t="array" ref="AR15">_xll.EQNXTDZ($A$1,$B15,AR$1)</f>
        <v>139.4</v>
      </c>
      <c r="AS15" s="116" cm="1">
        <f t="array" ref="AS15">_xll.EQNXTDZ($A$1,$B15,AS$1)</f>
        <v>138.55000000000001</v>
      </c>
      <c r="AT15" s="116" cm="1">
        <f t="array" ref="AT15">_xll.EQNXTDZ($A$1,$B15,AT$1)</f>
        <v>135.80000000000001</v>
      </c>
      <c r="AU15" s="116" cm="1">
        <f t="array" ref="AU15">_xll.EQNXTDZ($A$1,$B15,AU$1)</f>
        <v>153</v>
      </c>
      <c r="AV15" s="116" cm="1">
        <f t="array" ref="AV15">_xll.EQNXTDZ($A$1,$B15,AV$1)</f>
        <v>160.9</v>
      </c>
      <c r="AW15" s="116" cm="1">
        <f t="array" ref="AW15">_xll.EQNXTDZ($A$1,$B15,AW$1)</f>
        <v>158.19999999999999</v>
      </c>
      <c r="AX15" s="116" cm="1">
        <f t="array" ref="AX15">_xll.EQNXTDZ($A$1,$B15,AX$1)</f>
        <v>161</v>
      </c>
      <c r="AY15" s="116" cm="1">
        <f t="array" ref="AY15">_xll.EQNXTDZ($A$1,$B15,AY$1)</f>
        <v>165.9</v>
      </c>
      <c r="AZ15" s="116" cm="1">
        <f t="array" ref="AZ15">_xll.EQNXTDZ($A$1,$B15,AZ$1)</f>
        <v>176</v>
      </c>
      <c r="BA15" s="116" cm="1">
        <f t="array" ref="BA15">_xll.EQNXTDZ($A$1,$B15,BA$1)</f>
        <v>203.8</v>
      </c>
      <c r="BB15" s="116" cm="1">
        <f t="array" ref="BB15">_xll.EQNXTDZ($A$1,$B15,BB$1)</f>
        <v>210.3</v>
      </c>
      <c r="BC15" s="116" cm="1">
        <f t="array" ref="BC15">_xll.EQNXTDZ($A$1,$B15,BC$1)</f>
        <v>231</v>
      </c>
      <c r="BD15" s="116" cm="1">
        <f t="array" ref="BD15">_xll.EQNXTDZ($A$1,$B15,BD$1)</f>
        <v>233</v>
      </c>
      <c r="BE15" s="116" cm="1">
        <f t="array" ref="BE15">_xll.EQNXTDZ($A$1,$B15,BE$1)</f>
        <v>247.1</v>
      </c>
      <c r="BF15" s="116" cm="1">
        <f t="array" ref="BF15">_xll.EQNXTDZ($A$1,$B15,BF$1)</f>
        <v>250.1</v>
      </c>
      <c r="BG15" s="116" cm="1">
        <f t="array" ref="BG15">_xll.EQNXTDZ($A$1,$B15,BG$1)</f>
        <v>291.10000000000002</v>
      </c>
      <c r="BH15" s="116" cm="1">
        <f t="array" ref="BH15">_xll.EQNXTDZ($A$1,$B15,BH$1)</f>
        <v>275</v>
      </c>
      <c r="BI15" s="116" cm="1">
        <f t="array" ref="BI15">_xll.EQNXTDZ($A$1,$B15,BI$1)</f>
        <v>266.10000000000002</v>
      </c>
      <c r="BJ15" s="116" cm="1">
        <f t="array" ref="BJ15">_xll.EQNXTDZ($A$1,$B15,BJ$1)</f>
        <v>226.75</v>
      </c>
      <c r="BK15" s="116" cm="1">
        <f t="array" ref="BK15">_xll.EQNXTDZ($A$1,$B15,BK$1)</f>
        <v>230.75</v>
      </c>
      <c r="BL15" s="116" cm="1">
        <f t="array" ref="BL15">_xll.EQNXTDZ($A$1,$B15,BL$1)</f>
        <v>263.10000000000002</v>
      </c>
      <c r="BM15" s="116" cm="1">
        <f t="array" ref="BM15">_xll.EQNXTDZ($A$1,$B15,BM$1)</f>
        <v>268</v>
      </c>
      <c r="BN15" s="116" cm="1">
        <f t="array" ref="BN15">_xll.EQNXTDZ($A$1,$B15,BN$1)</f>
        <v>286</v>
      </c>
      <c r="BO15" s="116" cm="1">
        <f t="array" ref="BO15">_xll.EQNXTDZ($A$1,$B15,BO$1)</f>
        <v>300</v>
      </c>
      <c r="BP15" s="116" cm="1">
        <f t="array" ref="BP15">_xll.EQNXTDZ($A$1,$B15,BP$1)</f>
        <v>293.39999999999998</v>
      </c>
      <c r="BQ15" s="116" cm="1">
        <f t="array" ref="BQ15">_xll.EQNXTDZ($A$1,$B15,BQ$1)</f>
        <v>281.39999999999998</v>
      </c>
      <c r="BR15" s="116" cm="1">
        <f t="array" ref="BR15">_xll.EQNXTDZ($A$1,$B15,BR$1)</f>
        <v>289.05</v>
      </c>
      <c r="BS15" s="116" cm="1">
        <f t="array" ref="BS15">_xll.EQNXTDZ($A$1,$B15,BS$1)</f>
        <v>275.10000000000002</v>
      </c>
      <c r="BT15" s="116" cm="1">
        <f t="array" ref="BT15">_xll.EQNXTDZ($A$1,$B15,BT$1)</f>
        <v>296.45</v>
      </c>
      <c r="BU15" s="116" cm="1">
        <f t="array" ref="BU15">_xll.EQNXTDZ($A$1,$B15,BU$1)</f>
        <v>301.3</v>
      </c>
      <c r="BV15" s="116" cm="1">
        <f t="array" ref="BV15">_xll.EQNXTDZ($A$1,$B15,BV$1)</f>
        <v>281.55</v>
      </c>
      <c r="BW15" s="116" cm="1">
        <f t="array" ref="BW15">_xll.EQNXTDZ($A$1,$B15,BW$1)</f>
        <v>270</v>
      </c>
      <c r="BX15" s="116" cm="1">
        <f t="array" ref="BX15">_xll.EQNXTDZ($A$1,$B15,BX$1)</f>
        <v>261.14999999999998</v>
      </c>
      <c r="BY15" s="116" cm="1">
        <f t="array" ref="BY15">_xll.EQNXTDZ($A$1,$B15,BY$1)</f>
        <v>272.64999999999998</v>
      </c>
      <c r="BZ15" s="116" cm="1">
        <f t="array" ref="BZ15">_xll.EQNXTDZ($A$1,$B15,BZ$1)</f>
        <v>272.85000000000002</v>
      </c>
      <c r="CA15" s="116" cm="1">
        <f t="array" ref="CA15">_xll.EQNXTDZ($A$1,$B15,CA$1)</f>
        <v>262.39999999999998</v>
      </c>
      <c r="CB15" s="116" cm="1">
        <f t="array" ref="CB15">_xll.EQNXTDZ($A$1,$B15,CB$1)</f>
        <v>259.5</v>
      </c>
      <c r="CC15" s="116" cm="1">
        <f t="array" ref="CC15">_xll.EQNXTDZ($A$1,$B15,CC$1)</f>
        <v>264.8</v>
      </c>
      <c r="CD15" s="116" cm="1">
        <f t="array" ref="CD15">_xll.EQNXTDZ($A$1,$B15,CD$1)</f>
        <v>244</v>
      </c>
      <c r="CE15" s="116" cm="1">
        <f t="array" ref="CE15">_xll.EQNXTDZ($A$1,$B15,CE$1)</f>
        <v>243</v>
      </c>
      <c r="CF15" s="116" cm="1">
        <f t="array" ref="CF15">_xll.EQNXTDZ($A$1,$B15,CF$1)</f>
        <v>262.05</v>
      </c>
      <c r="CG15" s="116" cm="1">
        <f t="array" ref="CG15">_xll.EQNXTDZ($A$1,$B15,CG$1)</f>
        <v>268.5</v>
      </c>
      <c r="CH15" s="116" cm="1">
        <f t="array" ref="CH15">_xll.EQNXTDZ($A$1,$B15,CH$1)</f>
        <v>245</v>
      </c>
      <c r="CI15" s="116" cm="1">
        <f t="array" ref="CI15">_xll.EQNXTDZ($A$1,$B15,CI$1)</f>
        <v>225.7</v>
      </c>
      <c r="CJ15" s="116" cm="1">
        <f t="array" ref="CJ15">_xll.EQNXTDZ($A$1,$B15,CJ$1)</f>
        <v>211.4</v>
      </c>
      <c r="CK15" s="116" cm="1">
        <f t="array" ref="CK15">_xll.EQNXTDZ($A$1,$B15,CK$1)</f>
        <v>193</v>
      </c>
      <c r="CL15" s="116" cm="1">
        <f t="array" ref="CL15">_xll.EQNXTDZ($A$1,$B15,CL$1)</f>
        <v>197.3</v>
      </c>
      <c r="CM15" s="116" cm="1">
        <f t="array" ref="CM15">_xll.EQNXTDZ($A$1,$B15,CM$1)</f>
        <v>199</v>
      </c>
      <c r="CN15" s="116" cm="1">
        <f t="array" ref="CN15">_xll.EQNXTDZ($A$1,$B15,CN$1)</f>
        <v>205.55</v>
      </c>
      <c r="CO15" s="116" cm="1">
        <f t="array" ref="CO15">_xll.EQNXTDZ($A$1,$B15,CO$1)</f>
        <v>204.25</v>
      </c>
      <c r="CP15" s="116" cm="1">
        <f t="array" ref="CP15">_xll.EQNXTDZ($A$1,$B15,CP$1)</f>
        <v>193.35</v>
      </c>
      <c r="CQ15" s="116" cm="1">
        <f t="array" ref="CQ15">_xll.EQNXTDZ($A$1,$B15,CQ$1)</f>
        <v>170</v>
      </c>
      <c r="CR15" s="116" cm="1">
        <f t="array" ref="CR15">_xll.EQNXTDZ($A$1,$B15,CR$1)</f>
        <v>122</v>
      </c>
      <c r="CS15" s="116" cm="1">
        <f t="array" ref="CS15">_xll.EQNXTDZ($A$1,$B15,CS$1)</f>
        <v>151.69999999999999</v>
      </c>
      <c r="CT15" s="116" cm="1">
        <f t="array" ref="CT15">_xll.EQNXTDZ($A$1,$B15,CT$1)</f>
        <v>164</v>
      </c>
      <c r="CU15" s="116" cm="1">
        <f t="array" ref="CU15">_xll.EQNXTDZ($A$1,$B15,CU$1)</f>
        <v>166.95</v>
      </c>
      <c r="CV15" s="116" cm="1">
        <f t="array" ref="CV15">_xll.EQNXTDZ($A$1,$B15,CV$1)</f>
        <v>182.5</v>
      </c>
      <c r="CW15" s="116" cm="1">
        <f t="array" ref="CW15">_xll.EQNXTDZ($A$1,$B15,CW$1)</f>
        <v>203.2</v>
      </c>
      <c r="CX15" s="116" cm="1">
        <f t="array" ref="CX15">_xll.EQNXTDZ($A$1,$B15,CX$1)</f>
        <v>200.1</v>
      </c>
      <c r="CY15" s="116" cm="1">
        <f t="array" ref="CY15">_xll.EQNXTDZ($A$1,$B15,CY$1)</f>
        <v>197.55</v>
      </c>
      <c r="CZ15" s="116" cm="1">
        <f t="array" ref="CZ15">_xll.EQNXTDZ($A$1,$B15,CZ$1)</f>
        <v>200.4</v>
      </c>
      <c r="DA15" s="116" cm="1">
        <f t="array" ref="DA15">_xll.EQNXTDZ($A$1,$B15,DA$1)</f>
        <v>224.7</v>
      </c>
      <c r="DB15" s="116" cm="1">
        <f t="array" ref="DB15">_xll.EQNXTDZ($A$1,$B15,DB$1)</f>
        <v>230.8</v>
      </c>
      <c r="DC15" s="116" cm="1">
        <f t="array" ref="DC15">_xll.EQNXTDZ($A$1,$B15,DC$1)</f>
        <v>281.85000000000002</v>
      </c>
      <c r="DD15" s="116" cm="1">
        <f t="array" ref="DD15">_xll.EQNXTDZ($A$1,$B15,DD$1)</f>
        <v>257</v>
      </c>
      <c r="DE15" s="116" cm="1">
        <f t="array" ref="DE15">_xll.EQNXTDZ($A$1,$B15,DE$1)</f>
        <v>274.3</v>
      </c>
      <c r="DF15" s="116" cm="1">
        <f t="array" ref="DF15">_xll.EQNXTDZ($A$1,$B15,DF$1)</f>
        <v>287</v>
      </c>
      <c r="DG15" s="116" cm="1">
        <f t="array" ref="DG15">_xll.EQNXTDZ($A$1,$B15,DG$1)</f>
        <v>322.25</v>
      </c>
      <c r="DH15" s="116" cm="1">
        <f t="array" ref="DH15">_xll.EQNXTDZ($A$1,$B15,DH$1)</f>
        <v>313.60000000000002</v>
      </c>
      <c r="DI15" s="116" cm="1">
        <f t="array" ref="DI15">_xll.EQNXTDZ($A$1,$B15,DI$1)</f>
        <v>294</v>
      </c>
      <c r="DJ15" s="116" cm="1">
        <f t="array" ref="DJ15">_xll.EQNXTDZ($A$1,$B15,DJ$1)</f>
        <v>310.5</v>
      </c>
      <c r="DK15" s="116" cm="1">
        <f t="array" ref="DK15">_xll.EQNXTDZ($A$1,$B15,DK$1)</f>
        <v>305.60000000000002</v>
      </c>
      <c r="DL15" s="116" cm="1">
        <f t="array" ref="DL15">_xll.EQNXTDZ($A$1,$B15,DL$1)</f>
        <v>312.3</v>
      </c>
      <c r="DM15" s="116" cm="1">
        <f t="array" ref="DM15">_xll.EQNXTDZ($A$1,$B15,DM$1)</f>
        <v>306</v>
      </c>
      <c r="DN15" s="116" cm="1">
        <f t="array" ref="DN15">_xll.EQNXTDZ($A$1,$B15,DN$1)</f>
        <v>308.39999999999998</v>
      </c>
      <c r="DO15" s="116" cm="1">
        <f t="array" ref="DO15">_xll.EQNXTDZ($A$1,$B15,DO$1)</f>
        <v>295.60000000000002</v>
      </c>
      <c r="DP15" s="116" cm="1">
        <f t="array" ref="DP15">_xll.EQNXTDZ($A$1,$B15,DP$1)</f>
        <v>305.05</v>
      </c>
      <c r="DQ15" s="116" cm="1">
        <f t="array" ref="DQ15">_xll.EQNXTDZ($A$1,$B15,DQ$1)</f>
        <v>310.35000000000002</v>
      </c>
      <c r="DR15" s="116" cm="1">
        <f t="array" ref="DR15">_xll.EQNXTDZ($A$1,$B15,DR$1)</f>
        <v>279</v>
      </c>
      <c r="DS15" s="116" cm="1">
        <f t="array" ref="DS15">_xll.EQNXTDZ($A$1,$B15,DS$1)</f>
        <v>245.25</v>
      </c>
      <c r="DT15" s="116" cm="1">
        <f t="array" ref="DT15">_xll.EQNXTDZ($A$1,$B15,DT$1)</f>
        <v>242.4</v>
      </c>
      <c r="DU15" s="116" cm="1">
        <f t="array" ref="DU15">_xll.EQNXTDZ($A$1,$B15,DU$1)</f>
        <v>266.85000000000002</v>
      </c>
      <c r="DV15" s="116" cm="1">
        <f t="array" ref="DV15">_xll.EQNXTDZ($A$1,$B15,DV$1)</f>
        <v>262.95</v>
      </c>
      <c r="DW15" s="116" cm="1">
        <f t="array" ref="DW15">_xll.EQNXTDZ($A$1,$B15,DW$1)</f>
        <v>264.5</v>
      </c>
      <c r="DX15" s="116" cm="1">
        <f t="array" ref="DX15">_xll.EQNXTDZ($A$1,$B15,DX$1)</f>
        <v>282.2</v>
      </c>
      <c r="DY15" s="116" cm="1">
        <f t="array" ref="DY15">_xll.EQNXTDZ($A$1,$B15,DY$1)</f>
        <v>304.25</v>
      </c>
      <c r="DZ15" s="116" cm="1">
        <f t="array" ref="DZ15">_xll.EQNXTDZ($A$1,$B15,DZ$1)</f>
        <v>316.10000000000002</v>
      </c>
      <c r="EA15" s="116" cm="1">
        <f t="array" ref="EA15">_xll.EQNXTDZ($A$1,$B15,EA$1)</f>
        <v>296.10000000000002</v>
      </c>
      <c r="EB15" s="116" cm="1">
        <f t="array" ref="EB15">_xll.EQNXTDZ($A$1,$B15,EB$1)</f>
        <v>292.3</v>
      </c>
      <c r="EC15" s="116" cm="1">
        <f t="array" ref="EC15">_xll.EQNXTDZ($A$1,$B15,EC$1)</f>
        <v>293.14999999999998</v>
      </c>
      <c r="ED15" s="116" cm="1">
        <f t="array" ref="ED15">_xll.EQNXTDZ($A$1,$B15,ED$1)</f>
        <v>304.3</v>
      </c>
      <c r="EE15" s="116" cm="1">
        <f t="array" ref="EE15">_xll.EQNXTDZ($A$1,$B15,EE$1)</f>
        <v>298.60000000000002</v>
      </c>
      <c r="EF15" s="116" cm="1">
        <f t="array" ref="EF15">_xll.EQNXTDZ($A$1,$B15,EF$1)</f>
        <v>307.95</v>
      </c>
      <c r="EG15" s="116" cm="1">
        <f t="array" ref="EG15">_xll.EQNXTDZ($A$1,$B15,EG$1)</f>
        <v>312.10000000000002</v>
      </c>
      <c r="EH15" s="116" cm="1">
        <f t="array" ref="EH15">_xll.EQNXTDZ($A$1,$B15,EH$1)</f>
        <v>294</v>
      </c>
      <c r="EI15" s="116" cm="1">
        <f t="array" ref="EI15">_xll.EQNXTDZ($A$1,$B15,EI$1)</f>
        <v>290.55</v>
      </c>
      <c r="EJ15" s="116" cm="1">
        <f t="array" ref="EJ15">_xll.EQNXTDZ($A$1,$B15,EJ$1)</f>
        <v>291.3</v>
      </c>
      <c r="EK15" s="116" cm="1">
        <f t="array" ref="EK15">_xll.EQNXTDZ($A$1,$B15,EK$1)</f>
        <v>297.95</v>
      </c>
      <c r="EL15" s="116" cm="1">
        <f t="array" ref="EL15">_xll.EQNXTDZ($A$1,$B15,EL$1)</f>
        <v>304.5</v>
      </c>
      <c r="EM15" s="116" cm="1">
        <f t="array" ref="EM15">_xll.EQNXTDZ($A$1,$B15,EM$1)</f>
        <v>305.25</v>
      </c>
      <c r="EN15" s="116" cm="1">
        <f t="array" ref="EN15">_xll.EQNXTDZ($A$1,$B15,EN$1)</f>
        <v>285</v>
      </c>
      <c r="EO15" s="116" cm="1">
        <f t="array" ref="EO15">_xll.EQNXTDZ($A$1,$B15,EO$1)</f>
        <v>295.14999999999998</v>
      </c>
      <c r="EP15" s="116" cm="1">
        <f t="array" ref="EP15">_xll.EQNXTDZ($A$1,$B15,EP$1)</f>
        <v>416.5</v>
      </c>
      <c r="EQ15" s="116" cm="1">
        <f t="array" ref="EQ15">_xll.EQNXTDZ($A$1,$B15,EQ$1)</f>
        <v>595.79999999999995</v>
      </c>
      <c r="ER15" s="116" cm="1">
        <f t="array" ref="ER15">_xll.EQNXTDZ($A$1,$B15,ER$1)</f>
        <v>600</v>
      </c>
      <c r="ES15" s="116" cm="1">
        <f t="array" ref="ES15">_xll.EQNXTDZ($A$1,$B15,ES$1)</f>
        <v>488.65</v>
      </c>
      <c r="ET15" s="116" cm="1">
        <f t="array" ref="ET15">_xll.EQNXTDZ($A$1,$B15,ET$1)</f>
        <v>475.55</v>
      </c>
      <c r="EU15" s="116" cm="1">
        <f t="array" ref="EU15">_xll.EQNXTDZ($A$1,$B15,EU$1)</f>
        <v>490.05</v>
      </c>
      <c r="EV15" s="116" cm="1">
        <f t="array" ref="EV15">_xll.EQNXTDZ($A$1,$B15,EV$1)</f>
        <v>483.25</v>
      </c>
      <c r="EW15" s="116" cm="1">
        <f t="array" ref="EW15">_xll.EQNXTDZ($A$1,$B15,EW$1)</f>
        <v>430.25</v>
      </c>
      <c r="EX15" s="116" cm="1">
        <f t="array" ref="EX15">_xll.EQNXTDZ($A$1,$B15,EX$1)</f>
        <v>414.85</v>
      </c>
      <c r="EY15" s="116" cm="1">
        <f t="array" ref="EY15">_xll.EQNXTDZ($A$1,$B15,EY$1)</f>
        <v>390</v>
      </c>
      <c r="EZ15" s="116" cm="1">
        <f t="array" ref="EZ15">_xll.EQNXTDZ($A$1,$B15,EZ$1)</f>
        <v>378.65</v>
      </c>
      <c r="FA15" s="116" cm="1">
        <f t="array" ref="FA15">_xll.EQNXTDZ($A$1,$B15,FA$1)</f>
        <v>385.05</v>
      </c>
      <c r="FB15" s="116" cm="1">
        <f t="array" ref="FB15">_xll.EQNXTDZ($A$1,$B15,FB$1)</f>
        <v>399.8</v>
      </c>
      <c r="FC15" s="116" cm="1">
        <f t="array" ref="FC15">_xll.EQNXTDZ($A$1,$B15,FC$1)</f>
        <v>434.9</v>
      </c>
      <c r="FD15" s="116" cm="1">
        <f t="array" ref="FD15">_xll.EQNXTDZ($A$1,$B15,FD$1)</f>
        <v>415.3</v>
      </c>
      <c r="FE15" s="116" cm="1">
        <f t="array" ref="FE15">_xll.EQNXTDZ($A$1,$B15,FE$1)</f>
        <v>413.4</v>
      </c>
      <c r="FF15" s="116" cm="1">
        <f t="array" ref="FF15">_xll.EQNXTDZ($A$1,$B15,FF$1)</f>
        <v>424.35</v>
      </c>
      <c r="FG15" s="116" cm="1">
        <f t="array" ref="FG15">_xll.EQNXTDZ($A$1,$B15,FG$1)</f>
        <v>468.05</v>
      </c>
      <c r="FH15" s="116" cm="1">
        <f t="array" ref="FH15">_xll.EQNXTDZ($A$1,$B15,FH$1)</f>
        <v>453.5</v>
      </c>
      <c r="FI15" s="116" cm="1">
        <f t="array" ref="FI15">_xll.EQNXTDZ($A$1,$B15,FI$1)</f>
        <v>482.15</v>
      </c>
      <c r="FJ15" s="116" cm="1">
        <f t="array" ref="FJ15">_xll.EQNXTDZ($A$1,$B15,FJ$1)</f>
        <v>588.20000000000005</v>
      </c>
      <c r="FK15" s="116" cm="1">
        <f t="array" ref="FK15">_xll.EQNXTDZ($A$1,$B15,FK$1)</f>
        <v>546.25</v>
      </c>
      <c r="FL15" s="116" cm="1">
        <f t="array" ref="FL15">_xll.EQNXTDZ($A$1,$B15,FL$1)</f>
        <v>484</v>
      </c>
      <c r="FM15" s="116" cm="1">
        <f t="array" ref="FM15">_xll.EQNXTDZ($A$1,$B15,FM$1)</f>
        <v>503.3</v>
      </c>
      <c r="FN15" s="116" cm="1">
        <f t="array" ref="FN15">_xll.EQNXTDZ($A$1,$B15,FN$1)</f>
        <v>597.15</v>
      </c>
      <c r="FO15" s="116" cm="1">
        <f t="array" ref="FO15">_xll.EQNXTDZ($A$1,$B15,FO$1)</f>
        <v>534.79999999999995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113.55</v>
      </c>
      <c r="HQ15" s="116">
        <f>+MIN(G15:I15)</f>
        <v>128.55000000000001</v>
      </c>
      <c r="HR15" s="116">
        <f>+MIN(J15:L15)</f>
        <v>110.55</v>
      </c>
      <c r="HS15" s="116">
        <f>+MIN(M15:O15)</f>
        <v>96.2</v>
      </c>
      <c r="HT15" s="116">
        <f>+MIN(P15:R15)</f>
        <v>94</v>
      </c>
      <c r="HU15" s="116">
        <f>+MIN(S15:U15)</f>
        <v>121.6</v>
      </c>
      <c r="HV15" s="116">
        <f>+MIN(V15:X15)</f>
        <v>114.8</v>
      </c>
      <c r="HW15" s="116">
        <f>+MIN(Y15:AA15)</f>
        <v>121.1</v>
      </c>
      <c r="HX15" s="116">
        <f>+MIN(AB15:AD15)</f>
        <v>152</v>
      </c>
      <c r="HY15" s="116">
        <f>+MIN(AE15:AG15)</f>
        <v>153.05000000000001</v>
      </c>
      <c r="HZ15" s="116">
        <f>+MIN(AH15:AJ15)</f>
        <v>152.5</v>
      </c>
      <c r="IA15" s="116">
        <f>+MIN(AK15:AM15)</f>
        <v>160.19999999999999</v>
      </c>
      <c r="IB15" s="116">
        <f>+MIN(AN15:AP15)</f>
        <v>117.2</v>
      </c>
      <c r="IC15" s="116">
        <f>+MIN(AQ15:AS15)</f>
        <v>136.30000000000001</v>
      </c>
      <c r="ID15" s="116">
        <f>+MIN(AT15:AV15)</f>
        <v>135.80000000000001</v>
      </c>
      <c r="IE15" s="116">
        <f>+MIN(AW15:AY15)</f>
        <v>158.19999999999999</v>
      </c>
      <c r="IF15" s="116">
        <f>+MIN(AZ15:BB15)</f>
        <v>176</v>
      </c>
      <c r="IG15" s="116">
        <f>+MIN(BC15:BE15)</f>
        <v>231</v>
      </c>
      <c r="IH15" s="116">
        <f>+MIN(BF15:BH15)</f>
        <v>250.1</v>
      </c>
      <c r="II15" s="116">
        <f>+MIN(BI15:BK15)</f>
        <v>226.75</v>
      </c>
      <c r="IJ15" s="116">
        <f>+MIN(BL15:BN15)</f>
        <v>263.10000000000002</v>
      </c>
      <c r="IK15" s="116">
        <f>+MIN(BO15:BQ15)</f>
        <v>281.39999999999998</v>
      </c>
      <c r="IL15" s="116">
        <f>+MIN(BR15:BT15)</f>
        <v>275.10000000000002</v>
      </c>
      <c r="IM15" s="116">
        <f>+MIN(BU15:BW15)</f>
        <v>270</v>
      </c>
      <c r="IN15" s="116">
        <f>+MIN(BX15:BZ15)</f>
        <v>261.14999999999998</v>
      </c>
      <c r="IO15" s="116">
        <f>+MIN(CA15:CC15)</f>
        <v>259.5</v>
      </c>
      <c r="IP15" s="116">
        <f>+MIN(CD15:CF15)</f>
        <v>243</v>
      </c>
      <c r="IQ15" s="116">
        <f>+MIN(CG15:CI15)</f>
        <v>225.7</v>
      </c>
      <c r="IR15" s="116">
        <f>+MIN(CJ15:CL15)</f>
        <v>193</v>
      </c>
      <c r="IS15" s="116">
        <f>+MIN(CM15:CO15)</f>
        <v>199</v>
      </c>
      <c r="IT15" s="116">
        <f>+MIN(CP15:CR15)</f>
        <v>122</v>
      </c>
      <c r="IU15" s="116">
        <f>+MIN(CS15:CU15)</f>
        <v>151.69999999999999</v>
      </c>
      <c r="IV15" s="116">
        <f>+MIN(CV15:CX15)</f>
        <v>182.5</v>
      </c>
      <c r="IW15" s="116">
        <f>+MIN(CY15:DA15)</f>
        <v>197.55</v>
      </c>
      <c r="IX15" s="116">
        <f>+MIN(DB15:DD15)</f>
        <v>230.8</v>
      </c>
      <c r="IY15" s="116">
        <f>+MIN(DE15:DG15)</f>
        <v>274.3</v>
      </c>
      <c r="IZ15" s="116">
        <f>+MIN(DH15:DJ15)</f>
        <v>294</v>
      </c>
      <c r="JA15" s="116">
        <f>+MIN(DK15:DM15)</f>
        <v>305.60000000000002</v>
      </c>
      <c r="JB15" s="116">
        <f>+MIN(DN15:DP15)</f>
        <v>295.60000000000002</v>
      </c>
      <c r="JC15" s="116">
        <f>+MIN(DQ15:DS15)</f>
        <v>245.25</v>
      </c>
      <c r="JD15" s="116">
        <f>+MIN(DT15:DV15)</f>
        <v>242.4</v>
      </c>
      <c r="JE15" s="116">
        <f>+MIN(DW15:DY15)</f>
        <v>264.5</v>
      </c>
      <c r="JF15" s="116">
        <f>+MIN(DZ15:EB15)</f>
        <v>292.3</v>
      </c>
      <c r="JG15" s="116">
        <f>+MIN(EC15:EE15)</f>
        <v>293.14999999999998</v>
      </c>
      <c r="JH15" s="116">
        <f>+MIN(EF15:EH15)</f>
        <v>294</v>
      </c>
      <c r="JI15" s="116">
        <f>+MIN(EI15:EK15)</f>
        <v>290.55</v>
      </c>
      <c r="JJ15" s="116">
        <f>+MIN(EL15:EN15)</f>
        <v>285</v>
      </c>
      <c r="JK15" s="116">
        <f>MIN(EO15:EQ15)</f>
        <v>295.14999999999998</v>
      </c>
      <c r="JL15" s="116">
        <f>MIN(ER15:ET15)</f>
        <v>475.55</v>
      </c>
      <c r="JM15" s="116">
        <f>MIN(EU15:EW15)</f>
        <v>430.25</v>
      </c>
      <c r="JN15" s="116">
        <f>MIN(EX15:EZ15)</f>
        <v>378.65</v>
      </c>
      <c r="JO15" s="116">
        <f>MIN(FA15:FC15)</f>
        <v>385.05</v>
      </c>
      <c r="JP15" s="116">
        <f>MIN(FD15:FF15)</f>
        <v>413.4</v>
      </c>
      <c r="JQ15" s="116">
        <f>MIN(FG15:FI15)</f>
        <v>453.5</v>
      </c>
      <c r="JR15" s="116">
        <f>MIN(FJ15:FL15)</f>
        <v>484</v>
      </c>
      <c r="JS15" s="116">
        <f>MIN(FM15:FO15)</f>
        <v>503.3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122.9</v>
      </c>
      <c r="D16" s="116" cm="1">
        <f t="array" ref="D16">_xll.EQNXTDZ($A$1,$B16,D$1)</f>
        <v>119.55</v>
      </c>
      <c r="E16" s="116" cm="1">
        <f t="array" ref="E16">_xll.EQNXTDZ($A$1,$B16,E$1)</f>
        <v>123.1</v>
      </c>
      <c r="F16" s="116" cm="1">
        <f t="array" ref="F16">_xll.EQNXTDZ($A$1,$B16,F$1)</f>
        <v>135.44999999999999</v>
      </c>
      <c r="G16" s="116" cm="1">
        <f t="array" ref="G16">_xll.EQNXTDZ($A$1,$B16,G$1)</f>
        <v>133.85</v>
      </c>
      <c r="H16" s="116" cm="1">
        <f t="array" ref="H16">_xll.EQNXTDZ($A$1,$B16,H$1)</f>
        <v>139.25</v>
      </c>
      <c r="I16" s="116" cm="1">
        <f t="array" ref="I16">_xll.EQNXTDZ($A$1,$B16,I$1)</f>
        <v>136.05000000000001</v>
      </c>
      <c r="J16" s="116" cm="1">
        <f t="array" ref="J16">_xll.EQNXTDZ($A$1,$B16,J$1)</f>
        <v>128.6</v>
      </c>
      <c r="K16" s="116" cm="1">
        <f t="array" ref="K16">_xll.EQNXTDZ($A$1,$B16,K$1)</f>
        <v>115.4</v>
      </c>
      <c r="L16" s="116" cm="1">
        <f t="array" ref="L16">_xll.EQNXTDZ($A$1,$B16,L$1)</f>
        <v>121.15</v>
      </c>
      <c r="M16" s="116" cm="1">
        <f t="array" ref="M16">_xll.EQNXTDZ($A$1,$B16,M$1)</f>
        <v>119.1</v>
      </c>
      <c r="N16" s="116" cm="1">
        <f t="array" ref="N16">_xll.EQNXTDZ($A$1,$B16,N$1)</f>
        <v>116.05</v>
      </c>
      <c r="O16" s="116" cm="1">
        <f t="array" ref="O16">_xll.EQNXTDZ($A$1,$B16,O$1)</f>
        <v>102.45</v>
      </c>
      <c r="P16" s="116" cm="1">
        <f t="array" ref="P16">_xll.EQNXTDZ($A$1,$B16,P$1)</f>
        <v>101.55</v>
      </c>
      <c r="Q16" s="116" cm="1">
        <f t="array" ref="Q16">_xll.EQNXTDZ($A$1,$B16,Q$1)</f>
        <v>123.9</v>
      </c>
      <c r="R16" s="116" cm="1">
        <f t="array" ref="R16">_xll.EQNXTDZ($A$1,$B16,R$1)</f>
        <v>133.05000000000001</v>
      </c>
      <c r="S16" s="116" cm="1">
        <f t="array" ref="S16">_xll.EQNXTDZ($A$1,$B16,S$1)</f>
        <v>133.55000000000001</v>
      </c>
      <c r="T16" s="116" cm="1">
        <f t="array" ref="T16">_xll.EQNXTDZ($A$1,$B16,T$1)</f>
        <v>128.65</v>
      </c>
      <c r="U16" s="116" cm="1">
        <f t="array" ref="U16">_xll.EQNXTDZ($A$1,$B16,U$1)</f>
        <v>132.44999999999999</v>
      </c>
      <c r="V16" s="116" cm="1">
        <f t="array" ref="V16">_xll.EQNXTDZ($A$1,$B16,V$1)</f>
        <v>129.44999999999999</v>
      </c>
      <c r="W16" s="116" cm="1">
        <f t="array" ref="W16">_xll.EQNXTDZ($A$1,$B16,W$1)</f>
        <v>116.7</v>
      </c>
      <c r="X16" s="116" cm="1">
        <f t="array" ref="X16">_xll.EQNXTDZ($A$1,$B16,X$1)</f>
        <v>128.35</v>
      </c>
      <c r="Y16" s="116" cm="1">
        <f t="array" ref="Y16">_xll.EQNXTDZ($A$1,$B16,Y$1)</f>
        <v>128.65</v>
      </c>
      <c r="Z16" s="116" cm="1">
        <f t="array" ref="Z16">_xll.EQNXTDZ($A$1,$B16,Z$1)</f>
        <v>157.15</v>
      </c>
      <c r="AA16" s="116" cm="1">
        <f t="array" ref="AA16">_xll.EQNXTDZ($A$1,$B16,AA$1)</f>
        <v>166.75</v>
      </c>
      <c r="AB16" s="116" cm="1">
        <f t="array" ref="AB16">_xll.EQNXTDZ($A$1,$B16,AB$1)</f>
        <v>161.55000000000001</v>
      </c>
      <c r="AC16" s="116" cm="1">
        <f t="array" ref="AC16">_xll.EQNXTDZ($A$1,$B16,AC$1)</f>
        <v>165.4</v>
      </c>
      <c r="AD16" s="116" cm="1">
        <f t="array" ref="AD16">_xll.EQNXTDZ($A$1,$B16,AD$1)</f>
        <v>160.85</v>
      </c>
      <c r="AE16" s="116" cm="1">
        <f t="array" ref="AE16">_xll.EQNXTDZ($A$1,$B16,AE$1)</f>
        <v>171.8</v>
      </c>
      <c r="AF16" s="116" cm="1">
        <f t="array" ref="AF16">_xll.EQNXTDZ($A$1,$B16,AF$1)</f>
        <v>163.4</v>
      </c>
      <c r="AG16" s="116" cm="1">
        <f t="array" ref="AG16">_xll.EQNXTDZ($A$1,$B16,AG$1)</f>
        <v>170.35</v>
      </c>
      <c r="AH16" s="116" cm="1">
        <f t="array" ref="AH16">_xll.EQNXTDZ($A$1,$B16,AH$1)</f>
        <v>174.8</v>
      </c>
      <c r="AI16" s="116" cm="1">
        <f t="array" ref="AI16">_xll.EQNXTDZ($A$1,$B16,AI$1)</f>
        <v>176.15</v>
      </c>
      <c r="AJ16" s="116" cm="1">
        <f t="array" ref="AJ16">_xll.EQNXTDZ($A$1,$B16,AJ$1)</f>
        <v>161.85</v>
      </c>
      <c r="AK16" s="116" cm="1">
        <f t="array" ref="AK16">_xll.EQNXTDZ($A$1,$B16,AK$1)</f>
        <v>169.3</v>
      </c>
      <c r="AL16" s="116" cm="1">
        <f t="array" ref="AL16">_xll.EQNXTDZ($A$1,$B16,AL$1)</f>
        <v>169.1</v>
      </c>
      <c r="AM16" s="116" cm="1">
        <f t="array" ref="AM16">_xll.EQNXTDZ($A$1,$B16,AM$1)</f>
        <v>167</v>
      </c>
      <c r="AN16" s="116" cm="1">
        <f t="array" ref="AN16">_xll.EQNXTDZ($A$1,$B16,AN$1)</f>
        <v>157</v>
      </c>
      <c r="AO16" s="116" cm="1">
        <f t="array" ref="AO16">_xll.EQNXTDZ($A$1,$B16,AO$1)</f>
        <v>126.95</v>
      </c>
      <c r="AP16" s="116" cm="1">
        <f t="array" ref="AP16">_xll.EQNXTDZ($A$1,$B16,AP$1)</f>
        <v>139.65</v>
      </c>
      <c r="AQ16" s="116" cm="1">
        <f t="array" ref="AQ16">_xll.EQNXTDZ($A$1,$B16,AQ$1)</f>
        <v>156.94999999999999</v>
      </c>
      <c r="AR16" s="116" cm="1">
        <f t="array" ref="AR16">_xll.EQNXTDZ($A$1,$B16,AR$1)</f>
        <v>143.69999999999999</v>
      </c>
      <c r="AS16" s="116" cm="1">
        <f t="array" ref="AS16">_xll.EQNXTDZ($A$1,$B16,AS$1)</f>
        <v>146.6</v>
      </c>
      <c r="AT16" s="116" cm="1">
        <f t="array" ref="AT16">_xll.EQNXTDZ($A$1,$B16,AT$1)</f>
        <v>160.65</v>
      </c>
      <c r="AU16" s="116" cm="1">
        <f t="array" ref="AU16">_xll.EQNXTDZ($A$1,$B16,AU$1)</f>
        <v>160.19999999999999</v>
      </c>
      <c r="AV16" s="116" cm="1">
        <f t="array" ref="AV16">_xll.EQNXTDZ($A$1,$B16,AV$1)</f>
        <v>183.5</v>
      </c>
      <c r="AW16" s="116" cm="1">
        <f t="array" ref="AW16">_xll.EQNXTDZ($A$1,$B16,AW$1)</f>
        <v>171.85</v>
      </c>
      <c r="AX16" s="116" cm="1">
        <f t="array" ref="AX16">_xll.EQNXTDZ($A$1,$B16,AX$1)</f>
        <v>170.85</v>
      </c>
      <c r="AY16" s="116" cm="1">
        <f t="array" ref="AY16">_xll.EQNXTDZ($A$1,$B16,AY$1)</f>
        <v>179.8</v>
      </c>
      <c r="AZ16" s="116" cm="1">
        <f t="array" ref="AZ16">_xll.EQNXTDZ($A$1,$B16,AZ$1)</f>
        <v>203.8</v>
      </c>
      <c r="BA16" s="116" cm="1">
        <f t="array" ref="BA16">_xll.EQNXTDZ($A$1,$B16,BA$1)</f>
        <v>226.75</v>
      </c>
      <c r="BB16" s="116" cm="1">
        <f t="array" ref="BB16">_xll.EQNXTDZ($A$1,$B16,BB$1)</f>
        <v>233.25</v>
      </c>
      <c r="BC16" s="116" cm="1">
        <f t="array" ref="BC16">_xll.EQNXTDZ($A$1,$B16,BC$1)</f>
        <v>252.55</v>
      </c>
      <c r="BD16" s="116" cm="1">
        <f t="array" ref="BD16">_xll.EQNXTDZ($A$1,$B16,BD$1)</f>
        <v>282.25</v>
      </c>
      <c r="BE16" s="116" cm="1">
        <f t="array" ref="BE16">_xll.EQNXTDZ($A$1,$B16,BE$1)</f>
        <v>255.45</v>
      </c>
      <c r="BF16" s="116" cm="1">
        <f t="array" ref="BF16">_xll.EQNXTDZ($A$1,$B16,BF$1)</f>
        <v>298.45</v>
      </c>
      <c r="BG16" s="116" cm="1">
        <f t="array" ref="BG16">_xll.EQNXTDZ($A$1,$B16,BG$1)</f>
        <v>308.05</v>
      </c>
      <c r="BH16" s="116" cm="1">
        <f t="array" ref="BH16">_xll.EQNXTDZ($A$1,$B16,BH$1)</f>
        <v>288.85000000000002</v>
      </c>
      <c r="BI16" s="116" cm="1">
        <f t="array" ref="BI16">_xll.EQNXTDZ($A$1,$B16,BI$1)</f>
        <v>268.85000000000002</v>
      </c>
      <c r="BJ16" s="116" cm="1">
        <f t="array" ref="BJ16">_xll.EQNXTDZ($A$1,$B16,BJ$1)</f>
        <v>240.1</v>
      </c>
      <c r="BK16" s="116" cm="1">
        <f t="array" ref="BK16">_xll.EQNXTDZ($A$1,$B16,BK$1)</f>
        <v>262.85000000000002</v>
      </c>
      <c r="BL16" s="116" cm="1">
        <f t="array" ref="BL16">_xll.EQNXTDZ($A$1,$B16,BL$1)</f>
        <v>281.89999999999998</v>
      </c>
      <c r="BM16" s="116" cm="1">
        <f t="array" ref="BM16">_xll.EQNXTDZ($A$1,$B16,BM$1)</f>
        <v>295.10000000000002</v>
      </c>
      <c r="BN16" s="116" cm="1">
        <f t="array" ref="BN16">_xll.EQNXTDZ($A$1,$B16,BN$1)</f>
        <v>295.8</v>
      </c>
      <c r="BO16" s="116" cm="1">
        <f t="array" ref="BO16">_xll.EQNXTDZ($A$1,$B16,BO$1)</f>
        <v>315.45</v>
      </c>
      <c r="BP16" s="116" cm="1">
        <f t="array" ref="BP16">_xll.EQNXTDZ($A$1,$B16,BP$1)</f>
        <v>299.64999999999998</v>
      </c>
      <c r="BQ16" s="116" cm="1">
        <f t="array" ref="BQ16">_xll.EQNXTDZ($A$1,$B16,BQ$1)</f>
        <v>309</v>
      </c>
      <c r="BR16" s="116" cm="1">
        <f t="array" ref="BR16">_xll.EQNXTDZ($A$1,$B16,BR$1)</f>
        <v>310.05</v>
      </c>
      <c r="BS16" s="116" cm="1">
        <f t="array" ref="BS16">_xll.EQNXTDZ($A$1,$B16,BS$1)</f>
        <v>325.95</v>
      </c>
      <c r="BT16" s="116" cm="1">
        <f t="array" ref="BT16">_xll.EQNXTDZ($A$1,$B16,BT$1)</f>
        <v>300.95</v>
      </c>
      <c r="BU16" s="116" cm="1">
        <f t="array" ref="BU16">_xll.EQNXTDZ($A$1,$B16,BU$1)</f>
        <v>327.10000000000002</v>
      </c>
      <c r="BV16" s="116" cm="1">
        <f t="array" ref="BV16">_xll.EQNXTDZ($A$1,$B16,BV$1)</f>
        <v>296.14999999999998</v>
      </c>
      <c r="BW16" s="116" cm="1">
        <f t="array" ref="BW16">_xll.EQNXTDZ($A$1,$B16,BW$1)</f>
        <v>275.75</v>
      </c>
      <c r="BX16" s="116" cm="1">
        <f t="array" ref="BX16">_xll.EQNXTDZ($A$1,$B16,BX$1)</f>
        <v>280.2</v>
      </c>
      <c r="BY16" s="116" cm="1">
        <f t="array" ref="BY16">_xll.EQNXTDZ($A$1,$B16,BY$1)</f>
        <v>299.14999999999998</v>
      </c>
      <c r="BZ16" s="116" cm="1">
        <f t="array" ref="BZ16">_xll.EQNXTDZ($A$1,$B16,BZ$1)</f>
        <v>290.39999999999998</v>
      </c>
      <c r="CA16" s="116" cm="1">
        <f t="array" ref="CA16">_xll.EQNXTDZ($A$1,$B16,CA$1)</f>
        <v>264.2</v>
      </c>
      <c r="CB16" s="116" cm="1">
        <f t="array" ref="CB16">_xll.EQNXTDZ($A$1,$B16,CB$1)</f>
        <v>266.3</v>
      </c>
      <c r="CC16" s="116" cm="1">
        <f t="array" ref="CC16">_xll.EQNXTDZ($A$1,$B16,CC$1)</f>
        <v>277.8</v>
      </c>
      <c r="CD16" s="116" cm="1">
        <f t="array" ref="CD16">_xll.EQNXTDZ($A$1,$B16,CD$1)</f>
        <v>260.55</v>
      </c>
      <c r="CE16" s="116" cm="1">
        <f t="array" ref="CE16">_xll.EQNXTDZ($A$1,$B16,CE$1)</f>
        <v>269.10000000000002</v>
      </c>
      <c r="CF16" s="116" cm="1">
        <f t="array" ref="CF16">_xll.EQNXTDZ($A$1,$B16,CF$1)</f>
        <v>276.39999999999998</v>
      </c>
      <c r="CG16" s="116" cm="1">
        <f t="array" ref="CG16">_xll.EQNXTDZ($A$1,$B16,CG$1)</f>
        <v>276.8</v>
      </c>
      <c r="CH16" s="116" cm="1">
        <f t="array" ref="CH16">_xll.EQNXTDZ($A$1,$B16,CH$1)</f>
        <v>245.85</v>
      </c>
      <c r="CI16" s="116" cm="1">
        <f t="array" ref="CI16">_xll.EQNXTDZ($A$1,$B16,CI$1)</f>
        <v>244</v>
      </c>
      <c r="CJ16" s="116" cm="1">
        <f t="array" ref="CJ16">_xll.EQNXTDZ($A$1,$B16,CJ$1)</f>
        <v>216.8</v>
      </c>
      <c r="CK16" s="116" cm="1">
        <f t="array" ref="CK16">_xll.EQNXTDZ($A$1,$B16,CK$1)</f>
        <v>216.6</v>
      </c>
      <c r="CL16" s="116" cm="1">
        <f t="array" ref="CL16">_xll.EQNXTDZ($A$1,$B16,CL$1)</f>
        <v>213.5</v>
      </c>
      <c r="CM16" s="116" cm="1">
        <f t="array" ref="CM16">_xll.EQNXTDZ($A$1,$B16,CM$1)</f>
        <v>212.5</v>
      </c>
      <c r="CN16" s="116" cm="1">
        <f t="array" ref="CN16">_xll.EQNXTDZ($A$1,$B16,CN$1)</f>
        <v>215.3</v>
      </c>
      <c r="CO16" s="116" cm="1">
        <f t="array" ref="CO16">_xll.EQNXTDZ($A$1,$B16,CO$1)</f>
        <v>209.7</v>
      </c>
      <c r="CP16" s="116" cm="1">
        <f t="array" ref="CP16">_xll.EQNXTDZ($A$1,$B16,CP$1)</f>
        <v>194.1</v>
      </c>
      <c r="CQ16" s="116" cm="1">
        <f t="array" ref="CQ16">_xll.EQNXTDZ($A$1,$B16,CQ$1)</f>
        <v>172.25</v>
      </c>
      <c r="CR16" s="116" cm="1">
        <f t="array" ref="CR16">_xll.EQNXTDZ($A$1,$B16,CR$1)</f>
        <v>155.15</v>
      </c>
      <c r="CS16" s="116" cm="1">
        <f t="array" ref="CS16">_xll.EQNXTDZ($A$1,$B16,CS$1)</f>
        <v>174.45</v>
      </c>
      <c r="CT16" s="116" cm="1">
        <f t="array" ref="CT16">_xll.EQNXTDZ($A$1,$B16,CT$1)</f>
        <v>171.3</v>
      </c>
      <c r="CU16" s="116" cm="1">
        <f t="array" ref="CU16">_xll.EQNXTDZ($A$1,$B16,CU$1)</f>
        <v>195.95</v>
      </c>
      <c r="CV16" s="116" cm="1">
        <f t="array" ref="CV16">_xll.EQNXTDZ($A$1,$B16,CV$1)</f>
        <v>210.35</v>
      </c>
      <c r="CW16" s="116" cm="1">
        <f t="array" ref="CW16">_xll.EQNXTDZ($A$1,$B16,CW$1)</f>
        <v>226.65</v>
      </c>
      <c r="CX16" s="116" cm="1">
        <f t="array" ref="CX16">_xll.EQNXTDZ($A$1,$B16,CX$1)</f>
        <v>209.9</v>
      </c>
      <c r="CY16" s="116" cm="1">
        <f t="array" ref="CY16">_xll.EQNXTDZ($A$1,$B16,CY$1)</f>
        <v>203.25</v>
      </c>
      <c r="CZ16" s="116" cm="1">
        <f t="array" ref="CZ16">_xll.EQNXTDZ($A$1,$B16,CZ$1)</f>
        <v>229.8</v>
      </c>
      <c r="DA16" s="116" cm="1">
        <f t="array" ref="DA16">_xll.EQNXTDZ($A$1,$B16,DA$1)</f>
        <v>238.9</v>
      </c>
      <c r="DB16" s="116" cm="1">
        <f t="array" ref="DB16">_xll.EQNXTDZ($A$1,$B16,DB$1)</f>
        <v>274.35000000000002</v>
      </c>
      <c r="DC16" s="116" cm="1">
        <f t="array" ref="DC16">_xll.EQNXTDZ($A$1,$B16,DC$1)</f>
        <v>297.25</v>
      </c>
      <c r="DD16" s="116" cm="1">
        <f t="array" ref="DD16">_xll.EQNXTDZ($A$1,$B16,DD$1)</f>
        <v>272.8</v>
      </c>
      <c r="DE16" s="116" cm="1">
        <f t="array" ref="DE16">_xll.EQNXTDZ($A$1,$B16,DE$1)</f>
        <v>305.3</v>
      </c>
      <c r="DF16" s="116" cm="1">
        <f t="array" ref="DF16">_xll.EQNXTDZ($A$1,$B16,DF$1)</f>
        <v>327</v>
      </c>
      <c r="DG16" s="116" cm="1">
        <f t="array" ref="DG16">_xll.EQNXTDZ($A$1,$B16,DG$1)</f>
        <v>339.45</v>
      </c>
      <c r="DH16" s="116" cm="1">
        <f t="array" ref="DH16">_xll.EQNXTDZ($A$1,$B16,DH$1)</f>
        <v>320.60000000000002</v>
      </c>
      <c r="DI16" s="116" cm="1">
        <f t="array" ref="DI16">_xll.EQNXTDZ($A$1,$B16,DI$1)</f>
        <v>321.89999999999998</v>
      </c>
      <c r="DJ16" s="116" cm="1">
        <f t="array" ref="DJ16">_xll.EQNXTDZ($A$1,$B16,DJ$1)</f>
        <v>311.45</v>
      </c>
      <c r="DK16" s="116" cm="1">
        <f t="array" ref="DK16">_xll.EQNXTDZ($A$1,$B16,DK$1)</f>
        <v>311.45</v>
      </c>
      <c r="DL16" s="116" cm="1">
        <f t="array" ref="DL16">_xll.EQNXTDZ($A$1,$B16,DL$1)</f>
        <v>333</v>
      </c>
      <c r="DM16" s="116" cm="1">
        <f t="array" ref="DM16">_xll.EQNXTDZ($A$1,$B16,DM$1)</f>
        <v>316.8</v>
      </c>
      <c r="DN16" s="116" cm="1">
        <f t="array" ref="DN16">_xll.EQNXTDZ($A$1,$B16,DN$1)</f>
        <v>315.5</v>
      </c>
      <c r="DO16" s="116" cm="1">
        <f t="array" ref="DO16">_xll.EQNXTDZ($A$1,$B16,DO$1)</f>
        <v>311.8</v>
      </c>
      <c r="DP16" s="116" cm="1">
        <f t="array" ref="DP16">_xll.EQNXTDZ($A$1,$B16,DP$1)</f>
        <v>309.7</v>
      </c>
      <c r="DQ16" s="116" cm="1">
        <f t="array" ref="DQ16">_xll.EQNXTDZ($A$1,$B16,DQ$1)</f>
        <v>322</v>
      </c>
      <c r="DR16" s="116" cm="1">
        <f t="array" ref="DR16">_xll.EQNXTDZ($A$1,$B16,DR$1)</f>
        <v>301.10000000000002</v>
      </c>
      <c r="DS16" s="116" cm="1">
        <f t="array" ref="DS16">_xll.EQNXTDZ($A$1,$B16,DS$1)</f>
        <v>249.4</v>
      </c>
      <c r="DT16" s="116" cm="1">
        <f t="array" ref="DT16">_xll.EQNXTDZ($A$1,$B16,DT$1)</f>
        <v>269.8</v>
      </c>
      <c r="DU16" s="116" cm="1">
        <f t="array" ref="DU16">_xll.EQNXTDZ($A$1,$B16,DU$1)</f>
        <v>285.39999999999998</v>
      </c>
      <c r="DV16" s="116" cm="1">
        <f t="array" ref="DV16">_xll.EQNXTDZ($A$1,$B16,DV$1)</f>
        <v>267.2</v>
      </c>
      <c r="DW16" s="116" cm="1">
        <f t="array" ref="DW16">_xll.EQNXTDZ($A$1,$B16,DW$1)</f>
        <v>283.5</v>
      </c>
      <c r="DX16" s="116" cm="1">
        <f t="array" ref="DX16">_xll.EQNXTDZ($A$1,$B16,DX$1)</f>
        <v>307.14999999999998</v>
      </c>
      <c r="DY16" s="116" cm="1">
        <f t="array" ref="DY16">_xll.EQNXTDZ($A$1,$B16,DY$1)</f>
        <v>322.39999999999998</v>
      </c>
      <c r="DZ16" s="116" cm="1">
        <f t="array" ref="DZ16">_xll.EQNXTDZ($A$1,$B16,DZ$1)</f>
        <v>332.75</v>
      </c>
      <c r="EA16" s="116" cm="1">
        <f t="array" ref="EA16">_xll.EQNXTDZ($A$1,$B16,EA$1)</f>
        <v>304</v>
      </c>
      <c r="EB16" s="116" cm="1">
        <f t="array" ref="EB16">_xll.EQNXTDZ($A$1,$B16,EB$1)</f>
        <v>293.39999999999998</v>
      </c>
      <c r="EC16" s="116" cm="1">
        <f t="array" ref="EC16">_xll.EQNXTDZ($A$1,$B16,EC$1)</f>
        <v>314.5</v>
      </c>
      <c r="ED16" s="116" cm="1">
        <f t="array" ref="ED16">_xll.EQNXTDZ($A$1,$B16,ED$1)</f>
        <v>306.2</v>
      </c>
      <c r="EE16" s="116" cm="1">
        <f t="array" ref="EE16">_xll.EQNXTDZ($A$1,$B16,EE$1)</f>
        <v>307.2</v>
      </c>
      <c r="EF16" s="116" cm="1">
        <f t="array" ref="EF16">_xll.EQNXTDZ($A$1,$B16,EF$1)</f>
        <v>321.64999999999998</v>
      </c>
      <c r="EG16" s="116" cm="1">
        <f t="array" ref="EG16">_xll.EQNXTDZ($A$1,$B16,EG$1)</f>
        <v>318.3</v>
      </c>
      <c r="EH16" s="116" cm="1">
        <f t="array" ref="EH16">_xll.EQNXTDZ($A$1,$B16,EH$1)</f>
        <v>308.8</v>
      </c>
      <c r="EI16" s="116" cm="1">
        <f t="array" ref="EI16">_xll.EQNXTDZ($A$1,$B16,EI$1)</f>
        <v>295.39999999999998</v>
      </c>
      <c r="EJ16" s="116" cm="1">
        <f t="array" ref="EJ16">_xll.EQNXTDZ($A$1,$B16,EJ$1)</f>
        <v>299.7</v>
      </c>
      <c r="EK16" s="116" cm="1">
        <f t="array" ref="EK16">_xll.EQNXTDZ($A$1,$B16,EK$1)</f>
        <v>318</v>
      </c>
      <c r="EL16" s="116" cm="1">
        <f t="array" ref="EL16">_xll.EQNXTDZ($A$1,$B16,EL$1)</f>
        <v>317.2</v>
      </c>
      <c r="EM16" s="116" cm="1">
        <f t="array" ref="EM16">_xll.EQNXTDZ($A$1,$B16,EM$1)</f>
        <v>306.39999999999998</v>
      </c>
      <c r="EN16" s="116" cm="1">
        <f t="array" ref="EN16">_xll.EQNXTDZ($A$1,$B16,EN$1)</f>
        <v>292.25</v>
      </c>
      <c r="EO16" s="116" cm="1">
        <f t="array" ref="EO16">_xll.EQNXTDZ($A$1,$B16,EO$1)</f>
        <v>426.85</v>
      </c>
      <c r="EP16" s="116" cm="1">
        <f t="array" ref="EP16">_xll.EQNXTDZ($A$1,$B16,EP$1)</f>
        <v>687</v>
      </c>
      <c r="EQ16" s="116" cm="1">
        <f t="array" ref="EQ16">_xll.EQNXTDZ($A$1,$B16,EQ$1)</f>
        <v>668.9</v>
      </c>
      <c r="ER16" s="116" cm="1">
        <f t="array" ref="ER16">_xll.EQNXTDZ($A$1,$B16,ER$1)</f>
        <v>646.45000000000005</v>
      </c>
      <c r="ES16" s="116" cm="1">
        <f t="array" ref="ES16">_xll.EQNXTDZ($A$1,$B16,ES$1)</f>
        <v>500</v>
      </c>
      <c r="ET16" s="116" cm="1">
        <f t="array" ref="ET16">_xll.EQNXTDZ($A$1,$B16,ET$1)</f>
        <v>522.29999999999995</v>
      </c>
      <c r="EU16" s="116" cm="1">
        <f t="array" ref="EU16">_xll.EQNXTDZ($A$1,$B16,EU$1)</f>
        <v>552.4</v>
      </c>
      <c r="EV16" s="116" cm="1">
        <f t="array" ref="EV16">_xll.EQNXTDZ($A$1,$B16,EV$1)</f>
        <v>504.65</v>
      </c>
      <c r="EW16" s="116" cm="1">
        <f t="array" ref="EW16">_xll.EQNXTDZ($A$1,$B16,EW$1)</f>
        <v>443.7</v>
      </c>
      <c r="EX16" s="116" cm="1">
        <f t="array" ref="EX16">_xll.EQNXTDZ($A$1,$B16,EX$1)</f>
        <v>449.9</v>
      </c>
      <c r="EY16" s="116" cm="1">
        <f t="array" ref="EY16">_xll.EQNXTDZ($A$1,$B16,EY$1)</f>
        <v>390.75</v>
      </c>
      <c r="EZ16" s="116" cm="1">
        <f t="array" ref="EZ16">_xll.EQNXTDZ($A$1,$B16,EZ$1)</f>
        <v>462</v>
      </c>
      <c r="FA16" s="116" cm="1">
        <f t="array" ref="FA16">_xll.EQNXTDZ($A$1,$B16,FA$1)</f>
        <v>438.8</v>
      </c>
      <c r="FB16" s="116" cm="1">
        <f t="array" ref="FB16">_xll.EQNXTDZ($A$1,$B16,FB$1)</f>
        <v>458.25</v>
      </c>
      <c r="FC16" s="116" cm="1">
        <f t="array" ref="FC16">_xll.EQNXTDZ($A$1,$B16,FC$1)</f>
        <v>450.85</v>
      </c>
      <c r="FD16" s="116" cm="1">
        <f t="array" ref="FD16">_xll.EQNXTDZ($A$1,$B16,FD$1)</f>
        <v>424.5</v>
      </c>
      <c r="FE16" s="116" cm="1">
        <f t="array" ref="FE16">_xll.EQNXTDZ($A$1,$B16,FE$1)</f>
        <v>419.2</v>
      </c>
      <c r="FF16" s="116" cm="1">
        <f t="array" ref="FF16">_xll.EQNXTDZ($A$1,$B16,FF$1)</f>
        <v>482.45</v>
      </c>
      <c r="FG16" s="116" cm="1">
        <f t="array" ref="FG16">_xll.EQNXTDZ($A$1,$B16,FG$1)</f>
        <v>476.25</v>
      </c>
      <c r="FH16" s="116" cm="1">
        <f t="array" ref="FH16">_xll.EQNXTDZ($A$1,$B16,FH$1)</f>
        <v>485.45</v>
      </c>
      <c r="FI16" s="116" cm="1">
        <f t="array" ref="FI16">_xll.EQNXTDZ($A$1,$B16,FI$1)</f>
        <v>612.29999999999995</v>
      </c>
      <c r="FJ16" s="116" cm="1">
        <f t="array" ref="FJ16">_xll.EQNXTDZ($A$1,$B16,FJ$1)</f>
        <v>628.85</v>
      </c>
      <c r="FK16" s="116" cm="1">
        <f t="array" ref="FK16">_xll.EQNXTDZ($A$1,$B16,FK$1)</f>
        <v>603.85</v>
      </c>
      <c r="FL16" s="116" cm="1">
        <f t="array" ref="FL16">_xll.EQNXTDZ($A$1,$B16,FL$1)</f>
        <v>502.2</v>
      </c>
      <c r="FM16" s="116" cm="1">
        <f t="array" ref="FM16">_xll.EQNXTDZ($A$1,$B16,FM$1)</f>
        <v>595.5</v>
      </c>
      <c r="FN16" s="116" cm="1">
        <f t="array" ref="FN16">_xll.EQNXTDZ($A$1,$B16,FN$1)</f>
        <v>632.5</v>
      </c>
      <c r="FO16" s="116" cm="1">
        <f t="array" ref="FO16">_xll.EQNXTDZ($A$1,$B16,FO$1)</f>
        <v>564.45000000000005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135.44999999999999</v>
      </c>
      <c r="HQ16" s="116">
        <f>+I16</f>
        <v>136.05000000000001</v>
      </c>
      <c r="HR16" s="116">
        <f>+L16</f>
        <v>121.15</v>
      </c>
      <c r="HS16" s="116">
        <f>+O16</f>
        <v>102.45</v>
      </c>
      <c r="HT16" s="116">
        <f>+R16</f>
        <v>133.05000000000001</v>
      </c>
      <c r="HU16" s="116">
        <f>+U16</f>
        <v>132.44999999999999</v>
      </c>
      <c r="HV16" s="116">
        <f>+X16</f>
        <v>128.35</v>
      </c>
      <c r="HW16" s="116">
        <f>+AA16</f>
        <v>166.75</v>
      </c>
      <c r="HX16" s="116">
        <f>+AD16</f>
        <v>160.85</v>
      </c>
      <c r="HY16" s="116">
        <f>+AG16</f>
        <v>170.35</v>
      </c>
      <c r="HZ16" s="116">
        <f>+AJ16</f>
        <v>161.85</v>
      </c>
      <c r="IA16" s="116">
        <f>+AM16</f>
        <v>167</v>
      </c>
      <c r="IB16" s="116">
        <f>+AP16</f>
        <v>139.65</v>
      </c>
      <c r="IC16" s="116">
        <f>+AS16</f>
        <v>146.6</v>
      </c>
      <c r="ID16" s="116">
        <f>+AV16</f>
        <v>183.5</v>
      </c>
      <c r="IE16" s="116">
        <f>+AY16</f>
        <v>179.8</v>
      </c>
      <c r="IF16" s="116">
        <f>+BB16</f>
        <v>233.25</v>
      </c>
      <c r="IG16" s="116">
        <f>+BE16</f>
        <v>255.45</v>
      </c>
      <c r="IH16" s="116">
        <f>+BH16</f>
        <v>288.85000000000002</v>
      </c>
      <c r="II16" s="116">
        <f>+BK16</f>
        <v>262.85000000000002</v>
      </c>
      <c r="IJ16" s="116">
        <f>+BN16</f>
        <v>295.8</v>
      </c>
      <c r="IK16" s="116">
        <f>+BQ16</f>
        <v>309</v>
      </c>
      <c r="IL16" s="116">
        <f>+BT16</f>
        <v>300.95</v>
      </c>
      <c r="IM16" s="116">
        <f>+BW16</f>
        <v>275.75</v>
      </c>
      <c r="IN16" s="116">
        <f>+BZ16</f>
        <v>290.39999999999998</v>
      </c>
      <c r="IO16" s="116">
        <f>+CC16</f>
        <v>277.8</v>
      </c>
      <c r="IP16" s="116">
        <f>+CF16</f>
        <v>276.39999999999998</v>
      </c>
      <c r="IQ16" s="116">
        <f>+CI16</f>
        <v>244</v>
      </c>
      <c r="IR16" s="116">
        <f>+CL16</f>
        <v>213.5</v>
      </c>
      <c r="IS16" s="116">
        <f>+CO16</f>
        <v>209.7</v>
      </c>
      <c r="IT16" s="116">
        <f>+CR16</f>
        <v>155.15</v>
      </c>
      <c r="IU16" s="116">
        <f>+CU16</f>
        <v>195.95</v>
      </c>
      <c r="IV16" s="116">
        <f>+CX16</f>
        <v>209.9</v>
      </c>
      <c r="IW16" s="116">
        <f>+DA16</f>
        <v>238.9</v>
      </c>
      <c r="IX16" s="116">
        <f>+DD16</f>
        <v>272.8</v>
      </c>
      <c r="IY16" s="116">
        <f>+DG16</f>
        <v>339.45</v>
      </c>
      <c r="IZ16" s="116">
        <f>+DJ16</f>
        <v>311.45</v>
      </c>
      <c r="JA16" s="116">
        <f>+DM16</f>
        <v>316.8</v>
      </c>
      <c r="JB16" s="116">
        <f>+DP16</f>
        <v>309.7</v>
      </c>
      <c r="JC16" s="116">
        <f>+DS16</f>
        <v>249.4</v>
      </c>
      <c r="JD16" s="116">
        <f>+DV16</f>
        <v>267.2</v>
      </c>
      <c r="JE16" s="116">
        <f>+DY16</f>
        <v>322.39999999999998</v>
      </c>
      <c r="JF16" s="116">
        <f>+EB16</f>
        <v>293.39999999999998</v>
      </c>
      <c r="JG16" s="116">
        <f>+EE16</f>
        <v>307.2</v>
      </c>
      <c r="JH16" s="116">
        <f>+EH16</f>
        <v>308.8</v>
      </c>
      <c r="JI16" s="116">
        <f>+EK16</f>
        <v>318</v>
      </c>
      <c r="JJ16" s="116">
        <f>+EN16</f>
        <v>292.25</v>
      </c>
      <c r="JK16" s="116">
        <f>EQ16</f>
        <v>668.9</v>
      </c>
      <c r="JL16" s="116">
        <f>ET16</f>
        <v>522.29999999999995</v>
      </c>
      <c r="JM16" s="116">
        <f>EW16</f>
        <v>443.7</v>
      </c>
      <c r="JN16" s="116">
        <f>EZ16</f>
        <v>462</v>
      </c>
      <c r="JO16" s="116">
        <f>FC16</f>
        <v>450.85</v>
      </c>
      <c r="JP16" s="116">
        <f>FF16</f>
        <v>482.45</v>
      </c>
      <c r="JQ16" s="116">
        <f>FI16</f>
        <v>612.29999999999995</v>
      </c>
      <c r="JR16" s="116">
        <f>FL16</f>
        <v>502.2</v>
      </c>
      <c r="JS16" s="116">
        <f>FO16</f>
        <v>564.45000000000005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139.94999999999999</v>
      </c>
      <c r="HQ19" s="116">
        <f t="shared" ref="HQ19:JI21" si="1">+IF(HQ14=0,HQ7,HQ14)</f>
        <v>146.80000000000001</v>
      </c>
      <c r="HR19" s="116">
        <f t="shared" si="1"/>
        <v>142.94999999999999</v>
      </c>
      <c r="HS19" s="116">
        <f t="shared" si="1"/>
        <v>125.3</v>
      </c>
      <c r="HT19" s="116">
        <f t="shared" si="1"/>
        <v>137.25</v>
      </c>
      <c r="HU19" s="116">
        <f t="shared" si="1"/>
        <v>140.44999999999999</v>
      </c>
      <c r="HV19" s="116">
        <f t="shared" si="1"/>
        <v>141.80000000000001</v>
      </c>
      <c r="HW19" s="116">
        <f t="shared" si="1"/>
        <v>184</v>
      </c>
      <c r="HX19" s="116">
        <f t="shared" si="1"/>
        <v>178</v>
      </c>
      <c r="HY19" s="116">
        <f t="shared" si="1"/>
        <v>178.9</v>
      </c>
      <c r="HZ19" s="116">
        <f t="shared" si="1"/>
        <v>190.4</v>
      </c>
      <c r="IA19" s="116">
        <f t="shared" si="1"/>
        <v>183.6</v>
      </c>
      <c r="IB19" s="116">
        <f t="shared" si="1"/>
        <v>170.05</v>
      </c>
      <c r="IC19" s="116">
        <f t="shared" si="1"/>
        <v>163.55000000000001</v>
      </c>
      <c r="ID19" s="116">
        <f t="shared" si="1"/>
        <v>199.8</v>
      </c>
      <c r="IE19" s="116">
        <f t="shared" si="1"/>
        <v>189.65</v>
      </c>
      <c r="IF19" s="116">
        <f t="shared" si="1"/>
        <v>235.8</v>
      </c>
      <c r="IG19" s="116">
        <f t="shared" si="1"/>
        <v>289.85000000000002</v>
      </c>
      <c r="IH19" s="116">
        <f t="shared" si="1"/>
        <v>333.4</v>
      </c>
      <c r="II19" s="116">
        <f t="shared" si="1"/>
        <v>294.2</v>
      </c>
      <c r="IJ19" s="116">
        <f t="shared" si="1"/>
        <v>313.60000000000002</v>
      </c>
      <c r="IK19" s="116">
        <f t="shared" si="1"/>
        <v>330.6</v>
      </c>
      <c r="IL19" s="116">
        <f t="shared" si="1"/>
        <v>339.55</v>
      </c>
      <c r="IM19" s="116">
        <f t="shared" si="1"/>
        <v>336.35</v>
      </c>
      <c r="IN19" s="116">
        <f t="shared" si="1"/>
        <v>308.89999999999998</v>
      </c>
      <c r="IO19" s="116">
        <f t="shared" si="1"/>
        <v>299</v>
      </c>
      <c r="IP19" s="116">
        <f t="shared" si="1"/>
        <v>281.45</v>
      </c>
      <c r="IQ19" s="116">
        <f t="shared" si="1"/>
        <v>291.8</v>
      </c>
      <c r="IR19" s="116">
        <f t="shared" si="1"/>
        <v>248.45</v>
      </c>
      <c r="IS19" s="116">
        <f t="shared" si="1"/>
        <v>225</v>
      </c>
      <c r="IT19" s="116">
        <f t="shared" si="1"/>
        <v>224.6</v>
      </c>
      <c r="IU19" s="116">
        <f t="shared" si="1"/>
        <v>204.75</v>
      </c>
      <c r="IV19" s="116">
        <f t="shared" si="1"/>
        <v>258.8</v>
      </c>
      <c r="IW19" s="116">
        <f t="shared" si="1"/>
        <v>249.25</v>
      </c>
      <c r="IX19" s="116">
        <f t="shared" si="1"/>
        <v>334.25</v>
      </c>
      <c r="IY19" s="116">
        <f t="shared" si="1"/>
        <v>362.4</v>
      </c>
      <c r="IZ19" s="116">
        <f t="shared" si="1"/>
        <v>350.8</v>
      </c>
      <c r="JA19" s="116">
        <f t="shared" si="1"/>
        <v>407.9</v>
      </c>
      <c r="JB19" s="116">
        <f t="shared" si="1"/>
        <v>372.15</v>
      </c>
      <c r="JC19" s="116">
        <f t="shared" si="1"/>
        <v>356.7</v>
      </c>
      <c r="JD19" s="116">
        <f t="shared" si="1"/>
        <v>301.5</v>
      </c>
      <c r="JE19" s="116">
        <f t="shared" si="1"/>
        <v>333</v>
      </c>
      <c r="JF19" s="116">
        <f t="shared" si="1"/>
        <v>383</v>
      </c>
      <c r="JG19" s="116">
        <f t="shared" si="1"/>
        <v>328.45</v>
      </c>
      <c r="JH19" s="116">
        <f t="shared" si="1"/>
        <v>344</v>
      </c>
      <c r="JI19" s="116">
        <f t="shared" si="1"/>
        <v>331.8</v>
      </c>
      <c r="JJ19" s="116">
        <f t="shared" ref="JJ19:JJ21" si="2">+IF(JJ14=0,JJ7,JJ14)</f>
        <v>325.10000000000002</v>
      </c>
      <c r="JK19" s="116">
        <f t="shared" ref="JK19" si="3">+IF(JK14=0,JK7,JK14)</f>
        <v>807</v>
      </c>
      <c r="JL19" s="116">
        <f t="shared" ref="JL19:JM19" si="4">+IF(JL14=0,JL7,JL14)</f>
        <v>717.1</v>
      </c>
      <c r="JM19" s="116">
        <f t="shared" si="4"/>
        <v>575</v>
      </c>
      <c r="JN19" s="116">
        <f t="shared" ref="JN19:JO19" si="5">+IF(JN14=0,JN7,JN14)</f>
        <v>480.3</v>
      </c>
      <c r="JO19" s="116">
        <f t="shared" si="5"/>
        <v>546.95000000000005</v>
      </c>
      <c r="JP19" s="116">
        <f t="shared" ref="JP19" si="6">+IF(JP14=0,JP7,JP14)</f>
        <v>483.7</v>
      </c>
      <c r="JQ19" s="116">
        <f t="shared" ref="JQ19:KH19" si="7">+IF(JQ14=0,JQ7,JQ14)</f>
        <v>656.25</v>
      </c>
      <c r="JR19" s="116">
        <f t="shared" si="7"/>
        <v>732.6</v>
      </c>
      <c r="JS19" s="116">
        <f t="shared" si="7"/>
        <v>678.3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113.55</v>
      </c>
      <c r="HQ20" s="116">
        <f t="shared" si="8"/>
        <v>128.55000000000001</v>
      </c>
      <c r="HR20" s="116">
        <f t="shared" si="8"/>
        <v>110.55</v>
      </c>
      <c r="HS20" s="116">
        <f t="shared" si="8"/>
        <v>96.2</v>
      </c>
      <c r="HT20" s="116">
        <f t="shared" si="8"/>
        <v>94</v>
      </c>
      <c r="HU20" s="116">
        <f t="shared" si="8"/>
        <v>121.6</v>
      </c>
      <c r="HV20" s="116">
        <f t="shared" si="8"/>
        <v>114.8</v>
      </c>
      <c r="HW20" s="116">
        <f t="shared" si="8"/>
        <v>121.1</v>
      </c>
      <c r="HX20" s="116">
        <f t="shared" si="8"/>
        <v>152</v>
      </c>
      <c r="HY20" s="116">
        <f t="shared" si="8"/>
        <v>153.05000000000001</v>
      </c>
      <c r="HZ20" s="116">
        <f t="shared" si="8"/>
        <v>152.5</v>
      </c>
      <c r="IA20" s="116">
        <f t="shared" si="8"/>
        <v>160.19999999999999</v>
      </c>
      <c r="IB20" s="116">
        <f t="shared" si="8"/>
        <v>117.2</v>
      </c>
      <c r="IC20" s="116">
        <f t="shared" si="8"/>
        <v>136.30000000000001</v>
      </c>
      <c r="ID20" s="116">
        <f t="shared" si="8"/>
        <v>135.80000000000001</v>
      </c>
      <c r="IE20" s="116">
        <f t="shared" si="8"/>
        <v>158.19999999999999</v>
      </c>
      <c r="IF20" s="116">
        <f t="shared" si="1"/>
        <v>176</v>
      </c>
      <c r="IG20" s="116">
        <f t="shared" si="1"/>
        <v>231</v>
      </c>
      <c r="IH20" s="116">
        <f t="shared" si="1"/>
        <v>250.1</v>
      </c>
      <c r="II20" s="116">
        <f t="shared" si="1"/>
        <v>226.75</v>
      </c>
      <c r="IJ20" s="116">
        <f t="shared" si="1"/>
        <v>263.10000000000002</v>
      </c>
      <c r="IK20" s="116">
        <f t="shared" si="1"/>
        <v>281.39999999999998</v>
      </c>
      <c r="IL20" s="116">
        <f t="shared" si="1"/>
        <v>275.10000000000002</v>
      </c>
      <c r="IM20" s="116">
        <f t="shared" si="1"/>
        <v>270</v>
      </c>
      <c r="IN20" s="116">
        <f t="shared" si="1"/>
        <v>261.14999999999998</v>
      </c>
      <c r="IO20" s="116">
        <f t="shared" si="1"/>
        <v>259.5</v>
      </c>
      <c r="IP20" s="116">
        <f t="shared" si="1"/>
        <v>243</v>
      </c>
      <c r="IQ20" s="116">
        <f t="shared" si="1"/>
        <v>225.7</v>
      </c>
      <c r="IR20" s="116">
        <f t="shared" si="1"/>
        <v>193</v>
      </c>
      <c r="IS20" s="116">
        <f t="shared" si="1"/>
        <v>199</v>
      </c>
      <c r="IT20" s="116">
        <f t="shared" si="1"/>
        <v>122</v>
      </c>
      <c r="IU20" s="116">
        <f t="shared" si="1"/>
        <v>151.69999999999999</v>
      </c>
      <c r="IV20" s="116">
        <f t="shared" si="1"/>
        <v>182.5</v>
      </c>
      <c r="IW20" s="116">
        <f t="shared" si="1"/>
        <v>197.55</v>
      </c>
      <c r="IX20" s="116">
        <f t="shared" si="1"/>
        <v>230.8</v>
      </c>
      <c r="IY20" s="116">
        <f t="shared" si="1"/>
        <v>274.3</v>
      </c>
      <c r="IZ20" s="116">
        <f t="shared" si="1"/>
        <v>294</v>
      </c>
      <c r="JA20" s="116">
        <f t="shared" si="1"/>
        <v>305.60000000000002</v>
      </c>
      <c r="JB20" s="116">
        <f t="shared" si="1"/>
        <v>295.60000000000002</v>
      </c>
      <c r="JC20" s="116">
        <f t="shared" si="1"/>
        <v>245.25</v>
      </c>
      <c r="JD20" s="116">
        <f t="shared" si="1"/>
        <v>242.4</v>
      </c>
      <c r="JE20" s="116">
        <f t="shared" si="1"/>
        <v>264.5</v>
      </c>
      <c r="JF20" s="116">
        <f t="shared" si="1"/>
        <v>292.3</v>
      </c>
      <c r="JG20" s="116">
        <f t="shared" si="1"/>
        <v>293.14999999999998</v>
      </c>
      <c r="JH20" s="116">
        <f t="shared" si="1"/>
        <v>294</v>
      </c>
      <c r="JI20" s="116">
        <f t="shared" si="1"/>
        <v>290.55</v>
      </c>
      <c r="JJ20" s="116">
        <f t="shared" si="2"/>
        <v>285</v>
      </c>
      <c r="JK20" s="116">
        <f t="shared" ref="JK20" si="9">+IF(JK15=0,JK8,JK15)</f>
        <v>295.14999999999998</v>
      </c>
      <c r="JL20" s="116">
        <f t="shared" ref="JL20:JM20" si="10">+IF(JL15=0,JL8,JL15)</f>
        <v>475.55</v>
      </c>
      <c r="JM20" s="116">
        <f t="shared" si="10"/>
        <v>430.25</v>
      </c>
      <c r="JN20" s="116">
        <f t="shared" ref="JN20:JO20" si="11">+IF(JN15=0,JN8,JN15)</f>
        <v>378.65</v>
      </c>
      <c r="JO20" s="116">
        <f t="shared" si="11"/>
        <v>385.05</v>
      </c>
      <c r="JP20" s="116">
        <f t="shared" ref="JP20" si="12">+IF(JP15=0,JP8,JP15)</f>
        <v>413.4</v>
      </c>
      <c r="JQ20" s="116">
        <f t="shared" ref="JQ20:KH20" si="13">+IF(JQ15=0,JQ8,JQ15)</f>
        <v>453.5</v>
      </c>
      <c r="JR20" s="116">
        <f t="shared" si="13"/>
        <v>484</v>
      </c>
      <c r="JS20" s="116">
        <f t="shared" si="13"/>
        <v>503.3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135.44999999999999</v>
      </c>
      <c r="HQ21" s="116">
        <f t="shared" si="1"/>
        <v>136.05000000000001</v>
      </c>
      <c r="HR21" s="116">
        <f t="shared" si="1"/>
        <v>121.15</v>
      </c>
      <c r="HS21" s="116">
        <f t="shared" si="1"/>
        <v>102.45</v>
      </c>
      <c r="HT21" s="116">
        <f t="shared" si="1"/>
        <v>133.05000000000001</v>
      </c>
      <c r="HU21" s="116">
        <f t="shared" si="1"/>
        <v>132.44999999999999</v>
      </c>
      <c r="HV21" s="116">
        <f t="shared" si="1"/>
        <v>128.35</v>
      </c>
      <c r="HW21" s="116">
        <f t="shared" si="1"/>
        <v>166.75</v>
      </c>
      <c r="HX21" s="116">
        <f t="shared" si="1"/>
        <v>160.85</v>
      </c>
      <c r="HY21" s="116">
        <f t="shared" si="1"/>
        <v>170.35</v>
      </c>
      <c r="HZ21" s="116">
        <f t="shared" si="1"/>
        <v>161.85</v>
      </c>
      <c r="IA21" s="116">
        <f t="shared" si="1"/>
        <v>167</v>
      </c>
      <c r="IB21" s="116">
        <f t="shared" si="1"/>
        <v>139.65</v>
      </c>
      <c r="IC21" s="116">
        <f t="shared" si="1"/>
        <v>146.6</v>
      </c>
      <c r="ID21" s="116">
        <f t="shared" si="1"/>
        <v>183.5</v>
      </c>
      <c r="IE21" s="116">
        <f t="shared" si="1"/>
        <v>179.8</v>
      </c>
      <c r="IF21" s="116">
        <f t="shared" si="1"/>
        <v>233.25</v>
      </c>
      <c r="IG21" s="116">
        <f t="shared" si="1"/>
        <v>255.45</v>
      </c>
      <c r="IH21" s="116">
        <f t="shared" si="1"/>
        <v>288.85000000000002</v>
      </c>
      <c r="II21" s="116">
        <f t="shared" si="1"/>
        <v>262.85000000000002</v>
      </c>
      <c r="IJ21" s="116">
        <f t="shared" si="1"/>
        <v>295.8</v>
      </c>
      <c r="IK21" s="116">
        <f t="shared" si="1"/>
        <v>309</v>
      </c>
      <c r="IL21" s="116">
        <f t="shared" si="1"/>
        <v>300.95</v>
      </c>
      <c r="IM21" s="116">
        <f t="shared" si="1"/>
        <v>275.75</v>
      </c>
      <c r="IN21" s="116">
        <f t="shared" si="1"/>
        <v>290.39999999999998</v>
      </c>
      <c r="IO21" s="116">
        <f t="shared" si="1"/>
        <v>277.8</v>
      </c>
      <c r="IP21" s="116">
        <f t="shared" si="1"/>
        <v>276.39999999999998</v>
      </c>
      <c r="IQ21" s="116">
        <f t="shared" si="1"/>
        <v>244</v>
      </c>
      <c r="IR21" s="116">
        <f t="shared" si="1"/>
        <v>213.5</v>
      </c>
      <c r="IS21" s="116">
        <f t="shared" si="1"/>
        <v>209.7</v>
      </c>
      <c r="IT21" s="116">
        <f t="shared" si="1"/>
        <v>155.15</v>
      </c>
      <c r="IU21" s="116">
        <f t="shared" si="1"/>
        <v>195.95</v>
      </c>
      <c r="IV21" s="116">
        <f t="shared" si="1"/>
        <v>209.9</v>
      </c>
      <c r="IW21" s="116">
        <f t="shared" si="1"/>
        <v>238.9</v>
      </c>
      <c r="IX21" s="116">
        <f t="shared" si="1"/>
        <v>272.8</v>
      </c>
      <c r="IY21" s="116">
        <f t="shared" si="1"/>
        <v>339.45</v>
      </c>
      <c r="IZ21" s="116">
        <f t="shared" si="1"/>
        <v>311.45</v>
      </c>
      <c r="JA21" s="116">
        <f t="shared" si="1"/>
        <v>316.8</v>
      </c>
      <c r="JB21" s="116">
        <f t="shared" si="1"/>
        <v>309.7</v>
      </c>
      <c r="JC21" s="116">
        <f t="shared" si="1"/>
        <v>249.4</v>
      </c>
      <c r="JD21" s="116">
        <f t="shared" si="1"/>
        <v>267.2</v>
      </c>
      <c r="JE21" s="116">
        <f t="shared" si="1"/>
        <v>322.39999999999998</v>
      </c>
      <c r="JF21" s="116">
        <f t="shared" si="1"/>
        <v>293.39999999999998</v>
      </c>
      <c r="JG21" s="116">
        <f t="shared" si="1"/>
        <v>307.2</v>
      </c>
      <c r="JH21" s="116">
        <f t="shared" si="1"/>
        <v>308.8</v>
      </c>
      <c r="JI21" s="116">
        <f t="shared" si="1"/>
        <v>318</v>
      </c>
      <c r="JJ21" s="116">
        <f t="shared" si="2"/>
        <v>292.25</v>
      </c>
      <c r="JK21" s="116">
        <f t="shared" ref="JK21" si="14">+IF(JK16=0,JK9,JK16)</f>
        <v>668.9</v>
      </c>
      <c r="JL21" s="116">
        <f t="shared" ref="JL21:JM21" si="15">+IF(JL16=0,JL9,JL16)</f>
        <v>522.29999999999995</v>
      </c>
      <c r="JM21" s="116">
        <f t="shared" si="15"/>
        <v>443.7</v>
      </c>
      <c r="JN21" s="116">
        <f t="shared" ref="JN21:JO21" si="16">+IF(JN16=0,JN9,JN16)</f>
        <v>462</v>
      </c>
      <c r="JO21" s="116">
        <f t="shared" si="16"/>
        <v>450.85</v>
      </c>
      <c r="JP21" s="116">
        <f t="shared" ref="JP21" si="17">+IF(JP16=0,JP9,JP16)</f>
        <v>482.45</v>
      </c>
      <c r="JQ21" s="116">
        <f t="shared" ref="JQ21:KH21" si="18">+IF(JQ16=0,JQ9,JQ16)</f>
        <v>612.29999999999995</v>
      </c>
      <c r="JR21" s="116">
        <f t="shared" si="18"/>
        <v>502.2</v>
      </c>
      <c r="JS21" s="116">
        <f t="shared" si="18"/>
        <v>564.45000000000005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100188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4225319000</v>
      </c>
      <c r="D6" cm="1">
        <f t="array" ref="D6">_xll.EQNXTDZ($A$1,$B6,D$1)</f>
        <v>4225319000</v>
      </c>
      <c r="E6" cm="1">
        <f t="array" ref="E6">_xll.EQNXTDZ($A$1,$B6,E$1)</f>
        <v>4225319000</v>
      </c>
      <c r="F6" cm="1">
        <f t="array" ref="F6">_xll.EQNXTDZ($A$1,$B6,F$1)</f>
        <v>4225319000</v>
      </c>
      <c r="G6" cm="1">
        <f t="array" ref="G6">_xll.EQNXTDZ($A$1,$B6,G$1)</f>
        <v>4225319000</v>
      </c>
      <c r="H6" cm="1">
        <f t="array" ref="H6">_xll.EQNXTDZ($A$1,$B6,H$1)</f>
        <v>4225319000</v>
      </c>
      <c r="I6" cm="1">
        <f t="array" ref="I6">_xll.EQNXTDZ($A$1,$B6,I$1)</f>
        <v>4225319000</v>
      </c>
      <c r="J6" cm="1">
        <f t="array" ref="J6">_xll.EQNXTDZ($A$1,$B6,J$1)</f>
        <v>4225319000</v>
      </c>
      <c r="K6" cm="1">
        <f t="array" ref="K6">_xll.EQNXTDZ($A$1,$B6,K$1)</f>
        <v>4225319000</v>
      </c>
      <c r="L6" cm="1">
        <f t="array" ref="L6">_xll.EQNXTDZ($A$1,$B6,L$1)</f>
        <v>4225319000</v>
      </c>
      <c r="M6" cm="1">
        <f t="array" ref="M6">_xll.EQNXTDZ($A$1,$B6,M$1)</f>
        <v>4225319000</v>
      </c>
      <c r="N6" cm="1">
        <f t="array" ref="N6">_xll.EQNXTDZ($A$1,$B6,N$1)</f>
        <v>4225319000</v>
      </c>
      <c r="O6" cm="1">
        <f t="array" ref="O6">_xll.EQNXTDZ($A$1,$B6,O$1)</f>
        <v>4225319000</v>
      </c>
      <c r="P6" cm="1">
        <f t="array" ref="P6">_xll.EQNXTDZ($A$1,$B6,P$1)</f>
        <v>4225319000</v>
      </c>
      <c r="Q6" cm="1">
        <f t="array" ref="Q6">_xll.EQNXTDZ($A$1,$B6,Q$1)</f>
        <v>4225319000</v>
      </c>
      <c r="R6" cm="1">
        <f t="array" ref="R6">_xll.EQNXTDZ($A$1,$B6,R$1)</f>
        <v>4225319000</v>
      </c>
      <c r="S6" cm="1">
        <f t="array" ref="S6">_xll.EQNXTDZ($A$1,$B6,S$1)</f>
        <v>4225319000</v>
      </c>
      <c r="T6" cm="1">
        <f t="array" ref="T6">_xll.EQNXTDZ($A$1,$B6,T$1)</f>
        <v>4225319000</v>
      </c>
      <c r="U6" cm="1">
        <f t="array" ref="U6">_xll.EQNXTDZ($A$1,$B6,U$1)</f>
        <v>4225319000</v>
      </c>
      <c r="V6" cm="1">
        <f t="array" ref="V6">_xll.EQNXTDZ($A$1,$B6,V$1)</f>
        <v>4225319000</v>
      </c>
      <c r="W6" cm="1">
        <f t="array" ref="W6">_xll.EQNXTDZ($A$1,$B6,W$1)</f>
        <v>4225319000</v>
      </c>
      <c r="X6" cm="1">
        <f t="array" ref="X6">_xll.EQNXTDZ($A$1,$B6,X$1)</f>
        <v>4225319000</v>
      </c>
      <c r="Y6" cm="1">
        <f t="array" ref="Y6">_xll.EQNXTDZ($A$1,$B6,Y$1)</f>
        <v>4225319000</v>
      </c>
      <c r="Z6" cm="1">
        <f t="array" ref="Z6">_xll.EQNXTDZ($A$1,$B6,Z$1)</f>
        <v>4225319000</v>
      </c>
      <c r="AA6" cm="1">
        <f t="array" ref="AA6">_xll.EQNXTDZ($A$1,$B6,AA$1)</f>
        <v>4225319000</v>
      </c>
      <c r="AB6" cm="1">
        <f t="array" ref="AB6">_xll.EQNXTDZ($A$1,$B6,AB$1)</f>
        <v>4225319000</v>
      </c>
      <c r="AC6" cm="1">
        <f t="array" ref="AC6">_xll.EQNXTDZ($A$1,$B6,AC$1)</f>
        <v>4225319000</v>
      </c>
      <c r="AD6" cm="1">
        <f t="array" ref="AD6">_xll.EQNXTDZ($A$1,$B6,AD$1)</f>
        <v>4225319000</v>
      </c>
      <c r="AE6" cm="1">
        <f t="array" ref="AE6">_xll.EQNXTDZ($A$1,$B6,AE$1)</f>
        <v>4225319000</v>
      </c>
      <c r="AF6" cm="1">
        <f t="array" ref="AF6">_xll.EQNXTDZ($A$1,$B6,AF$1)</f>
        <v>4225319000</v>
      </c>
      <c r="AG6" cm="1">
        <f t="array" ref="AG6">_xll.EQNXTDZ($A$1,$B6,AG$1)</f>
        <v>4225319000</v>
      </c>
      <c r="AH6" cm="1">
        <f t="array" ref="AH6">_xll.EQNXTDZ($A$1,$B6,AH$1)</f>
        <v>4225319000</v>
      </c>
      <c r="AI6" cm="1">
        <f t="array" ref="AI6">_xll.EQNXTDZ($A$1,$B6,AI$1)</f>
        <v>4225319000</v>
      </c>
      <c r="AJ6" cm="1">
        <f t="array" ref="AJ6">_xll.EQNXTDZ($A$1,$B6,AJ$1)</f>
        <v>4225319000</v>
      </c>
      <c r="AK6" cm="1">
        <f t="array" ref="AK6">_xll.EQNXTDZ($A$1,$B6,AK$1)</f>
        <v>4225319000</v>
      </c>
      <c r="AL6" cm="1">
        <f t="array" ref="AL6">_xll.EQNXTDZ($A$1,$B6,AL$1)</f>
        <v>4225319000</v>
      </c>
      <c r="AM6" cm="1">
        <f t="array" ref="AM6">_xll.EQNXTDZ($A$1,$B6,AM$1)</f>
        <v>4225319000</v>
      </c>
      <c r="AN6" cm="1">
        <f t="array" ref="AN6">_xll.EQNXTDZ($A$1,$B6,AN$1)</f>
        <v>4225319000</v>
      </c>
      <c r="AO6" cm="1">
        <f t="array" ref="AO6">_xll.EQNXTDZ($A$1,$B6,AO$1)</f>
        <v>4225319000</v>
      </c>
      <c r="AP6" cm="1">
        <f t="array" ref="AP6">_xll.EQNXTDZ($A$1,$B6,AP$1)</f>
        <v>4225319000</v>
      </c>
      <c r="AQ6" cm="1">
        <f t="array" ref="AQ6">_xll.EQNXTDZ($A$1,$B6,AQ$1)</f>
        <v>4225319000</v>
      </c>
      <c r="AR6" cm="1">
        <f t="array" ref="AR6">_xll.EQNXTDZ($A$1,$B6,AR$1)</f>
        <v>4225319000</v>
      </c>
      <c r="AS6" cm="1">
        <f t="array" ref="AS6">_xll.EQNXTDZ($A$1,$B6,AS$1)</f>
        <v>4225319000</v>
      </c>
      <c r="AT6" cm="1">
        <f t="array" ref="AT6">_xll.EQNXTDZ($A$1,$B6,AT$1)</f>
        <v>4225319000</v>
      </c>
      <c r="AU6" cm="1">
        <f t="array" ref="AU6">_xll.EQNXTDZ($A$1,$B6,AU$1)</f>
        <v>4225319000</v>
      </c>
      <c r="AV6" cm="1">
        <f t="array" ref="AV6">_xll.EQNXTDZ($A$1,$B6,AV$1)</f>
        <v>4225319000</v>
      </c>
      <c r="AW6" cm="1">
        <f t="array" ref="AW6">_xll.EQNXTDZ($A$1,$B6,AW$1)</f>
        <v>4225319000</v>
      </c>
      <c r="AX6" cm="1">
        <f t="array" ref="AX6">_xll.EQNXTDZ($A$1,$B6,AX$1)</f>
        <v>4225319000</v>
      </c>
      <c r="AY6" cm="1">
        <f t="array" ref="AY6">_xll.EQNXTDZ($A$1,$B6,AY$1)</f>
        <v>4225319000</v>
      </c>
    </row>
    <row r="7" spans="1:51" x14ac:dyDescent="0.25">
      <c r="B7" t="s">
        <v>429</v>
      </c>
      <c r="C7" s="100">
        <f>+C6/10^7</f>
        <v>422.53190000000001</v>
      </c>
      <c r="D7" s="100">
        <f t="shared" ref="D7:X7" si="0">+D6/10^7</f>
        <v>422.53190000000001</v>
      </c>
      <c r="E7" s="100">
        <f t="shared" si="0"/>
        <v>422.53190000000001</v>
      </c>
      <c r="F7" s="100">
        <f t="shared" si="0"/>
        <v>422.53190000000001</v>
      </c>
      <c r="G7" s="100">
        <f t="shared" si="0"/>
        <v>422.53190000000001</v>
      </c>
      <c r="H7" s="100">
        <f t="shared" si="0"/>
        <v>422.53190000000001</v>
      </c>
      <c r="I7" s="100">
        <f t="shared" si="0"/>
        <v>422.53190000000001</v>
      </c>
      <c r="J7" s="100">
        <f t="shared" si="0"/>
        <v>422.53190000000001</v>
      </c>
      <c r="K7" s="100">
        <f t="shared" si="0"/>
        <v>422.53190000000001</v>
      </c>
      <c r="L7" s="100">
        <f t="shared" si="0"/>
        <v>422.53190000000001</v>
      </c>
      <c r="M7" s="100">
        <f t="shared" si="0"/>
        <v>422.53190000000001</v>
      </c>
      <c r="N7" s="100">
        <f t="shared" si="0"/>
        <v>422.53190000000001</v>
      </c>
      <c r="O7" s="100">
        <f t="shared" si="0"/>
        <v>422.53190000000001</v>
      </c>
      <c r="P7" s="100">
        <f t="shared" si="0"/>
        <v>422.53190000000001</v>
      </c>
      <c r="Q7" s="100">
        <f t="shared" si="0"/>
        <v>422.53190000000001</v>
      </c>
      <c r="R7" s="100">
        <f t="shared" si="0"/>
        <v>422.53190000000001</v>
      </c>
      <c r="S7" s="100">
        <f t="shared" si="0"/>
        <v>422.53190000000001</v>
      </c>
      <c r="T7" s="100">
        <f t="shared" si="0"/>
        <v>422.53190000000001</v>
      </c>
      <c r="U7" s="100">
        <f t="shared" si="0"/>
        <v>422.53190000000001</v>
      </c>
      <c r="V7" s="100">
        <f t="shared" si="0"/>
        <v>422.53190000000001</v>
      </c>
      <c r="W7" s="100">
        <f t="shared" si="0"/>
        <v>422.53190000000001</v>
      </c>
      <c r="X7" s="100">
        <f t="shared" si="0"/>
        <v>422.53190000000001</v>
      </c>
      <c r="Y7" s="100">
        <f t="shared" ref="Y7:AS7" si="1">+Y6/10^7</f>
        <v>422.53190000000001</v>
      </c>
      <c r="Z7" s="100">
        <f t="shared" si="1"/>
        <v>422.53190000000001</v>
      </c>
      <c r="AA7" s="100">
        <f t="shared" si="1"/>
        <v>422.53190000000001</v>
      </c>
      <c r="AB7" s="100">
        <f t="shared" si="1"/>
        <v>422.53190000000001</v>
      </c>
      <c r="AC7" s="100">
        <f t="shared" si="1"/>
        <v>422.53190000000001</v>
      </c>
      <c r="AD7" s="100">
        <f t="shared" si="1"/>
        <v>422.53190000000001</v>
      </c>
      <c r="AE7" s="100">
        <f t="shared" si="1"/>
        <v>422.53190000000001</v>
      </c>
      <c r="AF7" s="100">
        <f t="shared" si="1"/>
        <v>422.53190000000001</v>
      </c>
      <c r="AG7" s="100">
        <f t="shared" si="1"/>
        <v>422.53190000000001</v>
      </c>
      <c r="AH7" s="100">
        <f t="shared" si="1"/>
        <v>422.53190000000001</v>
      </c>
      <c r="AI7" s="100">
        <f t="shared" si="1"/>
        <v>422.53190000000001</v>
      </c>
      <c r="AJ7" s="100">
        <f t="shared" si="1"/>
        <v>422.53190000000001</v>
      </c>
      <c r="AK7" s="100">
        <f t="shared" si="1"/>
        <v>422.53190000000001</v>
      </c>
      <c r="AL7" s="100">
        <f t="shared" si="1"/>
        <v>422.53190000000001</v>
      </c>
      <c r="AM7" s="100">
        <f t="shared" si="1"/>
        <v>422.53190000000001</v>
      </c>
      <c r="AN7" s="100">
        <f t="shared" si="1"/>
        <v>422.53190000000001</v>
      </c>
      <c r="AO7" s="100">
        <f t="shared" si="1"/>
        <v>422.53190000000001</v>
      </c>
      <c r="AP7" s="100">
        <f t="shared" si="1"/>
        <v>422.53190000000001</v>
      </c>
      <c r="AQ7" s="100">
        <f t="shared" si="1"/>
        <v>422.53190000000001</v>
      </c>
      <c r="AR7" s="100">
        <f t="shared" si="1"/>
        <v>422.53190000000001</v>
      </c>
      <c r="AS7" s="100">
        <f t="shared" si="1"/>
        <v>422.53190000000001</v>
      </c>
      <c r="AT7" s="100">
        <f t="shared" ref="AT7:AX7" si="2">+AT6/10^7</f>
        <v>422.53190000000001</v>
      </c>
      <c r="AU7" s="100">
        <f t="shared" si="2"/>
        <v>422.53190000000001</v>
      </c>
      <c r="AV7" s="100">
        <f t="shared" si="2"/>
        <v>422.53190000000001</v>
      </c>
      <c r="AW7" s="100">
        <f t="shared" si="2"/>
        <v>422.53190000000001</v>
      </c>
      <c r="AX7" s="100">
        <f t="shared" si="2"/>
        <v>422.53190000000001</v>
      </c>
      <c r="AY7" s="100">
        <f t="shared" ref="AY7" si="3">+AY6/10^7</f>
        <v>422.53190000000001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100188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536</v>
      </c>
      <c r="L2" s="170" t="s">
        <v>536</v>
      </c>
    </row>
    <row r="3" spans="1:18" x14ac:dyDescent="0.25">
      <c r="A3" s="171" t="s">
        <v>515</v>
      </c>
      <c r="B3" s="172" t="s">
        <v>517</v>
      </c>
      <c r="C3" s="172" t="s">
        <v>516</v>
      </c>
      <c r="D3" s="172" t="s">
        <v>518</v>
      </c>
      <c r="E3" s="172" t="s">
        <v>519</v>
      </c>
      <c r="F3" s="172" t="s">
        <v>520</v>
      </c>
      <c r="G3" s="172" t="s">
        <v>521</v>
      </c>
      <c r="H3" s="172"/>
      <c r="I3" s="172"/>
      <c r="J3" s="172"/>
      <c r="K3" s="172"/>
      <c r="L3" s="171" t="s">
        <v>515</v>
      </c>
      <c r="M3" s="173" t="s">
        <v>516</v>
      </c>
      <c r="N3" s="173" t="s">
        <v>517</v>
      </c>
      <c r="O3" s="173" t="s">
        <v>518</v>
      </c>
      <c r="P3" s="173" t="s">
        <v>519</v>
      </c>
      <c r="Q3" s="173" t="s">
        <v>520</v>
      </c>
      <c r="R3" s="172" t="s">
        <v>521</v>
      </c>
    </row>
    <row r="4" spans="1:18" x14ac:dyDescent="0.25">
      <c r="A4" s="170">
        <v>42005</v>
      </c>
      <c r="B4" s="116">
        <v>171</v>
      </c>
      <c r="C4" s="116">
        <v>168.35</v>
      </c>
      <c r="D4" s="116">
        <v>167.5</v>
      </c>
      <c r="E4" s="116">
        <v>171</v>
      </c>
      <c r="F4" s="116">
        <v>168.35</v>
      </c>
      <c r="G4">
        <v>35357</v>
      </c>
      <c r="H4" s="116"/>
      <c r="I4" s="116"/>
      <c r="L4" s="170">
        <v>42005</v>
      </c>
      <c r="M4" s="116">
        <v>168.45</v>
      </c>
      <c r="N4" s="116">
        <v>170.8</v>
      </c>
      <c r="O4" s="116">
        <v>167.5</v>
      </c>
      <c r="P4" s="116">
        <v>170.75</v>
      </c>
      <c r="Q4" s="116">
        <v>168.45</v>
      </c>
      <c r="R4">
        <v>225885</v>
      </c>
    </row>
    <row r="5" spans="1:18" x14ac:dyDescent="0.25">
      <c r="A5" s="170">
        <v>42006</v>
      </c>
      <c r="B5" s="116">
        <v>172.8</v>
      </c>
      <c r="C5" s="116">
        <v>171.7</v>
      </c>
      <c r="D5" s="116">
        <v>168.75</v>
      </c>
      <c r="E5" s="116">
        <v>169.2</v>
      </c>
      <c r="F5" s="116">
        <v>171.7</v>
      </c>
      <c r="G5">
        <v>100909</v>
      </c>
      <c r="H5" s="116"/>
      <c r="I5" s="116"/>
      <c r="L5" s="170">
        <v>42006</v>
      </c>
      <c r="M5" s="116">
        <v>171.55</v>
      </c>
      <c r="N5" s="116">
        <v>173</v>
      </c>
      <c r="O5" s="116">
        <v>168.7</v>
      </c>
      <c r="P5" s="116">
        <v>168.7</v>
      </c>
      <c r="Q5" s="116">
        <v>171.55</v>
      </c>
      <c r="R5">
        <v>649742</v>
      </c>
    </row>
    <row r="6" spans="1:18" x14ac:dyDescent="0.25">
      <c r="A6" s="170">
        <v>42009</v>
      </c>
      <c r="B6" s="116">
        <v>171.95</v>
      </c>
      <c r="C6" s="116">
        <v>168.85</v>
      </c>
      <c r="D6" s="116">
        <v>167.45</v>
      </c>
      <c r="E6" s="116">
        <v>171.3</v>
      </c>
      <c r="F6" s="116">
        <v>168.85</v>
      </c>
      <c r="G6">
        <v>57659</v>
      </c>
      <c r="H6" s="116"/>
      <c r="I6" s="116"/>
      <c r="L6" s="170">
        <v>42009</v>
      </c>
      <c r="M6" s="116">
        <v>169.25</v>
      </c>
      <c r="N6" s="116">
        <v>172.45</v>
      </c>
      <c r="O6" s="116">
        <v>167.5</v>
      </c>
      <c r="P6" s="116">
        <v>172</v>
      </c>
      <c r="Q6" s="116">
        <v>169.25</v>
      </c>
      <c r="R6">
        <v>592629</v>
      </c>
    </row>
    <row r="7" spans="1:18" x14ac:dyDescent="0.25">
      <c r="A7" s="170">
        <v>42010</v>
      </c>
      <c r="B7" s="116">
        <v>172.9</v>
      </c>
      <c r="C7" s="116">
        <v>168.15</v>
      </c>
      <c r="D7" s="116">
        <v>167.3</v>
      </c>
      <c r="E7" s="116">
        <v>169</v>
      </c>
      <c r="F7" s="116">
        <v>168.15</v>
      </c>
      <c r="G7">
        <v>134474</v>
      </c>
      <c r="H7" s="116"/>
      <c r="I7" s="116"/>
      <c r="L7" s="170">
        <v>42010</v>
      </c>
      <c r="M7" s="116">
        <v>168.25</v>
      </c>
      <c r="N7" s="116">
        <v>173.4</v>
      </c>
      <c r="O7" s="116">
        <v>167.2</v>
      </c>
      <c r="P7" s="116">
        <v>169.85</v>
      </c>
      <c r="Q7" s="116">
        <v>168.25</v>
      </c>
      <c r="R7">
        <v>1693131</v>
      </c>
    </row>
    <row r="8" spans="1:18" x14ac:dyDescent="0.25">
      <c r="A8" s="170">
        <v>42011</v>
      </c>
      <c r="B8" s="116">
        <v>168.5</v>
      </c>
      <c r="C8" s="116">
        <v>164.25</v>
      </c>
      <c r="D8" s="116">
        <v>163.1</v>
      </c>
      <c r="E8" s="116">
        <v>168.25</v>
      </c>
      <c r="F8" s="116">
        <v>164.25</v>
      </c>
      <c r="G8">
        <v>101768</v>
      </c>
      <c r="H8" s="116"/>
      <c r="I8" s="116"/>
      <c r="L8" s="170">
        <v>42011</v>
      </c>
      <c r="M8" s="116">
        <v>164.15</v>
      </c>
      <c r="N8" s="116">
        <v>169.05</v>
      </c>
      <c r="O8" s="116">
        <v>163</v>
      </c>
      <c r="P8" s="116">
        <v>168.6</v>
      </c>
      <c r="Q8" s="116">
        <v>164.15</v>
      </c>
      <c r="R8">
        <v>774681</v>
      </c>
    </row>
    <row r="9" spans="1:18" x14ac:dyDescent="0.25">
      <c r="A9" s="170">
        <v>42012</v>
      </c>
      <c r="B9" s="116">
        <v>166</v>
      </c>
      <c r="C9" s="116">
        <v>164.8</v>
      </c>
      <c r="D9" s="116">
        <v>162.35</v>
      </c>
      <c r="E9" s="116">
        <v>165.3</v>
      </c>
      <c r="F9" s="116">
        <v>164.8</v>
      </c>
      <c r="G9">
        <v>392226</v>
      </c>
      <c r="H9" s="116"/>
      <c r="I9" s="116"/>
      <c r="L9" s="170">
        <v>42012</v>
      </c>
      <c r="M9" s="116">
        <v>164.85</v>
      </c>
      <c r="N9" s="116">
        <v>166.15</v>
      </c>
      <c r="O9" s="116">
        <v>162.19999999999999</v>
      </c>
      <c r="P9" s="116">
        <v>165.5</v>
      </c>
      <c r="Q9" s="116">
        <v>164.85</v>
      </c>
      <c r="R9">
        <v>1855173</v>
      </c>
    </row>
    <row r="10" spans="1:18" x14ac:dyDescent="0.25">
      <c r="A10" s="170">
        <v>42013</v>
      </c>
      <c r="B10" s="116">
        <v>166.45</v>
      </c>
      <c r="C10" s="116">
        <v>162.65</v>
      </c>
      <c r="D10" s="116">
        <v>161.9</v>
      </c>
      <c r="E10" s="116">
        <v>165.4</v>
      </c>
      <c r="F10" s="116">
        <v>162.65</v>
      </c>
      <c r="G10">
        <v>84050</v>
      </c>
      <c r="H10" s="116"/>
      <c r="I10" s="116"/>
      <c r="L10" s="170">
        <v>42013</v>
      </c>
      <c r="M10" s="116">
        <v>162.75</v>
      </c>
      <c r="N10" s="116">
        <v>167</v>
      </c>
      <c r="O10" s="116">
        <v>161.94999999999999</v>
      </c>
      <c r="P10" s="116">
        <v>167</v>
      </c>
      <c r="Q10" s="116">
        <v>162.75</v>
      </c>
      <c r="R10">
        <v>994079</v>
      </c>
    </row>
    <row r="11" spans="1:18" x14ac:dyDescent="0.25">
      <c r="A11" s="170">
        <v>42016</v>
      </c>
      <c r="B11" s="116">
        <v>162</v>
      </c>
      <c r="C11" s="116">
        <v>159.69999999999999</v>
      </c>
      <c r="D11" s="116">
        <v>159.19999999999999</v>
      </c>
      <c r="E11" s="116">
        <v>162</v>
      </c>
      <c r="F11" s="116">
        <v>159.69999999999999</v>
      </c>
      <c r="G11">
        <v>82144</v>
      </c>
      <c r="H11" s="116"/>
      <c r="I11" s="116"/>
      <c r="L11" s="170">
        <v>42016</v>
      </c>
      <c r="M11" s="116">
        <v>159.55000000000001</v>
      </c>
      <c r="N11" s="116">
        <v>162.75</v>
      </c>
      <c r="O11" s="116">
        <v>159.1</v>
      </c>
      <c r="P11" s="116">
        <v>161.1</v>
      </c>
      <c r="Q11" s="116">
        <v>159.55000000000001</v>
      </c>
      <c r="R11">
        <v>1086665</v>
      </c>
    </row>
    <row r="12" spans="1:18" x14ac:dyDescent="0.25">
      <c r="A12" s="170">
        <v>42017</v>
      </c>
      <c r="B12" s="116">
        <v>161.19999999999999</v>
      </c>
      <c r="C12" s="116">
        <v>159</v>
      </c>
      <c r="D12" s="116">
        <v>158.5</v>
      </c>
      <c r="E12" s="116">
        <v>160.4</v>
      </c>
      <c r="F12" s="116">
        <v>159</v>
      </c>
      <c r="G12">
        <v>58169</v>
      </c>
      <c r="H12" s="116"/>
      <c r="I12" s="116"/>
      <c r="L12" s="170">
        <v>42017</v>
      </c>
      <c r="M12" s="116">
        <v>159.15</v>
      </c>
      <c r="N12" s="116">
        <v>161</v>
      </c>
      <c r="O12" s="116">
        <v>158.5</v>
      </c>
      <c r="P12" s="116">
        <v>160.4</v>
      </c>
      <c r="Q12" s="116">
        <v>159.15</v>
      </c>
      <c r="R12">
        <v>715359</v>
      </c>
    </row>
    <row r="13" spans="1:18" x14ac:dyDescent="0.25">
      <c r="A13" s="170">
        <v>42018</v>
      </c>
      <c r="B13" s="116">
        <v>159.55000000000001</v>
      </c>
      <c r="C13" s="116">
        <v>153.05000000000001</v>
      </c>
      <c r="D13" s="116">
        <v>152.5</v>
      </c>
      <c r="E13" s="116">
        <v>158</v>
      </c>
      <c r="F13" s="116">
        <v>153.05000000000001</v>
      </c>
      <c r="G13">
        <v>135915</v>
      </c>
      <c r="H13" s="116"/>
      <c r="I13" s="116"/>
      <c r="L13" s="170">
        <v>42018</v>
      </c>
      <c r="M13" s="116">
        <v>153.44999999999999</v>
      </c>
      <c r="N13" s="116">
        <v>159.19999999999999</v>
      </c>
      <c r="O13" s="116">
        <v>152.25</v>
      </c>
      <c r="P13" s="116">
        <v>159.1</v>
      </c>
      <c r="Q13" s="116">
        <v>153.44999999999999</v>
      </c>
      <c r="R13">
        <v>2383600</v>
      </c>
    </row>
    <row r="14" spans="1:18" x14ac:dyDescent="0.25">
      <c r="A14" s="170">
        <v>42019</v>
      </c>
      <c r="B14" s="116">
        <v>155.94999999999999</v>
      </c>
      <c r="C14" s="116">
        <v>153.94999999999999</v>
      </c>
      <c r="D14" s="116">
        <v>152.6</v>
      </c>
      <c r="E14" s="116">
        <v>153</v>
      </c>
      <c r="F14" s="116">
        <v>153.94999999999999</v>
      </c>
      <c r="G14">
        <v>231123</v>
      </c>
      <c r="H14" s="116"/>
      <c r="I14" s="116"/>
      <c r="L14" s="170">
        <v>42019</v>
      </c>
      <c r="M14" s="116">
        <v>153.9</v>
      </c>
      <c r="N14" s="116">
        <v>155.75</v>
      </c>
      <c r="O14" s="116">
        <v>152.55000000000001</v>
      </c>
      <c r="P14" s="116">
        <v>154.5</v>
      </c>
      <c r="Q14" s="116">
        <v>153.9</v>
      </c>
      <c r="R14">
        <v>3260692</v>
      </c>
    </row>
    <row r="15" spans="1:18" x14ac:dyDescent="0.25">
      <c r="A15" s="170">
        <v>42020</v>
      </c>
      <c r="B15" s="116">
        <v>160.19999999999999</v>
      </c>
      <c r="C15" s="116">
        <v>157</v>
      </c>
      <c r="D15" s="116">
        <v>153.9</v>
      </c>
      <c r="E15" s="116">
        <v>155.19999999999999</v>
      </c>
      <c r="F15" s="116">
        <v>157</v>
      </c>
      <c r="G15">
        <v>232198</v>
      </c>
      <c r="H15" s="116"/>
      <c r="I15" s="116"/>
      <c r="L15" s="170">
        <v>42020</v>
      </c>
      <c r="M15" s="116">
        <v>156.94999999999999</v>
      </c>
      <c r="N15" s="116">
        <v>160.30000000000001</v>
      </c>
      <c r="O15" s="116">
        <v>153.75</v>
      </c>
      <c r="P15" s="116">
        <v>154.1</v>
      </c>
      <c r="Q15" s="116">
        <v>156.94999999999999</v>
      </c>
      <c r="R15">
        <v>1748721</v>
      </c>
    </row>
    <row r="16" spans="1:18" x14ac:dyDescent="0.25">
      <c r="A16" s="170">
        <v>42023</v>
      </c>
      <c r="B16" s="116">
        <v>161.69999999999999</v>
      </c>
      <c r="C16" s="116">
        <v>160.4</v>
      </c>
      <c r="D16" s="116">
        <v>157.5</v>
      </c>
      <c r="E16" s="116">
        <v>157.5</v>
      </c>
      <c r="F16" s="116">
        <v>160.4</v>
      </c>
      <c r="G16">
        <v>155927</v>
      </c>
      <c r="H16" s="116"/>
      <c r="I16" s="116"/>
      <c r="L16" s="170">
        <v>42023</v>
      </c>
      <c r="M16" s="116">
        <v>160.35</v>
      </c>
      <c r="N16" s="116">
        <v>161.80000000000001</v>
      </c>
      <c r="O16" s="116">
        <v>158.05000000000001</v>
      </c>
      <c r="P16" s="116">
        <v>159</v>
      </c>
      <c r="Q16" s="116">
        <v>160.35</v>
      </c>
      <c r="R16">
        <v>1327323</v>
      </c>
    </row>
    <row r="17" spans="1:18" x14ac:dyDescent="0.25">
      <c r="A17" s="170">
        <v>42024</v>
      </c>
      <c r="B17" s="116">
        <v>166</v>
      </c>
      <c r="C17" s="116">
        <v>161.6</v>
      </c>
      <c r="D17" s="116">
        <v>161.05000000000001</v>
      </c>
      <c r="E17" s="116">
        <v>165</v>
      </c>
      <c r="F17" s="116">
        <v>161.6</v>
      </c>
      <c r="G17">
        <v>201365</v>
      </c>
      <c r="H17" s="116"/>
      <c r="I17" s="116"/>
      <c r="L17" s="170">
        <v>42024</v>
      </c>
      <c r="M17" s="116">
        <v>161.9</v>
      </c>
      <c r="N17" s="116">
        <v>165.35</v>
      </c>
      <c r="O17" s="116">
        <v>161.5</v>
      </c>
      <c r="P17" s="116">
        <v>165</v>
      </c>
      <c r="Q17" s="116">
        <v>161.9</v>
      </c>
      <c r="R17">
        <v>2802867</v>
      </c>
    </row>
    <row r="18" spans="1:18" x14ac:dyDescent="0.25">
      <c r="A18" s="170">
        <v>42025</v>
      </c>
      <c r="B18" s="116">
        <v>164.45</v>
      </c>
      <c r="C18" s="116">
        <v>163.80000000000001</v>
      </c>
      <c r="D18" s="116">
        <v>159.05000000000001</v>
      </c>
      <c r="E18" s="116">
        <v>162.4</v>
      </c>
      <c r="F18" s="116">
        <v>163.80000000000001</v>
      </c>
      <c r="G18">
        <v>126381</v>
      </c>
      <c r="H18" s="116"/>
      <c r="I18" s="116"/>
      <c r="L18" s="170">
        <v>42025</v>
      </c>
      <c r="M18" s="116">
        <v>163.75</v>
      </c>
      <c r="N18" s="116">
        <v>164.5</v>
      </c>
      <c r="O18" s="116">
        <v>159.19999999999999</v>
      </c>
      <c r="P18" s="116">
        <v>162</v>
      </c>
      <c r="Q18" s="116">
        <v>163.75</v>
      </c>
      <c r="R18">
        <v>1563770</v>
      </c>
    </row>
    <row r="19" spans="1:18" x14ac:dyDescent="0.25">
      <c r="A19" s="170">
        <v>42026</v>
      </c>
      <c r="B19" s="116">
        <v>165.75</v>
      </c>
      <c r="C19" s="116">
        <v>165.2</v>
      </c>
      <c r="D19" s="116">
        <v>162.75</v>
      </c>
      <c r="E19" s="116">
        <v>165</v>
      </c>
      <c r="F19" s="116">
        <v>165.2</v>
      </c>
      <c r="G19">
        <v>99592</v>
      </c>
      <c r="H19" s="116"/>
      <c r="I19" s="116"/>
      <c r="L19" s="170">
        <v>42026</v>
      </c>
      <c r="M19" s="116">
        <v>165.2</v>
      </c>
      <c r="N19" s="116">
        <v>165.75</v>
      </c>
      <c r="O19" s="116">
        <v>162.55000000000001</v>
      </c>
      <c r="P19" s="116">
        <v>165</v>
      </c>
      <c r="Q19" s="116">
        <v>165.2</v>
      </c>
      <c r="R19">
        <v>1393089</v>
      </c>
    </row>
    <row r="20" spans="1:18" x14ac:dyDescent="0.25">
      <c r="A20" s="170">
        <v>42027</v>
      </c>
      <c r="B20" s="116">
        <v>168</v>
      </c>
      <c r="C20" s="116">
        <v>165.9</v>
      </c>
      <c r="D20" s="116">
        <v>164.5</v>
      </c>
      <c r="E20" s="116">
        <v>167.4</v>
      </c>
      <c r="F20" s="116">
        <v>165.9</v>
      </c>
      <c r="G20">
        <v>148177</v>
      </c>
      <c r="H20" s="116"/>
      <c r="I20" s="116"/>
      <c r="L20" s="170">
        <v>42027</v>
      </c>
      <c r="M20" s="116">
        <v>166.05</v>
      </c>
      <c r="N20" s="116">
        <v>166.8</v>
      </c>
      <c r="O20" s="116">
        <v>164.5</v>
      </c>
      <c r="P20" s="116">
        <v>166</v>
      </c>
      <c r="Q20" s="116">
        <v>166.05</v>
      </c>
      <c r="R20">
        <v>1062976</v>
      </c>
    </row>
    <row r="21" spans="1:18" x14ac:dyDescent="0.25">
      <c r="A21" s="170">
        <v>42031</v>
      </c>
      <c r="B21" s="116">
        <v>170</v>
      </c>
      <c r="C21" s="116">
        <v>169.7</v>
      </c>
      <c r="D21" s="116">
        <v>164.2</v>
      </c>
      <c r="E21" s="116">
        <v>168</v>
      </c>
      <c r="F21" s="116">
        <v>169.7</v>
      </c>
      <c r="G21">
        <v>225941</v>
      </c>
      <c r="H21" s="116"/>
      <c r="I21" s="116"/>
      <c r="L21" s="170">
        <v>42031</v>
      </c>
      <c r="M21" s="116">
        <v>169.7</v>
      </c>
      <c r="N21" s="116">
        <v>170</v>
      </c>
      <c r="O21" s="116">
        <v>164</v>
      </c>
      <c r="P21" s="116">
        <v>167</v>
      </c>
      <c r="Q21" s="116">
        <v>169.7</v>
      </c>
      <c r="R21">
        <v>1805874</v>
      </c>
    </row>
    <row r="22" spans="1:18" x14ac:dyDescent="0.25">
      <c r="A22" s="170">
        <v>42032</v>
      </c>
      <c r="B22" s="116">
        <v>171.7</v>
      </c>
      <c r="C22" s="116">
        <v>170.3</v>
      </c>
      <c r="D22" s="116">
        <v>168.4</v>
      </c>
      <c r="E22" s="116">
        <v>170</v>
      </c>
      <c r="F22" s="116">
        <v>170.3</v>
      </c>
      <c r="G22">
        <v>124020</v>
      </c>
      <c r="H22" s="116"/>
      <c r="I22" s="116"/>
      <c r="L22" s="170">
        <v>42032</v>
      </c>
      <c r="M22" s="116">
        <v>170.45</v>
      </c>
      <c r="N22" s="116">
        <v>171.6</v>
      </c>
      <c r="O22" s="116">
        <v>168.35</v>
      </c>
      <c r="P22" s="116">
        <v>168.5</v>
      </c>
      <c r="Q22" s="116">
        <v>170.45</v>
      </c>
      <c r="R22">
        <v>2031714</v>
      </c>
    </row>
    <row r="23" spans="1:18" x14ac:dyDescent="0.25">
      <c r="A23" s="170">
        <v>42033</v>
      </c>
      <c r="B23" s="116">
        <v>175.25</v>
      </c>
      <c r="C23" s="116">
        <v>174.45</v>
      </c>
      <c r="D23" s="116">
        <v>169</v>
      </c>
      <c r="E23" s="116">
        <v>172</v>
      </c>
      <c r="F23" s="116">
        <v>174.45</v>
      </c>
      <c r="G23">
        <v>172559</v>
      </c>
      <c r="H23" s="116"/>
      <c r="I23" s="116"/>
      <c r="L23" s="170">
        <v>42033</v>
      </c>
      <c r="M23" s="116">
        <v>174.7</v>
      </c>
      <c r="N23" s="116">
        <v>175.3</v>
      </c>
      <c r="O23" s="116">
        <v>168.8</v>
      </c>
      <c r="P23" s="116">
        <v>169.9</v>
      </c>
      <c r="Q23" s="116">
        <v>174.7</v>
      </c>
      <c r="R23">
        <v>1577204</v>
      </c>
    </row>
    <row r="24" spans="1:18" x14ac:dyDescent="0.25">
      <c r="A24" s="170">
        <v>42034</v>
      </c>
      <c r="B24" s="116">
        <v>177.9</v>
      </c>
      <c r="C24" s="116">
        <v>174.8</v>
      </c>
      <c r="D24" s="116">
        <v>172</v>
      </c>
      <c r="E24" s="116">
        <v>174.3</v>
      </c>
      <c r="F24" s="116">
        <v>174.8</v>
      </c>
      <c r="G24">
        <v>159859</v>
      </c>
      <c r="H24" s="116"/>
      <c r="I24" s="116"/>
      <c r="L24" s="170">
        <v>42034</v>
      </c>
      <c r="M24" s="116">
        <v>175</v>
      </c>
      <c r="N24" s="116">
        <v>177.95</v>
      </c>
      <c r="O24" s="116">
        <v>172</v>
      </c>
      <c r="P24" s="116">
        <v>175</v>
      </c>
      <c r="Q24" s="116">
        <v>175</v>
      </c>
      <c r="R24">
        <v>1505560</v>
      </c>
    </row>
    <row r="25" spans="1:18" x14ac:dyDescent="0.25">
      <c r="A25" s="170">
        <v>42037</v>
      </c>
      <c r="B25" s="116">
        <v>177</v>
      </c>
      <c r="C25" s="116">
        <v>174</v>
      </c>
      <c r="D25" s="116">
        <v>170.55</v>
      </c>
      <c r="E25" s="116">
        <v>177</v>
      </c>
      <c r="F25" s="116">
        <v>174</v>
      </c>
      <c r="G25">
        <v>43291</v>
      </c>
      <c r="H25" s="116"/>
      <c r="I25" s="116"/>
      <c r="L25" s="170">
        <v>42037</v>
      </c>
      <c r="M25" s="116">
        <v>173.8</v>
      </c>
      <c r="N25" s="116">
        <v>176.15</v>
      </c>
      <c r="O25" s="116">
        <v>170.4</v>
      </c>
      <c r="P25" s="116">
        <v>175.9</v>
      </c>
      <c r="Q25" s="116">
        <v>173.8</v>
      </c>
      <c r="R25">
        <v>842992</v>
      </c>
    </row>
    <row r="26" spans="1:18" x14ac:dyDescent="0.25">
      <c r="A26" s="170">
        <v>42038</v>
      </c>
      <c r="B26" s="116">
        <v>175.3</v>
      </c>
      <c r="C26" s="116">
        <v>173.35</v>
      </c>
      <c r="D26" s="116">
        <v>172.65</v>
      </c>
      <c r="E26" s="116">
        <v>173.1</v>
      </c>
      <c r="F26" s="116">
        <v>173.35</v>
      </c>
      <c r="G26">
        <v>43894</v>
      </c>
      <c r="H26" s="116"/>
      <c r="I26" s="116"/>
      <c r="L26" s="170">
        <v>42038</v>
      </c>
      <c r="M26" s="116">
        <v>173.55</v>
      </c>
      <c r="N26" s="116">
        <v>175.5</v>
      </c>
      <c r="O26" s="116">
        <v>172.6</v>
      </c>
      <c r="P26" s="116">
        <v>173</v>
      </c>
      <c r="Q26" s="116">
        <v>173.55</v>
      </c>
      <c r="R26">
        <v>1304414</v>
      </c>
    </row>
    <row r="27" spans="1:18" x14ac:dyDescent="0.25">
      <c r="A27" s="170">
        <v>42039</v>
      </c>
      <c r="B27" s="116">
        <v>177.1</v>
      </c>
      <c r="C27" s="116">
        <v>175.95</v>
      </c>
      <c r="D27" s="116">
        <v>173.5</v>
      </c>
      <c r="E27" s="116">
        <v>173.5</v>
      </c>
      <c r="F27" s="116">
        <v>175.95</v>
      </c>
      <c r="G27">
        <v>114287</v>
      </c>
      <c r="H27" s="116"/>
      <c r="I27" s="116"/>
      <c r="L27" s="170">
        <v>42039</v>
      </c>
      <c r="M27" s="116">
        <v>176.05</v>
      </c>
      <c r="N27" s="116">
        <v>177.5</v>
      </c>
      <c r="O27" s="116">
        <v>173.6</v>
      </c>
      <c r="P27" s="116">
        <v>173.6</v>
      </c>
      <c r="Q27" s="116">
        <v>176.05</v>
      </c>
      <c r="R27">
        <v>977331</v>
      </c>
    </row>
    <row r="28" spans="1:18" x14ac:dyDescent="0.25">
      <c r="A28" s="170">
        <v>42040</v>
      </c>
      <c r="B28" s="116">
        <v>176.75</v>
      </c>
      <c r="C28" s="116">
        <v>174.25</v>
      </c>
      <c r="D28" s="116">
        <v>170.25</v>
      </c>
      <c r="E28" s="116">
        <v>175.75</v>
      </c>
      <c r="F28" s="116">
        <v>174.25</v>
      </c>
      <c r="G28">
        <v>91927</v>
      </c>
      <c r="H28" s="116"/>
      <c r="I28" s="116"/>
      <c r="L28" s="170">
        <v>42040</v>
      </c>
      <c r="M28" s="116">
        <v>173.9</v>
      </c>
      <c r="N28" s="116">
        <v>176.8</v>
      </c>
      <c r="O28" s="116">
        <v>170.35</v>
      </c>
      <c r="P28" s="116">
        <v>176.2</v>
      </c>
      <c r="Q28" s="116">
        <v>173.9</v>
      </c>
      <c r="R28">
        <v>843100</v>
      </c>
    </row>
    <row r="29" spans="1:18" x14ac:dyDescent="0.25">
      <c r="A29" s="170">
        <v>42041</v>
      </c>
      <c r="B29" s="116">
        <v>172.3</v>
      </c>
      <c r="C29" s="116">
        <v>170.15</v>
      </c>
      <c r="D29" s="116">
        <v>167.4</v>
      </c>
      <c r="E29" s="116">
        <v>172.3</v>
      </c>
      <c r="F29" s="116">
        <v>170.15</v>
      </c>
      <c r="G29">
        <v>66033</v>
      </c>
      <c r="H29" s="116"/>
      <c r="I29" s="116"/>
      <c r="L29" s="170">
        <v>42041</v>
      </c>
      <c r="M29" s="116">
        <v>169.85</v>
      </c>
      <c r="N29" s="116">
        <v>172.4</v>
      </c>
      <c r="O29" s="116">
        <v>167.1</v>
      </c>
      <c r="P29" s="116">
        <v>172.4</v>
      </c>
      <c r="Q29" s="116">
        <v>169.85</v>
      </c>
      <c r="R29">
        <v>870314</v>
      </c>
    </row>
    <row r="30" spans="1:18" x14ac:dyDescent="0.25">
      <c r="A30" s="170">
        <v>42044</v>
      </c>
      <c r="B30" s="116">
        <v>177.15</v>
      </c>
      <c r="C30" s="116">
        <v>174.05</v>
      </c>
      <c r="D30" s="116">
        <v>167.3</v>
      </c>
      <c r="E30" s="116">
        <v>169.3</v>
      </c>
      <c r="F30" s="116">
        <v>174.05</v>
      </c>
      <c r="G30">
        <v>129851</v>
      </c>
      <c r="H30" s="116"/>
      <c r="I30" s="116"/>
      <c r="L30" s="170">
        <v>42044</v>
      </c>
      <c r="M30" s="116">
        <v>174</v>
      </c>
      <c r="N30" s="116">
        <v>177.25</v>
      </c>
      <c r="O30" s="116">
        <v>165.55</v>
      </c>
      <c r="P30" s="116">
        <v>165.55</v>
      </c>
      <c r="Q30" s="116">
        <v>174</v>
      </c>
      <c r="R30">
        <v>843965</v>
      </c>
    </row>
    <row r="31" spans="1:18" x14ac:dyDescent="0.25">
      <c r="A31" s="170">
        <v>42045</v>
      </c>
      <c r="B31" s="116">
        <v>179.45</v>
      </c>
      <c r="C31" s="116">
        <v>177.95</v>
      </c>
      <c r="D31" s="116">
        <v>171.85</v>
      </c>
      <c r="E31" s="116">
        <v>174</v>
      </c>
      <c r="F31" s="116">
        <v>177.95</v>
      </c>
      <c r="G31">
        <v>189587</v>
      </c>
      <c r="H31" s="116"/>
      <c r="I31" s="116"/>
      <c r="L31" s="170">
        <v>42045</v>
      </c>
      <c r="M31" s="116">
        <v>178</v>
      </c>
      <c r="N31" s="116">
        <v>179.4</v>
      </c>
      <c r="O31" s="116">
        <v>170</v>
      </c>
      <c r="P31" s="116">
        <v>173</v>
      </c>
      <c r="Q31" s="116">
        <v>178</v>
      </c>
      <c r="R31">
        <v>1100880</v>
      </c>
    </row>
    <row r="32" spans="1:18" x14ac:dyDescent="0.25">
      <c r="A32" s="170">
        <v>42046</v>
      </c>
      <c r="B32" s="116">
        <v>184.25</v>
      </c>
      <c r="C32" s="116">
        <v>182.55</v>
      </c>
      <c r="D32" s="116">
        <v>179.5</v>
      </c>
      <c r="E32" s="116">
        <v>180.1</v>
      </c>
      <c r="F32" s="116">
        <v>182.55</v>
      </c>
      <c r="G32">
        <v>351444</v>
      </c>
      <c r="H32" s="116"/>
      <c r="I32" s="116"/>
      <c r="L32" s="170">
        <v>42046</v>
      </c>
      <c r="M32" s="116">
        <v>182.7</v>
      </c>
      <c r="N32" s="116">
        <v>184.5</v>
      </c>
      <c r="O32" s="116">
        <v>179.55</v>
      </c>
      <c r="P32" s="116">
        <v>180</v>
      </c>
      <c r="Q32" s="116">
        <v>182.7</v>
      </c>
      <c r="R32">
        <v>1318040</v>
      </c>
    </row>
    <row r="33" spans="1:18" x14ac:dyDescent="0.25">
      <c r="A33" s="170">
        <v>42047</v>
      </c>
      <c r="B33" s="116">
        <v>183</v>
      </c>
      <c r="C33" s="116">
        <v>174.6</v>
      </c>
      <c r="D33" s="116">
        <v>172.75</v>
      </c>
      <c r="E33" s="116">
        <v>181.5</v>
      </c>
      <c r="F33" s="116">
        <v>174.6</v>
      </c>
      <c r="G33">
        <v>291568</v>
      </c>
      <c r="H33" s="116"/>
      <c r="I33" s="116"/>
      <c r="L33" s="170">
        <v>42047</v>
      </c>
      <c r="M33" s="116">
        <v>174.65</v>
      </c>
      <c r="N33" s="116">
        <v>184</v>
      </c>
      <c r="O33" s="116">
        <v>172.55</v>
      </c>
      <c r="P33" s="116">
        <v>184</v>
      </c>
      <c r="Q33" s="116">
        <v>174.65</v>
      </c>
      <c r="R33">
        <v>1319398</v>
      </c>
    </row>
    <row r="34" spans="1:18" x14ac:dyDescent="0.25">
      <c r="A34" s="170">
        <v>42048</v>
      </c>
      <c r="B34" s="116">
        <v>177.75</v>
      </c>
      <c r="C34" s="116">
        <v>176</v>
      </c>
      <c r="D34" s="116">
        <v>175.3</v>
      </c>
      <c r="E34" s="116">
        <v>175.5</v>
      </c>
      <c r="F34" s="116">
        <v>176</v>
      </c>
      <c r="G34">
        <v>52374</v>
      </c>
      <c r="H34" s="116"/>
      <c r="I34" s="116"/>
      <c r="L34" s="170">
        <v>42048</v>
      </c>
      <c r="M34" s="116">
        <v>176</v>
      </c>
      <c r="N34" s="116">
        <v>177.7</v>
      </c>
      <c r="O34" s="116">
        <v>175.05</v>
      </c>
      <c r="P34" s="116">
        <v>176</v>
      </c>
      <c r="Q34" s="116">
        <v>176</v>
      </c>
      <c r="R34">
        <v>602865</v>
      </c>
    </row>
    <row r="35" spans="1:18" x14ac:dyDescent="0.25">
      <c r="A35" s="170">
        <v>42051</v>
      </c>
      <c r="B35" s="116">
        <v>182.35</v>
      </c>
      <c r="C35" s="116">
        <v>181.1</v>
      </c>
      <c r="D35" s="116">
        <v>175.6</v>
      </c>
      <c r="E35" s="116">
        <v>177.15</v>
      </c>
      <c r="F35" s="116">
        <v>181.1</v>
      </c>
      <c r="G35">
        <v>139418</v>
      </c>
      <c r="H35" s="116"/>
      <c r="I35" s="116"/>
      <c r="L35" s="170">
        <v>42051</v>
      </c>
      <c r="M35" s="116">
        <v>181.35</v>
      </c>
      <c r="N35" s="116">
        <v>182.65</v>
      </c>
      <c r="O35" s="116">
        <v>175.35</v>
      </c>
      <c r="P35" s="116">
        <v>176.35</v>
      </c>
      <c r="Q35" s="116">
        <v>181.35</v>
      </c>
      <c r="R35">
        <v>683913</v>
      </c>
    </row>
    <row r="36" spans="1:18" x14ac:dyDescent="0.25">
      <c r="A36" s="170">
        <v>42053</v>
      </c>
      <c r="B36" s="116">
        <v>180.7</v>
      </c>
      <c r="C36" s="116">
        <v>177.5</v>
      </c>
      <c r="D36" s="116">
        <v>176.45</v>
      </c>
      <c r="E36" s="116">
        <v>178</v>
      </c>
      <c r="F36" s="116">
        <v>177.5</v>
      </c>
      <c r="G36">
        <v>57241</v>
      </c>
      <c r="H36" s="116"/>
      <c r="I36" s="116"/>
      <c r="L36" s="170">
        <v>42053</v>
      </c>
      <c r="M36" s="116">
        <v>177.9</v>
      </c>
      <c r="N36" s="116">
        <v>181.25</v>
      </c>
      <c r="O36" s="116">
        <v>176.15</v>
      </c>
      <c r="P36" s="116">
        <v>179.85</v>
      </c>
      <c r="Q36" s="116">
        <v>177.9</v>
      </c>
      <c r="R36">
        <v>571603</v>
      </c>
    </row>
    <row r="37" spans="1:18" x14ac:dyDescent="0.25">
      <c r="A37" s="170">
        <v>42054</v>
      </c>
      <c r="B37" s="116">
        <v>190.4</v>
      </c>
      <c r="C37" s="116">
        <v>185.3</v>
      </c>
      <c r="D37" s="116">
        <v>175.2</v>
      </c>
      <c r="E37" s="116">
        <v>179</v>
      </c>
      <c r="F37" s="116">
        <v>185.3</v>
      </c>
      <c r="G37">
        <v>364762</v>
      </c>
      <c r="H37" s="116"/>
      <c r="I37" s="116"/>
      <c r="L37" s="170">
        <v>42054</v>
      </c>
      <c r="M37" s="116">
        <v>185.4</v>
      </c>
      <c r="N37" s="116">
        <v>190.5</v>
      </c>
      <c r="O37" s="116">
        <v>175</v>
      </c>
      <c r="P37" s="116">
        <v>179</v>
      </c>
      <c r="Q37" s="116">
        <v>185.4</v>
      </c>
      <c r="R37">
        <v>1791313</v>
      </c>
    </row>
    <row r="38" spans="1:18" x14ac:dyDescent="0.25">
      <c r="A38" s="170">
        <v>42055</v>
      </c>
      <c r="B38" s="116">
        <v>187.7</v>
      </c>
      <c r="C38" s="116">
        <v>181.75</v>
      </c>
      <c r="D38" s="116">
        <v>180.3</v>
      </c>
      <c r="E38" s="116">
        <v>187</v>
      </c>
      <c r="F38" s="116">
        <v>181.75</v>
      </c>
      <c r="G38">
        <v>108275</v>
      </c>
      <c r="H38" s="116"/>
      <c r="I38" s="116"/>
      <c r="L38" s="170">
        <v>42055</v>
      </c>
      <c r="M38" s="116">
        <v>181.3</v>
      </c>
      <c r="N38" s="116">
        <v>187</v>
      </c>
      <c r="O38" s="116">
        <v>180</v>
      </c>
      <c r="P38" s="116">
        <v>187</v>
      </c>
      <c r="Q38" s="116">
        <v>181.3</v>
      </c>
      <c r="R38">
        <v>956957</v>
      </c>
    </row>
    <row r="39" spans="1:18" x14ac:dyDescent="0.25">
      <c r="A39" s="170">
        <v>42058</v>
      </c>
      <c r="B39" s="116">
        <v>182.8</v>
      </c>
      <c r="C39" s="116">
        <v>176.2</v>
      </c>
      <c r="D39" s="116">
        <v>173.8</v>
      </c>
      <c r="E39" s="116">
        <v>181.75</v>
      </c>
      <c r="F39" s="116">
        <v>176.2</v>
      </c>
      <c r="G39">
        <v>71307</v>
      </c>
      <c r="H39" s="116"/>
      <c r="I39" s="116"/>
      <c r="L39" s="170">
        <v>42058</v>
      </c>
      <c r="M39" s="116">
        <v>175.85</v>
      </c>
      <c r="N39" s="116">
        <v>182.7</v>
      </c>
      <c r="O39" s="116">
        <v>173</v>
      </c>
      <c r="P39" s="116">
        <v>182.15</v>
      </c>
      <c r="Q39" s="116">
        <v>175.85</v>
      </c>
      <c r="R39">
        <v>750637</v>
      </c>
    </row>
    <row r="40" spans="1:18" x14ac:dyDescent="0.25">
      <c r="A40" s="170">
        <v>42059</v>
      </c>
      <c r="B40" s="116">
        <v>179.35</v>
      </c>
      <c r="C40" s="116">
        <v>175</v>
      </c>
      <c r="D40" s="116">
        <v>173</v>
      </c>
      <c r="E40" s="116">
        <v>175.9</v>
      </c>
      <c r="F40" s="116">
        <v>175</v>
      </c>
      <c r="G40">
        <v>93771</v>
      </c>
      <c r="H40" s="116"/>
      <c r="I40" s="116"/>
      <c r="L40" s="170">
        <v>42059</v>
      </c>
      <c r="M40" s="116">
        <v>174.75</v>
      </c>
      <c r="N40" s="116">
        <v>179.35</v>
      </c>
      <c r="O40" s="116">
        <v>172.65</v>
      </c>
      <c r="P40" s="116">
        <v>175</v>
      </c>
      <c r="Q40" s="116">
        <v>174.75</v>
      </c>
      <c r="R40">
        <v>985157</v>
      </c>
    </row>
    <row r="41" spans="1:18" x14ac:dyDescent="0.25">
      <c r="A41" s="170">
        <v>42060</v>
      </c>
      <c r="B41" s="116">
        <v>177.9</v>
      </c>
      <c r="C41" s="116">
        <v>172.9</v>
      </c>
      <c r="D41" s="116">
        <v>171.4</v>
      </c>
      <c r="E41" s="116">
        <v>174.9</v>
      </c>
      <c r="F41" s="116">
        <v>172.9</v>
      </c>
      <c r="G41">
        <v>85849</v>
      </c>
      <c r="H41" s="116"/>
      <c r="I41" s="116"/>
      <c r="L41" s="170">
        <v>42060</v>
      </c>
      <c r="M41" s="116">
        <v>172.8</v>
      </c>
      <c r="N41" s="116">
        <v>177.95</v>
      </c>
      <c r="O41" s="116">
        <v>171.2</v>
      </c>
      <c r="P41" s="116">
        <v>174.35</v>
      </c>
      <c r="Q41" s="116">
        <v>172.8</v>
      </c>
      <c r="R41">
        <v>1189397</v>
      </c>
    </row>
    <row r="42" spans="1:18" x14ac:dyDescent="0.25">
      <c r="A42" s="170">
        <v>42061</v>
      </c>
      <c r="B42" s="116">
        <v>178.35</v>
      </c>
      <c r="C42" s="116">
        <v>176.3</v>
      </c>
      <c r="D42" s="116">
        <v>174</v>
      </c>
      <c r="E42" s="116">
        <v>176</v>
      </c>
      <c r="F42" s="116">
        <v>176.3</v>
      </c>
      <c r="G42">
        <v>69778</v>
      </c>
      <c r="H42" s="116"/>
      <c r="I42" s="116"/>
      <c r="L42" s="170">
        <v>42061</v>
      </c>
      <c r="M42" s="116">
        <v>176.4</v>
      </c>
      <c r="N42" s="116">
        <v>178.35</v>
      </c>
      <c r="O42" s="116">
        <v>173.05</v>
      </c>
      <c r="P42" s="116">
        <v>173.05</v>
      </c>
      <c r="Q42" s="116">
        <v>176.4</v>
      </c>
      <c r="R42">
        <v>980090</v>
      </c>
    </row>
    <row r="43" spans="1:18" x14ac:dyDescent="0.25">
      <c r="A43" s="170">
        <v>42062</v>
      </c>
      <c r="B43" s="116">
        <v>179.6</v>
      </c>
      <c r="C43" s="116">
        <v>177.8</v>
      </c>
      <c r="D43" s="116">
        <v>174.5</v>
      </c>
      <c r="E43" s="116">
        <v>174.5</v>
      </c>
      <c r="F43" s="116">
        <v>177.8</v>
      </c>
      <c r="G43">
        <v>811809</v>
      </c>
      <c r="H43" s="116"/>
      <c r="I43" s="116"/>
      <c r="L43" s="170">
        <v>42062</v>
      </c>
      <c r="M43" s="116">
        <v>177.35</v>
      </c>
      <c r="N43" s="116">
        <v>179.65</v>
      </c>
      <c r="O43" s="116">
        <v>175.5</v>
      </c>
      <c r="P43" s="116">
        <v>177</v>
      </c>
      <c r="Q43" s="116">
        <v>177.35</v>
      </c>
      <c r="R43">
        <v>560174</v>
      </c>
    </row>
    <row r="44" spans="1:18" x14ac:dyDescent="0.25">
      <c r="A44" s="170">
        <v>42063</v>
      </c>
      <c r="B44" s="116">
        <v>179.4</v>
      </c>
      <c r="C44" s="116">
        <v>176.15</v>
      </c>
      <c r="D44" s="116">
        <v>172.25</v>
      </c>
      <c r="E44" s="116">
        <v>179</v>
      </c>
      <c r="F44" s="116">
        <v>176.15</v>
      </c>
      <c r="G44">
        <v>99381</v>
      </c>
      <c r="H44" s="116"/>
      <c r="I44" s="116"/>
      <c r="L44" s="170">
        <v>42063</v>
      </c>
      <c r="M44" s="116">
        <v>176.15</v>
      </c>
      <c r="N44" s="116">
        <v>180</v>
      </c>
      <c r="O44" s="116">
        <v>172.2</v>
      </c>
      <c r="P44" s="116">
        <v>178.35</v>
      </c>
      <c r="Q44" s="116">
        <v>176.15</v>
      </c>
      <c r="R44">
        <v>409742</v>
      </c>
    </row>
    <row r="45" spans="1:18" x14ac:dyDescent="0.25">
      <c r="A45" s="170">
        <v>42065</v>
      </c>
      <c r="B45" s="116">
        <v>180</v>
      </c>
      <c r="C45" s="116">
        <v>176.05</v>
      </c>
      <c r="D45" s="116">
        <v>174.05</v>
      </c>
      <c r="E45" s="116">
        <v>180</v>
      </c>
      <c r="F45" s="116">
        <v>176.05</v>
      </c>
      <c r="G45">
        <v>63818</v>
      </c>
      <c r="H45" s="116"/>
      <c r="I45" s="116"/>
      <c r="L45" s="170">
        <v>42065</v>
      </c>
      <c r="M45" s="116">
        <v>176.1</v>
      </c>
      <c r="N45" s="116">
        <v>179.3</v>
      </c>
      <c r="O45" s="116">
        <v>174.25</v>
      </c>
      <c r="P45" s="116">
        <v>179.3</v>
      </c>
      <c r="Q45" s="116">
        <v>176.1</v>
      </c>
      <c r="R45">
        <v>328398</v>
      </c>
    </row>
    <row r="46" spans="1:18" x14ac:dyDescent="0.25">
      <c r="A46" s="170">
        <v>42066</v>
      </c>
      <c r="B46" s="116">
        <v>180.05</v>
      </c>
      <c r="C46" s="116">
        <v>179.05</v>
      </c>
      <c r="D46" s="116">
        <v>174.65</v>
      </c>
      <c r="E46" s="116">
        <v>176</v>
      </c>
      <c r="F46" s="116">
        <v>179.05</v>
      </c>
      <c r="G46">
        <v>72109</v>
      </c>
      <c r="H46" s="116"/>
      <c r="I46" s="116"/>
      <c r="L46" s="170">
        <v>42066</v>
      </c>
      <c r="M46" s="116">
        <v>179.2</v>
      </c>
      <c r="N46" s="116">
        <v>180.1</v>
      </c>
      <c r="O46" s="116">
        <v>174.85</v>
      </c>
      <c r="P46" s="116">
        <v>177.15</v>
      </c>
      <c r="Q46" s="116">
        <v>179.2</v>
      </c>
      <c r="R46">
        <v>429124</v>
      </c>
    </row>
    <row r="47" spans="1:18" x14ac:dyDescent="0.25">
      <c r="A47" s="170">
        <v>42067</v>
      </c>
      <c r="B47" s="116">
        <v>182.4</v>
      </c>
      <c r="C47" s="116">
        <v>175.25</v>
      </c>
      <c r="D47" s="116">
        <v>172.3</v>
      </c>
      <c r="E47" s="116">
        <v>181.2</v>
      </c>
      <c r="F47" s="116">
        <v>175.25</v>
      </c>
      <c r="G47">
        <v>101828</v>
      </c>
      <c r="H47" s="116"/>
      <c r="I47" s="116"/>
      <c r="L47" s="170">
        <v>42067</v>
      </c>
      <c r="M47" s="116">
        <v>175.05</v>
      </c>
      <c r="N47" s="116">
        <v>182.5</v>
      </c>
      <c r="O47" s="116">
        <v>172.25</v>
      </c>
      <c r="P47" s="116">
        <v>180.35</v>
      </c>
      <c r="Q47" s="116">
        <v>175.05</v>
      </c>
      <c r="R47">
        <v>1374445</v>
      </c>
    </row>
    <row r="48" spans="1:18" x14ac:dyDescent="0.25">
      <c r="A48" s="170">
        <v>42068</v>
      </c>
      <c r="B48" s="116">
        <v>176.8</v>
      </c>
      <c r="C48" s="116">
        <v>171.9</v>
      </c>
      <c r="D48" s="116">
        <v>171.1</v>
      </c>
      <c r="E48" s="116">
        <v>174.7</v>
      </c>
      <c r="F48" s="116">
        <v>171.9</v>
      </c>
      <c r="G48">
        <v>97851</v>
      </c>
      <c r="H48" s="116"/>
      <c r="I48" s="116"/>
      <c r="L48" s="170">
        <v>42068</v>
      </c>
      <c r="M48" s="116">
        <v>171.9</v>
      </c>
      <c r="N48" s="116">
        <v>176.9</v>
      </c>
      <c r="O48" s="116">
        <v>171.1</v>
      </c>
      <c r="P48" s="116">
        <v>174</v>
      </c>
      <c r="Q48" s="116">
        <v>171.9</v>
      </c>
      <c r="R48">
        <v>1202613</v>
      </c>
    </row>
    <row r="49" spans="1:18" x14ac:dyDescent="0.25">
      <c r="A49" s="170">
        <v>42072</v>
      </c>
      <c r="B49" s="116">
        <v>172.25</v>
      </c>
      <c r="C49" s="116">
        <v>170.4</v>
      </c>
      <c r="D49" s="116">
        <v>168.35</v>
      </c>
      <c r="E49" s="116">
        <v>171.9</v>
      </c>
      <c r="F49" s="116">
        <v>170.4</v>
      </c>
      <c r="G49">
        <v>81505</v>
      </c>
      <c r="H49" s="116"/>
      <c r="I49" s="116"/>
      <c r="L49" s="170">
        <v>42072</v>
      </c>
      <c r="M49" s="116">
        <v>170.05</v>
      </c>
      <c r="N49" s="116">
        <v>172.4</v>
      </c>
      <c r="O49" s="116">
        <v>167.4</v>
      </c>
      <c r="P49" s="116">
        <v>171</v>
      </c>
      <c r="Q49" s="116">
        <v>170.05</v>
      </c>
      <c r="R49">
        <v>1053892</v>
      </c>
    </row>
    <row r="50" spans="1:18" x14ac:dyDescent="0.25">
      <c r="A50" s="170">
        <v>42073</v>
      </c>
      <c r="B50" s="116">
        <v>174.45</v>
      </c>
      <c r="C50" s="116">
        <v>170.45</v>
      </c>
      <c r="D50" s="116">
        <v>169.75</v>
      </c>
      <c r="E50" s="116">
        <v>174.45</v>
      </c>
      <c r="F50" s="116">
        <v>170.45</v>
      </c>
      <c r="G50">
        <v>45039</v>
      </c>
      <c r="H50" s="116"/>
      <c r="I50" s="116"/>
      <c r="L50" s="170">
        <v>42073</v>
      </c>
      <c r="M50" s="116">
        <v>170.3</v>
      </c>
      <c r="N50" s="116">
        <v>172</v>
      </c>
      <c r="O50" s="116">
        <v>169.5</v>
      </c>
      <c r="P50" s="116">
        <v>170.5</v>
      </c>
      <c r="Q50" s="116">
        <v>170.3</v>
      </c>
      <c r="R50">
        <v>383799</v>
      </c>
    </row>
    <row r="51" spans="1:18" x14ac:dyDescent="0.25">
      <c r="A51" s="170">
        <v>42074</v>
      </c>
      <c r="B51" s="116">
        <v>173</v>
      </c>
      <c r="C51" s="116">
        <v>169.8</v>
      </c>
      <c r="D51" s="116">
        <v>169</v>
      </c>
      <c r="E51" s="116">
        <v>173</v>
      </c>
      <c r="F51" s="116">
        <v>169.8</v>
      </c>
      <c r="G51">
        <v>33808</v>
      </c>
      <c r="H51" s="116"/>
      <c r="I51" s="116"/>
      <c r="L51" s="170">
        <v>42074</v>
      </c>
      <c r="M51" s="116">
        <v>169.85</v>
      </c>
      <c r="N51" s="116">
        <v>171</v>
      </c>
      <c r="O51" s="116">
        <v>168.9</v>
      </c>
      <c r="P51" s="116">
        <v>170.3</v>
      </c>
      <c r="Q51" s="116">
        <v>169.85</v>
      </c>
      <c r="R51">
        <v>635471</v>
      </c>
    </row>
    <row r="52" spans="1:18" x14ac:dyDescent="0.25">
      <c r="A52" s="170">
        <v>42075</v>
      </c>
      <c r="B52" s="116">
        <v>171.15</v>
      </c>
      <c r="C52" s="116">
        <v>170.2</v>
      </c>
      <c r="D52" s="116">
        <v>166.65</v>
      </c>
      <c r="E52" s="116">
        <v>170.65</v>
      </c>
      <c r="F52" s="116">
        <v>170.2</v>
      </c>
      <c r="G52">
        <v>92453</v>
      </c>
      <c r="H52" s="116"/>
      <c r="I52" s="116"/>
      <c r="L52" s="170">
        <v>42075</v>
      </c>
      <c r="M52" s="116">
        <v>170.3</v>
      </c>
      <c r="N52" s="116">
        <v>171</v>
      </c>
      <c r="O52" s="116">
        <v>166.55</v>
      </c>
      <c r="P52" s="116">
        <v>170.4</v>
      </c>
      <c r="Q52" s="116">
        <v>170.3</v>
      </c>
      <c r="R52">
        <v>970237</v>
      </c>
    </row>
    <row r="53" spans="1:18" x14ac:dyDescent="0.25">
      <c r="A53" s="170">
        <v>42076</v>
      </c>
      <c r="B53" s="116">
        <v>172.3</v>
      </c>
      <c r="C53" s="116">
        <v>168.6</v>
      </c>
      <c r="D53" s="116">
        <v>166.5</v>
      </c>
      <c r="E53" s="116">
        <v>171</v>
      </c>
      <c r="F53" s="116">
        <v>168.6</v>
      </c>
      <c r="G53">
        <v>65465</v>
      </c>
      <c r="H53" s="116"/>
      <c r="I53" s="116"/>
      <c r="L53" s="170">
        <v>42076</v>
      </c>
      <c r="M53" s="116">
        <v>168.65</v>
      </c>
      <c r="N53" s="116">
        <v>172.5</v>
      </c>
      <c r="O53" s="116">
        <v>166.95</v>
      </c>
      <c r="P53" s="116">
        <v>171.15</v>
      </c>
      <c r="Q53" s="116">
        <v>168.65</v>
      </c>
      <c r="R53">
        <v>648164</v>
      </c>
    </row>
    <row r="54" spans="1:18" x14ac:dyDescent="0.25">
      <c r="A54" s="170">
        <v>42079</v>
      </c>
      <c r="B54" s="116">
        <v>169</v>
      </c>
      <c r="C54" s="116">
        <v>168.2</v>
      </c>
      <c r="D54" s="116">
        <v>164.8</v>
      </c>
      <c r="E54" s="116">
        <v>169</v>
      </c>
      <c r="F54" s="116">
        <v>168.2</v>
      </c>
      <c r="G54">
        <v>51958</v>
      </c>
      <c r="H54" s="116"/>
      <c r="I54" s="116"/>
      <c r="L54" s="170">
        <v>42079</v>
      </c>
      <c r="M54" s="116">
        <v>168.25</v>
      </c>
      <c r="N54" s="116">
        <v>169.25</v>
      </c>
      <c r="O54" s="116">
        <v>164.8</v>
      </c>
      <c r="P54" s="116">
        <v>168</v>
      </c>
      <c r="Q54" s="116">
        <v>168.25</v>
      </c>
      <c r="R54">
        <v>625526</v>
      </c>
    </row>
    <row r="55" spans="1:18" x14ac:dyDescent="0.25">
      <c r="A55" s="170">
        <v>42080</v>
      </c>
      <c r="B55" s="116">
        <v>171.1</v>
      </c>
      <c r="C55" s="116">
        <v>170.55</v>
      </c>
      <c r="D55" s="116">
        <v>168</v>
      </c>
      <c r="E55" s="116">
        <v>169.3</v>
      </c>
      <c r="F55" s="116">
        <v>170.55</v>
      </c>
      <c r="G55">
        <v>43197</v>
      </c>
      <c r="H55" s="116"/>
      <c r="I55" s="116"/>
      <c r="L55" s="170">
        <v>42080</v>
      </c>
      <c r="M55" s="116">
        <v>171.1</v>
      </c>
      <c r="N55" s="116">
        <v>172</v>
      </c>
      <c r="O55" s="116">
        <v>167</v>
      </c>
      <c r="P55" s="116">
        <v>167</v>
      </c>
      <c r="Q55" s="116">
        <v>171.1</v>
      </c>
      <c r="R55">
        <v>717231</v>
      </c>
    </row>
    <row r="56" spans="1:18" x14ac:dyDescent="0.25">
      <c r="A56" s="170">
        <v>42081</v>
      </c>
      <c r="B56" s="116">
        <v>177</v>
      </c>
      <c r="C56" s="116">
        <v>175.9</v>
      </c>
      <c r="D56" s="116">
        <v>171</v>
      </c>
      <c r="E56" s="116">
        <v>171</v>
      </c>
      <c r="F56" s="116">
        <v>175.9</v>
      </c>
      <c r="G56">
        <v>90617</v>
      </c>
      <c r="H56" s="116"/>
      <c r="I56" s="116"/>
      <c r="L56" s="170">
        <v>42081</v>
      </c>
      <c r="M56" s="116">
        <v>176.1</v>
      </c>
      <c r="N56" s="116">
        <v>177</v>
      </c>
      <c r="O56" s="116">
        <v>171.85</v>
      </c>
      <c r="P56" s="116">
        <v>171.85</v>
      </c>
      <c r="Q56" s="116">
        <v>176.1</v>
      </c>
      <c r="R56">
        <v>1064476</v>
      </c>
    </row>
    <row r="57" spans="1:18" x14ac:dyDescent="0.25">
      <c r="A57" s="170">
        <v>42082</v>
      </c>
      <c r="B57" s="116">
        <v>177.85</v>
      </c>
      <c r="C57" s="116">
        <v>171.5</v>
      </c>
      <c r="D57" s="116">
        <v>169.15</v>
      </c>
      <c r="E57" s="116">
        <v>177.1</v>
      </c>
      <c r="F57" s="116">
        <v>171.5</v>
      </c>
      <c r="G57">
        <v>86205</v>
      </c>
      <c r="H57" s="116"/>
      <c r="I57" s="116"/>
      <c r="L57" s="170">
        <v>42082</v>
      </c>
      <c r="M57" s="116">
        <v>170.55</v>
      </c>
      <c r="N57" s="116">
        <v>177.6</v>
      </c>
      <c r="O57" s="116">
        <v>169.2</v>
      </c>
      <c r="P57" s="116">
        <v>176.9</v>
      </c>
      <c r="Q57" s="116">
        <v>170.55</v>
      </c>
      <c r="R57">
        <v>894438</v>
      </c>
    </row>
    <row r="58" spans="1:18" x14ac:dyDescent="0.25">
      <c r="A58" s="170">
        <v>42083</v>
      </c>
      <c r="B58" s="116">
        <v>171.95</v>
      </c>
      <c r="C58" s="116">
        <v>166.4</v>
      </c>
      <c r="D58" s="116">
        <v>162.05000000000001</v>
      </c>
      <c r="E58" s="116">
        <v>170.6</v>
      </c>
      <c r="F58" s="116">
        <v>166.4</v>
      </c>
      <c r="G58">
        <v>164536</v>
      </c>
      <c r="H58" s="116"/>
      <c r="I58" s="116"/>
      <c r="L58" s="170">
        <v>42083</v>
      </c>
      <c r="M58" s="116">
        <v>164.75</v>
      </c>
      <c r="N58" s="116">
        <v>172</v>
      </c>
      <c r="O58" s="116">
        <v>161.69999999999999</v>
      </c>
      <c r="P58" s="116">
        <v>168.4</v>
      </c>
      <c r="Q58" s="116">
        <v>164.75</v>
      </c>
      <c r="R58">
        <v>1107623</v>
      </c>
    </row>
    <row r="59" spans="1:18" x14ac:dyDescent="0.25">
      <c r="A59" s="170">
        <v>42086</v>
      </c>
      <c r="B59" s="116">
        <v>166.3</v>
      </c>
      <c r="C59" s="116">
        <v>162.94999999999999</v>
      </c>
      <c r="D59" s="116">
        <v>160.5</v>
      </c>
      <c r="E59" s="116">
        <v>166.3</v>
      </c>
      <c r="F59" s="116">
        <v>162.94999999999999</v>
      </c>
      <c r="G59">
        <v>85000</v>
      </c>
      <c r="H59" s="116"/>
      <c r="I59" s="116"/>
      <c r="L59" s="170">
        <v>42086</v>
      </c>
      <c r="M59" s="116">
        <v>162.94999999999999</v>
      </c>
      <c r="N59" s="116">
        <v>165.8</v>
      </c>
      <c r="O59" s="116">
        <v>160.05000000000001</v>
      </c>
      <c r="P59" s="116">
        <v>165.25</v>
      </c>
      <c r="Q59" s="116">
        <v>162.94999999999999</v>
      </c>
      <c r="R59">
        <v>1211187</v>
      </c>
    </row>
    <row r="60" spans="1:18" x14ac:dyDescent="0.25">
      <c r="A60" s="170">
        <v>42087</v>
      </c>
      <c r="B60" s="116">
        <v>166.3</v>
      </c>
      <c r="C60" s="116">
        <v>159.19999999999999</v>
      </c>
      <c r="D60" s="116">
        <v>158.19999999999999</v>
      </c>
      <c r="E60" s="116">
        <v>166.3</v>
      </c>
      <c r="F60" s="116">
        <v>159.19999999999999</v>
      </c>
      <c r="G60">
        <v>49522</v>
      </c>
      <c r="H60" s="116"/>
      <c r="I60" s="116"/>
      <c r="L60" s="170">
        <v>42087</v>
      </c>
      <c r="M60" s="116">
        <v>159.1</v>
      </c>
      <c r="N60" s="116">
        <v>164.9</v>
      </c>
      <c r="O60" s="116">
        <v>158</v>
      </c>
      <c r="P60" s="116">
        <v>162.6</v>
      </c>
      <c r="Q60" s="116">
        <v>159.1</v>
      </c>
      <c r="R60">
        <v>772986</v>
      </c>
    </row>
    <row r="61" spans="1:18" x14ac:dyDescent="0.25">
      <c r="A61" s="170">
        <v>42088</v>
      </c>
      <c r="B61" s="116">
        <v>162.5</v>
      </c>
      <c r="C61" s="116">
        <v>161.94999999999999</v>
      </c>
      <c r="D61" s="116">
        <v>158.9</v>
      </c>
      <c r="E61" s="116">
        <v>159</v>
      </c>
      <c r="F61" s="116">
        <v>161.94999999999999</v>
      </c>
      <c r="G61">
        <v>47476</v>
      </c>
      <c r="H61" s="116"/>
      <c r="I61" s="116"/>
      <c r="L61" s="170">
        <v>42088</v>
      </c>
      <c r="M61" s="116">
        <v>162</v>
      </c>
      <c r="N61" s="116">
        <v>162.5</v>
      </c>
      <c r="O61" s="116">
        <v>158.80000000000001</v>
      </c>
      <c r="P61" s="116">
        <v>159</v>
      </c>
      <c r="Q61" s="116">
        <v>162</v>
      </c>
      <c r="R61">
        <v>1338997</v>
      </c>
    </row>
    <row r="62" spans="1:18" x14ac:dyDescent="0.25">
      <c r="A62" s="170">
        <v>42089</v>
      </c>
      <c r="B62" s="116">
        <v>163.9</v>
      </c>
      <c r="C62" s="116">
        <v>159.30000000000001</v>
      </c>
      <c r="D62" s="116">
        <v>157</v>
      </c>
      <c r="E62" s="116">
        <v>162</v>
      </c>
      <c r="F62" s="116">
        <v>159.30000000000001</v>
      </c>
      <c r="G62">
        <v>66375</v>
      </c>
      <c r="H62" s="116"/>
      <c r="I62" s="116"/>
      <c r="L62" s="170">
        <v>42089</v>
      </c>
      <c r="M62" s="116">
        <v>159.75</v>
      </c>
      <c r="N62" s="116">
        <v>164.3</v>
      </c>
      <c r="O62" s="116">
        <v>156.35</v>
      </c>
      <c r="P62" s="116">
        <v>162</v>
      </c>
      <c r="Q62" s="116">
        <v>159.75</v>
      </c>
      <c r="R62">
        <v>1635658</v>
      </c>
    </row>
    <row r="63" spans="1:18" x14ac:dyDescent="0.25">
      <c r="A63" s="170">
        <v>42090</v>
      </c>
      <c r="B63" s="116">
        <v>161.80000000000001</v>
      </c>
      <c r="C63" s="116">
        <v>160.6</v>
      </c>
      <c r="D63" s="116">
        <v>157.4</v>
      </c>
      <c r="E63" s="116">
        <v>158.30000000000001</v>
      </c>
      <c r="F63" s="116">
        <v>160.6</v>
      </c>
      <c r="G63">
        <v>60515</v>
      </c>
      <c r="H63" s="116"/>
      <c r="I63" s="116"/>
      <c r="L63" s="170">
        <v>42090</v>
      </c>
      <c r="M63" s="116">
        <v>160.75</v>
      </c>
      <c r="N63" s="116">
        <v>161.9</v>
      </c>
      <c r="O63" s="116">
        <v>157.30000000000001</v>
      </c>
      <c r="P63" s="116">
        <v>158.65</v>
      </c>
      <c r="Q63" s="116">
        <v>160.75</v>
      </c>
      <c r="R63">
        <v>513996</v>
      </c>
    </row>
    <row r="64" spans="1:18" x14ac:dyDescent="0.25">
      <c r="A64" s="170">
        <v>42093</v>
      </c>
      <c r="B64" s="116">
        <v>164.65</v>
      </c>
      <c r="C64" s="116">
        <v>162.25</v>
      </c>
      <c r="D64" s="116">
        <v>160</v>
      </c>
      <c r="E64" s="116">
        <v>164.65</v>
      </c>
      <c r="F64" s="116">
        <v>162.25</v>
      </c>
      <c r="G64">
        <v>31845</v>
      </c>
      <c r="H64" s="116"/>
      <c r="I64" s="116"/>
      <c r="L64" s="170">
        <v>42093</v>
      </c>
      <c r="M64" s="116">
        <v>162.25</v>
      </c>
      <c r="N64" s="116">
        <v>163.95</v>
      </c>
      <c r="O64" s="116">
        <v>159.80000000000001</v>
      </c>
      <c r="P64" s="116">
        <v>160.35</v>
      </c>
      <c r="Q64" s="116">
        <v>162.25</v>
      </c>
      <c r="R64">
        <v>646396</v>
      </c>
    </row>
    <row r="65" spans="1:18" x14ac:dyDescent="0.25">
      <c r="A65" s="170">
        <v>42094</v>
      </c>
      <c r="B65" s="116">
        <v>166.35</v>
      </c>
      <c r="C65" s="116">
        <v>161.85</v>
      </c>
      <c r="D65" s="116">
        <v>161</v>
      </c>
      <c r="E65" s="116">
        <v>163.05000000000001</v>
      </c>
      <c r="F65" s="116">
        <v>161.85</v>
      </c>
      <c r="G65">
        <v>49566</v>
      </c>
      <c r="H65" s="116"/>
      <c r="I65" s="116"/>
      <c r="L65" s="170">
        <v>42094</v>
      </c>
      <c r="M65" s="116">
        <v>162.15</v>
      </c>
      <c r="N65" s="116">
        <v>166.65</v>
      </c>
      <c r="O65" s="116">
        <v>161</v>
      </c>
      <c r="P65" s="116">
        <v>162.5</v>
      </c>
      <c r="Q65" s="116">
        <v>162.15</v>
      </c>
      <c r="R65">
        <v>412042</v>
      </c>
    </row>
    <row r="66" spans="1:18" x14ac:dyDescent="0.25">
      <c r="A66" s="170">
        <v>42095</v>
      </c>
      <c r="B66" s="116">
        <v>165.4</v>
      </c>
      <c r="C66" s="116">
        <v>163.44999999999999</v>
      </c>
      <c r="D66" s="116">
        <v>160.19999999999999</v>
      </c>
      <c r="E66" s="116">
        <v>161.15</v>
      </c>
      <c r="F66" s="116">
        <v>163.44999999999999</v>
      </c>
      <c r="G66">
        <v>83846</v>
      </c>
      <c r="H66" s="116"/>
      <c r="I66" s="116"/>
      <c r="L66" s="170">
        <v>42095</v>
      </c>
      <c r="M66" s="116">
        <v>163.65</v>
      </c>
      <c r="N66" s="116">
        <v>165.15</v>
      </c>
      <c r="O66" s="116">
        <v>160.5</v>
      </c>
      <c r="P66" s="116">
        <v>162.1</v>
      </c>
      <c r="Q66" s="116">
        <v>163.65</v>
      </c>
      <c r="R66">
        <v>294966</v>
      </c>
    </row>
    <row r="67" spans="1:18" x14ac:dyDescent="0.25">
      <c r="A67" s="170">
        <v>42100</v>
      </c>
      <c r="B67" s="116">
        <v>165.45</v>
      </c>
      <c r="C67" s="116">
        <v>163.44999999999999</v>
      </c>
      <c r="D67" s="116">
        <v>161.55000000000001</v>
      </c>
      <c r="E67" s="116">
        <v>164.9</v>
      </c>
      <c r="F67" s="116">
        <v>163.44999999999999</v>
      </c>
      <c r="G67">
        <v>91209</v>
      </c>
      <c r="H67" s="116"/>
      <c r="I67" s="116"/>
      <c r="L67" s="170">
        <v>42100</v>
      </c>
      <c r="M67" s="116">
        <v>163.6</v>
      </c>
      <c r="N67" s="116">
        <v>165.8</v>
      </c>
      <c r="O67" s="116">
        <v>161.6</v>
      </c>
      <c r="P67" s="116">
        <v>164.65</v>
      </c>
      <c r="Q67" s="116">
        <v>163.6</v>
      </c>
      <c r="R67">
        <v>365485</v>
      </c>
    </row>
    <row r="68" spans="1:18" x14ac:dyDescent="0.25">
      <c r="A68" s="170">
        <v>42101</v>
      </c>
      <c r="B68" s="116">
        <v>165.8</v>
      </c>
      <c r="C68" s="116">
        <v>165.15</v>
      </c>
      <c r="D68" s="116">
        <v>162.30000000000001</v>
      </c>
      <c r="E68" s="116">
        <v>163.85</v>
      </c>
      <c r="F68" s="116">
        <v>165.15</v>
      </c>
      <c r="G68">
        <v>54944</v>
      </c>
      <c r="H68" s="116"/>
      <c r="I68" s="116"/>
      <c r="L68" s="170">
        <v>42101</v>
      </c>
      <c r="M68" s="116">
        <v>165.25</v>
      </c>
      <c r="N68" s="116">
        <v>166</v>
      </c>
      <c r="O68" s="116">
        <v>162.25</v>
      </c>
      <c r="P68" s="116">
        <v>163.6</v>
      </c>
      <c r="Q68" s="116">
        <v>165.25</v>
      </c>
      <c r="R68">
        <v>425042</v>
      </c>
    </row>
    <row r="69" spans="1:18" x14ac:dyDescent="0.25">
      <c r="A69" s="170">
        <v>42102</v>
      </c>
      <c r="B69" s="116">
        <v>167.2</v>
      </c>
      <c r="C69" s="116">
        <v>164.8</v>
      </c>
      <c r="D69" s="116">
        <v>163.9</v>
      </c>
      <c r="E69" s="116">
        <v>165.7</v>
      </c>
      <c r="F69" s="116">
        <v>164.8</v>
      </c>
      <c r="G69">
        <v>30225</v>
      </c>
      <c r="H69" s="116"/>
      <c r="I69" s="116"/>
      <c r="L69" s="170">
        <v>42102</v>
      </c>
      <c r="M69" s="116">
        <v>164.95</v>
      </c>
      <c r="N69" s="116">
        <v>167.2</v>
      </c>
      <c r="O69" s="116">
        <v>163.75</v>
      </c>
      <c r="P69" s="116">
        <v>165.3</v>
      </c>
      <c r="Q69" s="116">
        <v>164.95</v>
      </c>
      <c r="R69">
        <v>456876</v>
      </c>
    </row>
    <row r="70" spans="1:18" x14ac:dyDescent="0.25">
      <c r="A70" s="170">
        <v>42103</v>
      </c>
      <c r="B70" s="116">
        <v>166.1</v>
      </c>
      <c r="C70" s="116">
        <v>164</v>
      </c>
      <c r="D70" s="116">
        <v>162.69999999999999</v>
      </c>
      <c r="E70" s="116">
        <v>165.65</v>
      </c>
      <c r="F70" s="116">
        <v>164</v>
      </c>
      <c r="G70">
        <v>54568</v>
      </c>
      <c r="H70" s="116"/>
      <c r="I70" s="116"/>
      <c r="L70" s="170">
        <v>42103</v>
      </c>
      <c r="M70" s="116">
        <v>164.05</v>
      </c>
      <c r="N70" s="116">
        <v>166.2</v>
      </c>
      <c r="O70" s="116">
        <v>162.65</v>
      </c>
      <c r="P70" s="116">
        <v>166.15</v>
      </c>
      <c r="Q70" s="116">
        <v>164.05</v>
      </c>
      <c r="R70">
        <v>415284</v>
      </c>
    </row>
    <row r="71" spans="1:18" x14ac:dyDescent="0.25">
      <c r="A71" s="170">
        <v>42104</v>
      </c>
      <c r="B71" s="116">
        <v>174.7</v>
      </c>
      <c r="C71" s="116">
        <v>173.9</v>
      </c>
      <c r="D71" s="116">
        <v>164.8</v>
      </c>
      <c r="E71" s="116">
        <v>164.8</v>
      </c>
      <c r="F71" s="116">
        <v>173.9</v>
      </c>
      <c r="G71">
        <v>169333</v>
      </c>
      <c r="H71" s="116"/>
      <c r="I71" s="116"/>
      <c r="L71" s="170">
        <v>42104</v>
      </c>
      <c r="M71" s="116">
        <v>174.4</v>
      </c>
      <c r="N71" s="116">
        <v>175</v>
      </c>
      <c r="O71" s="116">
        <v>164.5</v>
      </c>
      <c r="P71" s="116">
        <v>164.5</v>
      </c>
      <c r="Q71" s="116">
        <v>174.4</v>
      </c>
      <c r="R71">
        <v>1085610</v>
      </c>
    </row>
    <row r="72" spans="1:18" x14ac:dyDescent="0.25">
      <c r="A72" s="170">
        <v>42107</v>
      </c>
      <c r="B72" s="116">
        <v>174.25</v>
      </c>
      <c r="C72" s="116">
        <v>171.05</v>
      </c>
      <c r="D72" s="116">
        <v>170.55</v>
      </c>
      <c r="E72" s="116">
        <v>174.05</v>
      </c>
      <c r="F72" s="116">
        <v>171.05</v>
      </c>
      <c r="G72">
        <v>78375</v>
      </c>
      <c r="H72" s="116"/>
      <c r="I72" s="116"/>
      <c r="L72" s="170">
        <v>42107</v>
      </c>
      <c r="M72" s="116">
        <v>170.8</v>
      </c>
      <c r="N72" s="116">
        <v>174.8</v>
      </c>
      <c r="O72" s="116">
        <v>170.2</v>
      </c>
      <c r="P72" s="116">
        <v>174.8</v>
      </c>
      <c r="Q72" s="116">
        <v>170.8</v>
      </c>
      <c r="R72">
        <v>802461</v>
      </c>
    </row>
    <row r="73" spans="1:18" x14ac:dyDescent="0.25">
      <c r="A73" s="170">
        <v>42109</v>
      </c>
      <c r="B73" s="116">
        <v>172</v>
      </c>
      <c r="C73" s="116">
        <v>170.05</v>
      </c>
      <c r="D73" s="116">
        <v>169.55</v>
      </c>
      <c r="E73" s="116">
        <v>170.25</v>
      </c>
      <c r="F73" s="116">
        <v>170.05</v>
      </c>
      <c r="G73">
        <v>33540</v>
      </c>
      <c r="H73" s="116"/>
      <c r="I73" s="116"/>
      <c r="L73" s="170">
        <v>42109</v>
      </c>
      <c r="M73" s="116">
        <v>170.3</v>
      </c>
      <c r="N73" s="116">
        <v>171.9</v>
      </c>
      <c r="O73" s="116">
        <v>169.35</v>
      </c>
      <c r="P73" s="116">
        <v>170.8</v>
      </c>
      <c r="Q73" s="116">
        <v>170.3</v>
      </c>
      <c r="R73">
        <v>749781</v>
      </c>
    </row>
    <row r="74" spans="1:18" x14ac:dyDescent="0.25">
      <c r="A74" s="170">
        <v>42110</v>
      </c>
      <c r="B74" s="116">
        <v>173.3</v>
      </c>
      <c r="C74" s="116">
        <v>171.95</v>
      </c>
      <c r="D74" s="116">
        <v>170.6</v>
      </c>
      <c r="E74" s="116">
        <v>171</v>
      </c>
      <c r="F74" s="116">
        <v>171.95</v>
      </c>
      <c r="G74">
        <v>71914</v>
      </c>
      <c r="H74" s="116"/>
      <c r="I74" s="116"/>
      <c r="L74" s="170">
        <v>42110</v>
      </c>
      <c r="M74" s="116">
        <v>172.3</v>
      </c>
      <c r="N74" s="116">
        <v>173.35</v>
      </c>
      <c r="O74" s="116">
        <v>170.4</v>
      </c>
      <c r="P74" s="116">
        <v>173</v>
      </c>
      <c r="Q74" s="116">
        <v>172.3</v>
      </c>
      <c r="R74">
        <v>1048846</v>
      </c>
    </row>
    <row r="75" spans="1:18" x14ac:dyDescent="0.25">
      <c r="A75" s="170">
        <v>42111</v>
      </c>
      <c r="B75" s="116">
        <v>173</v>
      </c>
      <c r="C75" s="116">
        <v>172.1</v>
      </c>
      <c r="D75" s="116">
        <v>171.2</v>
      </c>
      <c r="E75" s="116">
        <v>172</v>
      </c>
      <c r="F75" s="116">
        <v>172.1</v>
      </c>
      <c r="G75">
        <v>42890</v>
      </c>
      <c r="H75" s="116"/>
      <c r="I75" s="116"/>
      <c r="L75" s="170">
        <v>42111</v>
      </c>
      <c r="M75" s="116">
        <v>172.2</v>
      </c>
      <c r="N75" s="116">
        <v>174</v>
      </c>
      <c r="O75" s="116">
        <v>171</v>
      </c>
      <c r="P75" s="116">
        <v>172.1</v>
      </c>
      <c r="Q75" s="116">
        <v>172.2</v>
      </c>
      <c r="R75">
        <v>445014</v>
      </c>
    </row>
    <row r="76" spans="1:18" x14ac:dyDescent="0.25">
      <c r="A76" s="170">
        <v>42114</v>
      </c>
      <c r="B76" s="116">
        <v>173.45</v>
      </c>
      <c r="C76" s="116">
        <v>170.4</v>
      </c>
      <c r="D76" s="116">
        <v>167.85</v>
      </c>
      <c r="E76" s="116">
        <v>172.5</v>
      </c>
      <c r="F76" s="116">
        <v>170.4</v>
      </c>
      <c r="G76">
        <v>564747</v>
      </c>
      <c r="H76" s="116"/>
      <c r="I76" s="116"/>
      <c r="L76" s="170">
        <v>42114</v>
      </c>
      <c r="M76" s="116">
        <v>170.3</v>
      </c>
      <c r="N76" s="116">
        <v>173.6</v>
      </c>
      <c r="O76" s="116">
        <v>167</v>
      </c>
      <c r="P76" s="116">
        <v>173</v>
      </c>
      <c r="Q76" s="116">
        <v>170.3</v>
      </c>
      <c r="R76">
        <v>1953588</v>
      </c>
    </row>
    <row r="77" spans="1:18" x14ac:dyDescent="0.25">
      <c r="A77" s="170">
        <v>42115</v>
      </c>
      <c r="B77" s="116">
        <v>174.4</v>
      </c>
      <c r="C77" s="116">
        <v>168.25</v>
      </c>
      <c r="D77" s="116">
        <v>166.5</v>
      </c>
      <c r="E77" s="116">
        <v>171.65</v>
      </c>
      <c r="F77" s="116">
        <v>168.25</v>
      </c>
      <c r="G77">
        <v>140332</v>
      </c>
      <c r="H77" s="116"/>
      <c r="I77" s="116"/>
      <c r="L77" s="170">
        <v>42115</v>
      </c>
      <c r="M77" s="116">
        <v>168.3</v>
      </c>
      <c r="N77" s="116">
        <v>174.9</v>
      </c>
      <c r="O77" s="116">
        <v>166.25</v>
      </c>
      <c r="P77" s="116">
        <v>171.15</v>
      </c>
      <c r="Q77" s="116">
        <v>168.3</v>
      </c>
      <c r="R77">
        <v>1959986</v>
      </c>
    </row>
    <row r="78" spans="1:18" x14ac:dyDescent="0.25">
      <c r="A78" s="170">
        <v>42116</v>
      </c>
      <c r="B78" s="116">
        <v>172.45</v>
      </c>
      <c r="C78" s="116">
        <v>168.75</v>
      </c>
      <c r="D78" s="116">
        <v>165.85</v>
      </c>
      <c r="E78" s="116">
        <v>169.3</v>
      </c>
      <c r="F78" s="116">
        <v>168.75</v>
      </c>
      <c r="G78">
        <v>78774</v>
      </c>
      <c r="H78" s="116"/>
      <c r="I78" s="116"/>
      <c r="L78" s="170">
        <v>42116</v>
      </c>
      <c r="M78" s="116">
        <v>168.7</v>
      </c>
      <c r="N78" s="116">
        <v>172.6</v>
      </c>
      <c r="O78" s="116">
        <v>165.7</v>
      </c>
      <c r="P78" s="116">
        <v>168</v>
      </c>
      <c r="Q78" s="116">
        <v>168.7</v>
      </c>
      <c r="R78">
        <v>1325483</v>
      </c>
    </row>
    <row r="79" spans="1:18" x14ac:dyDescent="0.25">
      <c r="A79" s="170">
        <v>42117</v>
      </c>
      <c r="B79" s="116">
        <v>173.55</v>
      </c>
      <c r="C79" s="116">
        <v>172</v>
      </c>
      <c r="D79" s="116">
        <v>169.45</v>
      </c>
      <c r="E79" s="116">
        <v>169.5</v>
      </c>
      <c r="F79" s="116">
        <v>172</v>
      </c>
      <c r="G79">
        <v>108591</v>
      </c>
      <c r="H79" s="116"/>
      <c r="I79" s="116"/>
      <c r="L79" s="170">
        <v>42117</v>
      </c>
      <c r="M79" s="116">
        <v>172</v>
      </c>
      <c r="N79" s="116">
        <v>173.7</v>
      </c>
      <c r="O79" s="116">
        <v>169.25</v>
      </c>
      <c r="P79" s="116">
        <v>170</v>
      </c>
      <c r="Q79" s="116">
        <v>172</v>
      </c>
      <c r="R79">
        <v>1243637</v>
      </c>
    </row>
    <row r="80" spans="1:18" x14ac:dyDescent="0.25">
      <c r="A80" s="170">
        <v>42118</v>
      </c>
      <c r="B80" s="116">
        <v>171.8</v>
      </c>
      <c r="C80" s="116">
        <v>167.45</v>
      </c>
      <c r="D80" s="116">
        <v>166.2</v>
      </c>
      <c r="E80" s="116">
        <v>170</v>
      </c>
      <c r="F80" s="116">
        <v>167.45</v>
      </c>
      <c r="G80">
        <v>72490</v>
      </c>
      <c r="H80" s="116"/>
      <c r="I80" s="116"/>
      <c r="L80" s="170">
        <v>42118</v>
      </c>
      <c r="M80" s="116">
        <v>167.65</v>
      </c>
      <c r="N80" s="116">
        <v>172.1</v>
      </c>
      <c r="O80" s="116">
        <v>166.3</v>
      </c>
      <c r="P80" s="116">
        <v>170.2</v>
      </c>
      <c r="Q80" s="116">
        <v>167.65</v>
      </c>
      <c r="R80">
        <v>756291</v>
      </c>
    </row>
    <row r="81" spans="1:18" x14ac:dyDescent="0.25">
      <c r="A81" s="170">
        <v>42121</v>
      </c>
      <c r="B81" s="116">
        <v>170.1</v>
      </c>
      <c r="C81" s="116">
        <v>163.75</v>
      </c>
      <c r="D81" s="116">
        <v>162.80000000000001</v>
      </c>
      <c r="E81" s="116">
        <v>168</v>
      </c>
      <c r="F81" s="116">
        <v>163.75</v>
      </c>
      <c r="G81">
        <v>89050</v>
      </c>
      <c r="H81" s="116"/>
      <c r="I81" s="116"/>
      <c r="L81" s="170">
        <v>42121</v>
      </c>
      <c r="M81" s="116">
        <v>163.15</v>
      </c>
      <c r="N81" s="116">
        <v>170.4</v>
      </c>
      <c r="O81" s="116">
        <v>162.25</v>
      </c>
      <c r="P81" s="116">
        <v>169.15</v>
      </c>
      <c r="Q81" s="116">
        <v>163.15</v>
      </c>
      <c r="R81">
        <v>1044435</v>
      </c>
    </row>
    <row r="82" spans="1:18" x14ac:dyDescent="0.25">
      <c r="A82" s="170">
        <v>42122</v>
      </c>
      <c r="B82" s="116">
        <v>170</v>
      </c>
      <c r="C82" s="116">
        <v>169.15</v>
      </c>
      <c r="D82" s="116">
        <v>162.75</v>
      </c>
      <c r="E82" s="116">
        <v>164.05</v>
      </c>
      <c r="F82" s="116">
        <v>169.15</v>
      </c>
      <c r="G82">
        <v>138886</v>
      </c>
      <c r="H82" s="116"/>
      <c r="I82" s="116"/>
      <c r="L82" s="170">
        <v>42122</v>
      </c>
      <c r="M82" s="116">
        <v>169.1</v>
      </c>
      <c r="N82" s="116">
        <v>169.85</v>
      </c>
      <c r="O82" s="116">
        <v>162.4</v>
      </c>
      <c r="P82" s="116">
        <v>163</v>
      </c>
      <c r="Q82" s="116">
        <v>169.1</v>
      </c>
      <c r="R82">
        <v>1956198</v>
      </c>
    </row>
    <row r="83" spans="1:18" x14ac:dyDescent="0.25">
      <c r="A83" s="170">
        <v>42123</v>
      </c>
      <c r="B83" s="116">
        <v>171.95</v>
      </c>
      <c r="C83" s="116">
        <v>170.9</v>
      </c>
      <c r="D83" s="116">
        <v>168.45</v>
      </c>
      <c r="E83" s="116">
        <v>169</v>
      </c>
      <c r="F83" s="116">
        <v>170.9</v>
      </c>
      <c r="G83">
        <v>88433</v>
      </c>
      <c r="H83" s="116"/>
      <c r="I83" s="116"/>
      <c r="L83" s="170">
        <v>42123</v>
      </c>
      <c r="M83" s="116">
        <v>170.95</v>
      </c>
      <c r="N83" s="116">
        <v>172</v>
      </c>
      <c r="O83" s="116">
        <v>168.3</v>
      </c>
      <c r="P83" s="116">
        <v>170</v>
      </c>
      <c r="Q83" s="116">
        <v>170.95</v>
      </c>
      <c r="R83">
        <v>821298</v>
      </c>
    </row>
    <row r="84" spans="1:18" x14ac:dyDescent="0.25">
      <c r="A84" s="170">
        <v>42124</v>
      </c>
      <c r="B84" s="116">
        <v>170.9</v>
      </c>
      <c r="C84" s="116">
        <v>169.3</v>
      </c>
      <c r="D84" s="116">
        <v>167.65</v>
      </c>
      <c r="E84" s="116">
        <v>170.1</v>
      </c>
      <c r="F84" s="116">
        <v>169.3</v>
      </c>
      <c r="G84">
        <v>73290</v>
      </c>
      <c r="H84" s="116"/>
      <c r="I84" s="116"/>
      <c r="L84" s="170">
        <v>42124</v>
      </c>
      <c r="M84" s="116">
        <v>169.4</v>
      </c>
      <c r="N84" s="116">
        <v>171</v>
      </c>
      <c r="O84" s="116">
        <v>167.7</v>
      </c>
      <c r="P84" s="116">
        <v>170.4</v>
      </c>
      <c r="Q84" s="116">
        <v>169.4</v>
      </c>
      <c r="R84">
        <v>2257272</v>
      </c>
    </row>
    <row r="85" spans="1:18" x14ac:dyDescent="0.25">
      <c r="A85" s="170">
        <v>42128</v>
      </c>
      <c r="B85" s="116">
        <v>173.4</v>
      </c>
      <c r="C85" s="116">
        <v>172.3</v>
      </c>
      <c r="D85" s="116">
        <v>169.6</v>
      </c>
      <c r="E85" s="116">
        <v>170.3</v>
      </c>
      <c r="F85" s="116">
        <v>172.3</v>
      </c>
      <c r="G85">
        <v>101128</v>
      </c>
      <c r="H85" s="116"/>
      <c r="I85" s="116"/>
      <c r="L85" s="170">
        <v>42128</v>
      </c>
      <c r="M85" s="116">
        <v>172.35</v>
      </c>
      <c r="N85" s="116">
        <v>173.75</v>
      </c>
      <c r="O85" s="116">
        <v>169.55</v>
      </c>
      <c r="P85" s="116">
        <v>170.5</v>
      </c>
      <c r="Q85" s="116">
        <v>172.35</v>
      </c>
      <c r="R85">
        <v>1195762</v>
      </c>
    </row>
    <row r="86" spans="1:18" x14ac:dyDescent="0.25">
      <c r="A86" s="170">
        <v>42129</v>
      </c>
      <c r="B86" s="116">
        <v>183.6</v>
      </c>
      <c r="C86" s="116">
        <v>182.15</v>
      </c>
      <c r="D86" s="116">
        <v>171.3</v>
      </c>
      <c r="E86" s="116">
        <v>171.3</v>
      </c>
      <c r="F86" s="116">
        <v>182.15</v>
      </c>
      <c r="G86">
        <v>264611</v>
      </c>
      <c r="H86" s="116"/>
      <c r="I86" s="116"/>
      <c r="L86" s="170">
        <v>42129</v>
      </c>
      <c r="M86" s="116">
        <v>182.35</v>
      </c>
      <c r="N86" s="116">
        <v>183.45</v>
      </c>
      <c r="O86" s="116">
        <v>172.05</v>
      </c>
      <c r="P86" s="116">
        <v>172.1</v>
      </c>
      <c r="Q86" s="116">
        <v>182.35</v>
      </c>
      <c r="R86">
        <v>1926105</v>
      </c>
    </row>
    <row r="87" spans="1:18" x14ac:dyDescent="0.25">
      <c r="A87" s="170">
        <v>42130</v>
      </c>
      <c r="B87" s="116">
        <v>183</v>
      </c>
      <c r="C87" s="116">
        <v>176.05</v>
      </c>
      <c r="D87" s="116">
        <v>173.8</v>
      </c>
      <c r="E87" s="116">
        <v>180.75</v>
      </c>
      <c r="F87" s="116">
        <v>176.05</v>
      </c>
      <c r="G87">
        <v>126997</v>
      </c>
      <c r="H87" s="116"/>
      <c r="I87" s="116"/>
      <c r="L87" s="170">
        <v>42130</v>
      </c>
      <c r="M87" s="116">
        <v>175.6</v>
      </c>
      <c r="N87" s="116">
        <v>183</v>
      </c>
      <c r="O87" s="116">
        <v>173.55</v>
      </c>
      <c r="P87" s="116">
        <v>181.05</v>
      </c>
      <c r="Q87" s="116">
        <v>175.6</v>
      </c>
      <c r="R87">
        <v>1611728</v>
      </c>
    </row>
    <row r="88" spans="1:18" x14ac:dyDescent="0.25">
      <c r="A88" s="170">
        <v>42131</v>
      </c>
      <c r="B88" s="116">
        <v>179.5</v>
      </c>
      <c r="C88" s="116">
        <v>175.35</v>
      </c>
      <c r="D88" s="116">
        <v>172.15</v>
      </c>
      <c r="E88" s="116">
        <v>176.9</v>
      </c>
      <c r="F88" s="116">
        <v>175.35</v>
      </c>
      <c r="G88">
        <v>122488</v>
      </c>
      <c r="H88" s="116"/>
      <c r="I88" s="116"/>
      <c r="L88" s="170">
        <v>42131</v>
      </c>
      <c r="M88" s="116">
        <v>175.2</v>
      </c>
      <c r="N88" s="116">
        <v>179.85</v>
      </c>
      <c r="O88" s="116">
        <v>172</v>
      </c>
      <c r="P88" s="116">
        <v>174.2</v>
      </c>
      <c r="Q88" s="116">
        <v>175.2</v>
      </c>
      <c r="R88">
        <v>1396854</v>
      </c>
    </row>
    <row r="89" spans="1:18" x14ac:dyDescent="0.25">
      <c r="A89" s="170">
        <v>42132</v>
      </c>
      <c r="B89" s="116">
        <v>178.35</v>
      </c>
      <c r="C89" s="116">
        <v>176.85</v>
      </c>
      <c r="D89" s="116">
        <v>175</v>
      </c>
      <c r="E89" s="116">
        <v>175.5</v>
      </c>
      <c r="F89" s="116">
        <v>176.85</v>
      </c>
      <c r="G89">
        <v>45872</v>
      </c>
      <c r="H89" s="116"/>
      <c r="I89" s="116"/>
      <c r="L89" s="170">
        <v>42132</v>
      </c>
      <c r="M89" s="116">
        <v>176.75</v>
      </c>
      <c r="N89" s="116">
        <v>178.15</v>
      </c>
      <c r="O89" s="116">
        <v>174.95</v>
      </c>
      <c r="P89" s="116">
        <v>175</v>
      </c>
      <c r="Q89" s="116">
        <v>176.75</v>
      </c>
      <c r="R89">
        <v>854026</v>
      </c>
    </row>
    <row r="90" spans="1:18" x14ac:dyDescent="0.25">
      <c r="A90" s="170">
        <v>42135</v>
      </c>
      <c r="B90" s="116">
        <v>180.65</v>
      </c>
      <c r="C90" s="116">
        <v>176.6</v>
      </c>
      <c r="D90" s="116">
        <v>175.25</v>
      </c>
      <c r="E90" s="116">
        <v>177.85</v>
      </c>
      <c r="F90" s="116">
        <v>176.6</v>
      </c>
      <c r="G90">
        <v>92078</v>
      </c>
      <c r="H90" s="116"/>
      <c r="I90" s="116"/>
      <c r="L90" s="170">
        <v>42135</v>
      </c>
      <c r="M90" s="116">
        <v>176.55</v>
      </c>
      <c r="N90" s="116">
        <v>180.85</v>
      </c>
      <c r="O90" s="116">
        <v>175</v>
      </c>
      <c r="P90" s="116">
        <v>177.7</v>
      </c>
      <c r="Q90" s="116">
        <v>176.55</v>
      </c>
      <c r="R90">
        <v>1747162</v>
      </c>
    </row>
    <row r="91" spans="1:18" x14ac:dyDescent="0.25">
      <c r="A91" s="170">
        <v>42136</v>
      </c>
      <c r="B91" s="116">
        <v>175.25</v>
      </c>
      <c r="C91" s="116">
        <v>169.65</v>
      </c>
      <c r="D91" s="116">
        <v>166.8</v>
      </c>
      <c r="E91" s="116">
        <v>174.95</v>
      </c>
      <c r="F91" s="116">
        <v>169.65</v>
      </c>
      <c r="G91">
        <v>93436</v>
      </c>
      <c r="H91" s="116"/>
      <c r="I91" s="116"/>
      <c r="L91" s="170">
        <v>42136</v>
      </c>
      <c r="M91" s="116">
        <v>169.5</v>
      </c>
      <c r="N91" s="116">
        <v>175.4</v>
      </c>
      <c r="O91" s="116">
        <v>166.8</v>
      </c>
      <c r="P91" s="116">
        <v>174.8</v>
      </c>
      <c r="Q91" s="116">
        <v>169.5</v>
      </c>
      <c r="R91">
        <v>1529013</v>
      </c>
    </row>
    <row r="92" spans="1:18" x14ac:dyDescent="0.25">
      <c r="A92" s="170">
        <v>42137</v>
      </c>
      <c r="B92" s="116">
        <v>174.5</v>
      </c>
      <c r="C92" s="116">
        <v>173.75</v>
      </c>
      <c r="D92" s="116">
        <v>169.8</v>
      </c>
      <c r="E92" s="116">
        <v>170.1</v>
      </c>
      <c r="F92" s="116">
        <v>173.75</v>
      </c>
      <c r="G92">
        <v>59332</v>
      </c>
      <c r="H92" s="116"/>
      <c r="I92" s="116"/>
      <c r="L92" s="170">
        <v>42137</v>
      </c>
      <c r="M92" s="116">
        <v>173.8</v>
      </c>
      <c r="N92" s="116">
        <v>174.5</v>
      </c>
      <c r="O92" s="116">
        <v>169.8</v>
      </c>
      <c r="P92" s="116">
        <v>170.4</v>
      </c>
      <c r="Q92" s="116">
        <v>173.8</v>
      </c>
      <c r="R92">
        <v>803691</v>
      </c>
    </row>
    <row r="93" spans="1:18" x14ac:dyDescent="0.25">
      <c r="A93" s="170">
        <v>42138</v>
      </c>
      <c r="B93" s="116">
        <v>176.8</v>
      </c>
      <c r="C93" s="116">
        <v>176</v>
      </c>
      <c r="D93" s="116">
        <v>171.65</v>
      </c>
      <c r="E93" s="116">
        <v>174.25</v>
      </c>
      <c r="F93" s="116">
        <v>176</v>
      </c>
      <c r="G93">
        <v>42294</v>
      </c>
      <c r="H93" s="116"/>
      <c r="I93" s="116"/>
      <c r="L93" s="170">
        <v>42138</v>
      </c>
      <c r="M93" s="116">
        <v>176.05</v>
      </c>
      <c r="N93" s="116">
        <v>176.75</v>
      </c>
      <c r="O93" s="116">
        <v>171.65</v>
      </c>
      <c r="P93" s="116">
        <v>172.9</v>
      </c>
      <c r="Q93" s="116">
        <v>176.05</v>
      </c>
      <c r="R93">
        <v>930812</v>
      </c>
    </row>
    <row r="94" spans="1:18" x14ac:dyDescent="0.25">
      <c r="A94" s="170">
        <v>42139</v>
      </c>
      <c r="B94" s="116">
        <v>176</v>
      </c>
      <c r="C94" s="116">
        <v>175.3</v>
      </c>
      <c r="D94" s="116">
        <v>172.9</v>
      </c>
      <c r="E94" s="116">
        <v>175.8</v>
      </c>
      <c r="F94" s="116">
        <v>175.3</v>
      </c>
      <c r="G94">
        <v>44164</v>
      </c>
      <c r="H94" s="116"/>
      <c r="I94" s="116"/>
      <c r="L94" s="170">
        <v>42139</v>
      </c>
      <c r="M94" s="116">
        <v>175.3</v>
      </c>
      <c r="N94" s="116">
        <v>177</v>
      </c>
      <c r="O94" s="116">
        <v>172.8</v>
      </c>
      <c r="P94" s="116">
        <v>177</v>
      </c>
      <c r="Q94" s="116">
        <v>175.3</v>
      </c>
      <c r="R94">
        <v>620005</v>
      </c>
    </row>
    <row r="95" spans="1:18" x14ac:dyDescent="0.25">
      <c r="A95" s="170">
        <v>42142</v>
      </c>
      <c r="B95" s="116">
        <v>176.6</v>
      </c>
      <c r="C95" s="116">
        <v>175.2</v>
      </c>
      <c r="D95" s="116">
        <v>174.5</v>
      </c>
      <c r="E95" s="116">
        <v>175.9</v>
      </c>
      <c r="F95" s="116">
        <v>175.2</v>
      </c>
      <c r="G95">
        <v>28089</v>
      </c>
      <c r="H95" s="116"/>
      <c r="I95" s="116"/>
      <c r="L95" s="170">
        <v>42142</v>
      </c>
      <c r="M95" s="116">
        <v>175.2</v>
      </c>
      <c r="N95" s="116">
        <v>176.9</v>
      </c>
      <c r="O95" s="116">
        <v>174.5</v>
      </c>
      <c r="P95" s="116">
        <v>175.1</v>
      </c>
      <c r="Q95" s="116">
        <v>175.2</v>
      </c>
      <c r="R95">
        <v>429352</v>
      </c>
    </row>
    <row r="96" spans="1:18" x14ac:dyDescent="0.25">
      <c r="A96" s="170">
        <v>42143</v>
      </c>
      <c r="B96" s="116">
        <v>179.1</v>
      </c>
      <c r="C96" s="116">
        <v>177.15</v>
      </c>
      <c r="D96" s="116">
        <v>176.05</v>
      </c>
      <c r="E96" s="116">
        <v>176.4</v>
      </c>
      <c r="F96" s="116">
        <v>177.15</v>
      </c>
      <c r="G96">
        <v>45971</v>
      </c>
      <c r="H96" s="116"/>
      <c r="I96" s="116"/>
      <c r="L96" s="170">
        <v>42143</v>
      </c>
      <c r="M96" s="116">
        <v>177.65</v>
      </c>
      <c r="N96" s="116">
        <v>179.45</v>
      </c>
      <c r="O96" s="116">
        <v>174.9</v>
      </c>
      <c r="P96" s="116">
        <v>175.05</v>
      </c>
      <c r="Q96" s="116">
        <v>177.65</v>
      </c>
      <c r="R96">
        <v>533529</v>
      </c>
    </row>
    <row r="97" spans="1:18" x14ac:dyDescent="0.25">
      <c r="A97" s="170">
        <v>42144</v>
      </c>
      <c r="B97" s="116">
        <v>177.45</v>
      </c>
      <c r="C97" s="116">
        <v>175.65</v>
      </c>
      <c r="D97" s="116">
        <v>174.65</v>
      </c>
      <c r="E97" s="116">
        <v>175</v>
      </c>
      <c r="F97" s="116">
        <v>175.65</v>
      </c>
      <c r="G97">
        <v>17794</v>
      </c>
      <c r="H97" s="116"/>
      <c r="I97" s="116"/>
      <c r="L97" s="170">
        <v>42144</v>
      </c>
      <c r="M97" s="116">
        <v>176.1</v>
      </c>
      <c r="N97" s="116">
        <v>177.8</v>
      </c>
      <c r="O97" s="116">
        <v>174.95</v>
      </c>
      <c r="P97" s="116">
        <v>177.05</v>
      </c>
      <c r="Q97" s="116">
        <v>176.1</v>
      </c>
      <c r="R97">
        <v>536482</v>
      </c>
    </row>
    <row r="98" spans="1:18" x14ac:dyDescent="0.25">
      <c r="A98" s="170">
        <v>42145</v>
      </c>
      <c r="B98" s="116">
        <v>177.6</v>
      </c>
      <c r="C98" s="116">
        <v>177.2</v>
      </c>
      <c r="D98" s="116">
        <v>173.75</v>
      </c>
      <c r="E98" s="116">
        <v>175.1</v>
      </c>
      <c r="F98" s="116">
        <v>177.2</v>
      </c>
      <c r="G98">
        <v>41481</v>
      </c>
      <c r="H98" s="116"/>
      <c r="I98" s="116"/>
      <c r="L98" s="170">
        <v>42145</v>
      </c>
      <c r="M98" s="116">
        <v>177.45</v>
      </c>
      <c r="N98" s="116">
        <v>178.4</v>
      </c>
      <c r="O98" s="116">
        <v>173.65</v>
      </c>
      <c r="P98" s="116">
        <v>175.7</v>
      </c>
      <c r="Q98" s="116">
        <v>177.45</v>
      </c>
      <c r="R98">
        <v>644352</v>
      </c>
    </row>
    <row r="99" spans="1:18" x14ac:dyDescent="0.25">
      <c r="A99" s="170">
        <v>42146</v>
      </c>
      <c r="B99" s="116">
        <v>179.9</v>
      </c>
      <c r="C99" s="116">
        <v>177.2</v>
      </c>
      <c r="D99" s="116">
        <v>176.5</v>
      </c>
      <c r="E99" s="116">
        <v>177.8</v>
      </c>
      <c r="F99" s="116">
        <v>177.2</v>
      </c>
      <c r="G99">
        <v>58841</v>
      </c>
      <c r="H99" s="116"/>
      <c r="I99" s="116"/>
      <c r="L99" s="170">
        <v>42146</v>
      </c>
      <c r="M99" s="116">
        <v>177.35</v>
      </c>
      <c r="N99" s="116">
        <v>180.1</v>
      </c>
      <c r="O99" s="116">
        <v>176.35</v>
      </c>
      <c r="P99" s="116">
        <v>177.45</v>
      </c>
      <c r="Q99" s="116">
        <v>177.35</v>
      </c>
      <c r="R99">
        <v>1061165</v>
      </c>
    </row>
    <row r="100" spans="1:18" x14ac:dyDescent="0.25">
      <c r="A100" s="170">
        <v>42149</v>
      </c>
      <c r="B100" s="116">
        <v>179</v>
      </c>
      <c r="C100" s="116">
        <v>177.65</v>
      </c>
      <c r="D100" s="116">
        <v>174.9</v>
      </c>
      <c r="E100" s="116">
        <v>175</v>
      </c>
      <c r="F100" s="116">
        <v>177.65</v>
      </c>
      <c r="G100">
        <v>62562</v>
      </c>
      <c r="H100" s="116"/>
      <c r="I100" s="116"/>
      <c r="L100" s="170">
        <v>42149</v>
      </c>
      <c r="M100" s="116">
        <v>178.15</v>
      </c>
      <c r="N100" s="116">
        <v>179.1</v>
      </c>
      <c r="O100" s="116">
        <v>175</v>
      </c>
      <c r="P100" s="116">
        <v>175</v>
      </c>
      <c r="Q100" s="116">
        <v>178.15</v>
      </c>
      <c r="R100">
        <v>669080</v>
      </c>
    </row>
    <row r="101" spans="1:18" x14ac:dyDescent="0.25">
      <c r="A101" s="170">
        <v>42150</v>
      </c>
      <c r="B101" s="116">
        <v>177.35</v>
      </c>
      <c r="C101" s="116">
        <v>172.65</v>
      </c>
      <c r="D101" s="116">
        <v>172</v>
      </c>
      <c r="E101" s="116">
        <v>176.55</v>
      </c>
      <c r="F101" s="116">
        <v>172.65</v>
      </c>
      <c r="G101">
        <v>25675</v>
      </c>
      <c r="H101" s="116"/>
      <c r="I101" s="116"/>
      <c r="L101" s="170">
        <v>42150</v>
      </c>
      <c r="M101" s="116">
        <v>172.85</v>
      </c>
      <c r="N101" s="116">
        <v>179</v>
      </c>
      <c r="O101" s="116">
        <v>172</v>
      </c>
      <c r="P101" s="116">
        <v>176.3</v>
      </c>
      <c r="Q101" s="116">
        <v>172.85</v>
      </c>
      <c r="R101">
        <v>321591</v>
      </c>
    </row>
    <row r="102" spans="1:18" x14ac:dyDescent="0.25">
      <c r="A102" s="170">
        <v>42151</v>
      </c>
      <c r="B102" s="116">
        <v>174</v>
      </c>
      <c r="C102" s="116">
        <v>173.05</v>
      </c>
      <c r="D102" s="116">
        <v>170.2</v>
      </c>
      <c r="E102" s="116">
        <v>170.35</v>
      </c>
      <c r="F102" s="116">
        <v>173.05</v>
      </c>
      <c r="G102">
        <v>69298</v>
      </c>
      <c r="H102" s="116"/>
      <c r="I102" s="116"/>
      <c r="L102" s="170">
        <v>42151</v>
      </c>
      <c r="M102" s="116">
        <v>173.25</v>
      </c>
      <c r="N102" s="116">
        <v>175</v>
      </c>
      <c r="O102" s="116">
        <v>170.1</v>
      </c>
      <c r="P102" s="116">
        <v>171.6</v>
      </c>
      <c r="Q102" s="116">
        <v>173.25</v>
      </c>
      <c r="R102">
        <v>965875</v>
      </c>
    </row>
    <row r="103" spans="1:18" x14ac:dyDescent="0.25">
      <c r="A103" s="170">
        <v>42152</v>
      </c>
      <c r="B103" s="116">
        <v>174.25</v>
      </c>
      <c r="C103" s="116">
        <v>171.05</v>
      </c>
      <c r="D103" s="116">
        <v>170.15</v>
      </c>
      <c r="E103" s="116">
        <v>173.3</v>
      </c>
      <c r="F103" s="116">
        <v>171.05</v>
      </c>
      <c r="G103">
        <v>56649</v>
      </c>
      <c r="H103" s="116"/>
      <c r="I103" s="116"/>
      <c r="L103" s="170">
        <v>42152</v>
      </c>
      <c r="M103" s="116">
        <v>171.3</v>
      </c>
      <c r="N103" s="116">
        <v>174.65</v>
      </c>
      <c r="O103" s="116">
        <v>170.4</v>
      </c>
      <c r="P103" s="116">
        <v>173.25</v>
      </c>
      <c r="Q103" s="116">
        <v>171.3</v>
      </c>
      <c r="R103">
        <v>970272</v>
      </c>
    </row>
    <row r="104" spans="1:18" x14ac:dyDescent="0.25">
      <c r="A104" s="170">
        <v>42153</v>
      </c>
      <c r="B104" s="116">
        <v>171.9</v>
      </c>
      <c r="C104" s="116">
        <v>169.1</v>
      </c>
      <c r="D104" s="116">
        <v>167.65</v>
      </c>
      <c r="E104" s="116">
        <v>171.9</v>
      </c>
      <c r="F104" s="116">
        <v>169.1</v>
      </c>
      <c r="G104">
        <v>212612</v>
      </c>
      <c r="H104" s="116"/>
      <c r="I104" s="116"/>
      <c r="L104" s="170">
        <v>42153</v>
      </c>
      <c r="M104" s="116">
        <v>169.2</v>
      </c>
      <c r="N104" s="116">
        <v>172.4</v>
      </c>
      <c r="O104" s="116">
        <v>167.6</v>
      </c>
      <c r="P104" s="116">
        <v>171.3</v>
      </c>
      <c r="Q104" s="116">
        <v>169.2</v>
      </c>
      <c r="R104">
        <v>1432314</v>
      </c>
    </row>
    <row r="105" spans="1:18" x14ac:dyDescent="0.25">
      <c r="A105" s="170">
        <v>42156</v>
      </c>
      <c r="B105" s="116">
        <v>170.05</v>
      </c>
      <c r="C105" s="116">
        <v>167.6</v>
      </c>
      <c r="D105" s="116">
        <v>167</v>
      </c>
      <c r="E105" s="116">
        <v>169.5</v>
      </c>
      <c r="F105" s="116">
        <v>167.6</v>
      </c>
      <c r="G105">
        <v>33406</v>
      </c>
      <c r="H105" s="116"/>
      <c r="I105" s="116"/>
      <c r="L105" s="170">
        <v>42156</v>
      </c>
      <c r="M105" s="116">
        <v>167.7</v>
      </c>
      <c r="N105" s="116">
        <v>170.25</v>
      </c>
      <c r="O105" s="116">
        <v>167.2</v>
      </c>
      <c r="P105" s="116">
        <v>169</v>
      </c>
      <c r="Q105" s="116">
        <v>167.7</v>
      </c>
      <c r="R105">
        <v>725464</v>
      </c>
    </row>
    <row r="106" spans="1:18" x14ac:dyDescent="0.25">
      <c r="A106" s="170">
        <v>42157</v>
      </c>
      <c r="B106" s="116">
        <v>171.5</v>
      </c>
      <c r="C106" s="116">
        <v>166.95</v>
      </c>
      <c r="D106" s="116">
        <v>166.4</v>
      </c>
      <c r="E106" s="116">
        <v>170.95</v>
      </c>
      <c r="F106" s="116">
        <v>166.95</v>
      </c>
      <c r="G106">
        <v>80429</v>
      </c>
      <c r="H106" s="116"/>
      <c r="I106" s="116"/>
      <c r="L106" s="170">
        <v>42157</v>
      </c>
      <c r="M106" s="116">
        <v>167.2</v>
      </c>
      <c r="N106" s="116">
        <v>171.3</v>
      </c>
      <c r="O106" s="116">
        <v>166.5</v>
      </c>
      <c r="P106" s="116">
        <v>170</v>
      </c>
      <c r="Q106" s="116">
        <v>167.2</v>
      </c>
      <c r="R106">
        <v>820036</v>
      </c>
    </row>
    <row r="107" spans="1:18" x14ac:dyDescent="0.25">
      <c r="A107" s="170">
        <v>42158</v>
      </c>
      <c r="B107" s="116">
        <v>168.2</v>
      </c>
      <c r="C107" s="116">
        <v>167.25</v>
      </c>
      <c r="D107" s="116">
        <v>163.95</v>
      </c>
      <c r="E107" s="116">
        <v>167.4</v>
      </c>
      <c r="F107" s="116">
        <v>167.25</v>
      </c>
      <c r="G107">
        <v>85464</v>
      </c>
      <c r="H107" s="116"/>
      <c r="I107" s="116"/>
      <c r="L107" s="170">
        <v>42158</v>
      </c>
      <c r="M107" s="116">
        <v>167.9</v>
      </c>
      <c r="N107" s="116">
        <v>168.8</v>
      </c>
      <c r="O107" s="116">
        <v>164</v>
      </c>
      <c r="P107" s="116">
        <v>167.8</v>
      </c>
      <c r="Q107" s="116">
        <v>167.9</v>
      </c>
      <c r="R107">
        <v>914013</v>
      </c>
    </row>
    <row r="108" spans="1:18" x14ac:dyDescent="0.25">
      <c r="A108" s="170">
        <v>42159</v>
      </c>
      <c r="B108" s="116">
        <v>171.45</v>
      </c>
      <c r="C108" s="116">
        <v>168.75</v>
      </c>
      <c r="D108" s="116">
        <v>166.8</v>
      </c>
      <c r="E108" s="116">
        <v>167.5</v>
      </c>
      <c r="F108" s="116">
        <v>168.75</v>
      </c>
      <c r="G108">
        <v>70598</v>
      </c>
      <c r="H108" s="116"/>
      <c r="I108" s="116"/>
      <c r="L108" s="170">
        <v>42159</v>
      </c>
      <c r="M108" s="116">
        <v>169</v>
      </c>
      <c r="N108" s="116">
        <v>171.5</v>
      </c>
      <c r="O108" s="116">
        <v>166.5</v>
      </c>
      <c r="P108" s="116">
        <v>168</v>
      </c>
      <c r="Q108" s="116">
        <v>169</v>
      </c>
      <c r="R108">
        <v>1000917</v>
      </c>
    </row>
    <row r="109" spans="1:18" x14ac:dyDescent="0.25">
      <c r="A109" s="170">
        <v>42160</v>
      </c>
      <c r="B109" s="116">
        <v>173.5</v>
      </c>
      <c r="C109" s="116">
        <v>169.65</v>
      </c>
      <c r="D109" s="116">
        <v>167.9</v>
      </c>
      <c r="E109" s="116">
        <v>167.9</v>
      </c>
      <c r="F109" s="116">
        <v>169.65</v>
      </c>
      <c r="G109">
        <v>53599</v>
      </c>
      <c r="H109" s="116"/>
      <c r="I109" s="116"/>
      <c r="L109" s="170">
        <v>42160</v>
      </c>
      <c r="M109" s="116">
        <v>169.95</v>
      </c>
      <c r="N109" s="116">
        <v>174</v>
      </c>
      <c r="O109" s="116">
        <v>167.8</v>
      </c>
      <c r="P109" s="116">
        <v>168.45</v>
      </c>
      <c r="Q109" s="116">
        <v>169.95</v>
      </c>
      <c r="R109">
        <v>1098379</v>
      </c>
    </row>
    <row r="110" spans="1:18" x14ac:dyDescent="0.25">
      <c r="A110" s="170">
        <v>42163</v>
      </c>
      <c r="B110" s="116">
        <v>170.85</v>
      </c>
      <c r="C110" s="116">
        <v>169</v>
      </c>
      <c r="D110" s="116">
        <v>168.55</v>
      </c>
      <c r="E110" s="116">
        <v>170</v>
      </c>
      <c r="F110" s="116">
        <v>169</v>
      </c>
      <c r="G110">
        <v>23635</v>
      </c>
      <c r="H110" s="116"/>
      <c r="I110" s="116"/>
      <c r="L110" s="170">
        <v>42163</v>
      </c>
      <c r="M110" s="116">
        <v>169.35</v>
      </c>
      <c r="N110" s="116">
        <v>172.3</v>
      </c>
      <c r="O110" s="116">
        <v>168</v>
      </c>
      <c r="P110" s="116">
        <v>172.3</v>
      </c>
      <c r="Q110" s="116">
        <v>169.35</v>
      </c>
      <c r="R110">
        <v>510140</v>
      </c>
    </row>
    <row r="111" spans="1:18" x14ac:dyDescent="0.25">
      <c r="A111" s="170">
        <v>42164</v>
      </c>
      <c r="B111" s="116">
        <v>172</v>
      </c>
      <c r="C111" s="116">
        <v>169</v>
      </c>
      <c r="D111" s="116">
        <v>168</v>
      </c>
      <c r="E111" s="116">
        <v>168.1</v>
      </c>
      <c r="F111" s="116">
        <v>169</v>
      </c>
      <c r="G111">
        <v>52131</v>
      </c>
      <c r="H111" s="116"/>
      <c r="I111" s="116"/>
      <c r="L111" s="170">
        <v>42164</v>
      </c>
      <c r="M111" s="116">
        <v>169.25</v>
      </c>
      <c r="N111" s="116">
        <v>171.9</v>
      </c>
      <c r="O111" s="116">
        <v>168.1</v>
      </c>
      <c r="P111" s="116">
        <v>168.4</v>
      </c>
      <c r="Q111" s="116">
        <v>169.25</v>
      </c>
      <c r="R111">
        <v>504546</v>
      </c>
    </row>
    <row r="112" spans="1:18" x14ac:dyDescent="0.25">
      <c r="A112" s="170">
        <v>42165</v>
      </c>
      <c r="B112" s="116">
        <v>169.6</v>
      </c>
      <c r="C112" s="116">
        <v>168.15</v>
      </c>
      <c r="D112" s="116">
        <v>164.3</v>
      </c>
      <c r="E112" s="116">
        <v>169</v>
      </c>
      <c r="F112" s="116">
        <v>168.15</v>
      </c>
      <c r="G112">
        <v>136583</v>
      </c>
      <c r="H112" s="116"/>
      <c r="I112" s="116"/>
      <c r="L112" s="170">
        <v>42165</v>
      </c>
      <c r="M112" s="116">
        <v>168.05</v>
      </c>
      <c r="N112" s="116">
        <v>169.45</v>
      </c>
      <c r="O112" s="116">
        <v>164.1</v>
      </c>
      <c r="P112" s="116">
        <v>168.5</v>
      </c>
      <c r="Q112" s="116">
        <v>168.05</v>
      </c>
      <c r="R112">
        <v>1116208</v>
      </c>
    </row>
    <row r="113" spans="1:18" x14ac:dyDescent="0.25">
      <c r="A113" s="170">
        <v>42166</v>
      </c>
      <c r="B113" s="116">
        <v>168.15</v>
      </c>
      <c r="C113" s="116">
        <v>164.15</v>
      </c>
      <c r="D113" s="116">
        <v>163.19999999999999</v>
      </c>
      <c r="E113" s="116">
        <v>167.25</v>
      </c>
      <c r="F113" s="116">
        <v>164.15</v>
      </c>
      <c r="G113">
        <v>78108</v>
      </c>
      <c r="H113" s="116"/>
      <c r="I113" s="116"/>
      <c r="L113" s="170">
        <v>42166</v>
      </c>
      <c r="M113" s="116">
        <v>164</v>
      </c>
      <c r="N113" s="116">
        <v>168.45</v>
      </c>
      <c r="O113" s="116">
        <v>163.25</v>
      </c>
      <c r="P113" s="116">
        <v>168</v>
      </c>
      <c r="Q113" s="116">
        <v>164</v>
      </c>
      <c r="R113">
        <v>746516</v>
      </c>
    </row>
    <row r="114" spans="1:18" x14ac:dyDescent="0.25">
      <c r="A114" s="170">
        <v>42167</v>
      </c>
      <c r="B114" s="116">
        <v>166.65</v>
      </c>
      <c r="C114" s="116">
        <v>164.4</v>
      </c>
      <c r="D114" s="116">
        <v>162.80000000000001</v>
      </c>
      <c r="E114" s="116">
        <v>166.65</v>
      </c>
      <c r="F114" s="116">
        <v>164.4</v>
      </c>
      <c r="G114">
        <v>38908</v>
      </c>
      <c r="H114" s="116"/>
      <c r="I114" s="116"/>
      <c r="L114" s="170">
        <v>42167</v>
      </c>
      <c r="M114" s="116">
        <v>164.55</v>
      </c>
      <c r="N114" s="116">
        <v>168</v>
      </c>
      <c r="O114" s="116">
        <v>162.65</v>
      </c>
      <c r="P114" s="116">
        <v>165</v>
      </c>
      <c r="Q114" s="116">
        <v>164.55</v>
      </c>
      <c r="R114">
        <v>511304</v>
      </c>
    </row>
    <row r="115" spans="1:18" x14ac:dyDescent="0.25">
      <c r="A115" s="170">
        <v>42170</v>
      </c>
      <c r="B115" s="116">
        <v>167.2</v>
      </c>
      <c r="C115" s="116">
        <v>164.75</v>
      </c>
      <c r="D115" s="116">
        <v>163.5</v>
      </c>
      <c r="E115" s="116">
        <v>166.2</v>
      </c>
      <c r="F115" s="116">
        <v>164.75</v>
      </c>
      <c r="G115">
        <v>54386</v>
      </c>
      <c r="H115" s="116"/>
      <c r="I115" s="116"/>
      <c r="L115" s="170">
        <v>42170</v>
      </c>
      <c r="M115" s="116">
        <v>165.2</v>
      </c>
      <c r="N115" s="116">
        <v>167.3</v>
      </c>
      <c r="O115" s="116">
        <v>163.65</v>
      </c>
      <c r="P115" s="116">
        <v>166.9</v>
      </c>
      <c r="Q115" s="116">
        <v>165.2</v>
      </c>
      <c r="R115">
        <v>595959</v>
      </c>
    </row>
    <row r="116" spans="1:18" x14ac:dyDescent="0.25">
      <c r="A116" s="170">
        <v>42171</v>
      </c>
      <c r="B116" s="116">
        <v>165.25</v>
      </c>
      <c r="C116" s="116">
        <v>164.5</v>
      </c>
      <c r="D116" s="116">
        <v>162.9</v>
      </c>
      <c r="E116" s="116">
        <v>164.75</v>
      </c>
      <c r="F116" s="116">
        <v>164.5</v>
      </c>
      <c r="G116">
        <v>25982</v>
      </c>
      <c r="H116" s="116"/>
      <c r="I116" s="116"/>
      <c r="L116" s="170">
        <v>42171</v>
      </c>
      <c r="M116" s="116">
        <v>164.6</v>
      </c>
      <c r="N116" s="116">
        <v>165.15</v>
      </c>
      <c r="O116" s="116">
        <v>162.5</v>
      </c>
      <c r="P116" s="116">
        <v>164.4</v>
      </c>
      <c r="Q116" s="116">
        <v>164.6</v>
      </c>
      <c r="R116">
        <v>395418</v>
      </c>
    </row>
    <row r="117" spans="1:18" x14ac:dyDescent="0.25">
      <c r="A117" s="170">
        <v>42172</v>
      </c>
      <c r="B117" s="116">
        <v>165.65</v>
      </c>
      <c r="C117" s="116">
        <v>164.75</v>
      </c>
      <c r="D117" s="116">
        <v>162.75</v>
      </c>
      <c r="E117" s="116">
        <v>163.30000000000001</v>
      </c>
      <c r="F117" s="116">
        <v>164.75</v>
      </c>
      <c r="G117">
        <v>35859</v>
      </c>
      <c r="H117" s="116"/>
      <c r="I117" s="116"/>
      <c r="L117" s="170">
        <v>42172</v>
      </c>
      <c r="M117" s="116">
        <v>165.15</v>
      </c>
      <c r="N117" s="116">
        <v>166.15</v>
      </c>
      <c r="O117" s="116">
        <v>162.6</v>
      </c>
      <c r="P117" s="116">
        <v>164.25</v>
      </c>
      <c r="Q117" s="116">
        <v>165.15</v>
      </c>
      <c r="R117">
        <v>938251</v>
      </c>
    </row>
    <row r="118" spans="1:18" x14ac:dyDescent="0.25">
      <c r="A118" s="170">
        <v>42173</v>
      </c>
      <c r="B118" s="116">
        <v>166.7</v>
      </c>
      <c r="C118" s="116">
        <v>164.85</v>
      </c>
      <c r="D118" s="116">
        <v>164.3</v>
      </c>
      <c r="E118" s="116">
        <v>166.7</v>
      </c>
      <c r="F118" s="116">
        <v>164.85</v>
      </c>
      <c r="G118">
        <v>25727</v>
      </c>
      <c r="H118" s="116"/>
      <c r="I118" s="116"/>
      <c r="L118" s="170">
        <v>42173</v>
      </c>
      <c r="M118" s="116">
        <v>164.95</v>
      </c>
      <c r="N118" s="116">
        <v>166.3</v>
      </c>
      <c r="O118" s="116">
        <v>164</v>
      </c>
      <c r="P118" s="116">
        <v>164.5</v>
      </c>
      <c r="Q118" s="116">
        <v>164.95</v>
      </c>
      <c r="R118">
        <v>354277</v>
      </c>
    </row>
    <row r="119" spans="1:18" x14ac:dyDescent="0.25">
      <c r="A119" s="170">
        <v>42174</v>
      </c>
      <c r="B119" s="116">
        <v>167.8</v>
      </c>
      <c r="C119" s="116">
        <v>167.05</v>
      </c>
      <c r="D119" s="116">
        <v>164.5</v>
      </c>
      <c r="E119" s="116">
        <v>165.7</v>
      </c>
      <c r="F119" s="116">
        <v>167.05</v>
      </c>
      <c r="G119">
        <v>37977</v>
      </c>
      <c r="H119" s="116"/>
      <c r="I119" s="116"/>
      <c r="L119" s="170">
        <v>42174</v>
      </c>
      <c r="M119" s="116">
        <v>167.3</v>
      </c>
      <c r="N119" s="116">
        <v>168</v>
      </c>
      <c r="O119" s="116">
        <v>165</v>
      </c>
      <c r="P119" s="116">
        <v>165.7</v>
      </c>
      <c r="Q119" s="116">
        <v>167.3</v>
      </c>
      <c r="R119">
        <v>542849</v>
      </c>
    </row>
    <row r="120" spans="1:18" x14ac:dyDescent="0.25">
      <c r="A120" s="170">
        <v>42177</v>
      </c>
      <c r="B120" s="116">
        <v>168.6</v>
      </c>
      <c r="C120" s="116">
        <v>167.5</v>
      </c>
      <c r="D120" s="116">
        <v>166.15</v>
      </c>
      <c r="E120" s="116">
        <v>167.05</v>
      </c>
      <c r="F120" s="116">
        <v>167.5</v>
      </c>
      <c r="G120">
        <v>47019</v>
      </c>
      <c r="H120" s="116"/>
      <c r="I120" s="116"/>
      <c r="L120" s="170">
        <v>42177</v>
      </c>
      <c r="M120" s="116">
        <v>168.05</v>
      </c>
      <c r="N120" s="116">
        <v>168.9</v>
      </c>
      <c r="O120" s="116">
        <v>166</v>
      </c>
      <c r="P120" s="116">
        <v>167.2</v>
      </c>
      <c r="Q120" s="116">
        <v>168.05</v>
      </c>
      <c r="R120">
        <v>686719</v>
      </c>
    </row>
    <row r="121" spans="1:18" x14ac:dyDescent="0.25">
      <c r="A121" s="170">
        <v>42178</v>
      </c>
      <c r="B121" s="116">
        <v>172.75</v>
      </c>
      <c r="C121" s="116">
        <v>172.3</v>
      </c>
      <c r="D121" s="116">
        <v>167.25</v>
      </c>
      <c r="E121" s="116">
        <v>168</v>
      </c>
      <c r="F121" s="116">
        <v>172.3</v>
      </c>
      <c r="G121">
        <v>57900</v>
      </c>
      <c r="H121" s="116"/>
      <c r="I121" s="116"/>
      <c r="L121" s="170">
        <v>42178</v>
      </c>
      <c r="M121" s="116">
        <v>172.7</v>
      </c>
      <c r="N121" s="116">
        <v>173.7</v>
      </c>
      <c r="O121" s="116">
        <v>167</v>
      </c>
      <c r="P121" s="116">
        <v>168.55</v>
      </c>
      <c r="Q121" s="116">
        <v>172.7</v>
      </c>
      <c r="R121">
        <v>1217512</v>
      </c>
    </row>
    <row r="122" spans="1:18" x14ac:dyDescent="0.25">
      <c r="A122" s="170">
        <v>42179</v>
      </c>
      <c r="B122" s="116">
        <v>174.9</v>
      </c>
      <c r="C122" s="116">
        <v>168.95</v>
      </c>
      <c r="D122" s="116">
        <v>168.5</v>
      </c>
      <c r="E122" s="116">
        <v>174.9</v>
      </c>
      <c r="F122" s="116">
        <v>168.95</v>
      </c>
      <c r="G122">
        <v>33084</v>
      </c>
      <c r="H122" s="116"/>
      <c r="I122" s="116"/>
      <c r="L122" s="170">
        <v>42179</v>
      </c>
      <c r="M122" s="116">
        <v>169.25</v>
      </c>
      <c r="N122" s="116">
        <v>173.8</v>
      </c>
      <c r="O122" s="116">
        <v>168.55</v>
      </c>
      <c r="P122" s="116">
        <v>173.75</v>
      </c>
      <c r="Q122" s="116">
        <v>169.25</v>
      </c>
      <c r="R122">
        <v>469221</v>
      </c>
    </row>
    <row r="123" spans="1:18" x14ac:dyDescent="0.25">
      <c r="A123" s="170">
        <v>42180</v>
      </c>
      <c r="B123" s="116">
        <v>169.8</v>
      </c>
      <c r="C123" s="116">
        <v>168.15</v>
      </c>
      <c r="D123" s="116">
        <v>166.5</v>
      </c>
      <c r="E123" s="116">
        <v>167.1</v>
      </c>
      <c r="F123" s="116">
        <v>168.15</v>
      </c>
      <c r="G123">
        <v>42313</v>
      </c>
      <c r="H123" s="116"/>
      <c r="I123" s="116"/>
      <c r="L123" s="170">
        <v>42180</v>
      </c>
      <c r="M123" s="116">
        <v>168.55</v>
      </c>
      <c r="N123" s="116">
        <v>169.9</v>
      </c>
      <c r="O123" s="116">
        <v>166.5</v>
      </c>
      <c r="P123" s="116">
        <v>168.6</v>
      </c>
      <c r="Q123" s="116">
        <v>168.55</v>
      </c>
      <c r="R123">
        <v>716158</v>
      </c>
    </row>
    <row r="124" spans="1:18" x14ac:dyDescent="0.25">
      <c r="A124" s="170">
        <v>42181</v>
      </c>
      <c r="B124" s="116">
        <v>170.85</v>
      </c>
      <c r="C124" s="116">
        <v>169.6</v>
      </c>
      <c r="D124" s="116">
        <v>168.2</v>
      </c>
      <c r="E124" s="116">
        <v>168.55</v>
      </c>
      <c r="F124" s="116">
        <v>169.6</v>
      </c>
      <c r="G124">
        <v>29876</v>
      </c>
      <c r="H124" s="116"/>
      <c r="I124" s="116"/>
      <c r="L124" s="170">
        <v>42181</v>
      </c>
      <c r="M124" s="116">
        <v>170</v>
      </c>
      <c r="N124" s="116">
        <v>171.2</v>
      </c>
      <c r="O124" s="116">
        <v>167.9</v>
      </c>
      <c r="P124" s="116">
        <v>168.9</v>
      </c>
      <c r="Q124" s="116">
        <v>170</v>
      </c>
      <c r="R124">
        <v>434245</v>
      </c>
    </row>
    <row r="125" spans="1:18" x14ac:dyDescent="0.25">
      <c r="A125" s="170">
        <v>42184</v>
      </c>
      <c r="B125" s="116">
        <v>169.85</v>
      </c>
      <c r="C125" s="116">
        <v>168.95</v>
      </c>
      <c r="D125" s="116">
        <v>166.05</v>
      </c>
      <c r="E125" s="116">
        <v>167.3</v>
      </c>
      <c r="F125" s="116">
        <v>168.95</v>
      </c>
      <c r="G125">
        <v>52702</v>
      </c>
      <c r="H125" s="116"/>
      <c r="I125" s="116"/>
      <c r="L125" s="170">
        <v>42184</v>
      </c>
      <c r="M125" s="116">
        <v>169.4</v>
      </c>
      <c r="N125" s="116">
        <v>170.5</v>
      </c>
      <c r="O125" s="116">
        <v>166.3</v>
      </c>
      <c r="P125" s="116">
        <v>167.8</v>
      </c>
      <c r="Q125" s="116">
        <v>169.4</v>
      </c>
      <c r="R125">
        <v>976354</v>
      </c>
    </row>
    <row r="126" spans="1:18" x14ac:dyDescent="0.25">
      <c r="A126" s="170">
        <v>42185</v>
      </c>
      <c r="B126" s="116">
        <v>170.25</v>
      </c>
      <c r="C126" s="116">
        <v>167</v>
      </c>
      <c r="D126" s="116">
        <v>165.35</v>
      </c>
      <c r="E126" s="116">
        <v>169</v>
      </c>
      <c r="F126" s="116">
        <v>167</v>
      </c>
      <c r="G126">
        <v>65252</v>
      </c>
      <c r="H126" s="116"/>
      <c r="I126" s="116"/>
      <c r="L126" s="170">
        <v>42185</v>
      </c>
      <c r="M126" s="116">
        <v>167.1</v>
      </c>
      <c r="N126" s="116">
        <v>170.55</v>
      </c>
      <c r="O126" s="116">
        <v>165.1</v>
      </c>
      <c r="P126" s="116">
        <v>169.2</v>
      </c>
      <c r="Q126" s="116">
        <v>167.1</v>
      </c>
      <c r="R126">
        <v>1031353</v>
      </c>
    </row>
    <row r="127" spans="1:18" x14ac:dyDescent="0.25">
      <c r="A127" s="170">
        <v>42186</v>
      </c>
      <c r="B127" s="116">
        <v>169.45</v>
      </c>
      <c r="C127" s="116">
        <v>167.7</v>
      </c>
      <c r="D127" s="116">
        <v>165.2</v>
      </c>
      <c r="E127" s="116">
        <v>165.2</v>
      </c>
      <c r="F127" s="116">
        <v>167.7</v>
      </c>
      <c r="G127">
        <v>47858</v>
      </c>
      <c r="H127" s="116"/>
      <c r="I127" s="116"/>
      <c r="L127" s="170">
        <v>42186</v>
      </c>
      <c r="M127" s="116">
        <v>167.75</v>
      </c>
      <c r="N127" s="116">
        <v>169.6</v>
      </c>
      <c r="O127" s="116">
        <v>166.8</v>
      </c>
      <c r="P127" s="116">
        <v>167.1</v>
      </c>
      <c r="Q127" s="116">
        <v>167.75</v>
      </c>
      <c r="R127">
        <v>765086</v>
      </c>
    </row>
    <row r="128" spans="1:18" x14ac:dyDescent="0.25">
      <c r="A128" s="170">
        <v>42187</v>
      </c>
      <c r="B128" s="116">
        <v>167.65</v>
      </c>
      <c r="C128" s="116">
        <v>164.2</v>
      </c>
      <c r="D128" s="116">
        <v>163.65</v>
      </c>
      <c r="E128" s="116">
        <v>166</v>
      </c>
      <c r="F128" s="116">
        <v>164.2</v>
      </c>
      <c r="G128">
        <v>52444</v>
      </c>
      <c r="H128" s="116"/>
      <c r="I128" s="116"/>
      <c r="L128" s="170">
        <v>42187</v>
      </c>
      <c r="M128" s="116">
        <v>164.15</v>
      </c>
      <c r="N128" s="116">
        <v>168.7</v>
      </c>
      <c r="O128" s="116">
        <v>163.75</v>
      </c>
      <c r="P128" s="116">
        <v>167.5</v>
      </c>
      <c r="Q128" s="116">
        <v>164.15</v>
      </c>
      <c r="R128">
        <v>1166239</v>
      </c>
    </row>
    <row r="129" spans="1:18" x14ac:dyDescent="0.25">
      <c r="A129" s="170">
        <v>42188</v>
      </c>
      <c r="B129" s="116">
        <v>164</v>
      </c>
      <c r="C129" s="116">
        <v>161.75</v>
      </c>
      <c r="D129" s="116">
        <v>161.05000000000001</v>
      </c>
      <c r="E129" s="116">
        <v>162.80000000000001</v>
      </c>
      <c r="F129" s="116">
        <v>161.75</v>
      </c>
      <c r="G129">
        <v>161203</v>
      </c>
      <c r="H129" s="116"/>
      <c r="I129" s="116"/>
      <c r="L129" s="170">
        <v>42188</v>
      </c>
      <c r="M129" s="116">
        <v>161.65</v>
      </c>
      <c r="N129" s="116">
        <v>164.35</v>
      </c>
      <c r="O129" s="116">
        <v>161.05000000000001</v>
      </c>
      <c r="P129" s="116">
        <v>164.1</v>
      </c>
      <c r="Q129" s="116">
        <v>161.65</v>
      </c>
      <c r="R129">
        <v>1040593</v>
      </c>
    </row>
    <row r="130" spans="1:18" x14ac:dyDescent="0.25">
      <c r="A130" s="170">
        <v>42191</v>
      </c>
      <c r="B130" s="116">
        <v>161.5</v>
      </c>
      <c r="C130" s="116">
        <v>161.1</v>
      </c>
      <c r="D130" s="116">
        <v>158.80000000000001</v>
      </c>
      <c r="E130" s="116">
        <v>161</v>
      </c>
      <c r="F130" s="116">
        <v>161.1</v>
      </c>
      <c r="G130">
        <v>46820</v>
      </c>
      <c r="H130" s="116"/>
      <c r="I130" s="116"/>
      <c r="L130" s="170">
        <v>42191</v>
      </c>
      <c r="M130" s="116">
        <v>161.35</v>
      </c>
      <c r="N130" s="116">
        <v>161.80000000000001</v>
      </c>
      <c r="O130" s="116">
        <v>158.80000000000001</v>
      </c>
      <c r="P130" s="116">
        <v>159.1</v>
      </c>
      <c r="Q130" s="116">
        <v>161.35</v>
      </c>
      <c r="R130">
        <v>460224</v>
      </c>
    </row>
    <row r="131" spans="1:18" x14ac:dyDescent="0.25">
      <c r="A131" s="170">
        <v>42192</v>
      </c>
      <c r="B131" s="116">
        <v>163</v>
      </c>
      <c r="C131" s="116">
        <v>161.25</v>
      </c>
      <c r="D131" s="116">
        <v>160.94999999999999</v>
      </c>
      <c r="E131" s="116">
        <v>161.4</v>
      </c>
      <c r="F131" s="116">
        <v>161.25</v>
      </c>
      <c r="G131">
        <v>22455</v>
      </c>
      <c r="H131" s="116"/>
      <c r="I131" s="116"/>
      <c r="L131" s="170">
        <v>42192</v>
      </c>
      <c r="M131" s="116">
        <v>161.4</v>
      </c>
      <c r="N131" s="116">
        <v>163</v>
      </c>
      <c r="O131" s="116">
        <v>160.69999999999999</v>
      </c>
      <c r="P131" s="116">
        <v>160.75</v>
      </c>
      <c r="Q131" s="116">
        <v>161.4</v>
      </c>
      <c r="R131">
        <v>435622</v>
      </c>
    </row>
    <row r="132" spans="1:18" x14ac:dyDescent="0.25">
      <c r="A132" s="170">
        <v>42193</v>
      </c>
      <c r="B132" s="116">
        <v>160.55000000000001</v>
      </c>
      <c r="C132" s="116">
        <v>158.1</v>
      </c>
      <c r="D132" s="116">
        <v>155.85</v>
      </c>
      <c r="E132" s="116">
        <v>160.55000000000001</v>
      </c>
      <c r="F132" s="116">
        <v>158.1</v>
      </c>
      <c r="G132">
        <v>75357</v>
      </c>
      <c r="H132" s="116"/>
      <c r="I132" s="116"/>
      <c r="L132" s="170">
        <v>42193</v>
      </c>
      <c r="M132" s="116">
        <v>158.15</v>
      </c>
      <c r="N132" s="116">
        <v>159</v>
      </c>
      <c r="O132" s="116">
        <v>155.1</v>
      </c>
      <c r="P132" s="116">
        <v>158.15</v>
      </c>
      <c r="Q132" s="116">
        <v>158.15</v>
      </c>
      <c r="R132">
        <v>1147009</v>
      </c>
    </row>
    <row r="133" spans="1:18" x14ac:dyDescent="0.25">
      <c r="A133" s="170">
        <v>42194</v>
      </c>
      <c r="B133" s="116">
        <v>160.80000000000001</v>
      </c>
      <c r="C133" s="116">
        <v>160.05000000000001</v>
      </c>
      <c r="D133" s="116">
        <v>157.5</v>
      </c>
      <c r="E133" s="116">
        <v>157.5</v>
      </c>
      <c r="F133" s="116">
        <v>160.05000000000001</v>
      </c>
      <c r="G133">
        <v>43112</v>
      </c>
      <c r="H133" s="116"/>
      <c r="I133" s="116"/>
      <c r="L133" s="170">
        <v>42194</v>
      </c>
      <c r="M133" s="116">
        <v>160.30000000000001</v>
      </c>
      <c r="N133" s="116">
        <v>160.9</v>
      </c>
      <c r="O133" s="116">
        <v>157.6</v>
      </c>
      <c r="P133" s="116">
        <v>158</v>
      </c>
      <c r="Q133" s="116">
        <v>160.30000000000001</v>
      </c>
      <c r="R133">
        <v>535605</v>
      </c>
    </row>
    <row r="134" spans="1:18" x14ac:dyDescent="0.25">
      <c r="A134" s="170">
        <v>42195</v>
      </c>
      <c r="B134" s="116">
        <v>161.44999999999999</v>
      </c>
      <c r="C134" s="116">
        <v>158.85</v>
      </c>
      <c r="D134" s="116">
        <v>158</v>
      </c>
      <c r="E134" s="116">
        <v>159</v>
      </c>
      <c r="F134" s="116">
        <v>158.85</v>
      </c>
      <c r="G134">
        <v>47102</v>
      </c>
      <c r="H134" s="116"/>
      <c r="I134" s="116"/>
      <c r="L134" s="170">
        <v>42195</v>
      </c>
      <c r="M134" s="116">
        <v>158.80000000000001</v>
      </c>
      <c r="N134" s="116">
        <v>161.6</v>
      </c>
      <c r="O134" s="116">
        <v>158.1</v>
      </c>
      <c r="P134" s="116">
        <v>161</v>
      </c>
      <c r="Q134" s="116">
        <v>158.80000000000001</v>
      </c>
      <c r="R134">
        <v>720880</v>
      </c>
    </row>
    <row r="135" spans="1:18" x14ac:dyDescent="0.25">
      <c r="A135" s="170">
        <v>42198</v>
      </c>
      <c r="B135" s="116">
        <v>160</v>
      </c>
      <c r="C135" s="116">
        <v>159.4</v>
      </c>
      <c r="D135" s="116">
        <v>157</v>
      </c>
      <c r="E135" s="116">
        <v>159</v>
      </c>
      <c r="F135" s="116">
        <v>159.4</v>
      </c>
      <c r="G135">
        <v>65427</v>
      </c>
      <c r="H135" s="116"/>
      <c r="I135" s="116"/>
      <c r="L135" s="170">
        <v>42198</v>
      </c>
      <c r="M135" s="116">
        <v>159.65</v>
      </c>
      <c r="N135" s="116">
        <v>160.35</v>
      </c>
      <c r="O135" s="116">
        <v>157.30000000000001</v>
      </c>
      <c r="P135" s="116">
        <v>159.4</v>
      </c>
      <c r="Q135" s="116">
        <v>159.65</v>
      </c>
      <c r="R135">
        <v>354891</v>
      </c>
    </row>
    <row r="136" spans="1:18" x14ac:dyDescent="0.25">
      <c r="A136" s="170">
        <v>42199</v>
      </c>
      <c r="B136" s="116">
        <v>162.30000000000001</v>
      </c>
      <c r="C136" s="116">
        <v>160.35</v>
      </c>
      <c r="D136" s="116">
        <v>159.30000000000001</v>
      </c>
      <c r="E136" s="116">
        <v>159.5</v>
      </c>
      <c r="F136" s="116">
        <v>160.35</v>
      </c>
      <c r="G136">
        <v>53289</v>
      </c>
      <c r="H136" s="116"/>
      <c r="I136" s="116"/>
      <c r="L136" s="170">
        <v>42199</v>
      </c>
      <c r="M136" s="116">
        <v>160.5</v>
      </c>
      <c r="N136" s="116">
        <v>162.25</v>
      </c>
      <c r="O136" s="116">
        <v>159.30000000000001</v>
      </c>
      <c r="P136" s="116">
        <v>159.9</v>
      </c>
      <c r="Q136" s="116">
        <v>160.5</v>
      </c>
      <c r="R136">
        <v>543428</v>
      </c>
    </row>
    <row r="137" spans="1:18" x14ac:dyDescent="0.25">
      <c r="A137" s="170">
        <v>42200</v>
      </c>
      <c r="B137" s="116">
        <v>164.1</v>
      </c>
      <c r="C137" s="116">
        <v>163.55000000000001</v>
      </c>
      <c r="D137" s="116">
        <v>161</v>
      </c>
      <c r="E137" s="116">
        <v>161</v>
      </c>
      <c r="F137" s="116">
        <v>163.55000000000001</v>
      </c>
      <c r="G137">
        <v>35879</v>
      </c>
      <c r="H137" s="116"/>
      <c r="I137" s="116"/>
      <c r="L137" s="170">
        <v>42200</v>
      </c>
      <c r="M137" s="116">
        <v>163.6</v>
      </c>
      <c r="N137" s="116">
        <v>164.2</v>
      </c>
      <c r="O137" s="116">
        <v>160.65</v>
      </c>
      <c r="P137" s="116">
        <v>161</v>
      </c>
      <c r="Q137" s="116">
        <v>163.6</v>
      </c>
      <c r="R137">
        <v>534837</v>
      </c>
    </row>
    <row r="138" spans="1:18" x14ac:dyDescent="0.25">
      <c r="A138" s="170">
        <v>42201</v>
      </c>
      <c r="B138" s="116">
        <v>164.65</v>
      </c>
      <c r="C138" s="116">
        <v>163.80000000000001</v>
      </c>
      <c r="D138" s="116">
        <v>162.30000000000001</v>
      </c>
      <c r="E138" s="116">
        <v>163</v>
      </c>
      <c r="F138" s="116">
        <v>163.80000000000001</v>
      </c>
      <c r="G138">
        <v>38008</v>
      </c>
      <c r="H138" s="116"/>
      <c r="I138" s="116"/>
      <c r="L138" s="170">
        <v>42201</v>
      </c>
      <c r="M138" s="116">
        <v>164.3</v>
      </c>
      <c r="N138" s="116">
        <v>164.7</v>
      </c>
      <c r="O138" s="116">
        <v>162.30000000000001</v>
      </c>
      <c r="P138" s="116">
        <v>164</v>
      </c>
      <c r="Q138" s="116">
        <v>164.3</v>
      </c>
      <c r="R138">
        <v>482702</v>
      </c>
    </row>
    <row r="139" spans="1:18" x14ac:dyDescent="0.25">
      <c r="A139" s="170">
        <v>42202</v>
      </c>
      <c r="B139" s="116">
        <v>165.1</v>
      </c>
      <c r="C139" s="116">
        <v>163.95</v>
      </c>
      <c r="D139" s="116">
        <v>163</v>
      </c>
      <c r="E139" s="116">
        <v>164.3</v>
      </c>
      <c r="F139" s="116">
        <v>163.95</v>
      </c>
      <c r="G139">
        <v>30635</v>
      </c>
      <c r="H139" s="116"/>
      <c r="I139" s="116"/>
      <c r="L139" s="170">
        <v>42202</v>
      </c>
      <c r="M139" s="116">
        <v>164.25</v>
      </c>
      <c r="N139" s="116">
        <v>166</v>
      </c>
      <c r="O139" s="116">
        <v>163.19999999999999</v>
      </c>
      <c r="P139" s="116">
        <v>166</v>
      </c>
      <c r="Q139" s="116">
        <v>164.25</v>
      </c>
      <c r="R139">
        <v>408816</v>
      </c>
    </row>
    <row r="140" spans="1:18" x14ac:dyDescent="0.25">
      <c r="A140" s="170">
        <v>42205</v>
      </c>
      <c r="B140" s="116">
        <v>168</v>
      </c>
      <c r="C140" s="116">
        <v>166.35</v>
      </c>
      <c r="D140" s="116">
        <v>163</v>
      </c>
      <c r="E140" s="116">
        <v>165.5</v>
      </c>
      <c r="F140" s="116">
        <v>166.35</v>
      </c>
      <c r="G140">
        <v>235832</v>
      </c>
      <c r="H140" s="116"/>
      <c r="I140" s="116"/>
      <c r="L140" s="170">
        <v>42205</v>
      </c>
      <c r="M140" s="116">
        <v>166.4</v>
      </c>
      <c r="N140" s="116">
        <v>168.4</v>
      </c>
      <c r="O140" s="116">
        <v>162.69999999999999</v>
      </c>
      <c r="P140" s="116">
        <v>165.4</v>
      </c>
      <c r="Q140" s="116">
        <v>166.4</v>
      </c>
      <c r="R140">
        <v>1484142</v>
      </c>
    </row>
    <row r="141" spans="1:18" x14ac:dyDescent="0.25">
      <c r="A141" s="170">
        <v>42206</v>
      </c>
      <c r="B141" s="116">
        <v>170.05</v>
      </c>
      <c r="C141" s="116">
        <v>165.4</v>
      </c>
      <c r="D141" s="116">
        <v>164.3</v>
      </c>
      <c r="E141" s="116">
        <v>169.05</v>
      </c>
      <c r="F141" s="116">
        <v>165.4</v>
      </c>
      <c r="G141">
        <v>145868</v>
      </c>
      <c r="H141" s="116"/>
      <c r="I141" s="116"/>
      <c r="L141" s="170">
        <v>42206</v>
      </c>
      <c r="M141" s="116">
        <v>165.95</v>
      </c>
      <c r="N141" s="116">
        <v>170.4</v>
      </c>
      <c r="O141" s="116">
        <v>164</v>
      </c>
      <c r="P141" s="116">
        <v>169.8</v>
      </c>
      <c r="Q141" s="116">
        <v>165.95</v>
      </c>
      <c r="R141">
        <v>1096168</v>
      </c>
    </row>
    <row r="142" spans="1:18" x14ac:dyDescent="0.25">
      <c r="A142" s="170">
        <v>42207</v>
      </c>
      <c r="B142" s="116">
        <v>166</v>
      </c>
      <c r="C142" s="116">
        <v>164.3</v>
      </c>
      <c r="D142" s="116">
        <v>163</v>
      </c>
      <c r="E142" s="116">
        <v>166</v>
      </c>
      <c r="F142" s="116">
        <v>164.3</v>
      </c>
      <c r="G142">
        <v>53916</v>
      </c>
      <c r="H142" s="116"/>
      <c r="I142" s="116"/>
      <c r="L142" s="170">
        <v>42207</v>
      </c>
      <c r="M142" s="116">
        <v>164.05</v>
      </c>
      <c r="N142" s="116">
        <v>165.65</v>
      </c>
      <c r="O142" s="116">
        <v>163</v>
      </c>
      <c r="P142" s="116">
        <v>164.1</v>
      </c>
      <c r="Q142" s="116">
        <v>164.05</v>
      </c>
      <c r="R142">
        <v>490284</v>
      </c>
    </row>
    <row r="143" spans="1:18" x14ac:dyDescent="0.25">
      <c r="A143" s="170">
        <v>42208</v>
      </c>
      <c r="B143" s="116">
        <v>166.75</v>
      </c>
      <c r="C143" s="116">
        <v>165.8</v>
      </c>
      <c r="D143" s="116">
        <v>164.15</v>
      </c>
      <c r="E143" s="116">
        <v>164.4</v>
      </c>
      <c r="F143" s="116">
        <v>165.8</v>
      </c>
      <c r="G143">
        <v>68823</v>
      </c>
      <c r="H143" s="116"/>
      <c r="I143" s="116"/>
      <c r="L143" s="170">
        <v>42208</v>
      </c>
      <c r="M143" s="116">
        <v>165.9</v>
      </c>
      <c r="N143" s="116">
        <v>166.9</v>
      </c>
      <c r="O143" s="116">
        <v>164.1</v>
      </c>
      <c r="P143" s="116">
        <v>164.1</v>
      </c>
      <c r="Q143" s="116">
        <v>165.9</v>
      </c>
      <c r="R143">
        <v>294940</v>
      </c>
    </row>
    <row r="144" spans="1:18" x14ac:dyDescent="0.25">
      <c r="A144" s="170">
        <v>42209</v>
      </c>
      <c r="B144" s="116">
        <v>166</v>
      </c>
      <c r="C144" s="116">
        <v>163.95</v>
      </c>
      <c r="D144" s="116">
        <v>163.1</v>
      </c>
      <c r="E144" s="116">
        <v>166</v>
      </c>
      <c r="F144" s="116">
        <v>163.95</v>
      </c>
      <c r="G144">
        <v>25079</v>
      </c>
      <c r="H144" s="116"/>
      <c r="I144" s="116"/>
      <c r="L144" s="170">
        <v>42209</v>
      </c>
      <c r="M144" s="116">
        <v>164</v>
      </c>
      <c r="N144" s="116">
        <v>166</v>
      </c>
      <c r="O144" s="116">
        <v>163.6</v>
      </c>
      <c r="P144" s="116">
        <v>166</v>
      </c>
      <c r="Q144" s="116">
        <v>164</v>
      </c>
      <c r="R144">
        <v>354402</v>
      </c>
    </row>
    <row r="145" spans="1:18" x14ac:dyDescent="0.25">
      <c r="A145" s="170">
        <v>42212</v>
      </c>
      <c r="B145" s="116">
        <v>165.9</v>
      </c>
      <c r="C145" s="116">
        <v>163.65</v>
      </c>
      <c r="D145" s="116">
        <v>161.05000000000001</v>
      </c>
      <c r="E145" s="116">
        <v>165</v>
      </c>
      <c r="F145" s="116">
        <v>163.65</v>
      </c>
      <c r="G145">
        <v>71229</v>
      </c>
      <c r="H145" s="116"/>
      <c r="I145" s="116"/>
      <c r="L145" s="170">
        <v>42212</v>
      </c>
      <c r="M145" s="116">
        <v>163.69999999999999</v>
      </c>
      <c r="N145" s="116">
        <v>165.75</v>
      </c>
      <c r="O145" s="116">
        <v>161</v>
      </c>
      <c r="P145" s="116">
        <v>164</v>
      </c>
      <c r="Q145" s="116">
        <v>163.69999999999999</v>
      </c>
      <c r="R145">
        <v>677281</v>
      </c>
    </row>
    <row r="146" spans="1:18" x14ac:dyDescent="0.25">
      <c r="A146" s="170">
        <v>42213</v>
      </c>
      <c r="B146" s="116">
        <v>163.1</v>
      </c>
      <c r="C146" s="116">
        <v>156.30000000000001</v>
      </c>
      <c r="D146" s="116">
        <v>155.5</v>
      </c>
      <c r="E146" s="116">
        <v>162</v>
      </c>
      <c r="F146" s="116">
        <v>156.30000000000001</v>
      </c>
      <c r="G146">
        <v>91965</v>
      </c>
      <c r="H146" s="116"/>
      <c r="I146" s="116"/>
      <c r="L146" s="170">
        <v>42213</v>
      </c>
      <c r="M146" s="116">
        <v>156.35</v>
      </c>
      <c r="N146" s="116">
        <v>163.5</v>
      </c>
      <c r="O146" s="116">
        <v>155.5</v>
      </c>
      <c r="P146" s="116">
        <v>163.5</v>
      </c>
      <c r="Q146" s="116">
        <v>156.35</v>
      </c>
      <c r="R146">
        <v>964940</v>
      </c>
    </row>
    <row r="147" spans="1:18" x14ac:dyDescent="0.25">
      <c r="A147" s="170">
        <v>42214</v>
      </c>
      <c r="B147" s="116">
        <v>159</v>
      </c>
      <c r="C147" s="116">
        <v>158.35</v>
      </c>
      <c r="D147" s="116">
        <v>153.35</v>
      </c>
      <c r="E147" s="116">
        <v>156.30000000000001</v>
      </c>
      <c r="F147" s="116">
        <v>158.35</v>
      </c>
      <c r="G147">
        <v>62915</v>
      </c>
      <c r="H147" s="116"/>
      <c r="I147" s="116"/>
      <c r="L147" s="170">
        <v>42214</v>
      </c>
      <c r="M147" s="116">
        <v>158.65</v>
      </c>
      <c r="N147" s="116">
        <v>159.69999999999999</v>
      </c>
      <c r="O147" s="116">
        <v>153.05000000000001</v>
      </c>
      <c r="P147" s="116">
        <v>156</v>
      </c>
      <c r="Q147" s="116">
        <v>158.65</v>
      </c>
      <c r="R147">
        <v>745475</v>
      </c>
    </row>
    <row r="148" spans="1:18" x14ac:dyDescent="0.25">
      <c r="A148" s="170">
        <v>42215</v>
      </c>
      <c r="B148" s="116">
        <v>158.85</v>
      </c>
      <c r="C148" s="116">
        <v>157.80000000000001</v>
      </c>
      <c r="D148" s="116">
        <v>156.30000000000001</v>
      </c>
      <c r="E148" s="116">
        <v>158.25</v>
      </c>
      <c r="F148" s="116">
        <v>157.80000000000001</v>
      </c>
      <c r="G148">
        <v>38215</v>
      </c>
      <c r="H148" s="116"/>
      <c r="I148" s="116"/>
      <c r="L148" s="170">
        <v>42215</v>
      </c>
      <c r="M148" s="116">
        <v>158.25</v>
      </c>
      <c r="N148" s="116">
        <v>160</v>
      </c>
      <c r="O148" s="116">
        <v>156.1</v>
      </c>
      <c r="P148" s="116">
        <v>160</v>
      </c>
      <c r="Q148" s="116">
        <v>158.25</v>
      </c>
      <c r="R148">
        <v>416950</v>
      </c>
    </row>
    <row r="149" spans="1:18" x14ac:dyDescent="0.25">
      <c r="A149" s="170">
        <v>42216</v>
      </c>
      <c r="B149" s="116">
        <v>158.75</v>
      </c>
      <c r="C149" s="116">
        <v>157</v>
      </c>
      <c r="D149" s="116">
        <v>156.6</v>
      </c>
      <c r="E149" s="116">
        <v>158.55000000000001</v>
      </c>
      <c r="F149" s="116">
        <v>157</v>
      </c>
      <c r="G149">
        <v>30552</v>
      </c>
      <c r="H149" s="116"/>
      <c r="I149" s="116"/>
      <c r="L149" s="170">
        <v>42216</v>
      </c>
      <c r="M149" s="116">
        <v>157.05000000000001</v>
      </c>
      <c r="N149" s="116">
        <v>159</v>
      </c>
      <c r="O149" s="116">
        <v>156.65</v>
      </c>
      <c r="P149" s="116">
        <v>159</v>
      </c>
      <c r="Q149" s="116">
        <v>157.05000000000001</v>
      </c>
      <c r="R149">
        <v>170533</v>
      </c>
    </row>
    <row r="150" spans="1:18" x14ac:dyDescent="0.25">
      <c r="A150" s="170">
        <v>42219</v>
      </c>
      <c r="B150" s="116">
        <v>161.94999999999999</v>
      </c>
      <c r="C150" s="116">
        <v>161.1</v>
      </c>
      <c r="D150" s="116">
        <v>156.30000000000001</v>
      </c>
      <c r="E150" s="116">
        <v>157.85</v>
      </c>
      <c r="F150" s="116">
        <v>161.1</v>
      </c>
      <c r="G150">
        <v>76901</v>
      </c>
      <c r="H150" s="116"/>
      <c r="I150" s="116"/>
      <c r="L150" s="170">
        <v>42219</v>
      </c>
      <c r="M150" s="116">
        <v>161.75</v>
      </c>
      <c r="N150" s="116">
        <v>162.5</v>
      </c>
      <c r="O150" s="116">
        <v>156</v>
      </c>
      <c r="P150" s="116">
        <v>157.6</v>
      </c>
      <c r="Q150" s="116">
        <v>161.75</v>
      </c>
      <c r="R150">
        <v>563473</v>
      </c>
    </row>
    <row r="151" spans="1:18" x14ac:dyDescent="0.25">
      <c r="A151" s="170">
        <v>42220</v>
      </c>
      <c r="B151" s="116">
        <v>162.5</v>
      </c>
      <c r="C151" s="116">
        <v>158.75</v>
      </c>
      <c r="D151" s="116">
        <v>157.19999999999999</v>
      </c>
      <c r="E151" s="116">
        <v>162.5</v>
      </c>
      <c r="F151" s="116">
        <v>158.75</v>
      </c>
      <c r="G151">
        <v>49671</v>
      </c>
      <c r="H151" s="116"/>
      <c r="I151" s="116"/>
      <c r="L151" s="170">
        <v>42220</v>
      </c>
      <c r="M151" s="116">
        <v>158.44999999999999</v>
      </c>
      <c r="N151" s="116">
        <v>162.25</v>
      </c>
      <c r="O151" s="116">
        <v>157.05000000000001</v>
      </c>
      <c r="P151" s="116">
        <v>161.85</v>
      </c>
      <c r="Q151" s="116">
        <v>158.44999999999999</v>
      </c>
      <c r="R151">
        <v>570856</v>
      </c>
    </row>
    <row r="152" spans="1:18" x14ac:dyDescent="0.25">
      <c r="A152" s="170">
        <v>42221</v>
      </c>
      <c r="B152" s="116">
        <v>160.30000000000001</v>
      </c>
      <c r="C152" s="116">
        <v>158.30000000000001</v>
      </c>
      <c r="D152" s="116">
        <v>156</v>
      </c>
      <c r="E152" s="116">
        <v>156</v>
      </c>
      <c r="F152" s="116">
        <v>158.30000000000001</v>
      </c>
      <c r="G152">
        <v>53094</v>
      </c>
      <c r="H152" s="116"/>
      <c r="I152" s="116"/>
      <c r="L152" s="170">
        <v>42221</v>
      </c>
      <c r="M152" s="116">
        <v>158.5</v>
      </c>
      <c r="N152" s="116">
        <v>160.4</v>
      </c>
      <c r="O152" s="116">
        <v>157.5</v>
      </c>
      <c r="P152" s="116">
        <v>157.5</v>
      </c>
      <c r="Q152" s="116">
        <v>158.5</v>
      </c>
      <c r="R152">
        <v>514924</v>
      </c>
    </row>
    <row r="153" spans="1:18" x14ac:dyDescent="0.25">
      <c r="A153" s="170">
        <v>42222</v>
      </c>
      <c r="B153" s="116">
        <v>160.9</v>
      </c>
      <c r="C153" s="116">
        <v>155.25</v>
      </c>
      <c r="D153" s="116">
        <v>154.75</v>
      </c>
      <c r="E153" s="116">
        <v>159.5</v>
      </c>
      <c r="F153" s="116">
        <v>155.25</v>
      </c>
      <c r="G153">
        <v>309039</v>
      </c>
      <c r="H153" s="116"/>
      <c r="I153" s="116"/>
      <c r="L153" s="170">
        <v>42222</v>
      </c>
      <c r="M153" s="116">
        <v>155.6</v>
      </c>
      <c r="N153" s="116">
        <v>161.1</v>
      </c>
      <c r="O153" s="116">
        <v>155</v>
      </c>
      <c r="P153" s="116">
        <v>158.9</v>
      </c>
      <c r="Q153" s="116">
        <v>155.6</v>
      </c>
      <c r="R153">
        <v>1109945</v>
      </c>
    </row>
    <row r="154" spans="1:18" x14ac:dyDescent="0.25">
      <c r="A154" s="170">
        <v>42223</v>
      </c>
      <c r="B154" s="116">
        <v>156.55000000000001</v>
      </c>
      <c r="C154" s="116">
        <v>155.30000000000001</v>
      </c>
      <c r="D154" s="116">
        <v>154.44999999999999</v>
      </c>
      <c r="E154" s="116">
        <v>156.1</v>
      </c>
      <c r="F154" s="116">
        <v>155.30000000000001</v>
      </c>
      <c r="G154">
        <v>60946</v>
      </c>
      <c r="H154" s="116"/>
      <c r="I154" s="116"/>
      <c r="L154" s="170">
        <v>42223</v>
      </c>
      <c r="M154" s="116">
        <v>155.44999999999999</v>
      </c>
      <c r="N154" s="116">
        <v>157.5</v>
      </c>
      <c r="O154" s="116">
        <v>154.4</v>
      </c>
      <c r="P154" s="116">
        <v>157.5</v>
      </c>
      <c r="Q154" s="116">
        <v>155.44999999999999</v>
      </c>
      <c r="R154">
        <v>678485</v>
      </c>
    </row>
    <row r="155" spans="1:18" x14ac:dyDescent="0.25">
      <c r="A155" s="170">
        <v>42226</v>
      </c>
      <c r="B155" s="116">
        <v>156.30000000000001</v>
      </c>
      <c r="C155" s="116">
        <v>153.9</v>
      </c>
      <c r="D155" s="116">
        <v>152.65</v>
      </c>
      <c r="E155" s="116">
        <v>156</v>
      </c>
      <c r="F155" s="116">
        <v>153.9</v>
      </c>
      <c r="G155">
        <v>99382</v>
      </c>
      <c r="H155" s="116"/>
      <c r="I155" s="116"/>
      <c r="L155" s="170">
        <v>42226</v>
      </c>
      <c r="M155" s="116">
        <v>154.05000000000001</v>
      </c>
      <c r="N155" s="116">
        <v>156.5</v>
      </c>
      <c r="O155" s="116">
        <v>152.6</v>
      </c>
      <c r="P155" s="116">
        <v>155.80000000000001</v>
      </c>
      <c r="Q155" s="116">
        <v>154.05000000000001</v>
      </c>
      <c r="R155">
        <v>1139649</v>
      </c>
    </row>
    <row r="156" spans="1:18" x14ac:dyDescent="0.25">
      <c r="A156" s="170">
        <v>42227</v>
      </c>
      <c r="B156" s="116">
        <v>155.25</v>
      </c>
      <c r="C156" s="116">
        <v>151.1</v>
      </c>
      <c r="D156" s="116">
        <v>150.75</v>
      </c>
      <c r="E156" s="116">
        <v>154</v>
      </c>
      <c r="F156" s="116">
        <v>151.1</v>
      </c>
      <c r="G156">
        <v>59567</v>
      </c>
      <c r="H156" s="116"/>
      <c r="I156" s="116"/>
      <c r="L156" s="170">
        <v>42227</v>
      </c>
      <c r="M156" s="116">
        <v>151.30000000000001</v>
      </c>
      <c r="N156" s="116">
        <v>155.30000000000001</v>
      </c>
      <c r="O156" s="116">
        <v>150.75</v>
      </c>
      <c r="P156" s="116">
        <v>155</v>
      </c>
      <c r="Q156" s="116">
        <v>151.30000000000001</v>
      </c>
      <c r="R156">
        <v>1045861</v>
      </c>
    </row>
    <row r="157" spans="1:18" x14ac:dyDescent="0.25">
      <c r="A157" s="170">
        <v>42228</v>
      </c>
      <c r="B157" s="116">
        <v>151</v>
      </c>
      <c r="C157" s="116">
        <v>146.69999999999999</v>
      </c>
      <c r="D157" s="116">
        <v>145.55000000000001</v>
      </c>
      <c r="E157" s="116">
        <v>151</v>
      </c>
      <c r="F157" s="116">
        <v>146.69999999999999</v>
      </c>
      <c r="G157">
        <v>57670</v>
      </c>
      <c r="H157" s="116"/>
      <c r="I157" s="116"/>
      <c r="L157" s="170">
        <v>42228</v>
      </c>
      <c r="M157" s="116">
        <v>146.30000000000001</v>
      </c>
      <c r="N157" s="116">
        <v>150.94999999999999</v>
      </c>
      <c r="O157" s="116">
        <v>145.35</v>
      </c>
      <c r="P157" s="116">
        <v>150</v>
      </c>
      <c r="Q157" s="116">
        <v>146.30000000000001</v>
      </c>
      <c r="R157">
        <v>737949</v>
      </c>
    </row>
    <row r="158" spans="1:18" x14ac:dyDescent="0.25">
      <c r="A158" s="170">
        <v>42229</v>
      </c>
      <c r="B158" s="116">
        <v>148</v>
      </c>
      <c r="C158" s="116">
        <v>144.55000000000001</v>
      </c>
      <c r="D158" s="116">
        <v>140.4</v>
      </c>
      <c r="E158" s="116">
        <v>147</v>
      </c>
      <c r="F158" s="116">
        <v>144.55000000000001</v>
      </c>
      <c r="G158">
        <v>104865</v>
      </c>
      <c r="H158" s="116"/>
      <c r="I158" s="116"/>
      <c r="L158" s="170">
        <v>42229</v>
      </c>
      <c r="M158" s="116">
        <v>144.44999999999999</v>
      </c>
      <c r="N158" s="116">
        <v>147.25</v>
      </c>
      <c r="O158" s="116">
        <v>140.30000000000001</v>
      </c>
      <c r="P158" s="116">
        <v>146.4</v>
      </c>
      <c r="Q158" s="116">
        <v>144.44999999999999</v>
      </c>
      <c r="R158">
        <v>2291212</v>
      </c>
    </row>
    <row r="159" spans="1:18" x14ac:dyDescent="0.25">
      <c r="A159" s="170">
        <v>42230</v>
      </c>
      <c r="B159" s="116">
        <v>147.1</v>
      </c>
      <c r="C159" s="116">
        <v>145.30000000000001</v>
      </c>
      <c r="D159" s="116">
        <v>143.85</v>
      </c>
      <c r="E159" s="116">
        <v>144.94999999999999</v>
      </c>
      <c r="F159" s="116">
        <v>145.30000000000001</v>
      </c>
      <c r="G159">
        <v>49886</v>
      </c>
      <c r="H159" s="116"/>
      <c r="I159" s="116"/>
      <c r="L159" s="170">
        <v>42230</v>
      </c>
      <c r="M159" s="116">
        <v>145.4</v>
      </c>
      <c r="N159" s="116">
        <v>147.15</v>
      </c>
      <c r="O159" s="116">
        <v>143.1</v>
      </c>
      <c r="P159" s="116">
        <v>146</v>
      </c>
      <c r="Q159" s="116">
        <v>145.4</v>
      </c>
      <c r="R159">
        <v>1083959</v>
      </c>
    </row>
    <row r="160" spans="1:18" x14ac:dyDescent="0.25">
      <c r="A160" s="170">
        <v>42233</v>
      </c>
      <c r="B160" s="116">
        <v>150.30000000000001</v>
      </c>
      <c r="C160" s="116">
        <v>149.05000000000001</v>
      </c>
      <c r="D160" s="116">
        <v>145.25</v>
      </c>
      <c r="E160" s="116">
        <v>145.69999999999999</v>
      </c>
      <c r="F160" s="116">
        <v>149.05000000000001</v>
      </c>
      <c r="G160">
        <v>50128</v>
      </c>
      <c r="H160" s="116"/>
      <c r="I160" s="116"/>
      <c r="L160" s="170">
        <v>42233</v>
      </c>
      <c r="M160" s="116">
        <v>149.1</v>
      </c>
      <c r="N160" s="116">
        <v>150.4</v>
      </c>
      <c r="O160" s="116">
        <v>145</v>
      </c>
      <c r="P160" s="116">
        <v>145.5</v>
      </c>
      <c r="Q160" s="116">
        <v>149.1</v>
      </c>
      <c r="R160">
        <v>343275</v>
      </c>
    </row>
    <row r="161" spans="1:18" x14ac:dyDescent="0.25">
      <c r="A161" s="170">
        <v>42234</v>
      </c>
      <c r="B161" s="116">
        <v>151.80000000000001</v>
      </c>
      <c r="C161" s="116">
        <v>147.30000000000001</v>
      </c>
      <c r="D161" s="116">
        <v>146.5</v>
      </c>
      <c r="E161" s="116">
        <v>146.5</v>
      </c>
      <c r="F161" s="116">
        <v>147.30000000000001</v>
      </c>
      <c r="G161">
        <v>44139</v>
      </c>
      <c r="H161" s="116"/>
      <c r="I161" s="116"/>
      <c r="L161" s="170">
        <v>42234</v>
      </c>
      <c r="M161" s="116">
        <v>147.30000000000001</v>
      </c>
      <c r="N161" s="116">
        <v>151.9</v>
      </c>
      <c r="O161" s="116">
        <v>146.5</v>
      </c>
      <c r="P161" s="116">
        <v>150.1</v>
      </c>
      <c r="Q161" s="116">
        <v>147.30000000000001</v>
      </c>
      <c r="R161">
        <v>652167</v>
      </c>
    </row>
    <row r="162" spans="1:18" x14ac:dyDescent="0.25">
      <c r="A162" s="170">
        <v>42235</v>
      </c>
      <c r="B162" s="116">
        <v>149.9</v>
      </c>
      <c r="C162" s="116">
        <v>140.75</v>
      </c>
      <c r="D162" s="116">
        <v>139.65</v>
      </c>
      <c r="E162" s="116">
        <v>149.9</v>
      </c>
      <c r="F162" s="116">
        <v>140.75</v>
      </c>
      <c r="G162">
        <v>291605</v>
      </c>
      <c r="H162" s="116"/>
      <c r="I162" s="116"/>
      <c r="L162" s="170">
        <v>42235</v>
      </c>
      <c r="M162" s="116">
        <v>140.5</v>
      </c>
      <c r="N162" s="116">
        <v>147.4</v>
      </c>
      <c r="O162" s="116">
        <v>139.6</v>
      </c>
      <c r="P162" s="116">
        <v>146</v>
      </c>
      <c r="Q162" s="116">
        <v>140.5</v>
      </c>
      <c r="R162">
        <v>1808836</v>
      </c>
    </row>
    <row r="163" spans="1:18" x14ac:dyDescent="0.25">
      <c r="A163" s="170">
        <v>42236</v>
      </c>
      <c r="B163" s="116">
        <v>141.44999999999999</v>
      </c>
      <c r="C163" s="116">
        <v>139.30000000000001</v>
      </c>
      <c r="D163" s="116">
        <v>137.19999999999999</v>
      </c>
      <c r="E163" s="116">
        <v>140</v>
      </c>
      <c r="F163" s="116">
        <v>139.30000000000001</v>
      </c>
      <c r="G163">
        <v>63577</v>
      </c>
      <c r="H163" s="116"/>
      <c r="I163" s="116"/>
      <c r="L163" s="170">
        <v>42236</v>
      </c>
      <c r="M163" s="116">
        <v>139.55000000000001</v>
      </c>
      <c r="N163" s="116">
        <v>141.65</v>
      </c>
      <c r="O163" s="116">
        <v>137</v>
      </c>
      <c r="P163" s="116">
        <v>140.69999999999999</v>
      </c>
      <c r="Q163" s="116">
        <v>139.55000000000001</v>
      </c>
      <c r="R163">
        <v>628925</v>
      </c>
    </row>
    <row r="164" spans="1:18" x14ac:dyDescent="0.25">
      <c r="A164" s="170">
        <v>42237</v>
      </c>
      <c r="B164" s="116">
        <v>139.5</v>
      </c>
      <c r="C164" s="116">
        <v>137.25</v>
      </c>
      <c r="D164" s="116">
        <v>135.35</v>
      </c>
      <c r="E164" s="116">
        <v>138.4</v>
      </c>
      <c r="F164" s="116">
        <v>137.25</v>
      </c>
      <c r="G164">
        <v>54998</v>
      </c>
      <c r="H164" s="116"/>
      <c r="I164" s="116"/>
      <c r="L164" s="170">
        <v>42237</v>
      </c>
      <c r="M164" s="116">
        <v>137.15</v>
      </c>
      <c r="N164" s="116">
        <v>139.5</v>
      </c>
      <c r="O164" s="116">
        <v>135.1</v>
      </c>
      <c r="P164" s="116">
        <v>138.69999999999999</v>
      </c>
      <c r="Q164" s="116">
        <v>137.15</v>
      </c>
      <c r="R164">
        <v>667341</v>
      </c>
    </row>
    <row r="165" spans="1:18" x14ac:dyDescent="0.25">
      <c r="A165" s="170">
        <v>42240</v>
      </c>
      <c r="B165" s="116">
        <v>135</v>
      </c>
      <c r="C165" s="116">
        <v>122.75</v>
      </c>
      <c r="D165" s="116">
        <v>119.1</v>
      </c>
      <c r="E165" s="116">
        <v>135</v>
      </c>
      <c r="F165" s="116">
        <v>122.75</v>
      </c>
      <c r="G165">
        <v>138777</v>
      </c>
      <c r="H165" s="116"/>
      <c r="I165" s="116"/>
      <c r="L165" s="170">
        <v>42240</v>
      </c>
      <c r="M165" s="116">
        <v>122.45</v>
      </c>
      <c r="N165" s="116">
        <v>135</v>
      </c>
      <c r="O165" s="116">
        <v>118.1</v>
      </c>
      <c r="P165" s="116">
        <v>135</v>
      </c>
      <c r="Q165" s="116">
        <v>122.45</v>
      </c>
      <c r="R165">
        <v>1948289</v>
      </c>
    </row>
    <row r="166" spans="1:18" x14ac:dyDescent="0.25">
      <c r="A166" s="170">
        <v>42241</v>
      </c>
      <c r="B166" s="116">
        <v>127.95</v>
      </c>
      <c r="C166" s="116">
        <v>126.45</v>
      </c>
      <c r="D166" s="116">
        <v>117.2</v>
      </c>
      <c r="E166" s="116">
        <v>126.2</v>
      </c>
      <c r="F166" s="116">
        <v>126.45</v>
      </c>
      <c r="G166">
        <v>82493</v>
      </c>
      <c r="H166" s="116"/>
      <c r="I166" s="116"/>
      <c r="L166" s="170">
        <v>42241</v>
      </c>
      <c r="M166" s="116">
        <v>126.65</v>
      </c>
      <c r="N166" s="116">
        <v>128.1</v>
      </c>
      <c r="O166" s="116">
        <v>117.05</v>
      </c>
      <c r="P166" s="116">
        <v>125</v>
      </c>
      <c r="Q166" s="116">
        <v>126.65</v>
      </c>
      <c r="R166">
        <v>1288820</v>
      </c>
    </row>
    <row r="167" spans="1:18" x14ac:dyDescent="0.25">
      <c r="A167" s="170">
        <v>42242</v>
      </c>
      <c r="B167" s="116">
        <v>128.69999999999999</v>
      </c>
      <c r="C167" s="116">
        <v>127.2</v>
      </c>
      <c r="D167" s="116">
        <v>121.3</v>
      </c>
      <c r="E167" s="116">
        <v>126.5</v>
      </c>
      <c r="F167" s="116">
        <v>127.2</v>
      </c>
      <c r="G167">
        <v>104042</v>
      </c>
      <c r="H167" s="116"/>
      <c r="I167" s="116"/>
      <c r="L167" s="170">
        <v>42242</v>
      </c>
      <c r="M167" s="116">
        <v>127.05</v>
      </c>
      <c r="N167" s="116">
        <v>128.6</v>
      </c>
      <c r="O167" s="116">
        <v>121</v>
      </c>
      <c r="P167" s="116">
        <v>126.7</v>
      </c>
      <c r="Q167" s="116">
        <v>127.05</v>
      </c>
      <c r="R167">
        <v>1311735</v>
      </c>
    </row>
    <row r="168" spans="1:18" x14ac:dyDescent="0.25">
      <c r="A168" s="170">
        <v>42243</v>
      </c>
      <c r="B168" s="116">
        <v>131</v>
      </c>
      <c r="C168" s="116">
        <v>130.05000000000001</v>
      </c>
      <c r="D168" s="116">
        <v>127.5</v>
      </c>
      <c r="E168" s="116">
        <v>129.55000000000001</v>
      </c>
      <c r="F168" s="116">
        <v>130.05000000000001</v>
      </c>
      <c r="G168">
        <v>86846</v>
      </c>
      <c r="H168" s="116"/>
      <c r="I168" s="116"/>
      <c r="L168" s="170">
        <v>42243</v>
      </c>
      <c r="M168" s="116">
        <v>130.05000000000001</v>
      </c>
      <c r="N168" s="116">
        <v>131.44999999999999</v>
      </c>
      <c r="O168" s="116">
        <v>127.4</v>
      </c>
      <c r="P168" s="116">
        <v>128.9</v>
      </c>
      <c r="Q168" s="116">
        <v>130.05000000000001</v>
      </c>
      <c r="R168">
        <v>1595746</v>
      </c>
    </row>
    <row r="169" spans="1:18" x14ac:dyDescent="0.25">
      <c r="A169" s="170">
        <v>42244</v>
      </c>
      <c r="B169" s="116">
        <v>134.80000000000001</v>
      </c>
      <c r="C169" s="116">
        <v>131.9</v>
      </c>
      <c r="D169" s="116">
        <v>130.75</v>
      </c>
      <c r="E169" s="116">
        <v>132.55000000000001</v>
      </c>
      <c r="F169" s="116">
        <v>131.9</v>
      </c>
      <c r="G169">
        <v>92664</v>
      </c>
      <c r="H169" s="116"/>
      <c r="I169" s="116"/>
      <c r="L169" s="170">
        <v>42244</v>
      </c>
      <c r="M169" s="116">
        <v>131.69999999999999</v>
      </c>
      <c r="N169" s="116">
        <v>134.9</v>
      </c>
      <c r="O169" s="116">
        <v>130.69999999999999</v>
      </c>
      <c r="P169" s="116">
        <v>133</v>
      </c>
      <c r="Q169" s="116">
        <v>131.69999999999999</v>
      </c>
      <c r="R169">
        <v>1286319</v>
      </c>
    </row>
    <row r="170" spans="1:18" x14ac:dyDescent="0.25">
      <c r="A170" s="170">
        <v>42247</v>
      </c>
      <c r="B170" s="116">
        <v>132</v>
      </c>
      <c r="C170" s="116">
        <v>126.95</v>
      </c>
      <c r="D170" s="116">
        <v>125.5</v>
      </c>
      <c r="E170" s="116">
        <v>132</v>
      </c>
      <c r="F170" s="116">
        <v>126.95</v>
      </c>
      <c r="G170">
        <v>70126</v>
      </c>
      <c r="H170" s="116"/>
      <c r="I170" s="116"/>
      <c r="L170" s="170">
        <v>42247</v>
      </c>
      <c r="M170" s="116">
        <v>127.15</v>
      </c>
      <c r="N170" s="116">
        <v>132</v>
      </c>
      <c r="O170" s="116">
        <v>125.35</v>
      </c>
      <c r="P170" s="116">
        <v>132</v>
      </c>
      <c r="Q170" s="116">
        <v>127.15</v>
      </c>
      <c r="R170">
        <v>790997</v>
      </c>
    </row>
    <row r="171" spans="1:18" x14ac:dyDescent="0.25">
      <c r="A171" s="170">
        <v>42248</v>
      </c>
      <c r="B171" s="116">
        <v>129.9</v>
      </c>
      <c r="C171" s="116">
        <v>125.8</v>
      </c>
      <c r="D171" s="116">
        <v>124.4</v>
      </c>
      <c r="E171" s="116">
        <v>127.15</v>
      </c>
      <c r="F171" s="116">
        <v>125.8</v>
      </c>
      <c r="G171">
        <v>54891</v>
      </c>
      <c r="H171" s="116"/>
      <c r="I171" s="116"/>
      <c r="L171" s="170">
        <v>42248</v>
      </c>
      <c r="M171" s="116">
        <v>125.75</v>
      </c>
      <c r="N171" s="116">
        <v>129.94999999999999</v>
      </c>
      <c r="O171" s="116">
        <v>124.35</v>
      </c>
      <c r="P171" s="116">
        <v>126.7</v>
      </c>
      <c r="Q171" s="116">
        <v>125.75</v>
      </c>
      <c r="R171">
        <v>601754</v>
      </c>
    </row>
    <row r="172" spans="1:18" x14ac:dyDescent="0.25">
      <c r="A172" s="170">
        <v>42249</v>
      </c>
      <c r="B172" s="116">
        <v>129.1</v>
      </c>
      <c r="C172" s="116">
        <v>128.05000000000001</v>
      </c>
      <c r="D172" s="116">
        <v>125</v>
      </c>
      <c r="E172" s="116">
        <v>125.55</v>
      </c>
      <c r="F172" s="116">
        <v>128.05000000000001</v>
      </c>
      <c r="G172">
        <v>52741</v>
      </c>
      <c r="H172" s="116"/>
      <c r="I172" s="116"/>
      <c r="L172" s="170">
        <v>42249</v>
      </c>
      <c r="M172" s="116">
        <v>127.95</v>
      </c>
      <c r="N172" s="116">
        <v>138</v>
      </c>
      <c r="O172" s="116">
        <v>124.9</v>
      </c>
      <c r="P172" s="116">
        <v>127</v>
      </c>
      <c r="Q172" s="116">
        <v>127.95</v>
      </c>
      <c r="R172">
        <v>695697</v>
      </c>
    </row>
    <row r="173" spans="1:18" x14ac:dyDescent="0.25">
      <c r="A173" s="170">
        <v>42250</v>
      </c>
      <c r="B173" s="116">
        <v>134.1</v>
      </c>
      <c r="C173" s="116">
        <v>133.4</v>
      </c>
      <c r="D173" s="116">
        <v>127.4</v>
      </c>
      <c r="E173" s="116">
        <v>129.19999999999999</v>
      </c>
      <c r="F173" s="116">
        <v>133.4</v>
      </c>
      <c r="G173">
        <v>50369</v>
      </c>
      <c r="H173" s="116"/>
      <c r="I173" s="116"/>
      <c r="L173" s="170">
        <v>42250</v>
      </c>
      <c r="M173" s="116">
        <v>133.35</v>
      </c>
      <c r="N173" s="116">
        <v>134.25</v>
      </c>
      <c r="O173" s="116">
        <v>127.35</v>
      </c>
      <c r="P173" s="116">
        <v>129.94999999999999</v>
      </c>
      <c r="Q173" s="116">
        <v>133.35</v>
      </c>
      <c r="R173">
        <v>717965</v>
      </c>
    </row>
    <row r="174" spans="1:18" x14ac:dyDescent="0.25">
      <c r="A174" s="170">
        <v>42251</v>
      </c>
      <c r="B174" s="116">
        <v>133</v>
      </c>
      <c r="C174" s="116">
        <v>132.05000000000001</v>
      </c>
      <c r="D174" s="116">
        <v>129</v>
      </c>
      <c r="E174" s="116">
        <v>133</v>
      </c>
      <c r="F174" s="116">
        <v>132.05000000000001</v>
      </c>
      <c r="G174">
        <v>63571</v>
      </c>
      <c r="H174" s="116"/>
      <c r="I174" s="116"/>
      <c r="L174" s="170">
        <v>42251</v>
      </c>
      <c r="M174" s="116">
        <v>132.1</v>
      </c>
      <c r="N174" s="116">
        <v>133.30000000000001</v>
      </c>
      <c r="O174" s="116">
        <v>129.1</v>
      </c>
      <c r="P174" s="116">
        <v>132.5</v>
      </c>
      <c r="Q174" s="116">
        <v>132.1</v>
      </c>
      <c r="R174">
        <v>712335</v>
      </c>
    </row>
    <row r="175" spans="1:18" x14ac:dyDescent="0.25">
      <c r="A175" s="170">
        <v>42254</v>
      </c>
      <c r="B175" s="116">
        <v>133.80000000000001</v>
      </c>
      <c r="C175" s="116">
        <v>130.15</v>
      </c>
      <c r="D175" s="116">
        <v>129.35</v>
      </c>
      <c r="E175" s="116">
        <v>133</v>
      </c>
      <c r="F175" s="116">
        <v>130.15</v>
      </c>
      <c r="G175">
        <v>58075</v>
      </c>
      <c r="H175" s="116"/>
      <c r="I175" s="116"/>
      <c r="L175" s="170">
        <v>42254</v>
      </c>
      <c r="M175" s="116">
        <v>130.35</v>
      </c>
      <c r="N175" s="116">
        <v>134</v>
      </c>
      <c r="O175" s="116">
        <v>130</v>
      </c>
      <c r="P175" s="116">
        <v>132.9</v>
      </c>
      <c r="Q175" s="116">
        <v>130.35</v>
      </c>
      <c r="R175">
        <v>412481</v>
      </c>
    </row>
    <row r="176" spans="1:18" x14ac:dyDescent="0.25">
      <c r="A176" s="170">
        <v>42255</v>
      </c>
      <c r="B176" s="116">
        <v>132.80000000000001</v>
      </c>
      <c r="C176" s="116">
        <v>130.65</v>
      </c>
      <c r="D176" s="116">
        <v>129.69999999999999</v>
      </c>
      <c r="E176" s="116">
        <v>130</v>
      </c>
      <c r="F176" s="116">
        <v>130.65</v>
      </c>
      <c r="G176">
        <v>43728</v>
      </c>
      <c r="H176" s="116"/>
      <c r="I176" s="116"/>
      <c r="L176" s="170">
        <v>42255</v>
      </c>
      <c r="M176" s="116">
        <v>130.5</v>
      </c>
      <c r="N176" s="116">
        <v>133</v>
      </c>
      <c r="O176" s="116">
        <v>129.65</v>
      </c>
      <c r="P176" s="116">
        <v>130.1</v>
      </c>
      <c r="Q176" s="116">
        <v>130.5</v>
      </c>
      <c r="R176">
        <v>604868</v>
      </c>
    </row>
    <row r="177" spans="1:18" x14ac:dyDescent="0.25">
      <c r="A177" s="170">
        <v>42256</v>
      </c>
      <c r="B177" s="116">
        <v>138.5</v>
      </c>
      <c r="C177" s="116">
        <v>134.94999999999999</v>
      </c>
      <c r="D177" s="116">
        <v>133.19999999999999</v>
      </c>
      <c r="E177" s="116">
        <v>135</v>
      </c>
      <c r="F177" s="116">
        <v>134.94999999999999</v>
      </c>
      <c r="G177">
        <v>108869</v>
      </c>
      <c r="H177" s="116"/>
      <c r="I177" s="116"/>
      <c r="L177" s="170">
        <v>42256</v>
      </c>
      <c r="M177" s="116">
        <v>135</v>
      </c>
      <c r="N177" s="116">
        <v>138.44999999999999</v>
      </c>
      <c r="O177" s="116">
        <v>133.19999999999999</v>
      </c>
      <c r="P177" s="116">
        <v>133.5</v>
      </c>
      <c r="Q177" s="116">
        <v>135</v>
      </c>
      <c r="R177">
        <v>914057</v>
      </c>
    </row>
    <row r="178" spans="1:18" x14ac:dyDescent="0.25">
      <c r="A178" s="170">
        <v>42257</v>
      </c>
      <c r="B178" s="116">
        <v>133.4</v>
      </c>
      <c r="C178" s="116">
        <v>132</v>
      </c>
      <c r="D178" s="116">
        <v>129.4</v>
      </c>
      <c r="E178" s="116">
        <v>133.4</v>
      </c>
      <c r="F178" s="116">
        <v>132</v>
      </c>
      <c r="G178">
        <v>84889</v>
      </c>
      <c r="H178" s="116"/>
      <c r="I178" s="116"/>
      <c r="L178" s="170">
        <v>42257</v>
      </c>
      <c r="M178" s="116">
        <v>131.9</v>
      </c>
      <c r="N178" s="116">
        <v>134.9</v>
      </c>
      <c r="O178" s="116">
        <v>129.19999999999999</v>
      </c>
      <c r="P178" s="116">
        <v>134.9</v>
      </c>
      <c r="Q178" s="116">
        <v>131.9</v>
      </c>
      <c r="R178">
        <v>843494</v>
      </c>
    </row>
    <row r="179" spans="1:18" x14ac:dyDescent="0.25">
      <c r="A179" s="170">
        <v>42258</v>
      </c>
      <c r="B179" s="116">
        <v>132.6</v>
      </c>
      <c r="C179" s="116">
        <v>129.94999999999999</v>
      </c>
      <c r="D179" s="116">
        <v>129.19999999999999</v>
      </c>
      <c r="E179" s="116">
        <v>132.6</v>
      </c>
      <c r="F179" s="116">
        <v>129.94999999999999</v>
      </c>
      <c r="G179">
        <v>36836</v>
      </c>
      <c r="H179" s="116"/>
      <c r="I179" s="116"/>
      <c r="L179" s="170">
        <v>42258</v>
      </c>
      <c r="M179" s="116">
        <v>130.05000000000001</v>
      </c>
      <c r="N179" s="116">
        <v>133</v>
      </c>
      <c r="O179" s="116">
        <v>129.30000000000001</v>
      </c>
      <c r="P179" s="116">
        <v>132</v>
      </c>
      <c r="Q179" s="116">
        <v>130.05000000000001</v>
      </c>
      <c r="R179">
        <v>506651</v>
      </c>
    </row>
    <row r="180" spans="1:18" x14ac:dyDescent="0.25">
      <c r="A180" s="170">
        <v>42261</v>
      </c>
      <c r="B180" s="116">
        <v>137.25</v>
      </c>
      <c r="C180" s="116">
        <v>136.1</v>
      </c>
      <c r="D180" s="116">
        <v>128.1</v>
      </c>
      <c r="E180" s="116">
        <v>130</v>
      </c>
      <c r="F180" s="116">
        <v>136.1</v>
      </c>
      <c r="G180">
        <v>87895</v>
      </c>
      <c r="H180" s="116"/>
      <c r="I180" s="116"/>
      <c r="L180" s="170">
        <v>42261</v>
      </c>
      <c r="M180" s="116">
        <v>135.94999999999999</v>
      </c>
      <c r="N180" s="116">
        <v>137</v>
      </c>
      <c r="O180" s="116">
        <v>128</v>
      </c>
      <c r="P180" s="116">
        <v>129.25</v>
      </c>
      <c r="Q180" s="116">
        <v>135.94999999999999</v>
      </c>
      <c r="R180">
        <v>1142621</v>
      </c>
    </row>
    <row r="181" spans="1:18" x14ac:dyDescent="0.25">
      <c r="A181" s="170">
        <v>42262</v>
      </c>
      <c r="B181" s="116">
        <v>136.5</v>
      </c>
      <c r="C181" s="116">
        <v>135.75</v>
      </c>
      <c r="D181" s="116">
        <v>132</v>
      </c>
      <c r="E181" s="116">
        <v>133.44999999999999</v>
      </c>
      <c r="F181" s="116">
        <v>135.75</v>
      </c>
      <c r="G181">
        <v>78769</v>
      </c>
      <c r="H181" s="116"/>
      <c r="I181" s="116"/>
      <c r="L181" s="170">
        <v>42262</v>
      </c>
      <c r="M181" s="116">
        <v>135.44999999999999</v>
      </c>
      <c r="N181" s="116">
        <v>136.6</v>
      </c>
      <c r="O181" s="116">
        <v>132.05000000000001</v>
      </c>
      <c r="P181" s="116">
        <v>134.15</v>
      </c>
      <c r="Q181" s="116">
        <v>135.44999999999999</v>
      </c>
      <c r="R181">
        <v>1222629</v>
      </c>
    </row>
    <row r="182" spans="1:18" x14ac:dyDescent="0.25">
      <c r="A182" s="170">
        <v>42263</v>
      </c>
      <c r="B182" s="116">
        <v>135</v>
      </c>
      <c r="C182" s="116">
        <v>133.15</v>
      </c>
      <c r="D182" s="116">
        <v>131.75</v>
      </c>
      <c r="E182" s="116">
        <v>135</v>
      </c>
      <c r="F182" s="116">
        <v>133.15</v>
      </c>
      <c r="G182">
        <v>36429</v>
      </c>
      <c r="H182" s="116"/>
      <c r="I182" s="116"/>
      <c r="L182" s="170">
        <v>42263</v>
      </c>
      <c r="M182" s="116">
        <v>132.85</v>
      </c>
      <c r="N182" s="116">
        <v>135.94999999999999</v>
      </c>
      <c r="O182" s="116">
        <v>131.69999999999999</v>
      </c>
      <c r="P182" s="116">
        <v>135.94999999999999</v>
      </c>
      <c r="Q182" s="116">
        <v>132.85</v>
      </c>
      <c r="R182">
        <v>694065</v>
      </c>
    </row>
    <row r="183" spans="1:18" x14ac:dyDescent="0.25">
      <c r="A183" s="170">
        <v>42265</v>
      </c>
      <c r="B183" s="116">
        <v>137.75</v>
      </c>
      <c r="C183" s="116">
        <v>135.4</v>
      </c>
      <c r="D183" s="116">
        <v>133.80000000000001</v>
      </c>
      <c r="E183" s="116">
        <v>135</v>
      </c>
      <c r="F183" s="116">
        <v>135.4</v>
      </c>
      <c r="G183">
        <v>59242</v>
      </c>
      <c r="H183" s="116"/>
      <c r="I183" s="116"/>
      <c r="L183" s="170">
        <v>42265</v>
      </c>
      <c r="M183" s="116">
        <v>135.85</v>
      </c>
      <c r="N183" s="116">
        <v>138.05000000000001</v>
      </c>
      <c r="O183" s="116">
        <v>133.5</v>
      </c>
      <c r="P183" s="116">
        <v>136.69999999999999</v>
      </c>
      <c r="Q183" s="116">
        <v>135.85</v>
      </c>
      <c r="R183">
        <v>1299240</v>
      </c>
    </row>
    <row r="184" spans="1:18" x14ac:dyDescent="0.25">
      <c r="A184" s="170">
        <v>42268</v>
      </c>
      <c r="B184" s="116">
        <v>137</v>
      </c>
      <c r="C184" s="116">
        <v>135.30000000000001</v>
      </c>
      <c r="D184" s="116">
        <v>132.44999999999999</v>
      </c>
      <c r="E184" s="116">
        <v>135.5</v>
      </c>
      <c r="F184" s="116">
        <v>135.30000000000001</v>
      </c>
      <c r="G184">
        <v>39449</v>
      </c>
      <c r="H184" s="116"/>
      <c r="I184" s="116"/>
      <c r="L184" s="170">
        <v>42268</v>
      </c>
      <c r="M184" s="116">
        <v>135.69999999999999</v>
      </c>
      <c r="N184" s="116">
        <v>137.35</v>
      </c>
      <c r="O184" s="116">
        <v>132.25</v>
      </c>
      <c r="P184" s="116">
        <v>134.80000000000001</v>
      </c>
      <c r="Q184" s="116">
        <v>135.69999999999999</v>
      </c>
      <c r="R184">
        <v>574826</v>
      </c>
    </row>
    <row r="185" spans="1:18" x14ac:dyDescent="0.25">
      <c r="A185" s="170">
        <v>42269</v>
      </c>
      <c r="B185" s="116">
        <v>137.69999999999999</v>
      </c>
      <c r="C185" s="116">
        <v>134.1</v>
      </c>
      <c r="D185" s="116">
        <v>132.75</v>
      </c>
      <c r="E185" s="116">
        <v>135.94999999999999</v>
      </c>
      <c r="F185" s="116">
        <v>134.1</v>
      </c>
      <c r="G185">
        <v>375707</v>
      </c>
      <c r="H185" s="116"/>
      <c r="I185" s="116"/>
      <c r="L185" s="170">
        <v>42269</v>
      </c>
      <c r="M185" s="116">
        <v>134.30000000000001</v>
      </c>
      <c r="N185" s="116">
        <v>137.80000000000001</v>
      </c>
      <c r="O185" s="116">
        <v>132.69999999999999</v>
      </c>
      <c r="P185" s="116">
        <v>136.94999999999999</v>
      </c>
      <c r="Q185" s="116">
        <v>134.30000000000001</v>
      </c>
      <c r="R185">
        <v>627150</v>
      </c>
    </row>
    <row r="186" spans="1:18" x14ac:dyDescent="0.25">
      <c r="A186" s="170">
        <v>42270</v>
      </c>
      <c r="B186" s="116">
        <v>137</v>
      </c>
      <c r="C186" s="116">
        <v>135.44999999999999</v>
      </c>
      <c r="D186" s="116">
        <v>129.5</v>
      </c>
      <c r="E186" s="116">
        <v>131</v>
      </c>
      <c r="F186" s="116">
        <v>135.44999999999999</v>
      </c>
      <c r="G186">
        <v>98134</v>
      </c>
      <c r="H186" s="116"/>
      <c r="I186" s="116"/>
      <c r="L186" s="170">
        <v>42270</v>
      </c>
      <c r="M186" s="116">
        <v>135.4</v>
      </c>
      <c r="N186" s="116">
        <v>137.4</v>
      </c>
      <c r="O186" s="116">
        <v>129.19999999999999</v>
      </c>
      <c r="P186" s="116">
        <v>130</v>
      </c>
      <c r="Q186" s="116">
        <v>135.4</v>
      </c>
      <c r="R186">
        <v>872316</v>
      </c>
    </row>
    <row r="187" spans="1:18" x14ac:dyDescent="0.25">
      <c r="A187" s="170">
        <v>42271</v>
      </c>
      <c r="B187" s="116">
        <v>144</v>
      </c>
      <c r="C187" s="116">
        <v>142.94999999999999</v>
      </c>
      <c r="D187" s="116">
        <v>135</v>
      </c>
      <c r="E187" s="116">
        <v>136</v>
      </c>
      <c r="F187" s="116">
        <v>142.94999999999999</v>
      </c>
      <c r="G187">
        <v>171591</v>
      </c>
      <c r="H187" s="116"/>
      <c r="I187" s="116"/>
      <c r="L187" s="170">
        <v>42271</v>
      </c>
      <c r="M187" s="116">
        <v>143.25</v>
      </c>
      <c r="N187" s="116">
        <v>144.69999999999999</v>
      </c>
      <c r="O187" s="116">
        <v>134.6</v>
      </c>
      <c r="P187" s="116">
        <v>136.1</v>
      </c>
      <c r="Q187" s="116">
        <v>143.25</v>
      </c>
      <c r="R187">
        <v>1597066</v>
      </c>
    </row>
    <row r="188" spans="1:18" x14ac:dyDescent="0.25">
      <c r="A188" s="170">
        <v>42275</v>
      </c>
      <c r="B188" s="116">
        <v>143.4</v>
      </c>
      <c r="C188" s="116">
        <v>137.69999999999999</v>
      </c>
      <c r="D188" s="116">
        <v>136.35</v>
      </c>
      <c r="E188" s="116">
        <v>143.4</v>
      </c>
      <c r="F188" s="116">
        <v>137.69999999999999</v>
      </c>
      <c r="G188">
        <v>30080</v>
      </c>
      <c r="H188" s="116"/>
      <c r="I188" s="116"/>
      <c r="L188" s="170">
        <v>42275</v>
      </c>
      <c r="M188" s="116">
        <v>137.65</v>
      </c>
      <c r="N188" s="116">
        <v>144</v>
      </c>
      <c r="O188" s="116">
        <v>136.4</v>
      </c>
      <c r="P188" s="116">
        <v>144</v>
      </c>
      <c r="Q188" s="116">
        <v>137.65</v>
      </c>
      <c r="R188">
        <v>359610</v>
      </c>
    </row>
    <row r="189" spans="1:18" x14ac:dyDescent="0.25">
      <c r="A189" s="170">
        <v>42276</v>
      </c>
      <c r="B189" s="116">
        <v>136.94999999999999</v>
      </c>
      <c r="C189" s="116">
        <v>134.94999999999999</v>
      </c>
      <c r="D189" s="116">
        <v>134.1</v>
      </c>
      <c r="E189" s="116">
        <v>135.55000000000001</v>
      </c>
      <c r="F189" s="116">
        <v>134.94999999999999</v>
      </c>
      <c r="G189">
        <v>36810</v>
      </c>
      <c r="H189" s="116"/>
      <c r="I189" s="116"/>
      <c r="L189" s="170">
        <v>42276</v>
      </c>
      <c r="M189" s="116">
        <v>134.75</v>
      </c>
      <c r="N189" s="116">
        <v>137</v>
      </c>
      <c r="O189" s="116">
        <v>134.1</v>
      </c>
      <c r="P189" s="116">
        <v>134.55000000000001</v>
      </c>
      <c r="Q189" s="116">
        <v>134.75</v>
      </c>
      <c r="R189">
        <v>385717</v>
      </c>
    </row>
    <row r="190" spans="1:18" x14ac:dyDescent="0.25">
      <c r="A190" s="170">
        <v>42277</v>
      </c>
      <c r="B190" s="116">
        <v>140.5</v>
      </c>
      <c r="C190" s="116">
        <v>139.65</v>
      </c>
      <c r="D190" s="116">
        <v>135</v>
      </c>
      <c r="E190" s="116">
        <v>135.55000000000001</v>
      </c>
      <c r="F190" s="116">
        <v>139.65</v>
      </c>
      <c r="G190">
        <v>53112</v>
      </c>
      <c r="H190" s="116"/>
      <c r="I190" s="116"/>
      <c r="L190" s="170">
        <v>42277</v>
      </c>
      <c r="M190" s="116">
        <v>139.80000000000001</v>
      </c>
      <c r="N190" s="116">
        <v>140.80000000000001</v>
      </c>
      <c r="O190" s="116">
        <v>135</v>
      </c>
      <c r="P190" s="116">
        <v>136.5</v>
      </c>
      <c r="Q190" s="116">
        <v>139.80000000000001</v>
      </c>
      <c r="R190">
        <v>428345</v>
      </c>
    </row>
    <row r="191" spans="1:18" x14ac:dyDescent="0.25">
      <c r="A191" s="170">
        <v>42278</v>
      </c>
      <c r="B191" s="116">
        <v>143</v>
      </c>
      <c r="C191" s="116">
        <v>139.05000000000001</v>
      </c>
      <c r="D191" s="116">
        <v>136.30000000000001</v>
      </c>
      <c r="E191" s="116">
        <v>139.65</v>
      </c>
      <c r="F191" s="116">
        <v>139.05000000000001</v>
      </c>
      <c r="G191">
        <v>72230</v>
      </c>
      <c r="H191" s="116"/>
      <c r="I191" s="116"/>
      <c r="L191" s="170">
        <v>42278</v>
      </c>
      <c r="M191" s="116">
        <v>138.4</v>
      </c>
      <c r="N191" s="116">
        <v>140.4</v>
      </c>
      <c r="O191" s="116">
        <v>136.1</v>
      </c>
      <c r="P191" s="116">
        <v>140.4</v>
      </c>
      <c r="Q191" s="116">
        <v>138.4</v>
      </c>
      <c r="R191">
        <v>505895</v>
      </c>
    </row>
    <row r="192" spans="1:18" x14ac:dyDescent="0.25">
      <c r="A192" s="170">
        <v>42282</v>
      </c>
      <c r="B192" s="116">
        <v>144.75</v>
      </c>
      <c r="C192" s="116">
        <v>142.75</v>
      </c>
      <c r="D192" s="116">
        <v>138.19999999999999</v>
      </c>
      <c r="E192" s="116">
        <v>138.80000000000001</v>
      </c>
      <c r="F192" s="116">
        <v>142.75</v>
      </c>
      <c r="G192">
        <v>55401</v>
      </c>
      <c r="H192" s="116"/>
      <c r="I192" s="116"/>
      <c r="L192" s="170">
        <v>42282</v>
      </c>
      <c r="M192" s="116">
        <v>143</v>
      </c>
      <c r="N192" s="116">
        <v>144.9</v>
      </c>
      <c r="O192" s="116">
        <v>138.1</v>
      </c>
      <c r="P192" s="116">
        <v>139.80000000000001</v>
      </c>
      <c r="Q192" s="116">
        <v>143</v>
      </c>
      <c r="R192">
        <v>822979</v>
      </c>
    </row>
    <row r="193" spans="1:18" x14ac:dyDescent="0.25">
      <c r="A193" s="170">
        <v>42283</v>
      </c>
      <c r="B193" s="116">
        <v>143.69999999999999</v>
      </c>
      <c r="C193" s="116">
        <v>143.1</v>
      </c>
      <c r="D193" s="116">
        <v>140.30000000000001</v>
      </c>
      <c r="E193" s="116">
        <v>142.1</v>
      </c>
      <c r="F193" s="116">
        <v>143.1</v>
      </c>
      <c r="G193">
        <v>76701</v>
      </c>
      <c r="H193" s="116"/>
      <c r="I193" s="116"/>
      <c r="L193" s="170">
        <v>42283</v>
      </c>
      <c r="M193" s="116">
        <v>143.4</v>
      </c>
      <c r="N193" s="116">
        <v>144.5</v>
      </c>
      <c r="O193" s="116">
        <v>140.35</v>
      </c>
      <c r="P193" s="116">
        <v>144</v>
      </c>
      <c r="Q193" s="116">
        <v>143.4</v>
      </c>
      <c r="R193">
        <v>672001</v>
      </c>
    </row>
    <row r="194" spans="1:18" x14ac:dyDescent="0.25">
      <c r="A194" s="170">
        <v>42284</v>
      </c>
      <c r="B194" s="116">
        <v>149.44999999999999</v>
      </c>
      <c r="C194" s="116">
        <v>147.69999999999999</v>
      </c>
      <c r="D194" s="116">
        <v>142.05000000000001</v>
      </c>
      <c r="E194" s="116">
        <v>143.75</v>
      </c>
      <c r="F194" s="116">
        <v>147.69999999999999</v>
      </c>
      <c r="G194">
        <v>60624</v>
      </c>
      <c r="H194" s="116"/>
      <c r="I194" s="116"/>
      <c r="L194" s="170">
        <v>42284</v>
      </c>
      <c r="M194" s="116">
        <v>148.35</v>
      </c>
      <c r="N194" s="116">
        <v>150.1</v>
      </c>
      <c r="O194" s="116">
        <v>141.9</v>
      </c>
      <c r="P194" s="116">
        <v>143.5</v>
      </c>
      <c r="Q194" s="116">
        <v>148.35</v>
      </c>
      <c r="R194">
        <v>995590</v>
      </c>
    </row>
    <row r="195" spans="1:18" x14ac:dyDescent="0.25">
      <c r="A195" s="170">
        <v>42285</v>
      </c>
      <c r="B195" s="116">
        <v>150</v>
      </c>
      <c r="C195" s="116">
        <v>145.19999999999999</v>
      </c>
      <c r="D195" s="116">
        <v>144.30000000000001</v>
      </c>
      <c r="E195" s="116">
        <v>148</v>
      </c>
      <c r="F195" s="116">
        <v>145.19999999999999</v>
      </c>
      <c r="G195">
        <v>41643</v>
      </c>
      <c r="H195" s="116"/>
      <c r="I195" s="116"/>
      <c r="L195" s="170">
        <v>42285</v>
      </c>
      <c r="M195" s="116">
        <v>144.94999999999999</v>
      </c>
      <c r="N195" s="116">
        <v>150.4</v>
      </c>
      <c r="O195" s="116">
        <v>144</v>
      </c>
      <c r="P195" s="116">
        <v>150</v>
      </c>
      <c r="Q195" s="116">
        <v>144.94999999999999</v>
      </c>
      <c r="R195">
        <v>559187</v>
      </c>
    </row>
    <row r="196" spans="1:18" x14ac:dyDescent="0.25">
      <c r="A196" s="170">
        <v>42286</v>
      </c>
      <c r="B196" s="116">
        <v>154</v>
      </c>
      <c r="C196" s="116">
        <v>150.69999999999999</v>
      </c>
      <c r="D196" s="116">
        <v>146</v>
      </c>
      <c r="E196" s="116">
        <v>146</v>
      </c>
      <c r="F196" s="116">
        <v>150.69999999999999</v>
      </c>
      <c r="G196">
        <v>144599</v>
      </c>
      <c r="H196" s="116"/>
      <c r="I196" s="116"/>
      <c r="L196" s="170">
        <v>42286</v>
      </c>
      <c r="M196" s="116">
        <v>150.44999999999999</v>
      </c>
      <c r="N196" s="116">
        <v>154.19999999999999</v>
      </c>
      <c r="O196" s="116">
        <v>147.19999999999999</v>
      </c>
      <c r="P196" s="116">
        <v>147.69999999999999</v>
      </c>
      <c r="Q196" s="116">
        <v>150.44999999999999</v>
      </c>
      <c r="R196">
        <v>2589576</v>
      </c>
    </row>
    <row r="197" spans="1:18" x14ac:dyDescent="0.25">
      <c r="A197" s="170">
        <v>42289</v>
      </c>
      <c r="B197" s="116">
        <v>154.80000000000001</v>
      </c>
      <c r="C197" s="116">
        <v>147.85</v>
      </c>
      <c r="D197" s="116">
        <v>147</v>
      </c>
      <c r="E197" s="116">
        <v>152.1</v>
      </c>
      <c r="F197" s="116">
        <v>147.85</v>
      </c>
      <c r="G197">
        <v>95671</v>
      </c>
      <c r="H197" s="116"/>
      <c r="I197" s="116"/>
      <c r="L197" s="170">
        <v>42289</v>
      </c>
      <c r="M197" s="116">
        <v>148.19999999999999</v>
      </c>
      <c r="N197" s="116">
        <v>154.69999999999999</v>
      </c>
      <c r="O197" s="116">
        <v>147.25</v>
      </c>
      <c r="P197" s="116">
        <v>152</v>
      </c>
      <c r="Q197" s="116">
        <v>148.19999999999999</v>
      </c>
      <c r="R197">
        <v>1397754</v>
      </c>
    </row>
    <row r="198" spans="1:18" x14ac:dyDescent="0.25">
      <c r="A198" s="170">
        <v>42290</v>
      </c>
      <c r="B198" s="116">
        <v>153.5</v>
      </c>
      <c r="C198" s="116">
        <v>152.65</v>
      </c>
      <c r="D198" s="116">
        <v>148</v>
      </c>
      <c r="E198" s="116">
        <v>148.69999999999999</v>
      </c>
      <c r="F198" s="116">
        <v>152.65</v>
      </c>
      <c r="G198">
        <v>58697</v>
      </c>
      <c r="H198" s="116"/>
      <c r="I198" s="116"/>
      <c r="L198" s="170">
        <v>42290</v>
      </c>
      <c r="M198" s="116">
        <v>152.80000000000001</v>
      </c>
      <c r="N198" s="116">
        <v>153.80000000000001</v>
      </c>
      <c r="O198" s="116">
        <v>146.94999999999999</v>
      </c>
      <c r="P198" s="116">
        <v>149.44999999999999</v>
      </c>
      <c r="Q198" s="116">
        <v>152.80000000000001</v>
      </c>
      <c r="R198">
        <v>1575937</v>
      </c>
    </row>
    <row r="199" spans="1:18" x14ac:dyDescent="0.25">
      <c r="A199" s="170">
        <v>42291</v>
      </c>
      <c r="B199" s="116">
        <v>154.30000000000001</v>
      </c>
      <c r="C199" s="116">
        <v>151.30000000000001</v>
      </c>
      <c r="D199" s="116">
        <v>150.35</v>
      </c>
      <c r="E199" s="116">
        <v>153</v>
      </c>
      <c r="F199" s="116">
        <v>151.30000000000001</v>
      </c>
      <c r="G199">
        <v>33749</v>
      </c>
      <c r="H199" s="116"/>
      <c r="I199" s="116"/>
      <c r="L199" s="170">
        <v>42291</v>
      </c>
      <c r="M199" s="116">
        <v>151.1</v>
      </c>
      <c r="N199" s="116">
        <v>154.5</v>
      </c>
      <c r="O199" s="116">
        <v>150.35</v>
      </c>
      <c r="P199" s="116">
        <v>152.80000000000001</v>
      </c>
      <c r="Q199" s="116">
        <v>151.1</v>
      </c>
      <c r="R199">
        <v>1091650</v>
      </c>
    </row>
    <row r="200" spans="1:18" x14ac:dyDescent="0.25">
      <c r="A200" s="170">
        <v>42292</v>
      </c>
      <c r="B200" s="116">
        <v>152.19999999999999</v>
      </c>
      <c r="C200" s="116">
        <v>147.85</v>
      </c>
      <c r="D200" s="116">
        <v>147.44999999999999</v>
      </c>
      <c r="E200" s="116">
        <v>152.19999999999999</v>
      </c>
      <c r="F200" s="116">
        <v>147.85</v>
      </c>
      <c r="G200">
        <v>43545</v>
      </c>
      <c r="H200" s="116"/>
      <c r="I200" s="116"/>
      <c r="L200" s="170">
        <v>42292</v>
      </c>
      <c r="M200" s="116">
        <v>147.19999999999999</v>
      </c>
      <c r="N200" s="116">
        <v>152.05000000000001</v>
      </c>
      <c r="O200" s="116">
        <v>146.80000000000001</v>
      </c>
      <c r="P200" s="116">
        <v>151.1</v>
      </c>
      <c r="Q200" s="116">
        <v>147.19999999999999</v>
      </c>
      <c r="R200">
        <v>781703</v>
      </c>
    </row>
    <row r="201" spans="1:18" x14ac:dyDescent="0.25">
      <c r="A201" s="170">
        <v>42293</v>
      </c>
      <c r="B201" s="116">
        <v>154.15</v>
      </c>
      <c r="C201" s="116">
        <v>153.69999999999999</v>
      </c>
      <c r="D201" s="116">
        <v>147.65</v>
      </c>
      <c r="E201" s="116">
        <v>148.44999999999999</v>
      </c>
      <c r="F201" s="116">
        <v>153.69999999999999</v>
      </c>
      <c r="G201">
        <v>63690</v>
      </c>
      <c r="H201" s="116"/>
      <c r="I201" s="116"/>
      <c r="L201" s="170">
        <v>42293</v>
      </c>
      <c r="M201" s="116">
        <v>154.25</v>
      </c>
      <c r="N201" s="116">
        <v>154.69999999999999</v>
      </c>
      <c r="O201" s="116">
        <v>147.25</v>
      </c>
      <c r="P201" s="116">
        <v>147.25</v>
      </c>
      <c r="Q201" s="116">
        <v>154.25</v>
      </c>
      <c r="R201">
        <v>1108770</v>
      </c>
    </row>
    <row r="202" spans="1:18" x14ac:dyDescent="0.25">
      <c r="A202" s="170">
        <v>42296</v>
      </c>
      <c r="B202" s="116">
        <v>160</v>
      </c>
      <c r="C202" s="116">
        <v>158.4</v>
      </c>
      <c r="D202" s="116">
        <v>153.4</v>
      </c>
      <c r="E202" s="116">
        <v>154.05000000000001</v>
      </c>
      <c r="F202" s="116">
        <v>158.4</v>
      </c>
      <c r="G202">
        <v>168610</v>
      </c>
      <c r="H202" s="116"/>
      <c r="I202" s="116"/>
      <c r="L202" s="170">
        <v>42296</v>
      </c>
      <c r="M202" s="116">
        <v>158</v>
      </c>
      <c r="N202" s="116">
        <v>159.80000000000001</v>
      </c>
      <c r="O202" s="116">
        <v>153.5</v>
      </c>
      <c r="P202" s="116">
        <v>154.5</v>
      </c>
      <c r="Q202" s="116">
        <v>158</v>
      </c>
      <c r="R202">
        <v>1451929</v>
      </c>
    </row>
    <row r="203" spans="1:18" x14ac:dyDescent="0.25">
      <c r="A203" s="170">
        <v>42297</v>
      </c>
      <c r="B203" s="116">
        <v>163.15</v>
      </c>
      <c r="C203" s="116">
        <v>159.1</v>
      </c>
      <c r="D203" s="116">
        <v>158</v>
      </c>
      <c r="E203" s="116">
        <v>161</v>
      </c>
      <c r="F203" s="116">
        <v>159.1</v>
      </c>
      <c r="G203">
        <v>228481</v>
      </c>
      <c r="H203" s="116"/>
      <c r="I203" s="116"/>
      <c r="L203" s="170">
        <v>42297</v>
      </c>
      <c r="M203" s="116">
        <v>159.25</v>
      </c>
      <c r="N203" s="116">
        <v>163.75</v>
      </c>
      <c r="O203" s="116">
        <v>158.15</v>
      </c>
      <c r="P203" s="116">
        <v>161.94999999999999</v>
      </c>
      <c r="Q203" s="116">
        <v>159.25</v>
      </c>
      <c r="R203">
        <v>1985789</v>
      </c>
    </row>
    <row r="204" spans="1:18" x14ac:dyDescent="0.25">
      <c r="A204" s="170">
        <v>42298</v>
      </c>
      <c r="B204" s="116">
        <v>163.55000000000001</v>
      </c>
      <c r="C204" s="116">
        <v>162.35</v>
      </c>
      <c r="D204" s="116">
        <v>158</v>
      </c>
      <c r="E204" s="116">
        <v>160.69999999999999</v>
      </c>
      <c r="F204" s="116">
        <v>162.35</v>
      </c>
      <c r="G204">
        <v>96668</v>
      </c>
      <c r="H204" s="116"/>
      <c r="I204" s="116"/>
      <c r="L204" s="170">
        <v>42298</v>
      </c>
      <c r="M204" s="116">
        <v>162.35</v>
      </c>
      <c r="N204" s="116">
        <v>163.05000000000001</v>
      </c>
      <c r="O204" s="116">
        <v>158</v>
      </c>
      <c r="P204" s="116">
        <v>159.1</v>
      </c>
      <c r="Q204" s="116">
        <v>162.35</v>
      </c>
      <c r="R204">
        <v>804559</v>
      </c>
    </row>
    <row r="205" spans="1:18" x14ac:dyDescent="0.25">
      <c r="A205" s="170">
        <v>42300</v>
      </c>
      <c r="B205" s="116">
        <v>162.1</v>
      </c>
      <c r="C205" s="116">
        <v>157.5</v>
      </c>
      <c r="D205" s="116">
        <v>155.6</v>
      </c>
      <c r="E205" s="116">
        <v>161</v>
      </c>
      <c r="F205" s="116">
        <v>157.5</v>
      </c>
      <c r="G205">
        <v>102352</v>
      </c>
      <c r="H205" s="116"/>
      <c r="I205" s="116"/>
      <c r="L205" s="170">
        <v>42300</v>
      </c>
      <c r="M205" s="116">
        <v>157.30000000000001</v>
      </c>
      <c r="N205" s="116">
        <v>163</v>
      </c>
      <c r="O205" s="116">
        <v>155.25</v>
      </c>
      <c r="P205" s="116">
        <v>162.5</v>
      </c>
      <c r="Q205" s="116">
        <v>157.30000000000001</v>
      </c>
      <c r="R205">
        <v>1074068</v>
      </c>
    </row>
    <row r="206" spans="1:18" x14ac:dyDescent="0.25">
      <c r="A206" s="170">
        <v>42303</v>
      </c>
      <c r="B206" s="116">
        <v>159.9</v>
      </c>
      <c r="C206" s="116">
        <v>157.25</v>
      </c>
      <c r="D206" s="116">
        <v>156.15</v>
      </c>
      <c r="E206" s="116">
        <v>158</v>
      </c>
      <c r="F206" s="116">
        <v>157.25</v>
      </c>
      <c r="G206">
        <v>73572</v>
      </c>
      <c r="H206" s="116"/>
      <c r="I206" s="116"/>
      <c r="L206" s="170">
        <v>42303</v>
      </c>
      <c r="M206" s="116">
        <v>157.30000000000001</v>
      </c>
      <c r="N206" s="116">
        <v>160</v>
      </c>
      <c r="O206" s="116">
        <v>156.1</v>
      </c>
      <c r="P206" s="116">
        <v>159.19999999999999</v>
      </c>
      <c r="Q206" s="116">
        <v>157.30000000000001</v>
      </c>
      <c r="R206">
        <v>617767</v>
      </c>
    </row>
    <row r="207" spans="1:18" x14ac:dyDescent="0.25">
      <c r="A207" s="170">
        <v>42304</v>
      </c>
      <c r="B207" s="116">
        <v>160</v>
      </c>
      <c r="C207" s="116">
        <v>159.19999999999999</v>
      </c>
      <c r="D207" s="116">
        <v>155.69999999999999</v>
      </c>
      <c r="E207" s="116">
        <v>157.05000000000001</v>
      </c>
      <c r="F207" s="116">
        <v>159.19999999999999</v>
      </c>
      <c r="G207">
        <v>69153</v>
      </c>
      <c r="H207" s="116"/>
      <c r="I207" s="116"/>
      <c r="L207" s="170">
        <v>42304</v>
      </c>
      <c r="M207" s="116">
        <v>159.25</v>
      </c>
      <c r="N207" s="116">
        <v>160</v>
      </c>
      <c r="O207" s="116">
        <v>155.85</v>
      </c>
      <c r="P207" s="116">
        <v>157</v>
      </c>
      <c r="Q207" s="116">
        <v>159.25</v>
      </c>
      <c r="R207">
        <v>907616</v>
      </c>
    </row>
    <row r="208" spans="1:18" x14ac:dyDescent="0.25">
      <c r="A208" s="170">
        <v>42305</v>
      </c>
      <c r="B208" s="116">
        <v>159.5</v>
      </c>
      <c r="C208" s="116">
        <v>157.65</v>
      </c>
      <c r="D208" s="116">
        <v>156.44999999999999</v>
      </c>
      <c r="E208" s="116">
        <v>159.5</v>
      </c>
      <c r="F208" s="116">
        <v>157.65</v>
      </c>
      <c r="G208">
        <v>47571</v>
      </c>
      <c r="H208" s="116"/>
      <c r="I208" s="116"/>
      <c r="L208" s="170">
        <v>42305</v>
      </c>
      <c r="M208" s="116">
        <v>157.75</v>
      </c>
      <c r="N208" s="116">
        <v>159.5</v>
      </c>
      <c r="O208" s="116">
        <v>156.5</v>
      </c>
      <c r="P208" s="116">
        <v>159</v>
      </c>
      <c r="Q208" s="116">
        <v>157.75</v>
      </c>
      <c r="R208">
        <v>506961</v>
      </c>
    </row>
    <row r="209" spans="1:18" x14ac:dyDescent="0.25">
      <c r="A209" s="170">
        <v>42306</v>
      </c>
      <c r="B209" s="116">
        <v>159.80000000000001</v>
      </c>
      <c r="C209" s="116">
        <v>155.5</v>
      </c>
      <c r="D209" s="116">
        <v>154.5</v>
      </c>
      <c r="E209" s="116">
        <v>158</v>
      </c>
      <c r="F209" s="116">
        <v>155.5</v>
      </c>
      <c r="G209">
        <v>44610</v>
      </c>
      <c r="H209" s="116"/>
      <c r="I209" s="116"/>
      <c r="L209" s="170">
        <v>42306</v>
      </c>
      <c r="M209" s="116">
        <v>155.65</v>
      </c>
      <c r="N209" s="116">
        <v>159.9</v>
      </c>
      <c r="O209" s="116">
        <v>153.9</v>
      </c>
      <c r="P209" s="116">
        <v>157.19999999999999</v>
      </c>
      <c r="Q209" s="116">
        <v>155.65</v>
      </c>
      <c r="R209">
        <v>1343496</v>
      </c>
    </row>
    <row r="210" spans="1:18" x14ac:dyDescent="0.25">
      <c r="A210" s="170">
        <v>42307</v>
      </c>
      <c r="B210" s="116">
        <v>159.1</v>
      </c>
      <c r="C210" s="116">
        <v>156.94999999999999</v>
      </c>
      <c r="D210" s="116">
        <v>155</v>
      </c>
      <c r="E210" s="116">
        <v>156.15</v>
      </c>
      <c r="F210" s="116">
        <v>156.94999999999999</v>
      </c>
      <c r="G210">
        <v>89520</v>
      </c>
      <c r="H210" s="116"/>
      <c r="I210" s="116"/>
      <c r="L210" s="170">
        <v>42307</v>
      </c>
      <c r="M210" s="116">
        <v>157.15</v>
      </c>
      <c r="N210" s="116">
        <v>159.35</v>
      </c>
      <c r="O210" s="116">
        <v>154.85</v>
      </c>
      <c r="P210" s="116">
        <v>156</v>
      </c>
      <c r="Q210" s="116">
        <v>157.15</v>
      </c>
      <c r="R210">
        <v>553302</v>
      </c>
    </row>
    <row r="211" spans="1:18" x14ac:dyDescent="0.25">
      <c r="A211" s="170">
        <v>42310</v>
      </c>
      <c r="B211" s="116">
        <v>158.15</v>
      </c>
      <c r="C211" s="116">
        <v>155.65</v>
      </c>
      <c r="D211" s="116">
        <v>153.44999999999999</v>
      </c>
      <c r="E211" s="116">
        <v>158</v>
      </c>
      <c r="F211" s="116">
        <v>155.65</v>
      </c>
      <c r="G211">
        <v>52259</v>
      </c>
      <c r="H211" s="116"/>
      <c r="I211" s="116"/>
      <c r="L211" s="170">
        <v>42310</v>
      </c>
      <c r="M211" s="116">
        <v>155.80000000000001</v>
      </c>
      <c r="N211" s="116">
        <v>158.25</v>
      </c>
      <c r="O211" s="116">
        <v>153.35</v>
      </c>
      <c r="P211" s="116">
        <v>156.94999999999999</v>
      </c>
      <c r="Q211" s="116">
        <v>155.80000000000001</v>
      </c>
      <c r="R211">
        <v>366922</v>
      </c>
    </row>
    <row r="212" spans="1:18" x14ac:dyDescent="0.25">
      <c r="A212" s="170">
        <v>42311</v>
      </c>
      <c r="B212" s="116">
        <v>158.85</v>
      </c>
      <c r="C212" s="116">
        <v>157.75</v>
      </c>
      <c r="D212" s="116">
        <v>156.80000000000001</v>
      </c>
      <c r="E212" s="116">
        <v>157.55000000000001</v>
      </c>
      <c r="F212" s="116">
        <v>157.75</v>
      </c>
      <c r="G212">
        <v>45275</v>
      </c>
      <c r="H212" s="116"/>
      <c r="I212" s="116"/>
      <c r="L212" s="170">
        <v>42311</v>
      </c>
      <c r="M212" s="116">
        <v>157.75</v>
      </c>
      <c r="N212" s="116">
        <v>158.69999999999999</v>
      </c>
      <c r="O212" s="116">
        <v>156.75</v>
      </c>
      <c r="P212" s="116">
        <v>157</v>
      </c>
      <c r="Q212" s="116">
        <v>157.75</v>
      </c>
      <c r="R212">
        <v>653301</v>
      </c>
    </row>
    <row r="213" spans="1:18" x14ac:dyDescent="0.25">
      <c r="A213" s="170">
        <v>42312</v>
      </c>
      <c r="B213" s="116">
        <v>159.6</v>
      </c>
      <c r="C213" s="116">
        <v>156.80000000000001</v>
      </c>
      <c r="D213" s="116">
        <v>155.44999999999999</v>
      </c>
      <c r="E213" s="116">
        <v>159</v>
      </c>
      <c r="F213" s="116">
        <v>156.80000000000001</v>
      </c>
      <c r="G213">
        <v>50587</v>
      </c>
      <c r="H213" s="116"/>
      <c r="I213" s="116"/>
      <c r="L213" s="170">
        <v>42312</v>
      </c>
      <c r="M213" s="116">
        <v>156.85</v>
      </c>
      <c r="N213" s="116">
        <v>159.6</v>
      </c>
      <c r="O213" s="116">
        <v>155.25</v>
      </c>
      <c r="P213" s="116">
        <v>158.69999999999999</v>
      </c>
      <c r="Q213" s="116">
        <v>156.85</v>
      </c>
      <c r="R213">
        <v>496565</v>
      </c>
    </row>
    <row r="214" spans="1:18" x14ac:dyDescent="0.25">
      <c r="A214" s="170">
        <v>42313</v>
      </c>
      <c r="B214" s="116">
        <v>157.9</v>
      </c>
      <c r="C214" s="116">
        <v>155.05000000000001</v>
      </c>
      <c r="D214" s="116">
        <v>153.65</v>
      </c>
      <c r="E214" s="116">
        <v>157</v>
      </c>
      <c r="F214" s="116">
        <v>155.05000000000001</v>
      </c>
      <c r="G214">
        <v>58940</v>
      </c>
      <c r="H214" s="116"/>
      <c r="I214" s="116"/>
      <c r="L214" s="170">
        <v>42313</v>
      </c>
      <c r="M214" s="116">
        <v>155.05000000000001</v>
      </c>
      <c r="N214" s="116">
        <v>157.9</v>
      </c>
      <c r="O214" s="116">
        <v>153.85</v>
      </c>
      <c r="P214" s="116">
        <v>157</v>
      </c>
      <c r="Q214" s="116">
        <v>155.05000000000001</v>
      </c>
      <c r="R214">
        <v>372311</v>
      </c>
    </row>
    <row r="215" spans="1:18" x14ac:dyDescent="0.25">
      <c r="A215" s="170">
        <v>42314</v>
      </c>
      <c r="B215" s="116">
        <v>156.85</v>
      </c>
      <c r="C215" s="116">
        <v>152.94999999999999</v>
      </c>
      <c r="D215" s="116">
        <v>152.25</v>
      </c>
      <c r="E215" s="116">
        <v>155.69999999999999</v>
      </c>
      <c r="F215" s="116">
        <v>152.94999999999999</v>
      </c>
      <c r="G215">
        <v>76646</v>
      </c>
      <c r="H215" s="116"/>
      <c r="I215" s="116"/>
      <c r="L215" s="170">
        <v>42314</v>
      </c>
      <c r="M215" s="116">
        <v>153</v>
      </c>
      <c r="N215" s="116">
        <v>156.85</v>
      </c>
      <c r="O215" s="116">
        <v>152</v>
      </c>
      <c r="P215" s="116">
        <v>155.5</v>
      </c>
      <c r="Q215" s="116">
        <v>153</v>
      </c>
      <c r="R215">
        <v>263203</v>
      </c>
    </row>
    <row r="216" spans="1:18" x14ac:dyDescent="0.25">
      <c r="A216" s="170">
        <v>42317</v>
      </c>
      <c r="B216" s="116">
        <v>160</v>
      </c>
      <c r="C216" s="116">
        <v>155.1</v>
      </c>
      <c r="D216" s="116">
        <v>149.9</v>
      </c>
      <c r="E216" s="116">
        <v>160</v>
      </c>
      <c r="F216" s="116">
        <v>155.1</v>
      </c>
      <c r="G216">
        <v>40600</v>
      </c>
      <c r="H216" s="116"/>
      <c r="I216" s="116"/>
      <c r="L216" s="170">
        <v>42317</v>
      </c>
      <c r="M216" s="116">
        <v>155.5</v>
      </c>
      <c r="N216" s="116">
        <v>157.5</v>
      </c>
      <c r="O216" s="116">
        <v>149</v>
      </c>
      <c r="P216" s="116">
        <v>149.9</v>
      </c>
      <c r="Q216" s="116">
        <v>155.5</v>
      </c>
      <c r="R216">
        <v>337852</v>
      </c>
    </row>
    <row r="217" spans="1:18" x14ac:dyDescent="0.25">
      <c r="A217" s="170">
        <v>42318</v>
      </c>
      <c r="B217" s="116">
        <v>155.05000000000001</v>
      </c>
      <c r="C217" s="116">
        <v>145.35</v>
      </c>
      <c r="D217" s="116">
        <v>144.15</v>
      </c>
      <c r="E217" s="116">
        <v>155.05000000000001</v>
      </c>
      <c r="F217" s="116">
        <v>145.35</v>
      </c>
      <c r="G217">
        <v>118375</v>
      </c>
      <c r="H217" s="116"/>
      <c r="I217" s="116"/>
      <c r="L217" s="170">
        <v>42318</v>
      </c>
      <c r="M217" s="116">
        <v>144.75</v>
      </c>
      <c r="N217" s="116">
        <v>154.94999999999999</v>
      </c>
      <c r="O217" s="116">
        <v>143.65</v>
      </c>
      <c r="P217" s="116">
        <v>154.9</v>
      </c>
      <c r="Q217" s="116">
        <v>144.75</v>
      </c>
      <c r="R217">
        <v>1403838</v>
      </c>
    </row>
    <row r="218" spans="1:18" x14ac:dyDescent="0.25">
      <c r="A218" s="170">
        <v>42319</v>
      </c>
      <c r="B218" s="116">
        <v>148.4</v>
      </c>
      <c r="C218" s="116">
        <v>146.35</v>
      </c>
      <c r="D218" s="116">
        <v>144.75</v>
      </c>
      <c r="E218" s="116">
        <v>146</v>
      </c>
      <c r="F218" s="116">
        <v>146.35</v>
      </c>
      <c r="G218">
        <v>32066</v>
      </c>
      <c r="H218" s="116"/>
      <c r="I218" s="116"/>
      <c r="L218" s="170">
        <v>42319</v>
      </c>
      <c r="M218" s="116">
        <v>146.1</v>
      </c>
      <c r="N218" s="116">
        <v>147.85</v>
      </c>
      <c r="O218" s="116">
        <v>144.25</v>
      </c>
      <c r="P218" s="116">
        <v>147.65</v>
      </c>
      <c r="Q218" s="116">
        <v>146.1</v>
      </c>
      <c r="R218">
        <v>86537</v>
      </c>
    </row>
    <row r="219" spans="1:18" x14ac:dyDescent="0.25">
      <c r="A219" s="170">
        <v>42321</v>
      </c>
      <c r="B219" s="116">
        <v>146.9</v>
      </c>
      <c r="C219" s="116">
        <v>145.35</v>
      </c>
      <c r="D219" s="116">
        <v>141.75</v>
      </c>
      <c r="E219" s="116">
        <v>146.9</v>
      </c>
      <c r="F219" s="116">
        <v>145.35</v>
      </c>
      <c r="G219">
        <v>64720</v>
      </c>
      <c r="H219" s="116"/>
      <c r="I219" s="116"/>
      <c r="L219" s="170">
        <v>42321</v>
      </c>
      <c r="M219" s="116">
        <v>145.30000000000001</v>
      </c>
      <c r="N219" s="116">
        <v>145.85</v>
      </c>
      <c r="O219" s="116">
        <v>141.65</v>
      </c>
      <c r="P219" s="116">
        <v>142</v>
      </c>
      <c r="Q219" s="116">
        <v>145.30000000000001</v>
      </c>
      <c r="R219">
        <v>871661</v>
      </c>
    </row>
    <row r="220" spans="1:18" x14ac:dyDescent="0.25">
      <c r="A220" s="170">
        <v>42324</v>
      </c>
      <c r="B220" s="116">
        <v>146</v>
      </c>
      <c r="C220" s="116">
        <v>144.15</v>
      </c>
      <c r="D220" s="116">
        <v>142.69999999999999</v>
      </c>
      <c r="E220" s="116">
        <v>146</v>
      </c>
      <c r="F220" s="116">
        <v>144.15</v>
      </c>
      <c r="G220">
        <v>61917</v>
      </c>
      <c r="H220" s="116"/>
      <c r="I220" s="116"/>
      <c r="L220" s="170">
        <v>42324</v>
      </c>
      <c r="M220" s="116">
        <v>144.44999999999999</v>
      </c>
      <c r="N220" s="116">
        <v>144.94999999999999</v>
      </c>
      <c r="O220" s="116">
        <v>142.6</v>
      </c>
      <c r="P220" s="116">
        <v>144</v>
      </c>
      <c r="Q220" s="116">
        <v>144.44999999999999</v>
      </c>
      <c r="R220">
        <v>551497</v>
      </c>
    </row>
    <row r="221" spans="1:18" x14ac:dyDescent="0.25">
      <c r="A221" s="170">
        <v>42325</v>
      </c>
      <c r="B221" s="116">
        <v>148</v>
      </c>
      <c r="C221" s="116">
        <v>147.5</v>
      </c>
      <c r="D221" s="116">
        <v>145</v>
      </c>
      <c r="E221" s="116">
        <v>145.35</v>
      </c>
      <c r="F221" s="116">
        <v>147.5</v>
      </c>
      <c r="G221">
        <v>43813</v>
      </c>
      <c r="H221" s="116"/>
      <c r="I221" s="116"/>
      <c r="L221" s="170">
        <v>42325</v>
      </c>
      <c r="M221" s="116">
        <v>147.55000000000001</v>
      </c>
      <c r="N221" s="116">
        <v>148.05000000000001</v>
      </c>
      <c r="O221" s="116">
        <v>144</v>
      </c>
      <c r="P221" s="116">
        <v>145</v>
      </c>
      <c r="Q221" s="116">
        <v>147.55000000000001</v>
      </c>
      <c r="R221">
        <v>863788</v>
      </c>
    </row>
    <row r="222" spans="1:18" x14ac:dyDescent="0.25">
      <c r="A222" s="170">
        <v>42326</v>
      </c>
      <c r="B222" s="116">
        <v>146.44999999999999</v>
      </c>
      <c r="C222" s="116">
        <v>140.65</v>
      </c>
      <c r="D222" s="116">
        <v>140.30000000000001</v>
      </c>
      <c r="E222" s="116">
        <v>146.44999999999999</v>
      </c>
      <c r="F222" s="116">
        <v>140.65</v>
      </c>
      <c r="G222">
        <v>103377</v>
      </c>
      <c r="H222" s="116"/>
      <c r="I222" s="116"/>
      <c r="L222" s="170">
        <v>42326</v>
      </c>
      <c r="M222" s="116">
        <v>140.9</v>
      </c>
      <c r="N222" s="116">
        <v>147.69999999999999</v>
      </c>
      <c r="O222" s="116">
        <v>140.30000000000001</v>
      </c>
      <c r="P222" s="116">
        <v>147.55000000000001</v>
      </c>
      <c r="Q222" s="116">
        <v>140.9</v>
      </c>
      <c r="R222">
        <v>759337</v>
      </c>
    </row>
    <row r="223" spans="1:18" x14ac:dyDescent="0.25">
      <c r="A223" s="170">
        <v>42327</v>
      </c>
      <c r="B223" s="116">
        <v>145.5</v>
      </c>
      <c r="C223" s="116">
        <v>143.1</v>
      </c>
      <c r="D223" s="116">
        <v>140.5</v>
      </c>
      <c r="E223" s="116">
        <v>141.69999999999999</v>
      </c>
      <c r="F223" s="116">
        <v>143.1</v>
      </c>
      <c r="G223">
        <v>96753</v>
      </c>
      <c r="H223" s="116"/>
      <c r="I223" s="116"/>
      <c r="L223" s="170">
        <v>42327</v>
      </c>
      <c r="M223" s="116">
        <v>143.15</v>
      </c>
      <c r="N223" s="116">
        <v>145.69999999999999</v>
      </c>
      <c r="O223" s="116">
        <v>140.4</v>
      </c>
      <c r="P223" s="116">
        <v>141.5</v>
      </c>
      <c r="Q223" s="116">
        <v>143.15</v>
      </c>
      <c r="R223">
        <v>957903</v>
      </c>
    </row>
    <row r="224" spans="1:18" x14ac:dyDescent="0.25">
      <c r="A224" s="170">
        <v>42328</v>
      </c>
      <c r="B224" s="116">
        <v>143.19999999999999</v>
      </c>
      <c r="C224" s="116">
        <v>141.55000000000001</v>
      </c>
      <c r="D224" s="116">
        <v>140.6</v>
      </c>
      <c r="E224" s="116">
        <v>141.1</v>
      </c>
      <c r="F224" s="116">
        <v>141.55000000000001</v>
      </c>
      <c r="G224">
        <v>126701</v>
      </c>
      <c r="H224" s="116"/>
      <c r="I224" s="116"/>
      <c r="L224" s="170">
        <v>42328</v>
      </c>
      <c r="M224" s="116">
        <v>141.75</v>
      </c>
      <c r="N224" s="116">
        <v>143</v>
      </c>
      <c r="O224" s="116">
        <v>140.6</v>
      </c>
      <c r="P224" s="116">
        <v>143</v>
      </c>
      <c r="Q224" s="116">
        <v>141.75</v>
      </c>
      <c r="R224">
        <v>1629413</v>
      </c>
    </row>
    <row r="225" spans="1:18" x14ac:dyDescent="0.25">
      <c r="A225" s="170">
        <v>42331</v>
      </c>
      <c r="B225" s="116">
        <v>144</v>
      </c>
      <c r="C225" s="116">
        <v>142.30000000000001</v>
      </c>
      <c r="D225" s="116">
        <v>140.65</v>
      </c>
      <c r="E225" s="116">
        <v>144</v>
      </c>
      <c r="F225" s="116">
        <v>142.30000000000001</v>
      </c>
      <c r="G225">
        <v>81171</v>
      </c>
      <c r="H225" s="116"/>
      <c r="I225" s="116"/>
      <c r="L225" s="170">
        <v>42331</v>
      </c>
      <c r="M225" s="116">
        <v>142.44999999999999</v>
      </c>
      <c r="N225" s="116">
        <v>144.1</v>
      </c>
      <c r="O225" s="116">
        <v>140.5</v>
      </c>
      <c r="P225" s="116">
        <v>144</v>
      </c>
      <c r="Q225" s="116">
        <v>142.44999999999999</v>
      </c>
      <c r="R225">
        <v>1398211</v>
      </c>
    </row>
    <row r="226" spans="1:18" x14ac:dyDescent="0.25">
      <c r="A226" s="170">
        <v>42332</v>
      </c>
      <c r="B226" s="116">
        <v>142.9</v>
      </c>
      <c r="C226" s="116">
        <v>141.44999999999999</v>
      </c>
      <c r="D226" s="116">
        <v>141</v>
      </c>
      <c r="E226" s="116">
        <v>141.80000000000001</v>
      </c>
      <c r="F226" s="116">
        <v>141.44999999999999</v>
      </c>
      <c r="G226">
        <v>37008</v>
      </c>
      <c r="H226" s="116"/>
      <c r="I226" s="116"/>
      <c r="L226" s="170">
        <v>42332</v>
      </c>
      <c r="M226" s="116">
        <v>141.5</v>
      </c>
      <c r="N226" s="116">
        <v>143</v>
      </c>
      <c r="O226" s="116">
        <v>140.85</v>
      </c>
      <c r="P226" s="116">
        <v>142.25</v>
      </c>
      <c r="Q226" s="116">
        <v>141.5</v>
      </c>
      <c r="R226">
        <v>742273</v>
      </c>
    </row>
    <row r="227" spans="1:18" x14ac:dyDescent="0.25">
      <c r="A227" s="170">
        <v>42334</v>
      </c>
      <c r="B227" s="116">
        <v>143.19999999999999</v>
      </c>
      <c r="C227" s="116">
        <v>141.75</v>
      </c>
      <c r="D227" s="116">
        <v>140.9</v>
      </c>
      <c r="E227" s="116">
        <v>141.4</v>
      </c>
      <c r="F227" s="116">
        <v>141.75</v>
      </c>
      <c r="G227">
        <v>68941</v>
      </c>
      <c r="H227" s="116"/>
      <c r="I227" s="116"/>
      <c r="L227" s="170">
        <v>42334</v>
      </c>
      <c r="M227" s="116">
        <v>141.94999999999999</v>
      </c>
      <c r="N227" s="116">
        <v>143.35</v>
      </c>
      <c r="O227" s="116">
        <v>140.85</v>
      </c>
      <c r="P227" s="116">
        <v>141.80000000000001</v>
      </c>
      <c r="Q227" s="116">
        <v>141.94999999999999</v>
      </c>
      <c r="R227">
        <v>1083310</v>
      </c>
    </row>
    <row r="228" spans="1:18" x14ac:dyDescent="0.25">
      <c r="A228" s="170">
        <v>42335</v>
      </c>
      <c r="B228" s="116">
        <v>144.69999999999999</v>
      </c>
      <c r="C228" s="116">
        <v>142.44999999999999</v>
      </c>
      <c r="D228" s="116">
        <v>141.9</v>
      </c>
      <c r="E228" s="116">
        <v>142.5</v>
      </c>
      <c r="F228" s="116">
        <v>142.44999999999999</v>
      </c>
      <c r="G228">
        <v>46429</v>
      </c>
      <c r="H228" s="116"/>
      <c r="I228" s="116"/>
      <c r="L228" s="170">
        <v>42335</v>
      </c>
      <c r="M228" s="116">
        <v>142.55000000000001</v>
      </c>
      <c r="N228" s="116">
        <v>144.69999999999999</v>
      </c>
      <c r="O228" s="116">
        <v>141.6</v>
      </c>
      <c r="P228" s="116">
        <v>142.5</v>
      </c>
      <c r="Q228" s="116">
        <v>142.55000000000001</v>
      </c>
      <c r="R228">
        <v>487440</v>
      </c>
    </row>
    <row r="229" spans="1:18" x14ac:dyDescent="0.25">
      <c r="A229" s="170">
        <v>42338</v>
      </c>
      <c r="B229" s="116">
        <v>144.5</v>
      </c>
      <c r="C229" s="116">
        <v>143.69999999999999</v>
      </c>
      <c r="D229" s="116">
        <v>139.4</v>
      </c>
      <c r="E229" s="116">
        <v>139.4</v>
      </c>
      <c r="F229" s="116">
        <v>143.69999999999999</v>
      </c>
      <c r="G229">
        <v>30206</v>
      </c>
      <c r="H229" s="116"/>
      <c r="I229" s="116"/>
      <c r="L229" s="170">
        <v>42338</v>
      </c>
      <c r="M229" s="116">
        <v>143.6</v>
      </c>
      <c r="N229" s="116">
        <v>144.15</v>
      </c>
      <c r="O229" s="116">
        <v>141.69999999999999</v>
      </c>
      <c r="P229" s="116">
        <v>142.69999999999999</v>
      </c>
      <c r="Q229" s="116">
        <v>143.6</v>
      </c>
      <c r="R229">
        <v>492851</v>
      </c>
    </row>
    <row r="230" spans="1:18" x14ac:dyDescent="0.25">
      <c r="A230" s="170">
        <v>42339</v>
      </c>
      <c r="B230" s="116">
        <v>150.5</v>
      </c>
      <c r="C230" s="116">
        <v>147.05000000000001</v>
      </c>
      <c r="D230" s="116">
        <v>143.44999999999999</v>
      </c>
      <c r="E230" s="116">
        <v>143.44999999999999</v>
      </c>
      <c r="F230" s="116">
        <v>147.05000000000001</v>
      </c>
      <c r="G230">
        <v>125800</v>
      </c>
      <c r="H230" s="116"/>
      <c r="I230" s="116"/>
      <c r="L230" s="170">
        <v>42339</v>
      </c>
      <c r="M230" s="116">
        <v>146.9</v>
      </c>
      <c r="N230" s="116">
        <v>150.69999999999999</v>
      </c>
      <c r="O230" s="116">
        <v>143.6</v>
      </c>
      <c r="P230" s="116">
        <v>144.1</v>
      </c>
      <c r="Q230" s="116">
        <v>146.9</v>
      </c>
      <c r="R230">
        <v>1857144</v>
      </c>
    </row>
    <row r="231" spans="1:18" x14ac:dyDescent="0.25">
      <c r="A231" s="170">
        <v>42340</v>
      </c>
      <c r="B231" s="116">
        <v>149.9</v>
      </c>
      <c r="C231" s="116">
        <v>144.4</v>
      </c>
      <c r="D231" s="116">
        <v>143.94999999999999</v>
      </c>
      <c r="E231" s="116">
        <v>144.19999999999999</v>
      </c>
      <c r="F231" s="116">
        <v>144.4</v>
      </c>
      <c r="G231">
        <v>68418</v>
      </c>
      <c r="H231" s="116"/>
      <c r="I231" s="116"/>
      <c r="L231" s="170">
        <v>42340</v>
      </c>
      <c r="M231" s="116">
        <v>144.69999999999999</v>
      </c>
      <c r="N231" s="116">
        <v>149.80000000000001</v>
      </c>
      <c r="O231" s="116">
        <v>143.85</v>
      </c>
      <c r="P231" s="116">
        <v>148.80000000000001</v>
      </c>
      <c r="Q231" s="116">
        <v>144.69999999999999</v>
      </c>
      <c r="R231">
        <v>797507</v>
      </c>
    </row>
    <row r="232" spans="1:18" x14ac:dyDescent="0.25">
      <c r="A232" s="170">
        <v>42341</v>
      </c>
      <c r="B232" s="116">
        <v>144.9</v>
      </c>
      <c r="C232" s="116">
        <v>143.4</v>
      </c>
      <c r="D232" s="116">
        <v>142.5</v>
      </c>
      <c r="E232" s="116">
        <v>144.25</v>
      </c>
      <c r="F232" s="116">
        <v>143.4</v>
      </c>
      <c r="G232">
        <v>61219</v>
      </c>
      <c r="H232" s="116"/>
      <c r="I232" s="116"/>
      <c r="L232" s="170">
        <v>42341</v>
      </c>
      <c r="M232" s="116">
        <v>143.6</v>
      </c>
      <c r="N232" s="116">
        <v>145.6</v>
      </c>
      <c r="O232" s="116">
        <v>142.5</v>
      </c>
      <c r="P232" s="116">
        <v>145.6</v>
      </c>
      <c r="Q232" s="116">
        <v>143.6</v>
      </c>
      <c r="R232">
        <v>622491</v>
      </c>
    </row>
    <row r="233" spans="1:18" x14ac:dyDescent="0.25">
      <c r="A233" s="170">
        <v>42342</v>
      </c>
      <c r="B233" s="116">
        <v>147.5</v>
      </c>
      <c r="C233" s="116">
        <v>146.85</v>
      </c>
      <c r="D233" s="116">
        <v>142.05000000000001</v>
      </c>
      <c r="E233" s="116">
        <v>142.5</v>
      </c>
      <c r="F233" s="116">
        <v>146.85</v>
      </c>
      <c r="G233">
        <v>98112</v>
      </c>
      <c r="H233" s="116"/>
      <c r="I233" s="116"/>
      <c r="L233" s="170">
        <v>42342</v>
      </c>
      <c r="M233" s="116">
        <v>147.30000000000001</v>
      </c>
      <c r="N233" s="116">
        <v>147.9</v>
      </c>
      <c r="O233" s="116">
        <v>142.44999999999999</v>
      </c>
      <c r="P233" s="116">
        <v>143.9</v>
      </c>
      <c r="Q233" s="116">
        <v>147.30000000000001</v>
      </c>
      <c r="R233">
        <v>958821</v>
      </c>
    </row>
    <row r="234" spans="1:18" x14ac:dyDescent="0.25">
      <c r="A234" s="170">
        <v>42345</v>
      </c>
      <c r="B234" s="116">
        <v>148.75</v>
      </c>
      <c r="C234" s="116">
        <v>146.75</v>
      </c>
      <c r="D234" s="116">
        <v>144.69999999999999</v>
      </c>
      <c r="E234" s="116">
        <v>147.25</v>
      </c>
      <c r="F234" s="116">
        <v>146.75</v>
      </c>
      <c r="G234">
        <v>36295</v>
      </c>
      <c r="H234" s="116"/>
      <c r="I234" s="116"/>
      <c r="L234" s="170">
        <v>42345</v>
      </c>
      <c r="M234" s="116">
        <v>146.9</v>
      </c>
      <c r="N234" s="116">
        <v>148.5</v>
      </c>
      <c r="O234" s="116">
        <v>144.75</v>
      </c>
      <c r="P234" s="116">
        <v>147.80000000000001</v>
      </c>
      <c r="Q234" s="116">
        <v>146.9</v>
      </c>
      <c r="R234">
        <v>498870</v>
      </c>
    </row>
    <row r="235" spans="1:18" x14ac:dyDescent="0.25">
      <c r="A235" s="170">
        <v>42346</v>
      </c>
      <c r="B235" s="116">
        <v>146.35</v>
      </c>
      <c r="C235" s="116">
        <v>142</v>
      </c>
      <c r="D235" s="116">
        <v>141.30000000000001</v>
      </c>
      <c r="E235" s="116">
        <v>145.6</v>
      </c>
      <c r="F235" s="116">
        <v>142</v>
      </c>
      <c r="G235">
        <v>30768</v>
      </c>
      <c r="H235" s="116"/>
      <c r="I235" s="116"/>
      <c r="L235" s="170">
        <v>42346</v>
      </c>
      <c r="M235" s="116">
        <v>142.25</v>
      </c>
      <c r="N235" s="116">
        <v>146.4</v>
      </c>
      <c r="O235" s="116">
        <v>141.55000000000001</v>
      </c>
      <c r="P235" s="116">
        <v>146.30000000000001</v>
      </c>
      <c r="Q235" s="116">
        <v>142.25</v>
      </c>
      <c r="R235">
        <v>780726</v>
      </c>
    </row>
    <row r="236" spans="1:18" x14ac:dyDescent="0.25">
      <c r="A236" s="170">
        <v>42347</v>
      </c>
      <c r="B236" s="116">
        <v>144.30000000000001</v>
      </c>
      <c r="C236" s="116">
        <v>142.1</v>
      </c>
      <c r="D236" s="116">
        <v>140.85</v>
      </c>
      <c r="E236" s="116">
        <v>141.69999999999999</v>
      </c>
      <c r="F236" s="116">
        <v>142.1</v>
      </c>
      <c r="G236">
        <v>66550</v>
      </c>
      <c r="H236" s="116"/>
      <c r="I236" s="116"/>
      <c r="L236" s="170">
        <v>42347</v>
      </c>
      <c r="M236" s="116">
        <v>142.80000000000001</v>
      </c>
      <c r="N236" s="116">
        <v>144.55000000000001</v>
      </c>
      <c r="O236" s="116">
        <v>140.55000000000001</v>
      </c>
      <c r="P236" s="116">
        <v>141</v>
      </c>
      <c r="Q236" s="116">
        <v>142.80000000000001</v>
      </c>
      <c r="R236">
        <v>1111804</v>
      </c>
    </row>
    <row r="237" spans="1:18" x14ac:dyDescent="0.25">
      <c r="A237" s="170">
        <v>42348</v>
      </c>
      <c r="B237" s="116">
        <v>143.75</v>
      </c>
      <c r="C237" s="116">
        <v>142.5</v>
      </c>
      <c r="D237" s="116">
        <v>142</v>
      </c>
      <c r="E237" s="116">
        <v>143</v>
      </c>
      <c r="F237" s="116">
        <v>142.5</v>
      </c>
      <c r="G237">
        <v>26281</v>
      </c>
      <c r="H237" s="116"/>
      <c r="I237" s="116"/>
      <c r="L237" s="170">
        <v>42348</v>
      </c>
      <c r="M237" s="116">
        <v>142.80000000000001</v>
      </c>
      <c r="N237" s="116">
        <v>143.9</v>
      </c>
      <c r="O237" s="116">
        <v>142.05000000000001</v>
      </c>
      <c r="P237" s="116">
        <v>143.19999999999999</v>
      </c>
      <c r="Q237" s="116">
        <v>142.80000000000001</v>
      </c>
      <c r="R237">
        <v>475801</v>
      </c>
    </row>
    <row r="238" spans="1:18" x14ac:dyDescent="0.25">
      <c r="A238" s="170">
        <v>42349</v>
      </c>
      <c r="B238" s="116">
        <v>143.69999999999999</v>
      </c>
      <c r="C238" s="116">
        <v>140.5</v>
      </c>
      <c r="D238" s="116">
        <v>139.94999999999999</v>
      </c>
      <c r="E238" s="116">
        <v>143.6</v>
      </c>
      <c r="F238" s="116">
        <v>140.5</v>
      </c>
      <c r="G238">
        <v>74702</v>
      </c>
      <c r="H238" s="116"/>
      <c r="I238" s="116"/>
      <c r="L238" s="170">
        <v>42349</v>
      </c>
      <c r="M238" s="116">
        <v>139.85</v>
      </c>
      <c r="N238" s="116">
        <v>143.9</v>
      </c>
      <c r="O238" s="116">
        <v>139.5</v>
      </c>
      <c r="P238" s="116">
        <v>142.80000000000001</v>
      </c>
      <c r="Q238" s="116">
        <v>139.85</v>
      </c>
      <c r="R238">
        <v>734992</v>
      </c>
    </row>
    <row r="239" spans="1:18" x14ac:dyDescent="0.25">
      <c r="A239" s="170">
        <v>42352</v>
      </c>
      <c r="B239" s="116">
        <v>141.5</v>
      </c>
      <c r="C239" s="116">
        <v>141.1</v>
      </c>
      <c r="D239" s="116">
        <v>138.55000000000001</v>
      </c>
      <c r="E239" s="116">
        <v>140</v>
      </c>
      <c r="F239" s="116">
        <v>141.1</v>
      </c>
      <c r="G239">
        <v>40000</v>
      </c>
      <c r="H239" s="116"/>
      <c r="I239" s="116"/>
      <c r="L239" s="170">
        <v>42352</v>
      </c>
      <c r="M239" s="116">
        <v>141.25</v>
      </c>
      <c r="N239" s="116">
        <v>141.9</v>
      </c>
      <c r="O239" s="116">
        <v>138.55000000000001</v>
      </c>
      <c r="P239" s="116">
        <v>139</v>
      </c>
      <c r="Q239" s="116">
        <v>141.25</v>
      </c>
      <c r="R239">
        <v>833825</v>
      </c>
    </row>
    <row r="240" spans="1:18" x14ac:dyDescent="0.25">
      <c r="A240" s="170">
        <v>42353</v>
      </c>
      <c r="B240" s="116">
        <v>149.15</v>
      </c>
      <c r="C240" s="116">
        <v>145.6</v>
      </c>
      <c r="D240" s="116">
        <v>142</v>
      </c>
      <c r="E240" s="116">
        <v>142.4</v>
      </c>
      <c r="F240" s="116">
        <v>145.6</v>
      </c>
      <c r="G240">
        <v>107511</v>
      </c>
      <c r="H240" s="116"/>
      <c r="I240" s="116"/>
      <c r="L240" s="170">
        <v>42353</v>
      </c>
      <c r="M240" s="116">
        <v>145.6</v>
      </c>
      <c r="N240" s="116">
        <v>149.19999999999999</v>
      </c>
      <c r="O240" s="116">
        <v>141.30000000000001</v>
      </c>
      <c r="P240" s="116">
        <v>141.30000000000001</v>
      </c>
      <c r="Q240" s="116">
        <v>145.6</v>
      </c>
      <c r="R240">
        <v>1818380</v>
      </c>
    </row>
    <row r="241" spans="1:18" x14ac:dyDescent="0.25">
      <c r="A241" s="170">
        <v>42354</v>
      </c>
      <c r="B241" s="116">
        <v>148.69999999999999</v>
      </c>
      <c r="C241" s="116">
        <v>147.55000000000001</v>
      </c>
      <c r="D241" s="116">
        <v>143.80000000000001</v>
      </c>
      <c r="E241" s="116">
        <v>147</v>
      </c>
      <c r="F241" s="116">
        <v>147.55000000000001</v>
      </c>
      <c r="G241">
        <v>78989</v>
      </c>
      <c r="H241" s="116"/>
      <c r="I241" s="116"/>
      <c r="L241" s="170">
        <v>42354</v>
      </c>
      <c r="M241" s="116">
        <v>147.85</v>
      </c>
      <c r="N241" s="116">
        <v>149.19999999999999</v>
      </c>
      <c r="O241" s="116">
        <v>143.4</v>
      </c>
      <c r="P241" s="116">
        <v>146.5</v>
      </c>
      <c r="Q241" s="116">
        <v>147.85</v>
      </c>
      <c r="R241">
        <v>1129756</v>
      </c>
    </row>
    <row r="242" spans="1:18" x14ac:dyDescent="0.25">
      <c r="A242" s="170">
        <v>42355</v>
      </c>
      <c r="B242" s="116">
        <v>149.69999999999999</v>
      </c>
      <c r="C242" s="116">
        <v>149.19999999999999</v>
      </c>
      <c r="D242" s="116">
        <v>145.1</v>
      </c>
      <c r="E242" s="116">
        <v>145.1</v>
      </c>
      <c r="F242" s="116">
        <v>149.19999999999999</v>
      </c>
      <c r="G242">
        <v>60921</v>
      </c>
      <c r="H242" s="116"/>
      <c r="I242" s="116"/>
      <c r="L242" s="170">
        <v>42355</v>
      </c>
      <c r="M242" s="116">
        <v>149.15</v>
      </c>
      <c r="N242" s="116">
        <v>149.80000000000001</v>
      </c>
      <c r="O242" s="116">
        <v>145.1</v>
      </c>
      <c r="P242" s="116">
        <v>147.94999999999999</v>
      </c>
      <c r="Q242" s="116">
        <v>149.15</v>
      </c>
      <c r="R242">
        <v>846975</v>
      </c>
    </row>
    <row r="243" spans="1:18" x14ac:dyDescent="0.25">
      <c r="A243" s="170">
        <v>42356</v>
      </c>
      <c r="B243" s="116">
        <v>148.69999999999999</v>
      </c>
      <c r="C243" s="116">
        <v>145.6</v>
      </c>
      <c r="D243" s="116">
        <v>145</v>
      </c>
      <c r="E243" s="116">
        <v>148.05000000000001</v>
      </c>
      <c r="F243" s="116">
        <v>145.6</v>
      </c>
      <c r="G243">
        <v>70152</v>
      </c>
      <c r="H243" s="116"/>
      <c r="I243" s="116"/>
      <c r="L243" s="170">
        <v>42356</v>
      </c>
      <c r="M243" s="116">
        <v>145.65</v>
      </c>
      <c r="N243" s="116">
        <v>148.94999999999999</v>
      </c>
      <c r="O243" s="116">
        <v>144.94999999999999</v>
      </c>
      <c r="P243" s="116">
        <v>148.94999999999999</v>
      </c>
      <c r="Q243" s="116">
        <v>145.65</v>
      </c>
      <c r="R243">
        <v>927843</v>
      </c>
    </row>
    <row r="244" spans="1:18" x14ac:dyDescent="0.25">
      <c r="A244" s="170">
        <v>42359</v>
      </c>
      <c r="B244" s="116">
        <v>148.35</v>
      </c>
      <c r="C244" s="116">
        <v>147.80000000000001</v>
      </c>
      <c r="D244" s="116">
        <v>143.4</v>
      </c>
      <c r="E244" s="116">
        <v>145.1</v>
      </c>
      <c r="F244" s="116">
        <v>147.80000000000001</v>
      </c>
      <c r="G244">
        <v>55254</v>
      </c>
      <c r="H244" s="116"/>
      <c r="I244" s="116"/>
      <c r="L244" s="170">
        <v>42359</v>
      </c>
      <c r="M244" s="116">
        <v>148.25</v>
      </c>
      <c r="N244" s="116">
        <v>148.75</v>
      </c>
      <c r="O244" s="116">
        <v>144</v>
      </c>
      <c r="P244" s="116">
        <v>147</v>
      </c>
      <c r="Q244" s="116">
        <v>148.25</v>
      </c>
      <c r="R244">
        <v>641993</v>
      </c>
    </row>
    <row r="245" spans="1:18" x14ac:dyDescent="0.25">
      <c r="A245" s="170">
        <v>42360</v>
      </c>
      <c r="B245" s="116">
        <v>151.4</v>
      </c>
      <c r="C245" s="116">
        <v>144.5</v>
      </c>
      <c r="D245" s="116">
        <v>143.5</v>
      </c>
      <c r="E245" s="116">
        <v>147.69999999999999</v>
      </c>
      <c r="F245" s="116">
        <v>144.5</v>
      </c>
      <c r="G245">
        <v>113492</v>
      </c>
      <c r="H245" s="116"/>
      <c r="I245" s="116"/>
      <c r="L245" s="170">
        <v>42360</v>
      </c>
      <c r="M245" s="116">
        <v>144.55000000000001</v>
      </c>
      <c r="N245" s="116">
        <v>151.9</v>
      </c>
      <c r="O245" s="116">
        <v>143.4</v>
      </c>
      <c r="P245" s="116">
        <v>147</v>
      </c>
      <c r="Q245" s="116">
        <v>144.55000000000001</v>
      </c>
      <c r="R245">
        <v>872577</v>
      </c>
    </row>
    <row r="246" spans="1:18" x14ac:dyDescent="0.25">
      <c r="A246" s="170">
        <v>42361</v>
      </c>
      <c r="B246" s="116">
        <v>148.80000000000001</v>
      </c>
      <c r="C246" s="116">
        <v>146.80000000000001</v>
      </c>
      <c r="D246" s="116">
        <v>145.55000000000001</v>
      </c>
      <c r="E246" s="116">
        <v>146.94999999999999</v>
      </c>
      <c r="F246" s="116">
        <v>146.80000000000001</v>
      </c>
      <c r="G246">
        <v>45389</v>
      </c>
      <c r="H246" s="116"/>
      <c r="I246" s="116"/>
      <c r="L246" s="170">
        <v>42361</v>
      </c>
      <c r="M246" s="116">
        <v>146.75</v>
      </c>
      <c r="N246" s="116">
        <v>148.94999999999999</v>
      </c>
      <c r="O246" s="116">
        <v>145.1</v>
      </c>
      <c r="P246" s="116">
        <v>145.5</v>
      </c>
      <c r="Q246" s="116">
        <v>146.75</v>
      </c>
      <c r="R246">
        <v>620818</v>
      </c>
    </row>
    <row r="247" spans="1:18" x14ac:dyDescent="0.25">
      <c r="A247" s="170">
        <v>42362</v>
      </c>
      <c r="B247" s="116">
        <v>149.44999999999999</v>
      </c>
      <c r="C247" s="116">
        <v>148.44999999999999</v>
      </c>
      <c r="D247" s="116">
        <v>146.1</v>
      </c>
      <c r="E247" s="116">
        <v>148.1</v>
      </c>
      <c r="F247" s="116">
        <v>148.44999999999999</v>
      </c>
      <c r="G247">
        <v>51425</v>
      </c>
      <c r="H247" s="116"/>
      <c r="I247" s="116"/>
      <c r="L247" s="170">
        <v>42362</v>
      </c>
      <c r="M247" s="116">
        <v>148.85</v>
      </c>
      <c r="N247" s="116">
        <v>150</v>
      </c>
      <c r="O247" s="116">
        <v>146</v>
      </c>
      <c r="P247" s="116">
        <v>148</v>
      </c>
      <c r="Q247" s="116">
        <v>148.85</v>
      </c>
      <c r="R247">
        <v>507856</v>
      </c>
    </row>
    <row r="248" spans="1:18" x14ac:dyDescent="0.25">
      <c r="A248" s="170">
        <v>42366</v>
      </c>
      <c r="B248" s="116">
        <v>149.69999999999999</v>
      </c>
      <c r="C248" s="116">
        <v>147.4</v>
      </c>
      <c r="D248" s="116">
        <v>146.69999999999999</v>
      </c>
      <c r="E248" s="116">
        <v>149.69999999999999</v>
      </c>
      <c r="F248" s="116">
        <v>147.4</v>
      </c>
      <c r="G248">
        <v>25206</v>
      </c>
      <c r="H248" s="116"/>
      <c r="I248" s="116"/>
      <c r="L248" s="170">
        <v>42366</v>
      </c>
      <c r="M248" s="116">
        <v>147.65</v>
      </c>
      <c r="N248" s="116">
        <v>149.75</v>
      </c>
      <c r="O248" s="116">
        <v>146.6</v>
      </c>
      <c r="P248" s="116">
        <v>149</v>
      </c>
      <c r="Q248" s="116">
        <v>147.65</v>
      </c>
      <c r="R248">
        <v>309542</v>
      </c>
    </row>
    <row r="249" spans="1:18" x14ac:dyDescent="0.25">
      <c r="A249" s="170">
        <v>42367</v>
      </c>
      <c r="B249" s="116">
        <v>148.4</v>
      </c>
      <c r="C249" s="116">
        <v>145.75</v>
      </c>
      <c r="D249" s="116">
        <v>144.75</v>
      </c>
      <c r="E249" s="116">
        <v>148</v>
      </c>
      <c r="F249" s="116">
        <v>145.75</v>
      </c>
      <c r="G249">
        <v>21973</v>
      </c>
      <c r="H249" s="116"/>
      <c r="I249" s="116"/>
      <c r="L249" s="170">
        <v>42367</v>
      </c>
      <c r="M249" s="116">
        <v>146</v>
      </c>
      <c r="N249" s="116">
        <v>148.6</v>
      </c>
      <c r="O249" s="116">
        <v>144.75</v>
      </c>
      <c r="P249" s="116">
        <v>148.1</v>
      </c>
      <c r="Q249" s="116">
        <v>146</v>
      </c>
      <c r="R249">
        <v>496717</v>
      </c>
    </row>
    <row r="250" spans="1:18" x14ac:dyDescent="0.25">
      <c r="A250" s="170">
        <v>42368</v>
      </c>
      <c r="B250" s="116">
        <v>148.35</v>
      </c>
      <c r="C250" s="116">
        <v>146.35</v>
      </c>
      <c r="D250" s="116">
        <v>145.44999999999999</v>
      </c>
      <c r="E250" s="116">
        <v>147.15</v>
      </c>
      <c r="F250" s="116">
        <v>146.35</v>
      </c>
      <c r="G250">
        <v>26983</v>
      </c>
      <c r="H250" s="116"/>
      <c r="I250" s="116"/>
      <c r="L250" s="170">
        <v>42368</v>
      </c>
      <c r="M250" s="116">
        <v>146.44999999999999</v>
      </c>
      <c r="N250" s="116">
        <v>148.35</v>
      </c>
      <c r="O250" s="116">
        <v>145.85</v>
      </c>
      <c r="P250" s="116">
        <v>147</v>
      </c>
      <c r="Q250" s="116">
        <v>146.44999999999999</v>
      </c>
      <c r="R250">
        <v>324770</v>
      </c>
    </row>
    <row r="251" spans="1:18" x14ac:dyDescent="0.25">
      <c r="A251" s="170">
        <v>42369</v>
      </c>
      <c r="B251" s="116">
        <v>148</v>
      </c>
      <c r="C251" s="116">
        <v>146.6</v>
      </c>
      <c r="D251" s="116">
        <v>145.65</v>
      </c>
      <c r="E251" s="116">
        <v>146.5</v>
      </c>
      <c r="F251" s="116">
        <v>146.6</v>
      </c>
      <c r="G251">
        <v>57144</v>
      </c>
      <c r="H251" s="116"/>
      <c r="I251" s="116"/>
      <c r="L251" s="170">
        <v>42369</v>
      </c>
      <c r="M251" s="116">
        <v>146.4</v>
      </c>
      <c r="N251" s="116">
        <v>148.25</v>
      </c>
      <c r="O251" s="116">
        <v>145.6</v>
      </c>
      <c r="P251" s="116">
        <v>146.44999999999999</v>
      </c>
      <c r="Q251" s="116">
        <v>146.4</v>
      </c>
      <c r="R251">
        <v>641472</v>
      </c>
    </row>
    <row r="252" spans="1:18" x14ac:dyDescent="0.25">
      <c r="A252" s="170">
        <v>42370</v>
      </c>
      <c r="B252" s="116">
        <v>149.4</v>
      </c>
      <c r="C252" s="116">
        <v>148.85</v>
      </c>
      <c r="D252" s="116">
        <v>146.44999999999999</v>
      </c>
      <c r="E252" s="116">
        <v>147</v>
      </c>
      <c r="F252" s="116">
        <v>148.85</v>
      </c>
      <c r="G252">
        <v>31889</v>
      </c>
      <c r="H252" s="116"/>
      <c r="I252" s="116"/>
      <c r="L252" s="170">
        <v>42370</v>
      </c>
      <c r="M252" s="116">
        <v>149.15</v>
      </c>
      <c r="N252" s="116">
        <v>150</v>
      </c>
      <c r="O252" s="116">
        <v>146.15</v>
      </c>
      <c r="P252" s="116">
        <v>146.4</v>
      </c>
      <c r="Q252" s="116">
        <v>149.15</v>
      </c>
      <c r="R252">
        <v>632558</v>
      </c>
    </row>
    <row r="253" spans="1:18" x14ac:dyDescent="0.25">
      <c r="A253" s="170">
        <v>42373</v>
      </c>
      <c r="B253" s="116">
        <v>150.5</v>
      </c>
      <c r="C253" s="116">
        <v>144.65</v>
      </c>
      <c r="D253" s="116">
        <v>144.1</v>
      </c>
      <c r="E253" s="116">
        <v>148.5</v>
      </c>
      <c r="F253" s="116">
        <v>144.65</v>
      </c>
      <c r="G253">
        <v>67640</v>
      </c>
      <c r="H253" s="116"/>
      <c r="I253" s="116"/>
      <c r="L253" s="170">
        <v>42373</v>
      </c>
      <c r="M253" s="116">
        <v>145.05000000000001</v>
      </c>
      <c r="N253" s="116">
        <v>150.75</v>
      </c>
      <c r="O253" s="116">
        <v>144.5</v>
      </c>
      <c r="P253" s="116">
        <v>148.75</v>
      </c>
      <c r="Q253" s="116">
        <v>145.05000000000001</v>
      </c>
      <c r="R253">
        <v>720734</v>
      </c>
    </row>
    <row r="254" spans="1:18" x14ac:dyDescent="0.25">
      <c r="A254" s="170">
        <v>42374</v>
      </c>
      <c r="B254" s="116">
        <v>152.19999999999999</v>
      </c>
      <c r="C254" s="116">
        <v>150.80000000000001</v>
      </c>
      <c r="D254" s="116">
        <v>143.94999999999999</v>
      </c>
      <c r="E254" s="116">
        <v>145.5</v>
      </c>
      <c r="F254" s="116">
        <v>150.80000000000001</v>
      </c>
      <c r="G254">
        <v>132489</v>
      </c>
      <c r="H254" s="116"/>
      <c r="I254" s="116"/>
      <c r="L254" s="170">
        <v>42374</v>
      </c>
      <c r="M254" s="116">
        <v>151.25</v>
      </c>
      <c r="N254" s="116">
        <v>153</v>
      </c>
      <c r="O254" s="116">
        <v>143.9</v>
      </c>
      <c r="P254" s="116">
        <v>145.69999999999999</v>
      </c>
      <c r="Q254" s="116">
        <v>151.25</v>
      </c>
      <c r="R254">
        <v>1742781</v>
      </c>
    </row>
    <row r="255" spans="1:18" x14ac:dyDescent="0.25">
      <c r="A255" s="170">
        <v>42375</v>
      </c>
      <c r="B255" s="116">
        <v>150.5</v>
      </c>
      <c r="C255" s="116">
        <v>146</v>
      </c>
      <c r="D255" s="116">
        <v>145.5</v>
      </c>
      <c r="E255" s="116">
        <v>150.19999999999999</v>
      </c>
      <c r="F255" s="116">
        <v>146</v>
      </c>
      <c r="G255">
        <v>45795</v>
      </c>
      <c r="H255" s="116"/>
      <c r="I255" s="116"/>
      <c r="L255" s="170">
        <v>42375</v>
      </c>
      <c r="M255" s="116">
        <v>145.69999999999999</v>
      </c>
      <c r="N255" s="116">
        <v>151.65</v>
      </c>
      <c r="O255" s="116">
        <v>145.19999999999999</v>
      </c>
      <c r="P255" s="116">
        <v>150.25</v>
      </c>
      <c r="Q255" s="116">
        <v>145.69999999999999</v>
      </c>
      <c r="R255">
        <v>1160640</v>
      </c>
    </row>
    <row r="256" spans="1:18" x14ac:dyDescent="0.25">
      <c r="A256" s="170">
        <v>42376</v>
      </c>
      <c r="B256" s="116">
        <v>144.55000000000001</v>
      </c>
      <c r="C256" s="116">
        <v>139</v>
      </c>
      <c r="D256" s="116">
        <v>138.1</v>
      </c>
      <c r="E256" s="116">
        <v>143.9</v>
      </c>
      <c r="F256" s="116">
        <v>139</v>
      </c>
      <c r="G256">
        <v>81577</v>
      </c>
      <c r="H256" s="116"/>
      <c r="I256" s="116"/>
      <c r="L256" s="170">
        <v>42376</v>
      </c>
      <c r="M256" s="116">
        <v>139.1</v>
      </c>
      <c r="N256" s="116">
        <v>144.30000000000001</v>
      </c>
      <c r="O256" s="116">
        <v>137.9</v>
      </c>
      <c r="P256" s="116">
        <v>144</v>
      </c>
      <c r="Q256" s="116">
        <v>139.1</v>
      </c>
      <c r="R256">
        <v>930475</v>
      </c>
    </row>
    <row r="257" spans="1:18" x14ac:dyDescent="0.25">
      <c r="A257" s="170">
        <v>42377</v>
      </c>
      <c r="B257" s="116">
        <v>141.94999999999999</v>
      </c>
      <c r="C257" s="116">
        <v>140.30000000000001</v>
      </c>
      <c r="D257" s="116">
        <v>138.5</v>
      </c>
      <c r="E257" s="116">
        <v>140.5</v>
      </c>
      <c r="F257" s="116">
        <v>140.30000000000001</v>
      </c>
      <c r="G257">
        <v>44533</v>
      </c>
      <c r="H257" s="116"/>
      <c r="I257" s="116"/>
      <c r="L257" s="170">
        <v>42377</v>
      </c>
      <c r="M257" s="116">
        <v>140.85</v>
      </c>
      <c r="N257" s="116">
        <v>141.94999999999999</v>
      </c>
      <c r="O257" s="116">
        <v>138.4</v>
      </c>
      <c r="P257" s="116">
        <v>140</v>
      </c>
      <c r="Q257" s="116">
        <v>140.85</v>
      </c>
      <c r="R257">
        <v>576259</v>
      </c>
    </row>
    <row r="258" spans="1:18" x14ac:dyDescent="0.25">
      <c r="A258" s="170">
        <v>42380</v>
      </c>
      <c r="B258" s="116">
        <v>140.94999999999999</v>
      </c>
      <c r="C258" s="116">
        <v>139.55000000000001</v>
      </c>
      <c r="D258" s="116">
        <v>137</v>
      </c>
      <c r="E258" s="116">
        <v>140.94999999999999</v>
      </c>
      <c r="F258" s="116">
        <v>139.55000000000001</v>
      </c>
      <c r="G258">
        <v>46313</v>
      </c>
      <c r="H258" s="116"/>
      <c r="I258" s="116"/>
      <c r="L258" s="170">
        <v>42380</v>
      </c>
      <c r="M258" s="116">
        <v>140.05000000000001</v>
      </c>
      <c r="N258" s="116">
        <v>141</v>
      </c>
      <c r="O258" s="116">
        <v>136.80000000000001</v>
      </c>
      <c r="P258" s="116">
        <v>139.9</v>
      </c>
      <c r="Q258" s="116">
        <v>140.05000000000001</v>
      </c>
      <c r="R258">
        <v>755047</v>
      </c>
    </row>
    <row r="259" spans="1:18" x14ac:dyDescent="0.25">
      <c r="A259" s="170">
        <v>42381</v>
      </c>
      <c r="B259" s="116">
        <v>142.75</v>
      </c>
      <c r="C259" s="116">
        <v>141.5</v>
      </c>
      <c r="D259" s="116">
        <v>140.5</v>
      </c>
      <c r="E259" s="116">
        <v>140.5</v>
      </c>
      <c r="F259" s="116">
        <v>141.5</v>
      </c>
      <c r="G259">
        <v>26457</v>
      </c>
      <c r="H259" s="116"/>
      <c r="I259" s="116"/>
      <c r="L259" s="170">
        <v>42381</v>
      </c>
      <c r="M259" s="116">
        <v>141.65</v>
      </c>
      <c r="N259" s="116">
        <v>142.80000000000001</v>
      </c>
      <c r="O259" s="116">
        <v>140.1</v>
      </c>
      <c r="P259" s="116">
        <v>140.9</v>
      </c>
      <c r="Q259" s="116">
        <v>141.65</v>
      </c>
      <c r="R259">
        <v>934979</v>
      </c>
    </row>
    <row r="260" spans="1:18" x14ac:dyDescent="0.25">
      <c r="A260" s="170">
        <v>42382</v>
      </c>
      <c r="B260" s="116">
        <v>143</v>
      </c>
      <c r="C260" s="116">
        <v>141.19999999999999</v>
      </c>
      <c r="D260" s="116">
        <v>139.55000000000001</v>
      </c>
      <c r="E260" s="116">
        <v>142.69999999999999</v>
      </c>
      <c r="F260" s="116">
        <v>141.19999999999999</v>
      </c>
      <c r="G260">
        <v>43017</v>
      </c>
      <c r="H260" s="116"/>
      <c r="I260" s="116"/>
      <c r="L260" s="170">
        <v>42382</v>
      </c>
      <c r="M260" s="116">
        <v>141.94999999999999</v>
      </c>
      <c r="N260" s="116">
        <v>143.35</v>
      </c>
      <c r="O260" s="116">
        <v>139.5</v>
      </c>
      <c r="P260" s="116">
        <v>143</v>
      </c>
      <c r="Q260" s="116">
        <v>141.94999999999999</v>
      </c>
      <c r="R260">
        <v>1214092</v>
      </c>
    </row>
    <row r="261" spans="1:18" x14ac:dyDescent="0.25">
      <c r="A261" s="170">
        <v>42383</v>
      </c>
      <c r="B261" s="116">
        <v>142.5</v>
      </c>
      <c r="C261" s="116">
        <v>141.35</v>
      </c>
      <c r="D261" s="116">
        <v>138.30000000000001</v>
      </c>
      <c r="E261" s="116">
        <v>138.30000000000001</v>
      </c>
      <c r="F261" s="116">
        <v>141.35</v>
      </c>
      <c r="G261">
        <v>22472</v>
      </c>
      <c r="H261" s="116"/>
      <c r="I261" s="116"/>
      <c r="L261" s="170">
        <v>42383</v>
      </c>
      <c r="M261" s="116">
        <v>141.9</v>
      </c>
      <c r="N261" s="116">
        <v>142.9</v>
      </c>
      <c r="O261" s="116">
        <v>139.19999999999999</v>
      </c>
      <c r="P261" s="116">
        <v>140.15</v>
      </c>
      <c r="Q261" s="116">
        <v>141.9</v>
      </c>
      <c r="R261">
        <v>816032</v>
      </c>
    </row>
    <row r="262" spans="1:18" x14ac:dyDescent="0.25">
      <c r="A262" s="170">
        <v>42384</v>
      </c>
      <c r="B262" s="116">
        <v>142.19999999999999</v>
      </c>
      <c r="C262" s="116">
        <v>138.9</v>
      </c>
      <c r="D262" s="116">
        <v>136.5</v>
      </c>
      <c r="E262" s="116">
        <v>141.5</v>
      </c>
      <c r="F262" s="116">
        <v>138.9</v>
      </c>
      <c r="G262">
        <v>19469</v>
      </c>
      <c r="H262" s="116"/>
      <c r="I262" s="116"/>
      <c r="L262" s="170">
        <v>42384</v>
      </c>
      <c r="M262" s="116">
        <v>140.19999999999999</v>
      </c>
      <c r="N262" s="116">
        <v>142.6</v>
      </c>
      <c r="O262" s="116">
        <v>137.44999999999999</v>
      </c>
      <c r="P262" s="116">
        <v>142.6</v>
      </c>
      <c r="Q262" s="116">
        <v>140.19999999999999</v>
      </c>
      <c r="R262">
        <v>554789</v>
      </c>
    </row>
    <row r="263" spans="1:18" x14ac:dyDescent="0.25">
      <c r="A263" s="170">
        <v>42387</v>
      </c>
      <c r="B263" s="116">
        <v>141</v>
      </c>
      <c r="C263" s="116">
        <v>138.69999999999999</v>
      </c>
      <c r="D263" s="116">
        <v>137.80000000000001</v>
      </c>
      <c r="E263" s="116">
        <v>140</v>
      </c>
      <c r="F263" s="116">
        <v>138.69999999999999</v>
      </c>
      <c r="G263">
        <v>29257</v>
      </c>
      <c r="H263" s="116"/>
      <c r="I263" s="116"/>
      <c r="L263" s="170">
        <v>42387</v>
      </c>
      <c r="M263" s="116">
        <v>139</v>
      </c>
      <c r="N263" s="116">
        <v>141.44999999999999</v>
      </c>
      <c r="O263" s="116">
        <v>137.9</v>
      </c>
      <c r="P263" s="116">
        <v>140.19999999999999</v>
      </c>
      <c r="Q263" s="116">
        <v>139</v>
      </c>
      <c r="R263">
        <v>976804</v>
      </c>
    </row>
    <row r="264" spans="1:18" x14ac:dyDescent="0.25">
      <c r="A264" s="170">
        <v>42388</v>
      </c>
      <c r="B264" s="116">
        <v>141.69999999999999</v>
      </c>
      <c r="C264" s="116">
        <v>138.5</v>
      </c>
      <c r="D264" s="116">
        <v>137.69999999999999</v>
      </c>
      <c r="E264" s="116">
        <v>139.5</v>
      </c>
      <c r="F264" s="116">
        <v>138.5</v>
      </c>
      <c r="G264">
        <v>33295</v>
      </c>
      <c r="H264" s="116"/>
      <c r="I264" s="116"/>
      <c r="L264" s="170">
        <v>42388</v>
      </c>
      <c r="M264" s="116">
        <v>139</v>
      </c>
      <c r="N264" s="116">
        <v>141.9</v>
      </c>
      <c r="O264" s="116">
        <v>137.65</v>
      </c>
      <c r="P264" s="116">
        <v>139.5</v>
      </c>
      <c r="Q264" s="116">
        <v>139</v>
      </c>
      <c r="R264">
        <v>1091868</v>
      </c>
    </row>
    <row r="265" spans="1:18" x14ac:dyDescent="0.25">
      <c r="A265" s="170">
        <v>42389</v>
      </c>
      <c r="B265" s="116">
        <v>139.75</v>
      </c>
      <c r="C265" s="116">
        <v>138.9</v>
      </c>
      <c r="D265" s="116">
        <v>135.80000000000001</v>
      </c>
      <c r="E265" s="116">
        <v>136</v>
      </c>
      <c r="F265" s="116">
        <v>138.9</v>
      </c>
      <c r="G265">
        <v>52382</v>
      </c>
      <c r="H265" s="116"/>
      <c r="I265" s="116"/>
      <c r="L265" s="170">
        <v>42389</v>
      </c>
      <c r="M265" s="116">
        <v>139.35</v>
      </c>
      <c r="N265" s="116">
        <v>140</v>
      </c>
      <c r="O265" s="116">
        <v>135.80000000000001</v>
      </c>
      <c r="P265" s="116">
        <v>137</v>
      </c>
      <c r="Q265" s="116">
        <v>139.35</v>
      </c>
      <c r="R265">
        <v>605460</v>
      </c>
    </row>
    <row r="266" spans="1:18" x14ac:dyDescent="0.25">
      <c r="A266" s="170">
        <v>42390</v>
      </c>
      <c r="B266" s="116">
        <v>144</v>
      </c>
      <c r="C266" s="116">
        <v>141.19999999999999</v>
      </c>
      <c r="D266" s="116">
        <v>136.1</v>
      </c>
      <c r="E266" s="116">
        <v>136.1</v>
      </c>
      <c r="F266" s="116">
        <v>141.19999999999999</v>
      </c>
      <c r="G266">
        <v>196546</v>
      </c>
      <c r="H266" s="116"/>
      <c r="I266" s="116"/>
      <c r="L266" s="170">
        <v>42390</v>
      </c>
      <c r="M266" s="116">
        <v>141.6</v>
      </c>
      <c r="N266" s="116">
        <v>145</v>
      </c>
      <c r="O266" s="116">
        <v>137.25</v>
      </c>
      <c r="P266" s="116">
        <v>138.9</v>
      </c>
      <c r="Q266" s="116">
        <v>141.6</v>
      </c>
      <c r="R266">
        <v>2182043</v>
      </c>
    </row>
    <row r="267" spans="1:18" x14ac:dyDescent="0.25">
      <c r="A267" s="170">
        <v>42391</v>
      </c>
      <c r="B267" s="116">
        <v>147.4</v>
      </c>
      <c r="C267" s="116">
        <v>145.44999999999999</v>
      </c>
      <c r="D267" s="116">
        <v>141.30000000000001</v>
      </c>
      <c r="E267" s="116">
        <v>141.30000000000001</v>
      </c>
      <c r="F267" s="116">
        <v>145.44999999999999</v>
      </c>
      <c r="G267">
        <v>144635</v>
      </c>
      <c r="H267" s="116"/>
      <c r="I267" s="116"/>
      <c r="L267" s="170">
        <v>42391</v>
      </c>
      <c r="M267" s="116">
        <v>144.94999999999999</v>
      </c>
      <c r="N267" s="116">
        <v>148</v>
      </c>
      <c r="O267" s="116">
        <v>142.25</v>
      </c>
      <c r="P267" s="116">
        <v>142.6</v>
      </c>
      <c r="Q267" s="116">
        <v>144.94999999999999</v>
      </c>
      <c r="R267">
        <v>1767790</v>
      </c>
    </row>
    <row r="268" spans="1:18" x14ac:dyDescent="0.25">
      <c r="A268" s="170">
        <v>42394</v>
      </c>
      <c r="B268" s="116">
        <v>152.55000000000001</v>
      </c>
      <c r="C268" s="116">
        <v>151.1</v>
      </c>
      <c r="D268" s="116">
        <v>146.19999999999999</v>
      </c>
      <c r="E268" s="116">
        <v>146.5</v>
      </c>
      <c r="F268" s="116">
        <v>151.1</v>
      </c>
      <c r="G268">
        <v>131136</v>
      </c>
      <c r="H268" s="116"/>
      <c r="I268" s="116"/>
      <c r="L268" s="170">
        <v>42394</v>
      </c>
      <c r="M268" s="116">
        <v>151.19999999999999</v>
      </c>
      <c r="N268" s="116">
        <v>152.4</v>
      </c>
      <c r="O268" s="116">
        <v>146</v>
      </c>
      <c r="P268" s="116">
        <v>146</v>
      </c>
      <c r="Q268" s="116">
        <v>151.19999999999999</v>
      </c>
      <c r="R268">
        <v>2604332</v>
      </c>
    </row>
    <row r="269" spans="1:18" x14ac:dyDescent="0.25">
      <c r="A269" s="170">
        <v>42396</v>
      </c>
      <c r="B269" s="116">
        <v>162.25</v>
      </c>
      <c r="C269" s="116">
        <v>158.65</v>
      </c>
      <c r="D269" s="116">
        <v>151</v>
      </c>
      <c r="E269" s="116">
        <v>152.15</v>
      </c>
      <c r="F269" s="116">
        <v>158.65</v>
      </c>
      <c r="G269">
        <v>298587</v>
      </c>
      <c r="H269" s="116"/>
      <c r="I269" s="116"/>
      <c r="L269" s="170">
        <v>42396</v>
      </c>
      <c r="M269" s="116">
        <v>159.75</v>
      </c>
      <c r="N269" s="116">
        <v>163.5</v>
      </c>
      <c r="O269" s="116">
        <v>150.94999999999999</v>
      </c>
      <c r="P269" s="116">
        <v>152.4</v>
      </c>
      <c r="Q269" s="116">
        <v>159.75</v>
      </c>
      <c r="R269">
        <v>3020676</v>
      </c>
    </row>
    <row r="270" spans="1:18" x14ac:dyDescent="0.25">
      <c r="A270" s="170">
        <v>42397</v>
      </c>
      <c r="B270" s="116">
        <v>172.5</v>
      </c>
      <c r="C270" s="116">
        <v>164.8</v>
      </c>
      <c r="D270" s="116">
        <v>157.5</v>
      </c>
      <c r="E270" s="116">
        <v>158</v>
      </c>
      <c r="F270" s="116">
        <v>164.8</v>
      </c>
      <c r="G270">
        <v>487126</v>
      </c>
      <c r="H270" s="116"/>
      <c r="I270" s="116"/>
      <c r="L270" s="170">
        <v>42397</v>
      </c>
      <c r="M270" s="116">
        <v>164.55</v>
      </c>
      <c r="N270" s="116">
        <v>173</v>
      </c>
      <c r="O270" s="116">
        <v>157.69999999999999</v>
      </c>
      <c r="P270" s="116">
        <v>159</v>
      </c>
      <c r="Q270" s="116">
        <v>164.55</v>
      </c>
      <c r="R270">
        <v>8426807</v>
      </c>
    </row>
    <row r="271" spans="1:18" x14ac:dyDescent="0.25">
      <c r="A271" s="170">
        <v>42398</v>
      </c>
      <c r="B271" s="116">
        <v>162.80000000000001</v>
      </c>
      <c r="C271" s="116">
        <v>160.65</v>
      </c>
      <c r="D271" s="116">
        <v>155.19999999999999</v>
      </c>
      <c r="E271" s="116">
        <v>162.5</v>
      </c>
      <c r="F271" s="116">
        <v>160.65</v>
      </c>
      <c r="G271">
        <v>115667</v>
      </c>
      <c r="H271" s="116"/>
      <c r="I271" s="116"/>
      <c r="L271" s="170">
        <v>42398</v>
      </c>
      <c r="M271" s="116">
        <v>161</v>
      </c>
      <c r="N271" s="116">
        <v>163.65</v>
      </c>
      <c r="O271" s="116">
        <v>155.05000000000001</v>
      </c>
      <c r="P271" s="116">
        <v>163</v>
      </c>
      <c r="Q271" s="116">
        <v>161</v>
      </c>
      <c r="R271">
        <v>1492897</v>
      </c>
    </row>
    <row r="272" spans="1:18" x14ac:dyDescent="0.25">
      <c r="A272" s="170">
        <v>42401</v>
      </c>
      <c r="B272" s="116">
        <v>161.94999999999999</v>
      </c>
      <c r="C272" s="116">
        <v>160.25</v>
      </c>
      <c r="D272" s="116">
        <v>157.1</v>
      </c>
      <c r="E272" s="116">
        <v>160.1</v>
      </c>
      <c r="F272" s="116">
        <v>160.25</v>
      </c>
      <c r="G272">
        <v>101419</v>
      </c>
      <c r="H272" s="116"/>
      <c r="I272" s="116"/>
      <c r="L272" s="170">
        <v>42401</v>
      </c>
      <c r="M272" s="116">
        <v>160.05000000000001</v>
      </c>
      <c r="N272" s="116">
        <v>161.75</v>
      </c>
      <c r="O272" s="116">
        <v>157.15</v>
      </c>
      <c r="P272" s="116">
        <v>160.5</v>
      </c>
      <c r="Q272" s="116">
        <v>160.05000000000001</v>
      </c>
      <c r="R272">
        <v>605007</v>
      </c>
    </row>
    <row r="273" spans="1:18" x14ac:dyDescent="0.25">
      <c r="A273" s="170">
        <v>42402</v>
      </c>
      <c r="B273" s="116">
        <v>164</v>
      </c>
      <c r="C273" s="116">
        <v>155.69999999999999</v>
      </c>
      <c r="D273" s="116">
        <v>154.6</v>
      </c>
      <c r="E273" s="116">
        <v>158.1</v>
      </c>
      <c r="F273" s="116">
        <v>155.69999999999999</v>
      </c>
      <c r="G273">
        <v>49561</v>
      </c>
      <c r="H273" s="116"/>
      <c r="I273" s="116"/>
      <c r="L273" s="170">
        <v>42402</v>
      </c>
      <c r="M273" s="116">
        <v>155.85</v>
      </c>
      <c r="N273" s="116">
        <v>160.6</v>
      </c>
      <c r="O273" s="116">
        <v>154.5</v>
      </c>
      <c r="P273" s="116">
        <v>159</v>
      </c>
      <c r="Q273" s="116">
        <v>155.85</v>
      </c>
      <c r="R273">
        <v>564526</v>
      </c>
    </row>
    <row r="274" spans="1:18" x14ac:dyDescent="0.25">
      <c r="A274" s="170">
        <v>42403</v>
      </c>
      <c r="B274" s="116">
        <v>156.5</v>
      </c>
      <c r="C274" s="116">
        <v>154.9</v>
      </c>
      <c r="D274" s="116">
        <v>153</v>
      </c>
      <c r="E274" s="116">
        <v>154.35</v>
      </c>
      <c r="F274" s="116">
        <v>154.9</v>
      </c>
      <c r="G274">
        <v>62076</v>
      </c>
      <c r="H274" s="116"/>
      <c r="I274" s="116"/>
      <c r="L274" s="170">
        <v>42403</v>
      </c>
      <c r="M274" s="116">
        <v>154.85</v>
      </c>
      <c r="N274" s="116">
        <v>156.65</v>
      </c>
      <c r="O274" s="116">
        <v>153</v>
      </c>
      <c r="P274" s="116">
        <v>155.1</v>
      </c>
      <c r="Q274" s="116">
        <v>154.85</v>
      </c>
      <c r="R274">
        <v>362758</v>
      </c>
    </row>
    <row r="275" spans="1:18" x14ac:dyDescent="0.25">
      <c r="A275" s="170">
        <v>42404</v>
      </c>
      <c r="B275" s="116">
        <v>164.8</v>
      </c>
      <c r="C275" s="116">
        <v>161.35</v>
      </c>
      <c r="D275" s="116">
        <v>155</v>
      </c>
      <c r="E275" s="116">
        <v>155</v>
      </c>
      <c r="F275" s="116">
        <v>161.35</v>
      </c>
      <c r="G275">
        <v>127310</v>
      </c>
      <c r="H275" s="116"/>
      <c r="I275" s="116"/>
      <c r="L275" s="170">
        <v>42404</v>
      </c>
      <c r="M275" s="116">
        <v>161.4</v>
      </c>
      <c r="N275" s="116">
        <v>164.95</v>
      </c>
      <c r="O275" s="116">
        <v>155.30000000000001</v>
      </c>
      <c r="P275" s="116">
        <v>155.30000000000001</v>
      </c>
      <c r="Q275" s="116">
        <v>161.4</v>
      </c>
      <c r="R275">
        <v>1117926</v>
      </c>
    </row>
    <row r="276" spans="1:18" x14ac:dyDescent="0.25">
      <c r="A276" s="170">
        <v>42405</v>
      </c>
      <c r="B276" s="116">
        <v>169.7</v>
      </c>
      <c r="C276" s="116">
        <v>168.25</v>
      </c>
      <c r="D276" s="116">
        <v>162.05000000000001</v>
      </c>
      <c r="E276" s="116">
        <v>162.05000000000001</v>
      </c>
      <c r="F276" s="116">
        <v>168.25</v>
      </c>
      <c r="G276">
        <v>109536</v>
      </c>
      <c r="H276" s="116"/>
      <c r="I276" s="116"/>
      <c r="L276" s="170">
        <v>42405</v>
      </c>
      <c r="M276" s="116">
        <v>168.25</v>
      </c>
      <c r="N276" s="116">
        <v>169.5</v>
      </c>
      <c r="O276" s="116">
        <v>163</v>
      </c>
      <c r="P276" s="116">
        <v>163</v>
      </c>
      <c r="Q276" s="116">
        <v>168.25</v>
      </c>
      <c r="R276">
        <v>959801</v>
      </c>
    </row>
    <row r="277" spans="1:18" x14ac:dyDescent="0.25">
      <c r="A277" s="170">
        <v>42408</v>
      </c>
      <c r="B277" s="116">
        <v>170</v>
      </c>
      <c r="C277" s="116">
        <v>167.25</v>
      </c>
      <c r="D277" s="116">
        <v>165.1</v>
      </c>
      <c r="E277" s="116">
        <v>168</v>
      </c>
      <c r="F277" s="116">
        <v>167.25</v>
      </c>
      <c r="G277">
        <v>60016</v>
      </c>
      <c r="H277" s="116"/>
      <c r="I277" s="116"/>
      <c r="L277" s="170">
        <v>42408</v>
      </c>
      <c r="M277" s="116">
        <v>167.7</v>
      </c>
      <c r="N277" s="116">
        <v>170</v>
      </c>
      <c r="O277" s="116">
        <v>165</v>
      </c>
      <c r="P277" s="116">
        <v>168.6</v>
      </c>
      <c r="Q277" s="116">
        <v>167.7</v>
      </c>
      <c r="R277">
        <v>580409</v>
      </c>
    </row>
    <row r="278" spans="1:18" x14ac:dyDescent="0.25">
      <c r="A278" s="170">
        <v>42409</v>
      </c>
      <c r="B278" s="116">
        <v>168.65</v>
      </c>
      <c r="C278" s="116">
        <v>164.2</v>
      </c>
      <c r="D278" s="116">
        <v>161.80000000000001</v>
      </c>
      <c r="E278" s="116">
        <v>167.25</v>
      </c>
      <c r="F278" s="116">
        <v>164.2</v>
      </c>
      <c r="G278">
        <v>121648</v>
      </c>
      <c r="H278" s="116"/>
      <c r="I278" s="116"/>
      <c r="L278" s="170">
        <v>42409</v>
      </c>
      <c r="M278" s="116">
        <v>164</v>
      </c>
      <c r="N278" s="116">
        <v>168.45</v>
      </c>
      <c r="O278" s="116">
        <v>161.69999999999999</v>
      </c>
      <c r="P278" s="116">
        <v>165</v>
      </c>
      <c r="Q278" s="116">
        <v>164</v>
      </c>
      <c r="R278">
        <v>592327</v>
      </c>
    </row>
    <row r="279" spans="1:18" x14ac:dyDescent="0.25">
      <c r="A279" s="170">
        <v>42410</v>
      </c>
      <c r="B279" s="116">
        <v>167.2</v>
      </c>
      <c r="C279" s="116">
        <v>162.05000000000001</v>
      </c>
      <c r="D279" s="116">
        <v>159.35</v>
      </c>
      <c r="E279" s="116">
        <v>164.4</v>
      </c>
      <c r="F279" s="116">
        <v>162.05000000000001</v>
      </c>
      <c r="G279">
        <v>1724986</v>
      </c>
      <c r="H279" s="116"/>
      <c r="I279" s="116"/>
      <c r="L279" s="170">
        <v>42410</v>
      </c>
      <c r="M279" s="116">
        <v>162.35</v>
      </c>
      <c r="N279" s="116">
        <v>166.85</v>
      </c>
      <c r="O279" s="116">
        <v>159.1</v>
      </c>
      <c r="P279" s="116">
        <v>162.1</v>
      </c>
      <c r="Q279" s="116">
        <v>162.35</v>
      </c>
      <c r="R279">
        <v>619320</v>
      </c>
    </row>
    <row r="280" spans="1:18" x14ac:dyDescent="0.25">
      <c r="A280" s="170">
        <v>42411</v>
      </c>
      <c r="B280" s="116">
        <v>163.75</v>
      </c>
      <c r="C280" s="116">
        <v>161.75</v>
      </c>
      <c r="D280" s="116">
        <v>155.19999999999999</v>
      </c>
      <c r="E280" s="116">
        <v>161</v>
      </c>
      <c r="F280" s="116">
        <v>161.75</v>
      </c>
      <c r="G280">
        <v>239215</v>
      </c>
      <c r="H280" s="116"/>
      <c r="I280" s="116"/>
      <c r="L280" s="170">
        <v>42411</v>
      </c>
      <c r="M280" s="116">
        <v>161.15</v>
      </c>
      <c r="N280" s="116">
        <v>163.69999999999999</v>
      </c>
      <c r="O280" s="116">
        <v>154.6</v>
      </c>
      <c r="P280" s="116">
        <v>161</v>
      </c>
      <c r="Q280" s="116">
        <v>161.15</v>
      </c>
      <c r="R280">
        <v>1162338</v>
      </c>
    </row>
    <row r="281" spans="1:18" x14ac:dyDescent="0.25">
      <c r="A281" s="170">
        <v>42412</v>
      </c>
      <c r="B281" s="116">
        <v>162</v>
      </c>
      <c r="C281" s="116">
        <v>158.30000000000001</v>
      </c>
      <c r="D281" s="116">
        <v>155</v>
      </c>
      <c r="E281" s="116">
        <v>162</v>
      </c>
      <c r="F281" s="116">
        <v>158.30000000000001</v>
      </c>
      <c r="G281">
        <v>110457</v>
      </c>
      <c r="H281" s="116"/>
      <c r="I281" s="116"/>
      <c r="L281" s="170">
        <v>42412</v>
      </c>
      <c r="M281" s="116">
        <v>158</v>
      </c>
      <c r="N281" s="116">
        <v>162.30000000000001</v>
      </c>
      <c r="O281" s="116">
        <v>155.05000000000001</v>
      </c>
      <c r="P281" s="116">
        <v>161.44999999999999</v>
      </c>
      <c r="Q281" s="116">
        <v>158</v>
      </c>
      <c r="R281">
        <v>1403087</v>
      </c>
    </row>
    <row r="282" spans="1:18" x14ac:dyDescent="0.25">
      <c r="A282" s="170">
        <v>42415</v>
      </c>
      <c r="B282" s="116">
        <v>170</v>
      </c>
      <c r="C282" s="116">
        <v>167.9</v>
      </c>
      <c r="D282" s="116">
        <v>158.6</v>
      </c>
      <c r="E282" s="116">
        <v>158.6</v>
      </c>
      <c r="F282" s="116">
        <v>167.9</v>
      </c>
      <c r="G282">
        <v>74626</v>
      </c>
      <c r="H282" s="116"/>
      <c r="I282" s="116"/>
      <c r="L282" s="170">
        <v>42415</v>
      </c>
      <c r="M282" s="116">
        <v>167.95</v>
      </c>
      <c r="N282" s="116">
        <v>169.9</v>
      </c>
      <c r="O282" s="116">
        <v>160</v>
      </c>
      <c r="P282" s="116">
        <v>160</v>
      </c>
      <c r="Q282" s="116">
        <v>167.95</v>
      </c>
      <c r="R282">
        <v>613458</v>
      </c>
    </row>
    <row r="283" spans="1:18" x14ac:dyDescent="0.25">
      <c r="A283" s="170">
        <v>42416</v>
      </c>
      <c r="B283" s="116">
        <v>170.8</v>
      </c>
      <c r="C283" s="116">
        <v>165.45</v>
      </c>
      <c r="D283" s="116">
        <v>163.5</v>
      </c>
      <c r="E283" s="116">
        <v>169</v>
      </c>
      <c r="F283" s="116">
        <v>165.45</v>
      </c>
      <c r="G283">
        <v>77244</v>
      </c>
      <c r="H283" s="116"/>
      <c r="I283" s="116"/>
      <c r="L283" s="170">
        <v>42416</v>
      </c>
      <c r="M283" s="116">
        <v>165.45</v>
      </c>
      <c r="N283" s="116">
        <v>170.9</v>
      </c>
      <c r="O283" s="116">
        <v>163.6</v>
      </c>
      <c r="P283" s="116">
        <v>169</v>
      </c>
      <c r="Q283" s="116">
        <v>165.45</v>
      </c>
      <c r="R283">
        <v>1118583</v>
      </c>
    </row>
    <row r="284" spans="1:18" x14ac:dyDescent="0.25">
      <c r="A284" s="170">
        <v>42417</v>
      </c>
      <c r="B284" s="116">
        <v>165.4</v>
      </c>
      <c r="C284" s="116">
        <v>163.25</v>
      </c>
      <c r="D284" s="116">
        <v>158.69999999999999</v>
      </c>
      <c r="E284" s="116">
        <v>158.69999999999999</v>
      </c>
      <c r="F284" s="116">
        <v>163.25</v>
      </c>
      <c r="G284">
        <v>74337</v>
      </c>
      <c r="H284" s="116"/>
      <c r="I284" s="116"/>
      <c r="L284" s="170">
        <v>42417</v>
      </c>
      <c r="M284" s="116">
        <v>163.25</v>
      </c>
      <c r="N284" s="116">
        <v>165.65</v>
      </c>
      <c r="O284" s="116">
        <v>160.4</v>
      </c>
      <c r="P284" s="116">
        <v>163.75</v>
      </c>
      <c r="Q284" s="116">
        <v>163.25</v>
      </c>
      <c r="R284">
        <v>1085487</v>
      </c>
    </row>
    <row r="285" spans="1:18" x14ac:dyDescent="0.25">
      <c r="A285" s="170">
        <v>42418</v>
      </c>
      <c r="B285" s="116">
        <v>171.7</v>
      </c>
      <c r="C285" s="116">
        <v>165.05</v>
      </c>
      <c r="D285" s="116">
        <v>162.6</v>
      </c>
      <c r="E285" s="116">
        <v>171.7</v>
      </c>
      <c r="F285" s="116">
        <v>165.05</v>
      </c>
      <c r="G285">
        <v>72190</v>
      </c>
      <c r="H285" s="116"/>
      <c r="I285" s="116"/>
      <c r="L285" s="170">
        <v>42418</v>
      </c>
      <c r="M285" s="116">
        <v>165.45</v>
      </c>
      <c r="N285" s="116">
        <v>167.15</v>
      </c>
      <c r="O285" s="116">
        <v>162.5</v>
      </c>
      <c r="P285" s="116">
        <v>165.5</v>
      </c>
      <c r="Q285" s="116">
        <v>165.45</v>
      </c>
      <c r="R285">
        <v>1533444</v>
      </c>
    </row>
    <row r="286" spans="1:18" x14ac:dyDescent="0.25">
      <c r="A286" s="170">
        <v>42419</v>
      </c>
      <c r="B286" s="116">
        <v>166</v>
      </c>
      <c r="C286" s="116">
        <v>164.15</v>
      </c>
      <c r="D286" s="116">
        <v>160</v>
      </c>
      <c r="E286" s="116">
        <v>160</v>
      </c>
      <c r="F286" s="116">
        <v>164.15</v>
      </c>
      <c r="G286">
        <v>17676</v>
      </c>
      <c r="H286" s="116"/>
      <c r="I286" s="116"/>
      <c r="L286" s="170">
        <v>42419</v>
      </c>
      <c r="M286" s="116">
        <v>164.2</v>
      </c>
      <c r="N286" s="116">
        <v>168</v>
      </c>
      <c r="O286" s="116">
        <v>162.9</v>
      </c>
      <c r="P286" s="116">
        <v>165</v>
      </c>
      <c r="Q286" s="116">
        <v>164.2</v>
      </c>
      <c r="R286">
        <v>444324</v>
      </c>
    </row>
    <row r="287" spans="1:18" x14ac:dyDescent="0.25">
      <c r="A287" s="170">
        <v>42422</v>
      </c>
      <c r="B287" s="116">
        <v>165</v>
      </c>
      <c r="C287" s="116">
        <v>163.75</v>
      </c>
      <c r="D287" s="116">
        <v>162.6</v>
      </c>
      <c r="E287" s="116">
        <v>165</v>
      </c>
      <c r="F287" s="116">
        <v>163.75</v>
      </c>
      <c r="G287">
        <v>14727</v>
      </c>
      <c r="H287" s="116"/>
      <c r="I287" s="116"/>
      <c r="L287" s="170">
        <v>42422</v>
      </c>
      <c r="M287" s="116">
        <v>163.80000000000001</v>
      </c>
      <c r="N287" s="116">
        <v>165</v>
      </c>
      <c r="O287" s="116">
        <v>162.9</v>
      </c>
      <c r="P287" s="116">
        <v>163.85</v>
      </c>
      <c r="Q287" s="116">
        <v>163.80000000000001</v>
      </c>
      <c r="R287">
        <v>451514</v>
      </c>
    </row>
    <row r="288" spans="1:18" x14ac:dyDescent="0.25">
      <c r="A288" s="170">
        <v>42423</v>
      </c>
      <c r="B288" s="116">
        <v>165.95</v>
      </c>
      <c r="C288" s="116">
        <v>163.9</v>
      </c>
      <c r="D288" s="116">
        <v>163.19999999999999</v>
      </c>
      <c r="E288" s="116">
        <v>165.95</v>
      </c>
      <c r="F288" s="116">
        <v>163.9</v>
      </c>
      <c r="G288">
        <v>52583</v>
      </c>
      <c r="H288" s="116"/>
      <c r="I288" s="116"/>
      <c r="L288" s="170">
        <v>42423</v>
      </c>
      <c r="M288" s="116">
        <v>163.85</v>
      </c>
      <c r="N288" s="116">
        <v>165.8</v>
      </c>
      <c r="O288" s="116">
        <v>163.19999999999999</v>
      </c>
      <c r="P288" s="116">
        <v>164.5</v>
      </c>
      <c r="Q288" s="116">
        <v>163.85</v>
      </c>
      <c r="R288">
        <v>536131</v>
      </c>
    </row>
    <row r="289" spans="1:18" x14ac:dyDescent="0.25">
      <c r="A289" s="170">
        <v>42424</v>
      </c>
      <c r="B289" s="116">
        <v>164.3</v>
      </c>
      <c r="C289" s="116">
        <v>163.75</v>
      </c>
      <c r="D289" s="116">
        <v>158.05000000000001</v>
      </c>
      <c r="E289" s="116">
        <v>158.30000000000001</v>
      </c>
      <c r="F289" s="116">
        <v>163.75</v>
      </c>
      <c r="G289">
        <v>96530</v>
      </c>
      <c r="H289" s="116"/>
      <c r="I289" s="116"/>
      <c r="L289" s="170">
        <v>42424</v>
      </c>
      <c r="M289" s="116">
        <v>163.9</v>
      </c>
      <c r="N289" s="116">
        <v>164.35</v>
      </c>
      <c r="O289" s="116">
        <v>158.1</v>
      </c>
      <c r="P289" s="116">
        <v>162.9</v>
      </c>
      <c r="Q289" s="116">
        <v>163.9</v>
      </c>
      <c r="R289">
        <v>1049226</v>
      </c>
    </row>
    <row r="290" spans="1:18" x14ac:dyDescent="0.25">
      <c r="A290" s="170">
        <v>42425</v>
      </c>
      <c r="B290" s="116">
        <v>164.6</v>
      </c>
      <c r="C290" s="116">
        <v>163.69999999999999</v>
      </c>
      <c r="D290" s="116">
        <v>162</v>
      </c>
      <c r="E290" s="116">
        <v>163.4</v>
      </c>
      <c r="F290" s="116">
        <v>163.69999999999999</v>
      </c>
      <c r="G290">
        <v>29110</v>
      </c>
      <c r="H290" s="116"/>
      <c r="I290" s="116"/>
      <c r="L290" s="170">
        <v>42425</v>
      </c>
      <c r="M290" s="116">
        <v>163.85</v>
      </c>
      <c r="N290" s="116">
        <v>164.75</v>
      </c>
      <c r="O290" s="116">
        <v>161.6</v>
      </c>
      <c r="P290" s="116">
        <v>164</v>
      </c>
      <c r="Q290" s="116">
        <v>163.85</v>
      </c>
      <c r="R290">
        <v>928748</v>
      </c>
    </row>
    <row r="291" spans="1:18" x14ac:dyDescent="0.25">
      <c r="A291" s="170">
        <v>42426</v>
      </c>
      <c r="B291" s="116">
        <v>164.5</v>
      </c>
      <c r="C291" s="116">
        <v>162.4</v>
      </c>
      <c r="D291" s="116">
        <v>159.55000000000001</v>
      </c>
      <c r="E291" s="116">
        <v>163.25</v>
      </c>
      <c r="F291" s="116">
        <v>162.4</v>
      </c>
      <c r="G291">
        <v>47111</v>
      </c>
      <c r="H291" s="116"/>
      <c r="I291" s="116"/>
      <c r="L291" s="170">
        <v>42426</v>
      </c>
      <c r="M291" s="116">
        <v>162.85</v>
      </c>
      <c r="N291" s="116">
        <v>164.5</v>
      </c>
      <c r="O291" s="116">
        <v>159.44999999999999</v>
      </c>
      <c r="P291" s="116">
        <v>164.1</v>
      </c>
      <c r="Q291" s="116">
        <v>162.85</v>
      </c>
      <c r="R291">
        <v>716255</v>
      </c>
    </row>
    <row r="292" spans="1:18" x14ac:dyDescent="0.25">
      <c r="A292" s="170">
        <v>42429</v>
      </c>
      <c r="B292" s="116">
        <v>163</v>
      </c>
      <c r="C292" s="116">
        <v>160.19999999999999</v>
      </c>
      <c r="D292" s="116">
        <v>157.19999999999999</v>
      </c>
      <c r="E292" s="116">
        <v>162.5</v>
      </c>
      <c r="F292" s="116">
        <v>160.19999999999999</v>
      </c>
      <c r="G292">
        <v>32997</v>
      </c>
      <c r="H292" s="116"/>
      <c r="I292" s="116"/>
      <c r="L292" s="170">
        <v>42429</v>
      </c>
      <c r="M292" s="116">
        <v>160.35</v>
      </c>
      <c r="N292" s="116">
        <v>163.19999999999999</v>
      </c>
      <c r="O292" s="116">
        <v>156.9</v>
      </c>
      <c r="P292" s="116">
        <v>160.5</v>
      </c>
      <c r="Q292" s="116">
        <v>160.35</v>
      </c>
      <c r="R292">
        <v>574797</v>
      </c>
    </row>
    <row r="293" spans="1:18" x14ac:dyDescent="0.25">
      <c r="A293" s="170">
        <v>42430</v>
      </c>
      <c r="B293" s="116">
        <v>165.1</v>
      </c>
      <c r="C293" s="116">
        <v>163</v>
      </c>
      <c r="D293" s="116">
        <v>160.9</v>
      </c>
      <c r="E293" s="116">
        <v>161.19999999999999</v>
      </c>
      <c r="F293" s="116">
        <v>163</v>
      </c>
      <c r="G293">
        <v>52384</v>
      </c>
      <c r="H293" s="116"/>
      <c r="I293" s="116"/>
      <c r="L293" s="170">
        <v>42430</v>
      </c>
      <c r="M293" s="116">
        <v>163</v>
      </c>
      <c r="N293" s="116">
        <v>165.45</v>
      </c>
      <c r="O293" s="116">
        <v>160.94999999999999</v>
      </c>
      <c r="P293" s="116">
        <v>161.1</v>
      </c>
      <c r="Q293" s="116">
        <v>163</v>
      </c>
      <c r="R293">
        <v>1051110</v>
      </c>
    </row>
    <row r="294" spans="1:18" x14ac:dyDescent="0.25">
      <c r="A294" s="170">
        <v>42431</v>
      </c>
      <c r="B294" s="116">
        <v>166.7</v>
      </c>
      <c r="C294" s="116">
        <v>162.30000000000001</v>
      </c>
      <c r="D294" s="116">
        <v>161.69999999999999</v>
      </c>
      <c r="E294" s="116">
        <v>165</v>
      </c>
      <c r="F294" s="116">
        <v>162.30000000000001</v>
      </c>
      <c r="G294">
        <v>40609</v>
      </c>
      <c r="H294" s="116"/>
      <c r="I294" s="116"/>
      <c r="L294" s="170">
        <v>42431</v>
      </c>
      <c r="M294" s="116">
        <v>162.05000000000001</v>
      </c>
      <c r="N294" s="116">
        <v>166.8</v>
      </c>
      <c r="O294" s="116">
        <v>161.5</v>
      </c>
      <c r="P294" s="116">
        <v>164.7</v>
      </c>
      <c r="Q294" s="116">
        <v>162.05000000000001</v>
      </c>
      <c r="R294">
        <v>1399080</v>
      </c>
    </row>
    <row r="295" spans="1:18" x14ac:dyDescent="0.25">
      <c r="A295" s="170">
        <v>42432</v>
      </c>
      <c r="B295" s="116">
        <v>172.15</v>
      </c>
      <c r="C295" s="116">
        <v>170.2</v>
      </c>
      <c r="D295" s="116">
        <v>161.5</v>
      </c>
      <c r="E295" s="116">
        <v>167</v>
      </c>
      <c r="F295" s="116">
        <v>170.2</v>
      </c>
      <c r="G295">
        <v>121389</v>
      </c>
      <c r="H295" s="116"/>
      <c r="I295" s="116"/>
      <c r="L295" s="170">
        <v>42432</v>
      </c>
      <c r="M295" s="116">
        <v>170.2</v>
      </c>
      <c r="N295" s="116">
        <v>172.3</v>
      </c>
      <c r="O295" s="116">
        <v>161.25</v>
      </c>
      <c r="P295" s="116">
        <v>164.55</v>
      </c>
      <c r="Q295" s="116">
        <v>170.2</v>
      </c>
      <c r="R295">
        <v>1758944</v>
      </c>
    </row>
    <row r="296" spans="1:18" x14ac:dyDescent="0.25">
      <c r="A296" s="170">
        <v>42433</v>
      </c>
      <c r="B296" s="116">
        <v>176</v>
      </c>
      <c r="C296" s="116">
        <v>173.3</v>
      </c>
      <c r="D296" s="116">
        <v>171.1</v>
      </c>
      <c r="E296" s="116">
        <v>172</v>
      </c>
      <c r="F296" s="116">
        <v>173.3</v>
      </c>
      <c r="G296">
        <v>176498</v>
      </c>
      <c r="H296" s="116"/>
      <c r="I296" s="116"/>
      <c r="L296" s="170">
        <v>42433</v>
      </c>
      <c r="M296" s="116">
        <v>173.45</v>
      </c>
      <c r="N296" s="116">
        <v>176</v>
      </c>
      <c r="O296" s="116">
        <v>171.1</v>
      </c>
      <c r="P296" s="116">
        <v>172.85</v>
      </c>
      <c r="Q296" s="116">
        <v>173.45</v>
      </c>
      <c r="R296">
        <v>2795241</v>
      </c>
    </row>
    <row r="297" spans="1:18" x14ac:dyDescent="0.25">
      <c r="A297" s="170">
        <v>42437</v>
      </c>
      <c r="B297" s="116">
        <v>178.25</v>
      </c>
      <c r="C297" s="116">
        <v>174.55</v>
      </c>
      <c r="D297" s="116">
        <v>172.35</v>
      </c>
      <c r="E297" s="116">
        <v>173.3</v>
      </c>
      <c r="F297" s="116">
        <v>174.55</v>
      </c>
      <c r="G297">
        <v>84921</v>
      </c>
      <c r="H297" s="116"/>
      <c r="I297" s="116"/>
      <c r="L297" s="170">
        <v>42437</v>
      </c>
      <c r="M297" s="116">
        <v>174.35</v>
      </c>
      <c r="N297" s="116">
        <v>178.25</v>
      </c>
      <c r="O297" s="116">
        <v>171.8</v>
      </c>
      <c r="P297" s="116">
        <v>172.6</v>
      </c>
      <c r="Q297" s="116">
        <v>174.35</v>
      </c>
      <c r="R297">
        <v>1787572</v>
      </c>
    </row>
    <row r="298" spans="1:18" x14ac:dyDescent="0.25">
      <c r="A298" s="170">
        <v>42438</v>
      </c>
      <c r="B298" s="116">
        <v>174</v>
      </c>
      <c r="C298" s="116">
        <v>172.2</v>
      </c>
      <c r="D298" s="116">
        <v>168.75</v>
      </c>
      <c r="E298" s="116">
        <v>171</v>
      </c>
      <c r="F298" s="116">
        <v>172.2</v>
      </c>
      <c r="G298">
        <v>67659</v>
      </c>
      <c r="H298" s="116"/>
      <c r="I298" s="116"/>
      <c r="L298" s="170">
        <v>42438</v>
      </c>
      <c r="M298" s="116">
        <v>172.1</v>
      </c>
      <c r="N298" s="116">
        <v>174.5</v>
      </c>
      <c r="O298" s="116">
        <v>168.65</v>
      </c>
      <c r="P298" s="116">
        <v>172</v>
      </c>
      <c r="Q298" s="116">
        <v>172.1</v>
      </c>
      <c r="R298">
        <v>1143845</v>
      </c>
    </row>
    <row r="299" spans="1:18" x14ac:dyDescent="0.25">
      <c r="A299" s="170">
        <v>42439</v>
      </c>
      <c r="B299" s="116">
        <v>173.2</v>
      </c>
      <c r="C299" s="116">
        <v>169.45</v>
      </c>
      <c r="D299" s="116">
        <v>168</v>
      </c>
      <c r="E299" s="116">
        <v>172.05</v>
      </c>
      <c r="F299" s="116">
        <v>169.45</v>
      </c>
      <c r="G299">
        <v>52182</v>
      </c>
      <c r="H299" s="116"/>
      <c r="I299" s="116"/>
      <c r="L299" s="170">
        <v>42439</v>
      </c>
      <c r="M299" s="116">
        <v>169.75</v>
      </c>
      <c r="N299" s="116">
        <v>173.85</v>
      </c>
      <c r="O299" s="116">
        <v>168.9</v>
      </c>
      <c r="P299" s="116">
        <v>173.6</v>
      </c>
      <c r="Q299" s="116">
        <v>169.75</v>
      </c>
      <c r="R299">
        <v>991559</v>
      </c>
    </row>
    <row r="300" spans="1:18" x14ac:dyDescent="0.25">
      <c r="A300" s="170">
        <v>42440</v>
      </c>
      <c r="B300" s="116">
        <v>171.5</v>
      </c>
      <c r="C300" s="116">
        <v>169.45</v>
      </c>
      <c r="D300" s="116">
        <v>166.9</v>
      </c>
      <c r="E300" s="116">
        <v>167</v>
      </c>
      <c r="F300" s="116">
        <v>169.45</v>
      </c>
      <c r="G300">
        <v>122933</v>
      </c>
      <c r="H300" s="116"/>
      <c r="I300" s="116"/>
      <c r="L300" s="170">
        <v>42440</v>
      </c>
      <c r="M300" s="116">
        <v>169.15</v>
      </c>
      <c r="N300" s="116">
        <v>171.75</v>
      </c>
      <c r="O300" s="116">
        <v>166.9</v>
      </c>
      <c r="P300" s="116">
        <v>169.5</v>
      </c>
      <c r="Q300" s="116">
        <v>169.15</v>
      </c>
      <c r="R300">
        <v>992924</v>
      </c>
    </row>
    <row r="301" spans="1:18" x14ac:dyDescent="0.25">
      <c r="A301" s="170">
        <v>42443</v>
      </c>
      <c r="B301" s="116">
        <v>172.3</v>
      </c>
      <c r="C301" s="116">
        <v>170.5</v>
      </c>
      <c r="D301" s="116">
        <v>169.65</v>
      </c>
      <c r="E301" s="116">
        <v>171.95</v>
      </c>
      <c r="F301" s="116">
        <v>170.5</v>
      </c>
      <c r="G301">
        <v>72120</v>
      </c>
      <c r="H301" s="116"/>
      <c r="I301" s="116"/>
      <c r="L301" s="170">
        <v>42443</v>
      </c>
      <c r="M301" s="116">
        <v>170.45</v>
      </c>
      <c r="N301" s="116">
        <v>172.2</v>
      </c>
      <c r="O301" s="116">
        <v>169.6</v>
      </c>
      <c r="P301" s="116">
        <v>170.55</v>
      </c>
      <c r="Q301" s="116">
        <v>170.45</v>
      </c>
      <c r="R301">
        <v>543555</v>
      </c>
    </row>
    <row r="302" spans="1:18" x14ac:dyDescent="0.25">
      <c r="A302" s="170">
        <v>42444</v>
      </c>
      <c r="B302" s="116">
        <v>172.9</v>
      </c>
      <c r="C302" s="116">
        <v>171.45</v>
      </c>
      <c r="D302" s="116">
        <v>170</v>
      </c>
      <c r="E302" s="116">
        <v>170.25</v>
      </c>
      <c r="F302" s="116">
        <v>171.45</v>
      </c>
      <c r="G302">
        <v>94282</v>
      </c>
      <c r="H302" s="116"/>
      <c r="I302" s="116"/>
      <c r="L302" s="170">
        <v>42444</v>
      </c>
      <c r="M302" s="116">
        <v>171.6</v>
      </c>
      <c r="N302" s="116">
        <v>172.9</v>
      </c>
      <c r="O302" s="116">
        <v>169.1</v>
      </c>
      <c r="P302" s="116">
        <v>169.5</v>
      </c>
      <c r="Q302" s="116">
        <v>171.6</v>
      </c>
      <c r="R302">
        <v>879945</v>
      </c>
    </row>
    <row r="303" spans="1:18" x14ac:dyDescent="0.25">
      <c r="A303" s="170">
        <v>42445</v>
      </c>
      <c r="B303" s="116">
        <v>171.65</v>
      </c>
      <c r="C303" s="116">
        <v>168.8</v>
      </c>
      <c r="D303" s="116">
        <v>166.75</v>
      </c>
      <c r="E303" s="116">
        <v>170.8</v>
      </c>
      <c r="F303" s="116">
        <v>168.8</v>
      </c>
      <c r="G303">
        <v>38444</v>
      </c>
      <c r="H303" s="116"/>
      <c r="I303" s="116"/>
      <c r="L303" s="170">
        <v>42445</v>
      </c>
      <c r="M303" s="116">
        <v>169.2</v>
      </c>
      <c r="N303" s="116">
        <v>171.9</v>
      </c>
      <c r="O303" s="116">
        <v>166.8</v>
      </c>
      <c r="P303" s="116">
        <v>170.05</v>
      </c>
      <c r="Q303" s="116">
        <v>169.2</v>
      </c>
      <c r="R303">
        <v>602327</v>
      </c>
    </row>
    <row r="304" spans="1:18" x14ac:dyDescent="0.25">
      <c r="A304" s="170">
        <v>42446</v>
      </c>
      <c r="B304" s="116">
        <v>172.3</v>
      </c>
      <c r="C304" s="116">
        <v>168.95</v>
      </c>
      <c r="D304" s="116">
        <v>168.45</v>
      </c>
      <c r="E304" s="116">
        <v>170.1</v>
      </c>
      <c r="F304" s="116">
        <v>168.95</v>
      </c>
      <c r="G304">
        <v>44902</v>
      </c>
      <c r="H304" s="116"/>
      <c r="I304" s="116"/>
      <c r="L304" s="170">
        <v>42446</v>
      </c>
      <c r="M304" s="116">
        <v>169.1</v>
      </c>
      <c r="N304" s="116">
        <v>172.4</v>
      </c>
      <c r="O304" s="116">
        <v>168.4</v>
      </c>
      <c r="P304" s="116">
        <v>170</v>
      </c>
      <c r="Q304" s="116">
        <v>169.1</v>
      </c>
      <c r="R304">
        <v>730586</v>
      </c>
    </row>
    <row r="305" spans="1:18" x14ac:dyDescent="0.25">
      <c r="A305" s="170">
        <v>42447</v>
      </c>
      <c r="B305" s="116">
        <v>173.4</v>
      </c>
      <c r="C305" s="116">
        <v>171.55</v>
      </c>
      <c r="D305" s="116">
        <v>170.9</v>
      </c>
      <c r="E305" s="116">
        <v>172</v>
      </c>
      <c r="F305" s="116">
        <v>171.55</v>
      </c>
      <c r="G305">
        <v>81582</v>
      </c>
      <c r="H305" s="116"/>
      <c r="I305" s="116"/>
      <c r="L305" s="170">
        <v>42447</v>
      </c>
      <c r="M305" s="116">
        <v>171.5</v>
      </c>
      <c r="N305" s="116">
        <v>173.2</v>
      </c>
      <c r="O305" s="116">
        <v>171</v>
      </c>
      <c r="P305" s="116">
        <v>171</v>
      </c>
      <c r="Q305" s="116">
        <v>171.5</v>
      </c>
      <c r="R305">
        <v>994232</v>
      </c>
    </row>
    <row r="306" spans="1:18" x14ac:dyDescent="0.25">
      <c r="A306" s="170">
        <v>42450</v>
      </c>
      <c r="B306" s="116">
        <v>173.2</v>
      </c>
      <c r="C306" s="116">
        <v>171.5</v>
      </c>
      <c r="D306" s="116">
        <v>170.1</v>
      </c>
      <c r="E306" s="116">
        <v>170.1</v>
      </c>
      <c r="F306" s="116">
        <v>171.5</v>
      </c>
      <c r="G306">
        <v>51729</v>
      </c>
      <c r="H306" s="116"/>
      <c r="I306" s="116"/>
      <c r="L306" s="170">
        <v>42450</v>
      </c>
      <c r="M306" s="116">
        <v>171.55</v>
      </c>
      <c r="N306" s="116">
        <v>173.2</v>
      </c>
      <c r="O306" s="116">
        <v>170.45</v>
      </c>
      <c r="P306" s="116">
        <v>170.95</v>
      </c>
      <c r="Q306" s="116">
        <v>171.55</v>
      </c>
      <c r="R306">
        <v>707187</v>
      </c>
    </row>
    <row r="307" spans="1:18" x14ac:dyDescent="0.25">
      <c r="A307" s="170">
        <v>42451</v>
      </c>
      <c r="B307" s="116">
        <v>172.65</v>
      </c>
      <c r="C307" s="116">
        <v>170.05</v>
      </c>
      <c r="D307" s="116">
        <v>169.65</v>
      </c>
      <c r="E307" s="116">
        <v>171.5</v>
      </c>
      <c r="F307" s="116">
        <v>170.05</v>
      </c>
      <c r="G307">
        <v>60569</v>
      </c>
      <c r="H307" s="116"/>
      <c r="I307" s="116"/>
      <c r="L307" s="170">
        <v>42451</v>
      </c>
      <c r="M307" s="116">
        <v>170</v>
      </c>
      <c r="N307" s="116">
        <v>172.65</v>
      </c>
      <c r="O307" s="116">
        <v>169.2</v>
      </c>
      <c r="P307" s="116">
        <v>171.85</v>
      </c>
      <c r="Q307" s="116">
        <v>170</v>
      </c>
      <c r="R307">
        <v>1001930</v>
      </c>
    </row>
    <row r="308" spans="1:18" x14ac:dyDescent="0.25">
      <c r="A308" s="170">
        <v>42452</v>
      </c>
      <c r="B308" s="116">
        <v>172</v>
      </c>
      <c r="C308" s="116">
        <v>169.6</v>
      </c>
      <c r="D308" s="116">
        <v>169</v>
      </c>
      <c r="E308" s="116">
        <v>170.15</v>
      </c>
      <c r="F308" s="116">
        <v>169.6</v>
      </c>
      <c r="G308">
        <v>45218</v>
      </c>
      <c r="H308" s="116"/>
      <c r="I308" s="116"/>
      <c r="L308" s="170">
        <v>42452</v>
      </c>
      <c r="M308" s="116">
        <v>169.55</v>
      </c>
      <c r="N308" s="116">
        <v>172.05</v>
      </c>
      <c r="O308" s="116">
        <v>169.05</v>
      </c>
      <c r="P308" s="116">
        <v>170.6</v>
      </c>
      <c r="Q308" s="116">
        <v>169.55</v>
      </c>
      <c r="R308">
        <v>1058402</v>
      </c>
    </row>
    <row r="309" spans="1:18" x14ac:dyDescent="0.25">
      <c r="A309" s="170">
        <v>42457</v>
      </c>
      <c r="B309" s="116">
        <v>171</v>
      </c>
      <c r="C309" s="116">
        <v>167.85</v>
      </c>
      <c r="D309" s="116">
        <v>166.15</v>
      </c>
      <c r="E309" s="116">
        <v>171</v>
      </c>
      <c r="F309" s="116">
        <v>167.85</v>
      </c>
      <c r="G309">
        <v>49230</v>
      </c>
      <c r="H309" s="116"/>
      <c r="I309" s="116"/>
      <c r="L309" s="170">
        <v>42457</v>
      </c>
      <c r="M309" s="116">
        <v>168</v>
      </c>
      <c r="N309" s="116">
        <v>170.35</v>
      </c>
      <c r="O309" s="116">
        <v>166.2</v>
      </c>
      <c r="P309" s="116">
        <v>170.15</v>
      </c>
      <c r="Q309" s="116">
        <v>168</v>
      </c>
      <c r="R309">
        <v>868427</v>
      </c>
    </row>
    <row r="310" spans="1:18" x14ac:dyDescent="0.25">
      <c r="A310" s="170">
        <v>42458</v>
      </c>
      <c r="B310" s="116">
        <v>171.1</v>
      </c>
      <c r="C310" s="116">
        <v>169.8</v>
      </c>
      <c r="D310" s="116">
        <v>167.4</v>
      </c>
      <c r="E310" s="116">
        <v>167.8</v>
      </c>
      <c r="F310" s="116">
        <v>169.8</v>
      </c>
      <c r="G310">
        <v>65408</v>
      </c>
      <c r="H310" s="116"/>
      <c r="I310" s="116"/>
      <c r="L310" s="170">
        <v>42458</v>
      </c>
      <c r="M310" s="116">
        <v>169.95</v>
      </c>
      <c r="N310" s="116">
        <v>171.45</v>
      </c>
      <c r="O310" s="116">
        <v>167.1</v>
      </c>
      <c r="P310" s="116">
        <v>167.1</v>
      </c>
      <c r="Q310" s="116">
        <v>169.95</v>
      </c>
      <c r="R310">
        <v>1004592</v>
      </c>
    </row>
    <row r="311" spans="1:18" x14ac:dyDescent="0.25">
      <c r="A311" s="170">
        <v>42459</v>
      </c>
      <c r="B311" s="116">
        <v>175.8</v>
      </c>
      <c r="C311" s="116">
        <v>175.15</v>
      </c>
      <c r="D311" s="116">
        <v>171</v>
      </c>
      <c r="E311" s="116">
        <v>171</v>
      </c>
      <c r="F311" s="116">
        <v>175.15</v>
      </c>
      <c r="G311">
        <v>352828</v>
      </c>
      <c r="H311" s="116"/>
      <c r="I311" s="116"/>
      <c r="L311" s="170">
        <v>42459</v>
      </c>
      <c r="M311" s="116">
        <v>175.05</v>
      </c>
      <c r="N311" s="116">
        <v>176</v>
      </c>
      <c r="O311" s="116">
        <v>171.5</v>
      </c>
      <c r="P311" s="116">
        <v>171.5</v>
      </c>
      <c r="Q311" s="116">
        <v>175.05</v>
      </c>
      <c r="R311">
        <v>1975072</v>
      </c>
    </row>
    <row r="312" spans="1:18" x14ac:dyDescent="0.25">
      <c r="A312" s="170">
        <v>42460</v>
      </c>
      <c r="B312" s="116">
        <v>199.8</v>
      </c>
      <c r="C312" s="116">
        <v>183.5</v>
      </c>
      <c r="D312" s="116">
        <v>181</v>
      </c>
      <c r="E312" s="116">
        <v>192</v>
      </c>
      <c r="F312" s="116">
        <v>183.5</v>
      </c>
      <c r="G312">
        <v>2509266</v>
      </c>
      <c r="H312" s="116"/>
      <c r="I312" s="116"/>
      <c r="L312" s="170">
        <v>42460</v>
      </c>
      <c r="M312" s="116">
        <v>183.6</v>
      </c>
      <c r="N312" s="116">
        <v>196.8</v>
      </c>
      <c r="O312" s="116">
        <v>180.7</v>
      </c>
      <c r="P312" s="116">
        <v>192.55</v>
      </c>
      <c r="Q312" s="116">
        <v>183.6</v>
      </c>
      <c r="R312">
        <v>20990886</v>
      </c>
    </row>
    <row r="313" spans="1:18" x14ac:dyDescent="0.25">
      <c r="A313" s="170">
        <v>42461</v>
      </c>
      <c r="B313" s="116">
        <v>186.35</v>
      </c>
      <c r="C313" s="116">
        <v>184.85</v>
      </c>
      <c r="D313" s="116">
        <v>183.8</v>
      </c>
      <c r="E313" s="116">
        <v>185</v>
      </c>
      <c r="F313" s="116">
        <v>184.85</v>
      </c>
      <c r="G313">
        <v>590399</v>
      </c>
      <c r="H313" s="116"/>
      <c r="I313" s="116"/>
      <c r="L313" s="170">
        <v>42461</v>
      </c>
      <c r="M313" s="116">
        <v>184.8</v>
      </c>
      <c r="N313" s="116">
        <v>186.45</v>
      </c>
      <c r="O313" s="116">
        <v>183.7</v>
      </c>
      <c r="P313" s="116">
        <v>183.85</v>
      </c>
      <c r="Q313" s="116">
        <v>184.8</v>
      </c>
      <c r="R313">
        <v>4312585</v>
      </c>
    </row>
    <row r="314" spans="1:18" x14ac:dyDescent="0.25">
      <c r="A314" s="170">
        <v>42464</v>
      </c>
      <c r="B314" s="116">
        <v>189.65</v>
      </c>
      <c r="C314" s="116">
        <v>188.25</v>
      </c>
      <c r="D314" s="116">
        <v>185.1</v>
      </c>
      <c r="E314" s="116">
        <v>186</v>
      </c>
      <c r="F314" s="116">
        <v>188.25</v>
      </c>
      <c r="G314">
        <v>603971</v>
      </c>
      <c r="H314" s="116"/>
      <c r="I314" s="116"/>
      <c r="L314" s="170">
        <v>42464</v>
      </c>
      <c r="M314" s="116">
        <v>188.2</v>
      </c>
      <c r="N314" s="116">
        <v>189.8</v>
      </c>
      <c r="O314" s="116">
        <v>185</v>
      </c>
      <c r="P314" s="116">
        <v>186</v>
      </c>
      <c r="Q314" s="116">
        <v>188.2</v>
      </c>
      <c r="R314">
        <v>5886098</v>
      </c>
    </row>
    <row r="315" spans="1:18" x14ac:dyDescent="0.25">
      <c r="A315" s="170">
        <v>42465</v>
      </c>
      <c r="B315" s="116">
        <v>189.2</v>
      </c>
      <c r="C315" s="116">
        <v>187.05</v>
      </c>
      <c r="D315" s="116">
        <v>185.75</v>
      </c>
      <c r="E315" s="116">
        <v>188.5</v>
      </c>
      <c r="F315" s="116">
        <v>187.05</v>
      </c>
      <c r="G315">
        <v>558815</v>
      </c>
      <c r="H315" s="116"/>
      <c r="I315" s="116"/>
      <c r="L315" s="170">
        <v>42465</v>
      </c>
      <c r="M315" s="116">
        <v>186.75</v>
      </c>
      <c r="N315" s="116">
        <v>189.4</v>
      </c>
      <c r="O315" s="116">
        <v>185.25</v>
      </c>
      <c r="P315" s="116">
        <v>188.5</v>
      </c>
      <c r="Q315" s="116">
        <v>186.75</v>
      </c>
      <c r="R315">
        <v>5053411</v>
      </c>
    </row>
    <row r="316" spans="1:18" x14ac:dyDescent="0.25">
      <c r="A316" s="170">
        <v>42466</v>
      </c>
      <c r="B316" s="116">
        <v>165</v>
      </c>
      <c r="C316" s="116">
        <v>162.05000000000001</v>
      </c>
      <c r="D316" s="116">
        <v>160.85</v>
      </c>
      <c r="E316" s="116">
        <v>163</v>
      </c>
      <c r="F316" s="116">
        <v>162.05000000000001</v>
      </c>
      <c r="G316">
        <v>494496</v>
      </c>
      <c r="H316" s="116"/>
      <c r="I316" s="116"/>
      <c r="L316" s="170">
        <v>42466</v>
      </c>
      <c r="M316" s="116">
        <v>162.19999999999999</v>
      </c>
      <c r="N316" s="116">
        <v>165.4</v>
      </c>
      <c r="O316" s="116">
        <v>160.80000000000001</v>
      </c>
      <c r="P316" s="116">
        <v>163</v>
      </c>
      <c r="Q316" s="116">
        <v>162.19999999999999</v>
      </c>
      <c r="R316">
        <v>4263143</v>
      </c>
    </row>
    <row r="317" spans="1:18" x14ac:dyDescent="0.25">
      <c r="A317" s="170">
        <v>42467</v>
      </c>
      <c r="B317" s="116">
        <v>162.9</v>
      </c>
      <c r="C317" s="116">
        <v>160.65</v>
      </c>
      <c r="D317" s="116">
        <v>160</v>
      </c>
      <c r="E317" s="116">
        <v>162.9</v>
      </c>
      <c r="F317" s="116">
        <v>160.65</v>
      </c>
      <c r="G317">
        <v>115793</v>
      </c>
      <c r="H317" s="116"/>
      <c r="I317" s="116"/>
      <c r="L317" s="170">
        <v>42467</v>
      </c>
      <c r="M317" s="116">
        <v>160.5</v>
      </c>
      <c r="N317" s="116">
        <v>163.30000000000001</v>
      </c>
      <c r="O317" s="116">
        <v>159.85</v>
      </c>
      <c r="P317" s="116">
        <v>163.30000000000001</v>
      </c>
      <c r="Q317" s="116">
        <v>160.5</v>
      </c>
      <c r="R317">
        <v>1953749</v>
      </c>
    </row>
    <row r="318" spans="1:18" x14ac:dyDescent="0.25">
      <c r="A318" s="170">
        <v>42468</v>
      </c>
      <c r="B318" s="116">
        <v>161.30000000000001</v>
      </c>
      <c r="C318" s="116">
        <v>160.19999999999999</v>
      </c>
      <c r="D318" s="116">
        <v>158.19999999999999</v>
      </c>
      <c r="E318" s="116">
        <v>161.30000000000001</v>
      </c>
      <c r="F318" s="116">
        <v>160.19999999999999</v>
      </c>
      <c r="G318">
        <v>130064</v>
      </c>
      <c r="H318" s="116"/>
      <c r="I318" s="116"/>
      <c r="L318" s="170">
        <v>42468</v>
      </c>
      <c r="M318" s="116">
        <v>160.1</v>
      </c>
      <c r="N318" s="116">
        <v>161.4</v>
      </c>
      <c r="O318" s="116">
        <v>158.19999999999999</v>
      </c>
      <c r="P318" s="116">
        <v>160</v>
      </c>
      <c r="Q318" s="116">
        <v>160.1</v>
      </c>
      <c r="R318">
        <v>1675482</v>
      </c>
    </row>
    <row r="319" spans="1:18" x14ac:dyDescent="0.25">
      <c r="A319" s="170">
        <v>42471</v>
      </c>
      <c r="B319" s="116">
        <v>161.4</v>
      </c>
      <c r="C319" s="116">
        <v>160.1</v>
      </c>
      <c r="D319" s="116">
        <v>158.6</v>
      </c>
      <c r="E319" s="116">
        <v>159.69999999999999</v>
      </c>
      <c r="F319" s="116">
        <v>160.1</v>
      </c>
      <c r="G319">
        <v>106073</v>
      </c>
      <c r="H319" s="116"/>
      <c r="I319" s="116"/>
      <c r="L319" s="170">
        <v>42471</v>
      </c>
      <c r="M319" s="116">
        <v>160.25</v>
      </c>
      <c r="N319" s="116">
        <v>161.4</v>
      </c>
      <c r="O319" s="116">
        <v>158.55000000000001</v>
      </c>
      <c r="P319" s="116">
        <v>160</v>
      </c>
      <c r="Q319" s="116">
        <v>160.25</v>
      </c>
      <c r="R319">
        <v>1451819</v>
      </c>
    </row>
    <row r="320" spans="1:18" x14ac:dyDescent="0.25">
      <c r="A320" s="170">
        <v>42472</v>
      </c>
      <c r="B320" s="116">
        <v>160.94999999999999</v>
      </c>
      <c r="C320" s="116">
        <v>159.69999999999999</v>
      </c>
      <c r="D320" s="116">
        <v>159.1</v>
      </c>
      <c r="E320" s="116">
        <v>159.19999999999999</v>
      </c>
      <c r="F320" s="116">
        <v>159.69999999999999</v>
      </c>
      <c r="G320">
        <v>158574</v>
      </c>
      <c r="H320" s="116"/>
      <c r="I320" s="116"/>
      <c r="L320" s="170">
        <v>42472</v>
      </c>
      <c r="M320" s="116">
        <v>159.55000000000001</v>
      </c>
      <c r="N320" s="116">
        <v>160.9</v>
      </c>
      <c r="O320" s="116">
        <v>159</v>
      </c>
      <c r="P320" s="116">
        <v>160.55000000000001</v>
      </c>
      <c r="Q320" s="116">
        <v>159.55000000000001</v>
      </c>
      <c r="R320">
        <v>997032</v>
      </c>
    </row>
    <row r="321" spans="1:18" x14ac:dyDescent="0.25">
      <c r="A321" s="170">
        <v>42473</v>
      </c>
      <c r="B321" s="116">
        <v>166.25</v>
      </c>
      <c r="C321" s="116">
        <v>165.6</v>
      </c>
      <c r="D321" s="116">
        <v>160.5</v>
      </c>
      <c r="E321" s="116">
        <v>160.5</v>
      </c>
      <c r="F321" s="116">
        <v>165.6</v>
      </c>
      <c r="G321">
        <v>325164</v>
      </c>
      <c r="H321" s="116"/>
      <c r="I321" s="116"/>
      <c r="L321" s="170">
        <v>42473</v>
      </c>
      <c r="M321" s="116">
        <v>165.95</v>
      </c>
      <c r="N321" s="116">
        <v>166.35</v>
      </c>
      <c r="O321" s="116">
        <v>160.4</v>
      </c>
      <c r="P321" s="116">
        <v>160.4</v>
      </c>
      <c r="Q321" s="116">
        <v>165.95</v>
      </c>
      <c r="R321">
        <v>2443394</v>
      </c>
    </row>
    <row r="322" spans="1:18" x14ac:dyDescent="0.25">
      <c r="A322" s="170">
        <v>42478</v>
      </c>
      <c r="B322" s="116">
        <v>169.4</v>
      </c>
      <c r="C322" s="116">
        <v>168.35</v>
      </c>
      <c r="D322" s="116">
        <v>166.15</v>
      </c>
      <c r="E322" s="116">
        <v>167</v>
      </c>
      <c r="F322" s="116">
        <v>168.35</v>
      </c>
      <c r="G322">
        <v>176553</v>
      </c>
      <c r="H322" s="116"/>
      <c r="I322" s="116"/>
      <c r="L322" s="170">
        <v>42478</v>
      </c>
      <c r="M322" s="116">
        <v>168.95</v>
      </c>
      <c r="N322" s="116">
        <v>169.5</v>
      </c>
      <c r="O322" s="116">
        <v>166</v>
      </c>
      <c r="P322" s="116">
        <v>166.5</v>
      </c>
      <c r="Q322" s="116">
        <v>168.95</v>
      </c>
      <c r="R322">
        <v>1449379</v>
      </c>
    </row>
    <row r="323" spans="1:18" x14ac:dyDescent="0.25">
      <c r="A323" s="170">
        <v>42480</v>
      </c>
      <c r="B323" s="116">
        <v>180</v>
      </c>
      <c r="C323" s="116">
        <v>174.65</v>
      </c>
      <c r="D323" s="116">
        <v>169.65</v>
      </c>
      <c r="E323" s="116">
        <v>170</v>
      </c>
      <c r="F323" s="116">
        <v>174.65</v>
      </c>
      <c r="G323">
        <v>439122</v>
      </c>
      <c r="H323" s="116"/>
      <c r="I323" s="116"/>
      <c r="L323" s="170">
        <v>42480</v>
      </c>
      <c r="M323" s="116">
        <v>174.95</v>
      </c>
      <c r="N323" s="116">
        <v>180.2</v>
      </c>
      <c r="O323" s="116">
        <v>170</v>
      </c>
      <c r="P323" s="116">
        <v>170.15</v>
      </c>
      <c r="Q323" s="116">
        <v>174.95</v>
      </c>
      <c r="R323">
        <v>3557654</v>
      </c>
    </row>
    <row r="324" spans="1:18" x14ac:dyDescent="0.25">
      <c r="A324" s="170">
        <v>42481</v>
      </c>
      <c r="B324" s="116">
        <v>176.8</v>
      </c>
      <c r="C324" s="116">
        <v>173.95</v>
      </c>
      <c r="D324" s="116">
        <v>171.5</v>
      </c>
      <c r="E324" s="116">
        <v>176.8</v>
      </c>
      <c r="F324" s="116">
        <v>173.95</v>
      </c>
      <c r="G324">
        <v>458564</v>
      </c>
      <c r="H324" s="116"/>
      <c r="I324" s="116"/>
      <c r="L324" s="170">
        <v>42481</v>
      </c>
      <c r="M324" s="116">
        <v>174.15</v>
      </c>
      <c r="N324" s="116">
        <v>176.05</v>
      </c>
      <c r="O324" s="116">
        <v>171.35</v>
      </c>
      <c r="P324" s="116">
        <v>176</v>
      </c>
      <c r="Q324" s="116">
        <v>174.15</v>
      </c>
      <c r="R324">
        <v>4553143</v>
      </c>
    </row>
    <row r="325" spans="1:18" x14ac:dyDescent="0.25">
      <c r="A325" s="170">
        <v>42482</v>
      </c>
      <c r="B325" s="116">
        <v>173.7</v>
      </c>
      <c r="C325" s="116">
        <v>172.1</v>
      </c>
      <c r="D325" s="116">
        <v>167.85</v>
      </c>
      <c r="E325" s="116">
        <v>171</v>
      </c>
      <c r="F325" s="116">
        <v>172.1</v>
      </c>
      <c r="G325">
        <v>288955</v>
      </c>
      <c r="H325" s="116"/>
      <c r="I325" s="116"/>
      <c r="L325" s="170">
        <v>42482</v>
      </c>
      <c r="M325" s="116">
        <v>172.1</v>
      </c>
      <c r="N325" s="116">
        <v>173.8</v>
      </c>
      <c r="O325" s="116">
        <v>167.85</v>
      </c>
      <c r="P325" s="116">
        <v>170.65</v>
      </c>
      <c r="Q325" s="116">
        <v>172.1</v>
      </c>
      <c r="R325">
        <v>3022091</v>
      </c>
    </row>
    <row r="326" spans="1:18" x14ac:dyDescent="0.25">
      <c r="A326" s="170">
        <v>42485</v>
      </c>
      <c r="B326" s="116">
        <v>172.1</v>
      </c>
      <c r="C326" s="116">
        <v>169.45</v>
      </c>
      <c r="D326" s="116">
        <v>168.05</v>
      </c>
      <c r="E326" s="116">
        <v>172.1</v>
      </c>
      <c r="F326" s="116">
        <v>169.45</v>
      </c>
      <c r="G326">
        <v>70219</v>
      </c>
      <c r="H326" s="116"/>
      <c r="I326" s="116"/>
      <c r="L326" s="170">
        <v>42485</v>
      </c>
      <c r="M326" s="116">
        <v>169.5</v>
      </c>
      <c r="N326" s="116">
        <v>172.15</v>
      </c>
      <c r="O326" s="116">
        <v>168.05</v>
      </c>
      <c r="P326" s="116">
        <v>172.1</v>
      </c>
      <c r="Q326" s="116">
        <v>169.5</v>
      </c>
      <c r="R326">
        <v>685831</v>
      </c>
    </row>
    <row r="327" spans="1:18" x14ac:dyDescent="0.25">
      <c r="A327" s="170">
        <v>42486</v>
      </c>
      <c r="B327" s="116">
        <v>173</v>
      </c>
      <c r="C327" s="116">
        <v>172.5</v>
      </c>
      <c r="D327" s="116">
        <v>168.9</v>
      </c>
      <c r="E327" s="116">
        <v>169.45</v>
      </c>
      <c r="F327" s="116">
        <v>172.5</v>
      </c>
      <c r="G327">
        <v>103323</v>
      </c>
      <c r="H327" s="116"/>
      <c r="I327" s="116"/>
      <c r="L327" s="170">
        <v>42486</v>
      </c>
      <c r="M327" s="116">
        <v>172.5</v>
      </c>
      <c r="N327" s="116">
        <v>173.4</v>
      </c>
      <c r="O327" s="116">
        <v>168</v>
      </c>
      <c r="P327" s="116">
        <v>169</v>
      </c>
      <c r="Q327" s="116">
        <v>172.5</v>
      </c>
      <c r="R327">
        <v>2132584</v>
      </c>
    </row>
    <row r="328" spans="1:18" x14ac:dyDescent="0.25">
      <c r="A328" s="170">
        <v>42487</v>
      </c>
      <c r="B328" s="116">
        <v>174.65</v>
      </c>
      <c r="C328" s="116">
        <v>172.45</v>
      </c>
      <c r="D328" s="116">
        <v>171.55</v>
      </c>
      <c r="E328" s="116">
        <v>173</v>
      </c>
      <c r="F328" s="116">
        <v>172.45</v>
      </c>
      <c r="G328">
        <v>75892</v>
      </c>
      <c r="H328" s="116"/>
      <c r="I328" s="116"/>
      <c r="L328" s="170">
        <v>42487</v>
      </c>
      <c r="M328" s="116">
        <v>172.9</v>
      </c>
      <c r="N328" s="116">
        <v>174.45</v>
      </c>
      <c r="O328" s="116">
        <v>172.15</v>
      </c>
      <c r="P328" s="116">
        <v>173.2</v>
      </c>
      <c r="Q328" s="116">
        <v>172.9</v>
      </c>
      <c r="R328">
        <v>1302931</v>
      </c>
    </row>
    <row r="329" spans="1:18" x14ac:dyDescent="0.25">
      <c r="A329" s="170">
        <v>42488</v>
      </c>
      <c r="B329" s="116">
        <v>173.4</v>
      </c>
      <c r="C329" s="116">
        <v>171.8</v>
      </c>
      <c r="D329" s="116">
        <v>169.65</v>
      </c>
      <c r="E329" s="116">
        <v>172.95</v>
      </c>
      <c r="F329" s="116">
        <v>171.8</v>
      </c>
      <c r="G329">
        <v>100839</v>
      </c>
      <c r="H329" s="116"/>
      <c r="I329" s="116"/>
      <c r="L329" s="170">
        <v>42488</v>
      </c>
      <c r="M329" s="116">
        <v>172.1</v>
      </c>
      <c r="N329" s="116">
        <v>173.65</v>
      </c>
      <c r="O329" s="116">
        <v>169.3</v>
      </c>
      <c r="P329" s="116">
        <v>172.75</v>
      </c>
      <c r="Q329" s="116">
        <v>172.1</v>
      </c>
      <c r="R329">
        <v>3523337</v>
      </c>
    </row>
    <row r="330" spans="1:18" x14ac:dyDescent="0.25">
      <c r="A330" s="170">
        <v>42489</v>
      </c>
      <c r="B330" s="116">
        <v>173</v>
      </c>
      <c r="C330" s="116">
        <v>171.85</v>
      </c>
      <c r="D330" s="116">
        <v>170.15</v>
      </c>
      <c r="E330" s="116">
        <v>170.45</v>
      </c>
      <c r="F330" s="116">
        <v>171.85</v>
      </c>
      <c r="G330">
        <v>88357</v>
      </c>
      <c r="H330" s="116"/>
      <c r="I330" s="116"/>
      <c r="L330" s="170">
        <v>42489</v>
      </c>
      <c r="M330" s="116">
        <v>172.1</v>
      </c>
      <c r="N330" s="116">
        <v>173</v>
      </c>
      <c r="O330" s="116">
        <v>170.25</v>
      </c>
      <c r="P330" s="116">
        <v>171.9</v>
      </c>
      <c r="Q330" s="116">
        <v>172.1</v>
      </c>
      <c r="R330">
        <v>950859</v>
      </c>
    </row>
    <row r="331" spans="1:18" x14ac:dyDescent="0.25">
      <c r="A331" s="170">
        <v>42492</v>
      </c>
      <c r="B331" s="116">
        <v>176</v>
      </c>
      <c r="C331" s="116">
        <v>174.1</v>
      </c>
      <c r="D331" s="116">
        <v>170.2</v>
      </c>
      <c r="E331" s="116">
        <v>171</v>
      </c>
      <c r="F331" s="116">
        <v>174.1</v>
      </c>
      <c r="G331">
        <v>82858</v>
      </c>
      <c r="H331" s="116"/>
      <c r="I331" s="116"/>
      <c r="L331" s="170">
        <v>42492</v>
      </c>
      <c r="M331" s="116">
        <v>174.45</v>
      </c>
      <c r="N331" s="116">
        <v>176.1</v>
      </c>
      <c r="O331" s="116">
        <v>170.2</v>
      </c>
      <c r="P331" s="116">
        <v>171.9</v>
      </c>
      <c r="Q331" s="116">
        <v>174.45</v>
      </c>
      <c r="R331">
        <v>1242234</v>
      </c>
    </row>
    <row r="332" spans="1:18" x14ac:dyDescent="0.25">
      <c r="A332" s="170">
        <v>42493</v>
      </c>
      <c r="B332" s="116">
        <v>176.45</v>
      </c>
      <c r="C332" s="116">
        <v>172.8</v>
      </c>
      <c r="D332" s="116">
        <v>172.1</v>
      </c>
      <c r="E332" s="116">
        <v>175</v>
      </c>
      <c r="F332" s="116">
        <v>172.8</v>
      </c>
      <c r="G332">
        <v>58566</v>
      </c>
      <c r="H332" s="116"/>
      <c r="I332" s="116"/>
      <c r="L332" s="170">
        <v>42493</v>
      </c>
      <c r="M332" s="116">
        <v>173.05</v>
      </c>
      <c r="N332" s="116">
        <v>177</v>
      </c>
      <c r="O332" s="116">
        <v>172.2</v>
      </c>
      <c r="P332" s="116">
        <v>174.75</v>
      </c>
      <c r="Q332" s="116">
        <v>173.05</v>
      </c>
      <c r="R332">
        <v>972379</v>
      </c>
    </row>
    <row r="333" spans="1:18" x14ac:dyDescent="0.25">
      <c r="A333" s="170">
        <v>42494</v>
      </c>
      <c r="B333" s="116">
        <v>172.3</v>
      </c>
      <c r="C333" s="116">
        <v>165.6</v>
      </c>
      <c r="D333" s="116">
        <v>164.25</v>
      </c>
      <c r="E333" s="116">
        <v>169</v>
      </c>
      <c r="F333" s="116">
        <v>165.6</v>
      </c>
      <c r="G333">
        <v>81418</v>
      </c>
      <c r="H333" s="116"/>
      <c r="I333" s="116"/>
      <c r="L333" s="170">
        <v>42494</v>
      </c>
      <c r="M333" s="116">
        <v>165.85</v>
      </c>
      <c r="N333" s="116">
        <v>172.3</v>
      </c>
      <c r="O333" s="116">
        <v>164.15</v>
      </c>
      <c r="P333" s="116">
        <v>171.1</v>
      </c>
      <c r="Q333" s="116">
        <v>165.85</v>
      </c>
      <c r="R333">
        <v>1129457</v>
      </c>
    </row>
    <row r="334" spans="1:18" x14ac:dyDescent="0.25">
      <c r="A334" s="170">
        <v>42495</v>
      </c>
      <c r="B334" s="116">
        <v>169.9</v>
      </c>
      <c r="C334" s="116">
        <v>167.65</v>
      </c>
      <c r="D334" s="116">
        <v>164.2</v>
      </c>
      <c r="E334" s="116">
        <v>164.2</v>
      </c>
      <c r="F334" s="116">
        <v>167.65</v>
      </c>
      <c r="G334">
        <v>70657</v>
      </c>
      <c r="H334" s="116"/>
      <c r="I334" s="116"/>
      <c r="L334" s="170">
        <v>42495</v>
      </c>
      <c r="M334" s="116">
        <v>167.75</v>
      </c>
      <c r="N334" s="116">
        <v>170.15</v>
      </c>
      <c r="O334" s="116">
        <v>165</v>
      </c>
      <c r="P334" s="116">
        <v>166.05</v>
      </c>
      <c r="Q334" s="116">
        <v>167.75</v>
      </c>
      <c r="R334">
        <v>1282198</v>
      </c>
    </row>
    <row r="335" spans="1:18" x14ac:dyDescent="0.25">
      <c r="A335" s="170">
        <v>42496</v>
      </c>
      <c r="B335" s="116">
        <v>170.85</v>
      </c>
      <c r="C335" s="116">
        <v>169.75</v>
      </c>
      <c r="D335" s="116">
        <v>166.2</v>
      </c>
      <c r="E335" s="116">
        <v>166.2</v>
      </c>
      <c r="F335" s="116">
        <v>169.75</v>
      </c>
      <c r="G335">
        <v>62080</v>
      </c>
      <c r="H335" s="116"/>
      <c r="I335" s="116"/>
      <c r="L335" s="170">
        <v>42496</v>
      </c>
      <c r="M335" s="116">
        <v>169.95</v>
      </c>
      <c r="N335" s="116">
        <v>170.7</v>
      </c>
      <c r="O335" s="116">
        <v>166</v>
      </c>
      <c r="P335" s="116">
        <v>166</v>
      </c>
      <c r="Q335" s="116">
        <v>169.95</v>
      </c>
      <c r="R335">
        <v>995949</v>
      </c>
    </row>
    <row r="336" spans="1:18" x14ac:dyDescent="0.25">
      <c r="A336" s="170">
        <v>42499</v>
      </c>
      <c r="B336" s="116">
        <v>171.7</v>
      </c>
      <c r="C336" s="116">
        <v>169.6</v>
      </c>
      <c r="D336" s="116">
        <v>169.15</v>
      </c>
      <c r="E336" s="116">
        <v>170.1</v>
      </c>
      <c r="F336" s="116">
        <v>169.6</v>
      </c>
      <c r="G336">
        <v>47839</v>
      </c>
      <c r="H336" s="116"/>
      <c r="I336" s="116"/>
      <c r="L336" s="170">
        <v>42499</v>
      </c>
      <c r="M336" s="116">
        <v>169.75</v>
      </c>
      <c r="N336" s="116">
        <v>171.8</v>
      </c>
      <c r="O336" s="116">
        <v>168.4</v>
      </c>
      <c r="P336" s="116">
        <v>171.8</v>
      </c>
      <c r="Q336" s="116">
        <v>169.75</v>
      </c>
      <c r="R336">
        <v>548357</v>
      </c>
    </row>
    <row r="337" spans="1:18" x14ac:dyDescent="0.25">
      <c r="A337" s="170">
        <v>42500</v>
      </c>
      <c r="B337" s="116">
        <v>169.7</v>
      </c>
      <c r="C337" s="116">
        <v>166.2</v>
      </c>
      <c r="D337" s="116">
        <v>165.15</v>
      </c>
      <c r="E337" s="116">
        <v>169.3</v>
      </c>
      <c r="F337" s="116">
        <v>166.2</v>
      </c>
      <c r="G337">
        <v>41692</v>
      </c>
      <c r="H337" s="116"/>
      <c r="I337" s="116"/>
      <c r="L337" s="170">
        <v>42500</v>
      </c>
      <c r="M337" s="116">
        <v>166.3</v>
      </c>
      <c r="N337" s="116">
        <v>169.7</v>
      </c>
      <c r="O337" s="116">
        <v>165.15</v>
      </c>
      <c r="P337" s="116">
        <v>168.5</v>
      </c>
      <c r="Q337" s="116">
        <v>166.3</v>
      </c>
      <c r="R337">
        <v>1207738</v>
      </c>
    </row>
    <row r="338" spans="1:18" x14ac:dyDescent="0.25">
      <c r="A338" s="170">
        <v>42501</v>
      </c>
      <c r="B338" s="116">
        <v>168.35</v>
      </c>
      <c r="C338" s="116">
        <v>167.35</v>
      </c>
      <c r="D338" s="116">
        <v>163.9</v>
      </c>
      <c r="E338" s="116">
        <v>166.2</v>
      </c>
      <c r="F338" s="116">
        <v>167.35</v>
      </c>
      <c r="G338">
        <v>43971</v>
      </c>
      <c r="H338" s="116"/>
      <c r="I338" s="116"/>
      <c r="L338" s="170">
        <v>42501</v>
      </c>
      <c r="M338" s="116">
        <v>167.85</v>
      </c>
      <c r="N338" s="116">
        <v>168.9</v>
      </c>
      <c r="O338" s="116">
        <v>163.19999999999999</v>
      </c>
      <c r="P338" s="116">
        <v>164</v>
      </c>
      <c r="Q338" s="116">
        <v>167.85</v>
      </c>
      <c r="R338">
        <v>626699</v>
      </c>
    </row>
    <row r="339" spans="1:18" x14ac:dyDescent="0.25">
      <c r="A339" s="170">
        <v>42502</v>
      </c>
      <c r="B339" s="116">
        <v>169.2</v>
      </c>
      <c r="C339" s="116">
        <v>167.8</v>
      </c>
      <c r="D339" s="116">
        <v>166.75</v>
      </c>
      <c r="E339" s="116">
        <v>167.4</v>
      </c>
      <c r="F339" s="116">
        <v>167.8</v>
      </c>
      <c r="G339">
        <v>32283</v>
      </c>
      <c r="H339" s="116"/>
      <c r="I339" s="116"/>
      <c r="L339" s="170">
        <v>42502</v>
      </c>
      <c r="M339" s="116">
        <v>168</v>
      </c>
      <c r="N339" s="116">
        <v>169.35</v>
      </c>
      <c r="O339" s="116">
        <v>166.7</v>
      </c>
      <c r="P339" s="116">
        <v>168</v>
      </c>
      <c r="Q339" s="116">
        <v>168</v>
      </c>
      <c r="R339">
        <v>938093</v>
      </c>
    </row>
    <row r="340" spans="1:18" x14ac:dyDescent="0.25">
      <c r="A340" s="170">
        <v>42503</v>
      </c>
      <c r="B340" s="116">
        <v>168.05</v>
      </c>
      <c r="C340" s="116">
        <v>165.8</v>
      </c>
      <c r="D340" s="116">
        <v>165.2</v>
      </c>
      <c r="E340" s="116">
        <v>167</v>
      </c>
      <c r="F340" s="116">
        <v>165.8</v>
      </c>
      <c r="G340">
        <v>31690</v>
      </c>
      <c r="H340" s="116"/>
      <c r="I340" s="116"/>
      <c r="L340" s="170">
        <v>42503</v>
      </c>
      <c r="M340" s="116">
        <v>166.45</v>
      </c>
      <c r="N340" s="116">
        <v>168.2</v>
      </c>
      <c r="O340" s="116">
        <v>166</v>
      </c>
      <c r="P340" s="116">
        <v>167.3</v>
      </c>
      <c r="Q340" s="116">
        <v>166.45</v>
      </c>
      <c r="R340">
        <v>492038</v>
      </c>
    </row>
    <row r="341" spans="1:18" x14ac:dyDescent="0.25">
      <c r="A341" s="170">
        <v>42506</v>
      </c>
      <c r="B341" s="116">
        <v>168</v>
      </c>
      <c r="C341" s="116">
        <v>166.85</v>
      </c>
      <c r="D341" s="116">
        <v>165.05</v>
      </c>
      <c r="E341" s="116">
        <v>165.5</v>
      </c>
      <c r="F341" s="116">
        <v>166.85</v>
      </c>
      <c r="G341">
        <v>38269</v>
      </c>
      <c r="H341" s="116"/>
      <c r="I341" s="116"/>
      <c r="L341" s="170">
        <v>42506</v>
      </c>
      <c r="M341" s="116">
        <v>167.15</v>
      </c>
      <c r="N341" s="116">
        <v>168.15</v>
      </c>
      <c r="O341" s="116">
        <v>165.1</v>
      </c>
      <c r="P341" s="116">
        <v>167.5</v>
      </c>
      <c r="Q341" s="116">
        <v>167.15</v>
      </c>
      <c r="R341">
        <v>868621</v>
      </c>
    </row>
    <row r="342" spans="1:18" x14ac:dyDescent="0.25">
      <c r="A342" s="170">
        <v>42507</v>
      </c>
      <c r="B342" s="116">
        <v>170.15</v>
      </c>
      <c r="C342" s="116">
        <v>167.55</v>
      </c>
      <c r="D342" s="116">
        <v>166.8</v>
      </c>
      <c r="E342" s="116">
        <v>166.8</v>
      </c>
      <c r="F342" s="116">
        <v>167.55</v>
      </c>
      <c r="G342">
        <v>37999</v>
      </c>
      <c r="H342" s="116"/>
      <c r="I342" s="116"/>
      <c r="L342" s="170">
        <v>42507</v>
      </c>
      <c r="M342" s="116">
        <v>168.35</v>
      </c>
      <c r="N342" s="116">
        <v>170.1</v>
      </c>
      <c r="O342" s="116">
        <v>167.1</v>
      </c>
      <c r="P342" s="116">
        <v>167.45</v>
      </c>
      <c r="Q342" s="116">
        <v>168.35</v>
      </c>
      <c r="R342">
        <v>1212308</v>
      </c>
    </row>
    <row r="343" spans="1:18" x14ac:dyDescent="0.25">
      <c r="A343" s="170">
        <v>42508</v>
      </c>
      <c r="B343" s="116">
        <v>168.4</v>
      </c>
      <c r="C343" s="116">
        <v>167.5</v>
      </c>
      <c r="D343" s="116">
        <v>166</v>
      </c>
      <c r="E343" s="116">
        <v>166</v>
      </c>
      <c r="F343" s="116">
        <v>167.5</v>
      </c>
      <c r="G343">
        <v>22371</v>
      </c>
      <c r="H343" s="116"/>
      <c r="I343" s="116"/>
      <c r="L343" s="170">
        <v>42508</v>
      </c>
      <c r="M343" s="116">
        <v>167.95</v>
      </c>
      <c r="N343" s="116">
        <v>168.65</v>
      </c>
      <c r="O343" s="116">
        <v>167.1</v>
      </c>
      <c r="P343" s="116">
        <v>167.7</v>
      </c>
      <c r="Q343" s="116">
        <v>167.95</v>
      </c>
      <c r="R343">
        <v>1167258</v>
      </c>
    </row>
    <row r="344" spans="1:18" x14ac:dyDescent="0.25">
      <c r="A344" s="170">
        <v>42509</v>
      </c>
      <c r="B344" s="116">
        <v>168.5</v>
      </c>
      <c r="C344" s="116">
        <v>166</v>
      </c>
      <c r="D344" s="116">
        <v>165.65</v>
      </c>
      <c r="E344" s="116">
        <v>167.7</v>
      </c>
      <c r="F344" s="116">
        <v>166</v>
      </c>
      <c r="G344">
        <v>39133</v>
      </c>
      <c r="H344" s="116"/>
      <c r="I344" s="116"/>
      <c r="L344" s="170">
        <v>42509</v>
      </c>
      <c r="M344" s="116">
        <v>166.8</v>
      </c>
      <c r="N344" s="116">
        <v>168.6</v>
      </c>
      <c r="O344" s="116">
        <v>166.15</v>
      </c>
      <c r="P344" s="116">
        <v>167.95</v>
      </c>
      <c r="Q344" s="116">
        <v>166.8</v>
      </c>
      <c r="R344">
        <v>1352653</v>
      </c>
    </row>
    <row r="345" spans="1:18" x14ac:dyDescent="0.25">
      <c r="A345" s="170">
        <v>42510</v>
      </c>
      <c r="B345" s="116">
        <v>167.8</v>
      </c>
      <c r="C345" s="116">
        <v>161.30000000000001</v>
      </c>
      <c r="D345" s="116">
        <v>161.1</v>
      </c>
      <c r="E345" s="116">
        <v>167.7</v>
      </c>
      <c r="F345" s="116">
        <v>161.30000000000001</v>
      </c>
      <c r="G345">
        <v>75584</v>
      </c>
      <c r="H345" s="116"/>
      <c r="I345" s="116"/>
      <c r="L345" s="170">
        <v>42510</v>
      </c>
      <c r="M345" s="116">
        <v>161.44999999999999</v>
      </c>
      <c r="N345" s="116">
        <v>167.95</v>
      </c>
      <c r="O345" s="116">
        <v>161.1</v>
      </c>
      <c r="P345" s="116">
        <v>167.3</v>
      </c>
      <c r="Q345" s="116">
        <v>161.44999999999999</v>
      </c>
      <c r="R345">
        <v>729776</v>
      </c>
    </row>
    <row r="346" spans="1:18" x14ac:dyDescent="0.25">
      <c r="A346" s="170">
        <v>42513</v>
      </c>
      <c r="B346" s="116">
        <v>167</v>
      </c>
      <c r="C346" s="116">
        <v>165.9</v>
      </c>
      <c r="D346" s="116">
        <v>161</v>
      </c>
      <c r="E346" s="116">
        <v>162.1</v>
      </c>
      <c r="F346" s="116">
        <v>165.9</v>
      </c>
      <c r="G346">
        <v>77718</v>
      </c>
      <c r="H346" s="116"/>
      <c r="I346" s="116"/>
      <c r="L346" s="170">
        <v>42513</v>
      </c>
      <c r="M346" s="116">
        <v>166.6</v>
      </c>
      <c r="N346" s="116">
        <v>167.35</v>
      </c>
      <c r="O346" s="116">
        <v>160.85</v>
      </c>
      <c r="P346" s="116">
        <v>163</v>
      </c>
      <c r="Q346" s="116">
        <v>166.6</v>
      </c>
      <c r="R346">
        <v>1238431</v>
      </c>
    </row>
    <row r="347" spans="1:18" x14ac:dyDescent="0.25">
      <c r="A347" s="170">
        <v>42514</v>
      </c>
      <c r="B347" s="116">
        <v>167.3</v>
      </c>
      <c r="C347" s="116">
        <v>165.95</v>
      </c>
      <c r="D347" s="116">
        <v>164.35</v>
      </c>
      <c r="E347" s="116">
        <v>164.9</v>
      </c>
      <c r="F347" s="116">
        <v>165.95</v>
      </c>
      <c r="G347">
        <v>62906</v>
      </c>
      <c r="H347" s="116"/>
      <c r="I347" s="116"/>
      <c r="L347" s="170">
        <v>42514</v>
      </c>
      <c r="M347" s="116">
        <v>166.55</v>
      </c>
      <c r="N347" s="116">
        <v>167.9</v>
      </c>
      <c r="O347" s="116">
        <v>164.25</v>
      </c>
      <c r="P347" s="116">
        <v>166.95</v>
      </c>
      <c r="Q347" s="116">
        <v>166.55</v>
      </c>
      <c r="R347">
        <v>958983</v>
      </c>
    </row>
    <row r="348" spans="1:18" x14ac:dyDescent="0.25">
      <c r="A348" s="170">
        <v>42515</v>
      </c>
      <c r="B348" s="116">
        <v>167.95</v>
      </c>
      <c r="C348" s="116">
        <v>166.55</v>
      </c>
      <c r="D348" s="116">
        <v>165.6</v>
      </c>
      <c r="E348" s="116">
        <v>167</v>
      </c>
      <c r="F348" s="116">
        <v>166.55</v>
      </c>
      <c r="G348">
        <v>29736</v>
      </c>
      <c r="H348" s="116"/>
      <c r="I348" s="116"/>
      <c r="L348" s="170">
        <v>42515</v>
      </c>
      <c r="M348" s="116">
        <v>166.95</v>
      </c>
      <c r="N348" s="116">
        <v>167.9</v>
      </c>
      <c r="O348" s="116">
        <v>165.8</v>
      </c>
      <c r="P348" s="116">
        <v>167.5</v>
      </c>
      <c r="Q348" s="116">
        <v>166.95</v>
      </c>
      <c r="R348">
        <v>709871</v>
      </c>
    </row>
    <row r="349" spans="1:18" x14ac:dyDescent="0.25">
      <c r="A349" s="170">
        <v>42516</v>
      </c>
      <c r="B349" s="116">
        <v>167.25</v>
      </c>
      <c r="C349" s="116">
        <v>166.75</v>
      </c>
      <c r="D349" s="116">
        <v>163.35</v>
      </c>
      <c r="E349" s="116">
        <v>163.35</v>
      </c>
      <c r="F349" s="116">
        <v>166.75</v>
      </c>
      <c r="G349">
        <v>31566</v>
      </c>
      <c r="H349" s="116"/>
      <c r="I349" s="116"/>
      <c r="L349" s="170">
        <v>42516</v>
      </c>
      <c r="M349" s="116">
        <v>166.95</v>
      </c>
      <c r="N349" s="116">
        <v>167.25</v>
      </c>
      <c r="O349" s="116">
        <v>164.4</v>
      </c>
      <c r="P349" s="116">
        <v>167</v>
      </c>
      <c r="Q349" s="116">
        <v>166.95</v>
      </c>
      <c r="R349">
        <v>1291157</v>
      </c>
    </row>
    <row r="350" spans="1:18" x14ac:dyDescent="0.25">
      <c r="A350" s="170">
        <v>42517</v>
      </c>
      <c r="B350" s="116">
        <v>170.4</v>
      </c>
      <c r="C350" s="116">
        <v>168.6</v>
      </c>
      <c r="D350" s="116">
        <v>165.9</v>
      </c>
      <c r="E350" s="116">
        <v>167.05</v>
      </c>
      <c r="F350" s="116">
        <v>168.6</v>
      </c>
      <c r="G350">
        <v>62549</v>
      </c>
      <c r="H350" s="116"/>
      <c r="I350" s="116"/>
      <c r="L350" s="170">
        <v>42517</v>
      </c>
      <c r="M350" s="116">
        <v>168.5</v>
      </c>
      <c r="N350" s="116">
        <v>170.4</v>
      </c>
      <c r="O350" s="116">
        <v>165.85</v>
      </c>
      <c r="P350" s="116">
        <v>167.1</v>
      </c>
      <c r="Q350" s="116">
        <v>168.5</v>
      </c>
      <c r="R350">
        <v>1116520</v>
      </c>
    </row>
    <row r="351" spans="1:18" x14ac:dyDescent="0.25">
      <c r="A351" s="170">
        <v>42520</v>
      </c>
      <c r="B351" s="116">
        <v>172.45</v>
      </c>
      <c r="C351" s="116">
        <v>171.85</v>
      </c>
      <c r="D351" s="116">
        <v>167.25</v>
      </c>
      <c r="E351" s="116">
        <v>168.5</v>
      </c>
      <c r="F351" s="116">
        <v>171.85</v>
      </c>
      <c r="G351">
        <v>66610</v>
      </c>
      <c r="H351" s="116"/>
      <c r="I351" s="116"/>
      <c r="L351" s="170">
        <v>42520</v>
      </c>
      <c r="M351" s="116">
        <v>172.25</v>
      </c>
      <c r="N351" s="116">
        <v>172.9</v>
      </c>
      <c r="O351" s="116">
        <v>167.15</v>
      </c>
      <c r="P351" s="116">
        <v>169.95</v>
      </c>
      <c r="Q351" s="116">
        <v>172.25</v>
      </c>
      <c r="R351">
        <v>975631</v>
      </c>
    </row>
    <row r="352" spans="1:18" x14ac:dyDescent="0.25">
      <c r="A352" s="170">
        <v>42521</v>
      </c>
      <c r="B352" s="116">
        <v>173.8</v>
      </c>
      <c r="C352" s="116">
        <v>170.85</v>
      </c>
      <c r="D352" s="116">
        <v>169.55</v>
      </c>
      <c r="E352" s="116">
        <v>172.1</v>
      </c>
      <c r="F352" s="116">
        <v>170.85</v>
      </c>
      <c r="G352">
        <v>69572</v>
      </c>
      <c r="H352" s="116"/>
      <c r="I352" s="116"/>
      <c r="L352" s="170">
        <v>42521</v>
      </c>
      <c r="M352" s="116">
        <v>170.75</v>
      </c>
      <c r="N352" s="116">
        <v>173.95</v>
      </c>
      <c r="O352" s="116">
        <v>170</v>
      </c>
      <c r="P352" s="116">
        <v>170.1</v>
      </c>
      <c r="Q352" s="116">
        <v>170.75</v>
      </c>
      <c r="R352">
        <v>6219464</v>
      </c>
    </row>
    <row r="353" spans="1:18" x14ac:dyDescent="0.25">
      <c r="A353" s="170">
        <v>42522</v>
      </c>
      <c r="B353" s="116">
        <v>172.6</v>
      </c>
      <c r="C353" s="116">
        <v>168.6</v>
      </c>
      <c r="D353" s="116">
        <v>167.65</v>
      </c>
      <c r="E353" s="116">
        <v>170.9</v>
      </c>
      <c r="F353" s="116">
        <v>168.6</v>
      </c>
      <c r="G353">
        <v>132141</v>
      </c>
      <c r="H353" s="116"/>
      <c r="I353" s="116"/>
      <c r="L353" s="170">
        <v>42522</v>
      </c>
      <c r="M353" s="116">
        <v>168.85</v>
      </c>
      <c r="N353" s="116">
        <v>172.75</v>
      </c>
      <c r="O353" s="116">
        <v>168.05</v>
      </c>
      <c r="P353" s="116">
        <v>170.75</v>
      </c>
      <c r="Q353" s="116">
        <v>168.85</v>
      </c>
      <c r="R353">
        <v>471088</v>
      </c>
    </row>
    <row r="354" spans="1:18" x14ac:dyDescent="0.25">
      <c r="A354" s="170">
        <v>42523</v>
      </c>
      <c r="B354" s="116">
        <v>171.35</v>
      </c>
      <c r="C354" s="116">
        <v>168</v>
      </c>
      <c r="D354" s="116">
        <v>167.1</v>
      </c>
      <c r="E354" s="116">
        <v>167.1</v>
      </c>
      <c r="F354" s="116">
        <v>168</v>
      </c>
      <c r="G354">
        <v>56822</v>
      </c>
      <c r="H354" s="116"/>
      <c r="I354" s="116"/>
      <c r="L354" s="170">
        <v>42523</v>
      </c>
      <c r="M354" s="116">
        <v>168.25</v>
      </c>
      <c r="N354" s="116">
        <v>171.65</v>
      </c>
      <c r="O354" s="116">
        <v>167.5</v>
      </c>
      <c r="P354" s="116">
        <v>168.9</v>
      </c>
      <c r="Q354" s="116">
        <v>168.25</v>
      </c>
      <c r="R354">
        <v>1112106</v>
      </c>
    </row>
    <row r="355" spans="1:18" x14ac:dyDescent="0.25">
      <c r="A355" s="170">
        <v>42524</v>
      </c>
      <c r="B355" s="116">
        <v>170.35</v>
      </c>
      <c r="C355" s="116">
        <v>168</v>
      </c>
      <c r="D355" s="116">
        <v>167</v>
      </c>
      <c r="E355" s="116">
        <v>169.7</v>
      </c>
      <c r="F355" s="116">
        <v>168</v>
      </c>
      <c r="G355">
        <v>697820</v>
      </c>
      <c r="H355" s="116"/>
      <c r="I355" s="116"/>
      <c r="L355" s="170">
        <v>42524</v>
      </c>
      <c r="M355" s="116">
        <v>167.8</v>
      </c>
      <c r="N355" s="116">
        <v>170.5</v>
      </c>
      <c r="O355" s="116">
        <v>166.65</v>
      </c>
      <c r="P355" s="116">
        <v>168.8</v>
      </c>
      <c r="Q355" s="116">
        <v>167.8</v>
      </c>
      <c r="R355">
        <v>1610793</v>
      </c>
    </row>
    <row r="356" spans="1:18" x14ac:dyDescent="0.25">
      <c r="A356" s="170">
        <v>42527</v>
      </c>
      <c r="B356" s="116">
        <v>171.25</v>
      </c>
      <c r="C356" s="116">
        <v>169.75</v>
      </c>
      <c r="D356" s="116">
        <v>167.45</v>
      </c>
      <c r="E356" s="116">
        <v>170</v>
      </c>
      <c r="F356" s="116">
        <v>169.75</v>
      </c>
      <c r="G356">
        <v>111136</v>
      </c>
      <c r="H356" s="116"/>
      <c r="I356" s="116"/>
      <c r="L356" s="170">
        <v>42527</v>
      </c>
      <c r="M356" s="116">
        <v>169.9</v>
      </c>
      <c r="N356" s="116">
        <v>171.5</v>
      </c>
      <c r="O356" s="116">
        <v>167.3</v>
      </c>
      <c r="P356" s="116">
        <v>168.7</v>
      </c>
      <c r="Q356" s="116">
        <v>169.9</v>
      </c>
      <c r="R356">
        <v>845659</v>
      </c>
    </row>
    <row r="357" spans="1:18" x14ac:dyDescent="0.25">
      <c r="A357" s="170">
        <v>42528</v>
      </c>
      <c r="B357" s="116">
        <v>172.85</v>
      </c>
      <c r="C357" s="116">
        <v>171.2</v>
      </c>
      <c r="D357" s="116">
        <v>170</v>
      </c>
      <c r="E357" s="116">
        <v>170.35</v>
      </c>
      <c r="F357" s="116">
        <v>171.2</v>
      </c>
      <c r="G357">
        <v>58597</v>
      </c>
      <c r="H357" s="116"/>
      <c r="I357" s="116"/>
      <c r="L357" s="170">
        <v>42528</v>
      </c>
      <c r="M357" s="116">
        <v>171.5</v>
      </c>
      <c r="N357" s="116">
        <v>172.6</v>
      </c>
      <c r="O357" s="116">
        <v>170.1</v>
      </c>
      <c r="P357" s="116">
        <v>170.4</v>
      </c>
      <c r="Q357" s="116">
        <v>171.5</v>
      </c>
      <c r="R357">
        <v>716068</v>
      </c>
    </row>
    <row r="358" spans="1:18" x14ac:dyDescent="0.25">
      <c r="A358" s="170">
        <v>42529</v>
      </c>
      <c r="B358" s="116">
        <v>172.55</v>
      </c>
      <c r="C358" s="116">
        <v>170.2</v>
      </c>
      <c r="D358" s="116">
        <v>169.25</v>
      </c>
      <c r="E358" s="116">
        <v>170</v>
      </c>
      <c r="F358" s="116">
        <v>170.2</v>
      </c>
      <c r="G358">
        <v>46353</v>
      </c>
      <c r="H358" s="116"/>
      <c r="I358" s="116"/>
      <c r="L358" s="170">
        <v>42529</v>
      </c>
      <c r="M358" s="116">
        <v>170.25</v>
      </c>
      <c r="N358" s="116">
        <v>172.65</v>
      </c>
      <c r="O358" s="116">
        <v>169.25</v>
      </c>
      <c r="P358" s="116">
        <v>172.5</v>
      </c>
      <c r="Q358" s="116">
        <v>170.25</v>
      </c>
      <c r="R358">
        <v>1047948</v>
      </c>
    </row>
    <row r="359" spans="1:18" x14ac:dyDescent="0.25">
      <c r="A359" s="170">
        <v>42530</v>
      </c>
      <c r="B359" s="116">
        <v>178</v>
      </c>
      <c r="C359" s="116">
        <v>176.85</v>
      </c>
      <c r="D359" s="116">
        <v>170.6</v>
      </c>
      <c r="E359" s="116">
        <v>170.85</v>
      </c>
      <c r="F359" s="116">
        <v>176.85</v>
      </c>
      <c r="G359">
        <v>140385</v>
      </c>
      <c r="H359" s="116"/>
      <c r="I359" s="116"/>
      <c r="L359" s="170">
        <v>42530</v>
      </c>
      <c r="M359" s="116">
        <v>176.75</v>
      </c>
      <c r="N359" s="116">
        <v>177.95</v>
      </c>
      <c r="O359" s="116">
        <v>170.15</v>
      </c>
      <c r="P359" s="116">
        <v>170.7</v>
      </c>
      <c r="Q359" s="116">
        <v>176.75</v>
      </c>
      <c r="R359">
        <v>1430534</v>
      </c>
    </row>
    <row r="360" spans="1:18" x14ac:dyDescent="0.25">
      <c r="A360" s="170">
        <v>42531</v>
      </c>
      <c r="B360" s="116">
        <v>179.75</v>
      </c>
      <c r="C360" s="116">
        <v>173.3</v>
      </c>
      <c r="D360" s="116">
        <v>173.05</v>
      </c>
      <c r="E360" s="116">
        <v>178</v>
      </c>
      <c r="F360" s="116">
        <v>173.3</v>
      </c>
      <c r="G360">
        <v>105895</v>
      </c>
      <c r="H360" s="116"/>
      <c r="I360" s="116"/>
      <c r="L360" s="170">
        <v>42531</v>
      </c>
      <c r="M360" s="116">
        <v>173.4</v>
      </c>
      <c r="N360" s="116">
        <v>179.8</v>
      </c>
      <c r="O360" s="116">
        <v>173</v>
      </c>
      <c r="P360" s="116">
        <v>177.5</v>
      </c>
      <c r="Q360" s="116">
        <v>173.4</v>
      </c>
      <c r="R360">
        <v>1061568</v>
      </c>
    </row>
    <row r="361" spans="1:18" x14ac:dyDescent="0.25">
      <c r="A361" s="170">
        <v>42534</v>
      </c>
      <c r="B361" s="116">
        <v>176.8</v>
      </c>
      <c r="C361" s="116">
        <v>176.15</v>
      </c>
      <c r="D361" s="116">
        <v>171.55</v>
      </c>
      <c r="E361" s="116">
        <v>172.6</v>
      </c>
      <c r="F361" s="116">
        <v>176.15</v>
      </c>
      <c r="G361">
        <v>69366</v>
      </c>
      <c r="H361" s="116"/>
      <c r="I361" s="116"/>
      <c r="L361" s="170">
        <v>42534</v>
      </c>
      <c r="M361" s="116">
        <v>176</v>
      </c>
      <c r="N361" s="116">
        <v>176.4</v>
      </c>
      <c r="O361" s="116">
        <v>171.5</v>
      </c>
      <c r="P361" s="116">
        <v>173.5</v>
      </c>
      <c r="Q361" s="116">
        <v>176</v>
      </c>
      <c r="R361">
        <v>1185760</v>
      </c>
    </row>
    <row r="362" spans="1:18" x14ac:dyDescent="0.25">
      <c r="A362" s="170">
        <v>42535</v>
      </c>
      <c r="B362" s="116">
        <v>177</v>
      </c>
      <c r="C362" s="116">
        <v>176.3</v>
      </c>
      <c r="D362" s="116">
        <v>173.65</v>
      </c>
      <c r="E362" s="116">
        <v>174.1</v>
      </c>
      <c r="F362" s="116">
        <v>176.3</v>
      </c>
      <c r="G362">
        <v>46681</v>
      </c>
      <c r="H362" s="116"/>
      <c r="I362" s="116"/>
      <c r="L362" s="170">
        <v>42535</v>
      </c>
      <c r="M362" s="116">
        <v>176.6</v>
      </c>
      <c r="N362" s="116">
        <v>177.3</v>
      </c>
      <c r="O362" s="116">
        <v>173.5</v>
      </c>
      <c r="P362" s="116">
        <v>176.3</v>
      </c>
      <c r="Q362" s="116">
        <v>176.6</v>
      </c>
      <c r="R362">
        <v>639318</v>
      </c>
    </row>
    <row r="363" spans="1:18" x14ac:dyDescent="0.25">
      <c r="A363" s="170">
        <v>42536</v>
      </c>
      <c r="B363" s="116">
        <v>176.3</v>
      </c>
      <c r="C363" s="116">
        <v>174.6</v>
      </c>
      <c r="D363" s="116">
        <v>173</v>
      </c>
      <c r="E363" s="116">
        <v>176.1</v>
      </c>
      <c r="F363" s="116">
        <v>174.6</v>
      </c>
      <c r="G363">
        <v>35434</v>
      </c>
      <c r="H363" s="116"/>
      <c r="I363" s="116"/>
      <c r="L363" s="170">
        <v>42536</v>
      </c>
      <c r="M363" s="116">
        <v>174.95</v>
      </c>
      <c r="N363" s="116">
        <v>176.25</v>
      </c>
      <c r="O363" s="116">
        <v>173.05</v>
      </c>
      <c r="P363" s="116">
        <v>176</v>
      </c>
      <c r="Q363" s="116">
        <v>174.95</v>
      </c>
      <c r="R363">
        <v>636672</v>
      </c>
    </row>
    <row r="364" spans="1:18" x14ac:dyDescent="0.25">
      <c r="A364" s="170">
        <v>42537</v>
      </c>
      <c r="B364" s="116">
        <v>175.15</v>
      </c>
      <c r="C364" s="116">
        <v>171.6</v>
      </c>
      <c r="D364" s="116">
        <v>171</v>
      </c>
      <c r="E364" s="116">
        <v>173.1</v>
      </c>
      <c r="F364" s="116">
        <v>171.6</v>
      </c>
      <c r="G364">
        <v>55997</v>
      </c>
      <c r="H364" s="116"/>
      <c r="I364" s="116"/>
      <c r="L364" s="170">
        <v>42537</v>
      </c>
      <c r="M364" s="116">
        <v>171.85</v>
      </c>
      <c r="N364" s="116">
        <v>175.15</v>
      </c>
      <c r="O364" s="116">
        <v>171</v>
      </c>
      <c r="P364" s="116">
        <v>172.2</v>
      </c>
      <c r="Q364" s="116">
        <v>171.85</v>
      </c>
      <c r="R364">
        <v>1828969</v>
      </c>
    </row>
    <row r="365" spans="1:18" x14ac:dyDescent="0.25">
      <c r="A365" s="170">
        <v>42538</v>
      </c>
      <c r="B365" s="116">
        <v>173.5</v>
      </c>
      <c r="C365" s="116">
        <v>172.05</v>
      </c>
      <c r="D365" s="116">
        <v>171.4</v>
      </c>
      <c r="E365" s="116">
        <v>172.75</v>
      </c>
      <c r="F365" s="116">
        <v>172.05</v>
      </c>
      <c r="G365">
        <v>39792</v>
      </c>
      <c r="H365" s="116"/>
      <c r="I365" s="116"/>
      <c r="L365" s="170">
        <v>42538</v>
      </c>
      <c r="M365" s="116">
        <v>171.95</v>
      </c>
      <c r="N365" s="116">
        <v>173.45</v>
      </c>
      <c r="O365" s="116">
        <v>171</v>
      </c>
      <c r="P365" s="116">
        <v>172.85</v>
      </c>
      <c r="Q365" s="116">
        <v>171.95</v>
      </c>
      <c r="R365">
        <v>596196</v>
      </c>
    </row>
    <row r="366" spans="1:18" x14ac:dyDescent="0.25">
      <c r="A366" s="170">
        <v>42541</v>
      </c>
      <c r="B366" s="116">
        <v>176.85</v>
      </c>
      <c r="C366" s="116">
        <v>176.15</v>
      </c>
      <c r="D366" s="116">
        <v>171</v>
      </c>
      <c r="E366" s="116">
        <v>172.05</v>
      </c>
      <c r="F366" s="116">
        <v>176.15</v>
      </c>
      <c r="G366">
        <v>62051</v>
      </c>
      <c r="H366" s="116"/>
      <c r="I366" s="116"/>
      <c r="L366" s="170">
        <v>42541</v>
      </c>
      <c r="M366" s="116">
        <v>176.65</v>
      </c>
      <c r="N366" s="116">
        <v>177.25</v>
      </c>
      <c r="O366" s="116">
        <v>170.6</v>
      </c>
      <c r="P366" s="116">
        <v>172</v>
      </c>
      <c r="Q366" s="116">
        <v>176.65</v>
      </c>
      <c r="R366">
        <v>1183303</v>
      </c>
    </row>
    <row r="367" spans="1:18" x14ac:dyDescent="0.25">
      <c r="A367" s="170">
        <v>42542</v>
      </c>
      <c r="B367" s="116">
        <v>178.5</v>
      </c>
      <c r="C367" s="116">
        <v>176.45</v>
      </c>
      <c r="D367" s="116">
        <v>175.4</v>
      </c>
      <c r="E367" s="116">
        <v>175.85</v>
      </c>
      <c r="F367" s="116">
        <v>176.45</v>
      </c>
      <c r="G367">
        <v>72489</v>
      </c>
      <c r="H367" s="116"/>
      <c r="I367" s="116"/>
      <c r="L367" s="170">
        <v>42542</v>
      </c>
      <c r="M367" s="116">
        <v>177.05</v>
      </c>
      <c r="N367" s="116">
        <v>179</v>
      </c>
      <c r="O367" s="116">
        <v>175.4</v>
      </c>
      <c r="P367" s="116">
        <v>176.65</v>
      </c>
      <c r="Q367" s="116">
        <v>177.05</v>
      </c>
      <c r="R367">
        <v>876444</v>
      </c>
    </row>
    <row r="368" spans="1:18" x14ac:dyDescent="0.25">
      <c r="A368" s="170">
        <v>42543</v>
      </c>
      <c r="B368" s="116">
        <v>177</v>
      </c>
      <c r="C368" s="116">
        <v>174.65</v>
      </c>
      <c r="D368" s="116">
        <v>172.75</v>
      </c>
      <c r="E368" s="116">
        <v>175.7</v>
      </c>
      <c r="F368" s="116">
        <v>174.65</v>
      </c>
      <c r="G368">
        <v>40301</v>
      </c>
      <c r="H368" s="116"/>
      <c r="I368" s="116"/>
      <c r="L368" s="170">
        <v>42543</v>
      </c>
      <c r="M368" s="116">
        <v>175</v>
      </c>
      <c r="N368" s="116">
        <v>177.05</v>
      </c>
      <c r="O368" s="116">
        <v>172.7</v>
      </c>
      <c r="P368" s="116">
        <v>177.05</v>
      </c>
      <c r="Q368" s="116">
        <v>175</v>
      </c>
      <c r="R368">
        <v>426561</v>
      </c>
    </row>
    <row r="369" spans="1:18" x14ac:dyDescent="0.25">
      <c r="A369" s="170">
        <v>42544</v>
      </c>
      <c r="B369" s="116">
        <v>175.75</v>
      </c>
      <c r="C369" s="116">
        <v>174.6</v>
      </c>
      <c r="D369" s="116">
        <v>173.3</v>
      </c>
      <c r="E369" s="116">
        <v>174.7</v>
      </c>
      <c r="F369" s="116">
        <v>174.6</v>
      </c>
      <c r="G369">
        <v>22759</v>
      </c>
      <c r="H369" s="116"/>
      <c r="I369" s="116"/>
      <c r="L369" s="170">
        <v>42544</v>
      </c>
      <c r="M369" s="116">
        <v>174.95</v>
      </c>
      <c r="N369" s="116">
        <v>175.9</v>
      </c>
      <c r="O369" s="116">
        <v>173</v>
      </c>
      <c r="P369" s="116">
        <v>173</v>
      </c>
      <c r="Q369" s="116">
        <v>174.95</v>
      </c>
      <c r="R369">
        <v>288365</v>
      </c>
    </row>
    <row r="370" spans="1:18" x14ac:dyDescent="0.25">
      <c r="A370" s="170">
        <v>42545</v>
      </c>
      <c r="B370" s="116">
        <v>172.5</v>
      </c>
      <c r="C370" s="116">
        <v>169.7</v>
      </c>
      <c r="D370" s="116">
        <v>165.9</v>
      </c>
      <c r="E370" s="116">
        <v>170.95</v>
      </c>
      <c r="F370" s="116">
        <v>169.7</v>
      </c>
      <c r="G370">
        <v>87511</v>
      </c>
      <c r="H370" s="116"/>
      <c r="I370" s="116"/>
      <c r="L370" s="170">
        <v>42545</v>
      </c>
      <c r="M370" s="116">
        <v>169.65</v>
      </c>
      <c r="N370" s="116">
        <v>173</v>
      </c>
      <c r="O370" s="116">
        <v>165.5</v>
      </c>
      <c r="P370" s="116">
        <v>170</v>
      </c>
      <c r="Q370" s="116">
        <v>169.65</v>
      </c>
      <c r="R370">
        <v>708037</v>
      </c>
    </row>
    <row r="371" spans="1:18" x14ac:dyDescent="0.25">
      <c r="A371" s="170">
        <v>42548</v>
      </c>
      <c r="B371" s="116">
        <v>171.7</v>
      </c>
      <c r="C371" s="116">
        <v>168.15</v>
      </c>
      <c r="D371" s="116">
        <v>167.7</v>
      </c>
      <c r="E371" s="116">
        <v>169.7</v>
      </c>
      <c r="F371" s="116">
        <v>168.15</v>
      </c>
      <c r="G371">
        <v>73263</v>
      </c>
      <c r="H371" s="116"/>
      <c r="I371" s="116"/>
      <c r="L371" s="170">
        <v>42548</v>
      </c>
      <c r="M371" s="116">
        <v>168.2</v>
      </c>
      <c r="N371" s="116">
        <v>172.9</v>
      </c>
      <c r="O371" s="116">
        <v>167.5</v>
      </c>
      <c r="P371" s="116">
        <v>172.9</v>
      </c>
      <c r="Q371" s="116">
        <v>168.2</v>
      </c>
      <c r="R371">
        <v>1449517</v>
      </c>
    </row>
    <row r="372" spans="1:18" x14ac:dyDescent="0.25">
      <c r="A372" s="170">
        <v>42549</v>
      </c>
      <c r="B372" s="116">
        <v>172.5</v>
      </c>
      <c r="C372" s="116">
        <v>172.05</v>
      </c>
      <c r="D372" s="116">
        <v>167.85</v>
      </c>
      <c r="E372" s="116">
        <v>168.9</v>
      </c>
      <c r="F372" s="116">
        <v>172.05</v>
      </c>
      <c r="G372">
        <v>61804</v>
      </c>
      <c r="H372" s="116"/>
      <c r="I372" s="116"/>
      <c r="L372" s="170">
        <v>42549</v>
      </c>
      <c r="M372" s="116">
        <v>171.65</v>
      </c>
      <c r="N372" s="116">
        <v>172</v>
      </c>
      <c r="O372" s="116">
        <v>167.2</v>
      </c>
      <c r="P372" s="116">
        <v>167.2</v>
      </c>
      <c r="Q372" s="116">
        <v>171.65</v>
      </c>
      <c r="R372">
        <v>835553</v>
      </c>
    </row>
    <row r="373" spans="1:18" x14ac:dyDescent="0.25">
      <c r="A373" s="170">
        <v>42550</v>
      </c>
      <c r="B373" s="116">
        <v>178</v>
      </c>
      <c r="C373" s="116">
        <v>176.7</v>
      </c>
      <c r="D373" s="116">
        <v>171.5</v>
      </c>
      <c r="E373" s="116">
        <v>171.5</v>
      </c>
      <c r="F373" s="116">
        <v>176.7</v>
      </c>
      <c r="G373">
        <v>144215</v>
      </c>
      <c r="H373" s="116"/>
      <c r="I373" s="116"/>
      <c r="L373" s="170">
        <v>42550</v>
      </c>
      <c r="M373" s="116">
        <v>177.05</v>
      </c>
      <c r="N373" s="116">
        <v>178</v>
      </c>
      <c r="O373" s="116">
        <v>172</v>
      </c>
      <c r="P373" s="116">
        <v>172</v>
      </c>
      <c r="Q373" s="116">
        <v>177.05</v>
      </c>
      <c r="R373">
        <v>1153949</v>
      </c>
    </row>
    <row r="374" spans="1:18" x14ac:dyDescent="0.25">
      <c r="A374" s="170">
        <v>42551</v>
      </c>
      <c r="B374" s="116">
        <v>181.2</v>
      </c>
      <c r="C374" s="116">
        <v>179.8</v>
      </c>
      <c r="D374" s="116">
        <v>177.2</v>
      </c>
      <c r="E374" s="116">
        <v>177.2</v>
      </c>
      <c r="F374" s="116">
        <v>179.8</v>
      </c>
      <c r="G374">
        <v>117507</v>
      </c>
      <c r="H374" s="116"/>
      <c r="I374" s="116"/>
      <c r="L374" s="170">
        <v>42551</v>
      </c>
      <c r="M374" s="116">
        <v>180.55</v>
      </c>
      <c r="N374" s="116">
        <v>181.5</v>
      </c>
      <c r="O374" s="116">
        <v>178.4</v>
      </c>
      <c r="P374" s="116">
        <v>178.5</v>
      </c>
      <c r="Q374" s="116">
        <v>180.55</v>
      </c>
      <c r="R374">
        <v>1111432</v>
      </c>
    </row>
    <row r="375" spans="1:18" x14ac:dyDescent="0.25">
      <c r="A375" s="170">
        <v>42552</v>
      </c>
      <c r="B375" s="116">
        <v>181</v>
      </c>
      <c r="C375" s="116">
        <v>177.4</v>
      </c>
      <c r="D375" s="116">
        <v>176</v>
      </c>
      <c r="E375" s="116">
        <v>180.5</v>
      </c>
      <c r="F375" s="116">
        <v>177.4</v>
      </c>
      <c r="G375">
        <v>62723</v>
      </c>
      <c r="H375" s="116"/>
      <c r="I375" s="116"/>
      <c r="L375" s="170">
        <v>42552</v>
      </c>
      <c r="M375" s="116">
        <v>177.25</v>
      </c>
      <c r="N375" s="116">
        <v>181.1</v>
      </c>
      <c r="O375" s="116">
        <v>176.1</v>
      </c>
      <c r="P375" s="116">
        <v>180.55</v>
      </c>
      <c r="Q375" s="116">
        <v>177.25</v>
      </c>
      <c r="R375">
        <v>931242</v>
      </c>
    </row>
    <row r="376" spans="1:18" x14ac:dyDescent="0.25">
      <c r="A376" s="170">
        <v>42555</v>
      </c>
      <c r="B376" s="116">
        <v>185.7</v>
      </c>
      <c r="C376" s="116">
        <v>184.75</v>
      </c>
      <c r="D376" s="116">
        <v>177.4</v>
      </c>
      <c r="E376" s="116">
        <v>177.4</v>
      </c>
      <c r="F376" s="116">
        <v>184.75</v>
      </c>
      <c r="G376">
        <v>181881</v>
      </c>
      <c r="H376" s="116"/>
      <c r="I376" s="116"/>
      <c r="L376" s="170">
        <v>42555</v>
      </c>
      <c r="M376" s="116">
        <v>184.95</v>
      </c>
      <c r="N376" s="116">
        <v>185.7</v>
      </c>
      <c r="O376" s="116">
        <v>178.1</v>
      </c>
      <c r="P376" s="116">
        <v>178.55</v>
      </c>
      <c r="Q376" s="116">
        <v>184.95</v>
      </c>
      <c r="R376">
        <v>1411992</v>
      </c>
    </row>
    <row r="377" spans="1:18" x14ac:dyDescent="0.25">
      <c r="A377" s="170">
        <v>42556</v>
      </c>
      <c r="B377" s="116">
        <v>187.5</v>
      </c>
      <c r="C377" s="116">
        <v>185.1</v>
      </c>
      <c r="D377" s="116">
        <v>184.25</v>
      </c>
      <c r="E377" s="116">
        <v>185</v>
      </c>
      <c r="F377" s="116">
        <v>185.1</v>
      </c>
      <c r="G377">
        <v>118613</v>
      </c>
      <c r="H377" s="116"/>
      <c r="I377" s="116"/>
      <c r="L377" s="170">
        <v>42556</v>
      </c>
      <c r="M377" s="116">
        <v>185.25</v>
      </c>
      <c r="N377" s="116">
        <v>187.5</v>
      </c>
      <c r="O377" s="116">
        <v>184.2</v>
      </c>
      <c r="P377" s="116">
        <v>185.2</v>
      </c>
      <c r="Q377" s="116">
        <v>185.25</v>
      </c>
      <c r="R377">
        <v>2134850</v>
      </c>
    </row>
    <row r="378" spans="1:18" x14ac:dyDescent="0.25">
      <c r="A378" s="170">
        <v>42558</v>
      </c>
      <c r="B378" s="116">
        <v>187.9</v>
      </c>
      <c r="C378" s="116">
        <v>186.7</v>
      </c>
      <c r="D378" s="116">
        <v>185</v>
      </c>
      <c r="E378" s="116">
        <v>185.4</v>
      </c>
      <c r="F378" s="116">
        <v>186.7</v>
      </c>
      <c r="G378">
        <v>74326</v>
      </c>
      <c r="H378" s="116"/>
      <c r="I378" s="116"/>
      <c r="L378" s="170">
        <v>42558</v>
      </c>
      <c r="M378" s="116">
        <v>186.9</v>
      </c>
      <c r="N378" s="116">
        <v>188.25</v>
      </c>
      <c r="O378" s="116">
        <v>185</v>
      </c>
      <c r="P378" s="116">
        <v>185.3</v>
      </c>
      <c r="Q378" s="116">
        <v>186.9</v>
      </c>
      <c r="R378">
        <v>1096684</v>
      </c>
    </row>
    <row r="379" spans="1:18" x14ac:dyDescent="0.25">
      <c r="A379" s="170">
        <v>42559</v>
      </c>
      <c r="B379" s="116">
        <v>190</v>
      </c>
      <c r="C379" s="116">
        <v>186.65</v>
      </c>
      <c r="D379" s="116">
        <v>184</v>
      </c>
      <c r="E379" s="116">
        <v>186.4</v>
      </c>
      <c r="F379" s="116">
        <v>186.65</v>
      </c>
      <c r="G379">
        <v>134628</v>
      </c>
      <c r="H379" s="116"/>
      <c r="I379" s="116"/>
      <c r="L379" s="170">
        <v>42559</v>
      </c>
      <c r="M379" s="116">
        <v>187.05</v>
      </c>
      <c r="N379" s="116">
        <v>190.4</v>
      </c>
      <c r="O379" s="116">
        <v>184</v>
      </c>
      <c r="P379" s="116">
        <v>186.9</v>
      </c>
      <c r="Q379" s="116">
        <v>187.05</v>
      </c>
      <c r="R379">
        <v>1338712</v>
      </c>
    </row>
    <row r="380" spans="1:18" x14ac:dyDescent="0.25">
      <c r="A380" s="170">
        <v>42562</v>
      </c>
      <c r="B380" s="116">
        <v>190.65</v>
      </c>
      <c r="C380" s="116">
        <v>190</v>
      </c>
      <c r="D380" s="116">
        <v>187</v>
      </c>
      <c r="E380" s="116">
        <v>187</v>
      </c>
      <c r="F380" s="116">
        <v>190</v>
      </c>
      <c r="G380">
        <v>115366</v>
      </c>
      <c r="H380" s="116"/>
      <c r="I380" s="116"/>
      <c r="L380" s="170">
        <v>42562</v>
      </c>
      <c r="M380" s="116">
        <v>190.05</v>
      </c>
      <c r="N380" s="116">
        <v>190.8</v>
      </c>
      <c r="O380" s="116">
        <v>187.6</v>
      </c>
      <c r="P380" s="116">
        <v>187.9</v>
      </c>
      <c r="Q380" s="116">
        <v>190.05</v>
      </c>
      <c r="R380">
        <v>1747627</v>
      </c>
    </row>
    <row r="381" spans="1:18" x14ac:dyDescent="0.25">
      <c r="A381" s="170">
        <v>42563</v>
      </c>
      <c r="B381" s="116">
        <v>198.5</v>
      </c>
      <c r="C381" s="116">
        <v>195.3</v>
      </c>
      <c r="D381" s="116">
        <v>188.2</v>
      </c>
      <c r="E381" s="116">
        <v>188.2</v>
      </c>
      <c r="F381" s="116">
        <v>195.3</v>
      </c>
      <c r="G381">
        <v>537286</v>
      </c>
      <c r="H381" s="116"/>
      <c r="I381" s="116"/>
      <c r="L381" s="170">
        <v>42563</v>
      </c>
      <c r="M381" s="116">
        <v>195.4</v>
      </c>
      <c r="N381" s="116">
        <v>198.4</v>
      </c>
      <c r="O381" s="116">
        <v>189</v>
      </c>
      <c r="P381" s="116">
        <v>189.9</v>
      </c>
      <c r="Q381" s="116">
        <v>195.4</v>
      </c>
      <c r="R381">
        <v>3177998</v>
      </c>
    </row>
    <row r="382" spans="1:18" x14ac:dyDescent="0.25">
      <c r="A382" s="170">
        <v>42564</v>
      </c>
      <c r="B382" s="116">
        <v>203.3</v>
      </c>
      <c r="C382" s="116">
        <v>193.5</v>
      </c>
      <c r="D382" s="116">
        <v>192.15</v>
      </c>
      <c r="E382" s="116">
        <v>196</v>
      </c>
      <c r="F382" s="116">
        <v>193.5</v>
      </c>
      <c r="G382">
        <v>234663</v>
      </c>
      <c r="H382" s="116"/>
      <c r="I382" s="116"/>
      <c r="L382" s="170">
        <v>42564</v>
      </c>
      <c r="M382" s="116">
        <v>193.55</v>
      </c>
      <c r="N382" s="116">
        <v>203.6</v>
      </c>
      <c r="O382" s="116">
        <v>192.1</v>
      </c>
      <c r="P382" s="116">
        <v>196.35</v>
      </c>
      <c r="Q382" s="116">
        <v>193.55</v>
      </c>
      <c r="R382">
        <v>2634273</v>
      </c>
    </row>
    <row r="383" spans="1:18" x14ac:dyDescent="0.25">
      <c r="A383" s="170">
        <v>42565</v>
      </c>
      <c r="B383" s="116">
        <v>196.3</v>
      </c>
      <c r="C383" s="116">
        <v>194.6</v>
      </c>
      <c r="D383" s="116">
        <v>193.45</v>
      </c>
      <c r="E383" s="116">
        <v>194.9</v>
      </c>
      <c r="F383" s="116">
        <v>194.6</v>
      </c>
      <c r="G383">
        <v>74544</v>
      </c>
      <c r="H383" s="116"/>
      <c r="I383" s="116"/>
      <c r="L383" s="170">
        <v>42565</v>
      </c>
      <c r="M383" s="116">
        <v>195.05</v>
      </c>
      <c r="N383" s="116">
        <v>196.45</v>
      </c>
      <c r="O383" s="116">
        <v>193.3</v>
      </c>
      <c r="P383" s="116">
        <v>193.5</v>
      </c>
      <c r="Q383" s="116">
        <v>195.05</v>
      </c>
      <c r="R383">
        <v>979819</v>
      </c>
    </row>
    <row r="384" spans="1:18" x14ac:dyDescent="0.25">
      <c r="A384" s="170">
        <v>42566</v>
      </c>
      <c r="B384" s="116">
        <v>197.8</v>
      </c>
      <c r="C384" s="116">
        <v>195.55</v>
      </c>
      <c r="D384" s="116">
        <v>192.85</v>
      </c>
      <c r="E384" s="116">
        <v>195</v>
      </c>
      <c r="F384" s="116">
        <v>195.55</v>
      </c>
      <c r="G384">
        <v>69064</v>
      </c>
      <c r="H384" s="116"/>
      <c r="I384" s="116"/>
      <c r="L384" s="170">
        <v>42566</v>
      </c>
      <c r="M384" s="116">
        <v>196.15</v>
      </c>
      <c r="N384" s="116">
        <v>197.85</v>
      </c>
      <c r="O384" s="116">
        <v>192.7</v>
      </c>
      <c r="P384" s="116">
        <v>195.7</v>
      </c>
      <c r="Q384" s="116">
        <v>196.15</v>
      </c>
      <c r="R384">
        <v>1374895</v>
      </c>
    </row>
    <row r="385" spans="1:18" x14ac:dyDescent="0.25">
      <c r="A385" s="170">
        <v>42569</v>
      </c>
      <c r="B385" s="116">
        <v>197.9</v>
      </c>
      <c r="C385" s="116">
        <v>189</v>
      </c>
      <c r="D385" s="116">
        <v>185.4</v>
      </c>
      <c r="E385" s="116">
        <v>195</v>
      </c>
      <c r="F385" s="116">
        <v>189</v>
      </c>
      <c r="G385">
        <v>1119754</v>
      </c>
      <c r="H385" s="116"/>
      <c r="I385" s="116"/>
      <c r="L385" s="170">
        <v>42569</v>
      </c>
      <c r="M385" s="116">
        <v>189.05</v>
      </c>
      <c r="N385" s="116">
        <v>197.95</v>
      </c>
      <c r="O385" s="116">
        <v>185.7</v>
      </c>
      <c r="P385" s="116">
        <v>195</v>
      </c>
      <c r="Q385" s="116">
        <v>189.05</v>
      </c>
      <c r="R385">
        <v>1774129</v>
      </c>
    </row>
    <row r="386" spans="1:18" x14ac:dyDescent="0.25">
      <c r="A386" s="170">
        <v>42570</v>
      </c>
      <c r="B386" s="116">
        <v>193.75</v>
      </c>
      <c r="C386" s="116">
        <v>191.55</v>
      </c>
      <c r="D386" s="116">
        <v>189.85</v>
      </c>
      <c r="E386" s="116">
        <v>191</v>
      </c>
      <c r="F386" s="116">
        <v>191.55</v>
      </c>
      <c r="G386">
        <v>412663</v>
      </c>
      <c r="H386" s="116"/>
      <c r="I386" s="116"/>
      <c r="L386" s="170">
        <v>42570</v>
      </c>
      <c r="M386" s="116">
        <v>192.4</v>
      </c>
      <c r="N386" s="116">
        <v>193.75</v>
      </c>
      <c r="O386" s="116">
        <v>189.95</v>
      </c>
      <c r="P386" s="116">
        <v>190.9</v>
      </c>
      <c r="Q386" s="116">
        <v>192.4</v>
      </c>
      <c r="R386">
        <v>1996210</v>
      </c>
    </row>
    <row r="387" spans="1:18" x14ac:dyDescent="0.25">
      <c r="A387" s="170">
        <v>42571</v>
      </c>
      <c r="B387" s="116">
        <v>196.4</v>
      </c>
      <c r="C387" s="116">
        <v>194.05</v>
      </c>
      <c r="D387" s="116">
        <v>192.15</v>
      </c>
      <c r="E387" s="116">
        <v>193</v>
      </c>
      <c r="F387" s="116">
        <v>194.05</v>
      </c>
      <c r="G387">
        <v>142012</v>
      </c>
      <c r="H387" s="116"/>
      <c r="I387" s="116"/>
      <c r="L387" s="170">
        <v>42571</v>
      </c>
      <c r="M387" s="116">
        <v>194.45</v>
      </c>
      <c r="N387" s="116">
        <v>196.5</v>
      </c>
      <c r="O387" s="116">
        <v>192.3</v>
      </c>
      <c r="P387" s="116">
        <v>192.8</v>
      </c>
      <c r="Q387" s="116">
        <v>194.45</v>
      </c>
      <c r="R387">
        <v>2142683</v>
      </c>
    </row>
    <row r="388" spans="1:18" x14ac:dyDescent="0.25">
      <c r="A388" s="170">
        <v>42572</v>
      </c>
      <c r="B388" s="116">
        <v>195.9</v>
      </c>
      <c r="C388" s="116">
        <v>193.2</v>
      </c>
      <c r="D388" s="116">
        <v>187.95</v>
      </c>
      <c r="E388" s="116">
        <v>187.95</v>
      </c>
      <c r="F388" s="116">
        <v>193.2</v>
      </c>
      <c r="G388">
        <v>306254</v>
      </c>
      <c r="H388" s="116"/>
      <c r="I388" s="116"/>
      <c r="L388" s="170">
        <v>42572</v>
      </c>
      <c r="M388" s="116">
        <v>193.9</v>
      </c>
      <c r="N388" s="116">
        <v>196.1</v>
      </c>
      <c r="O388" s="116">
        <v>188.65</v>
      </c>
      <c r="P388" s="116">
        <v>188.65</v>
      </c>
      <c r="Q388" s="116">
        <v>193.9</v>
      </c>
      <c r="R388">
        <v>3916842</v>
      </c>
    </row>
    <row r="389" spans="1:18" x14ac:dyDescent="0.25">
      <c r="A389" s="170">
        <v>42573</v>
      </c>
      <c r="B389" s="116">
        <v>195.3</v>
      </c>
      <c r="C389" s="116">
        <v>193.65</v>
      </c>
      <c r="D389" s="116">
        <v>192</v>
      </c>
      <c r="E389" s="116">
        <v>192</v>
      </c>
      <c r="F389" s="116">
        <v>193.65</v>
      </c>
      <c r="G389">
        <v>60069</v>
      </c>
      <c r="H389" s="116"/>
      <c r="I389" s="116"/>
      <c r="L389" s="170">
        <v>42573</v>
      </c>
      <c r="M389" s="116">
        <v>193.95</v>
      </c>
      <c r="N389" s="116">
        <v>195</v>
      </c>
      <c r="O389" s="116">
        <v>189</v>
      </c>
      <c r="P389" s="116">
        <v>195</v>
      </c>
      <c r="Q389" s="116">
        <v>193.95</v>
      </c>
      <c r="R389">
        <v>2444846</v>
      </c>
    </row>
    <row r="390" spans="1:18" x14ac:dyDescent="0.25">
      <c r="A390" s="170">
        <v>42576</v>
      </c>
      <c r="B390" s="116">
        <v>200.05</v>
      </c>
      <c r="C390" s="116">
        <v>196.1</v>
      </c>
      <c r="D390" s="116">
        <v>191.4</v>
      </c>
      <c r="E390" s="116">
        <v>195</v>
      </c>
      <c r="F390" s="116">
        <v>196.1</v>
      </c>
      <c r="G390">
        <v>620142</v>
      </c>
      <c r="H390" s="116"/>
      <c r="I390" s="116"/>
      <c r="L390" s="170">
        <v>42576</v>
      </c>
      <c r="M390" s="116">
        <v>196.15</v>
      </c>
      <c r="N390" s="116">
        <v>200.35</v>
      </c>
      <c r="O390" s="116">
        <v>191</v>
      </c>
      <c r="P390" s="116">
        <v>195.35</v>
      </c>
      <c r="Q390" s="116">
        <v>196.15</v>
      </c>
      <c r="R390">
        <v>4038231</v>
      </c>
    </row>
    <row r="391" spans="1:18" x14ac:dyDescent="0.25">
      <c r="A391" s="170">
        <v>42577</v>
      </c>
      <c r="B391" s="116">
        <v>208.95</v>
      </c>
      <c r="C391" s="116">
        <v>202.55</v>
      </c>
      <c r="D391" s="116">
        <v>196</v>
      </c>
      <c r="E391" s="116">
        <v>196</v>
      </c>
      <c r="F391" s="116">
        <v>202.55</v>
      </c>
      <c r="G391">
        <v>1093976</v>
      </c>
      <c r="H391" s="116"/>
      <c r="I391" s="116"/>
      <c r="L391" s="170">
        <v>42577</v>
      </c>
      <c r="M391" s="116">
        <v>202.6</v>
      </c>
      <c r="N391" s="116">
        <v>209.45</v>
      </c>
      <c r="O391" s="116">
        <v>196.25</v>
      </c>
      <c r="P391" s="116">
        <v>196.85</v>
      </c>
      <c r="Q391" s="116">
        <v>202.6</v>
      </c>
      <c r="R391">
        <v>4831468</v>
      </c>
    </row>
    <row r="392" spans="1:18" x14ac:dyDescent="0.25">
      <c r="A392" s="170">
        <v>42578</v>
      </c>
      <c r="B392" s="116">
        <v>210.8</v>
      </c>
      <c r="C392" s="116">
        <v>207.1</v>
      </c>
      <c r="D392" s="116">
        <v>204.1</v>
      </c>
      <c r="E392" s="116">
        <v>204.1</v>
      </c>
      <c r="F392" s="116">
        <v>207.1</v>
      </c>
      <c r="G392">
        <v>260505</v>
      </c>
      <c r="H392" s="116"/>
      <c r="I392" s="116"/>
      <c r="L392" s="170">
        <v>42578</v>
      </c>
      <c r="M392" s="116">
        <v>208.25</v>
      </c>
      <c r="N392" s="116">
        <v>210.8</v>
      </c>
      <c r="O392" s="116">
        <v>204.1</v>
      </c>
      <c r="P392" s="116">
        <v>204.75</v>
      </c>
      <c r="Q392" s="116">
        <v>208.25</v>
      </c>
      <c r="R392">
        <v>3177547</v>
      </c>
    </row>
    <row r="393" spans="1:18" x14ac:dyDescent="0.25">
      <c r="A393" s="170">
        <v>42579</v>
      </c>
      <c r="B393" s="116">
        <v>208.65</v>
      </c>
      <c r="C393" s="116">
        <v>202.65</v>
      </c>
      <c r="D393" s="116">
        <v>198.05</v>
      </c>
      <c r="E393" s="116">
        <v>208</v>
      </c>
      <c r="F393" s="116">
        <v>202.65</v>
      </c>
      <c r="G393">
        <v>137668</v>
      </c>
      <c r="H393" s="116"/>
      <c r="I393" s="116"/>
      <c r="L393" s="170">
        <v>42579</v>
      </c>
      <c r="M393" s="116">
        <v>202.6</v>
      </c>
      <c r="N393" s="116">
        <v>210</v>
      </c>
      <c r="O393" s="116">
        <v>197.8</v>
      </c>
      <c r="P393" s="116">
        <v>208</v>
      </c>
      <c r="Q393" s="116">
        <v>202.6</v>
      </c>
      <c r="R393">
        <v>2607255</v>
      </c>
    </row>
    <row r="394" spans="1:18" x14ac:dyDescent="0.25">
      <c r="A394" s="170">
        <v>42580</v>
      </c>
      <c r="B394" s="116">
        <v>209</v>
      </c>
      <c r="C394" s="116">
        <v>203.8</v>
      </c>
      <c r="D394" s="116">
        <v>202.85</v>
      </c>
      <c r="E394" s="116">
        <v>207</v>
      </c>
      <c r="F394" s="116">
        <v>203.8</v>
      </c>
      <c r="G394">
        <v>113796</v>
      </c>
      <c r="H394" s="116"/>
      <c r="I394" s="116"/>
      <c r="L394" s="170">
        <v>42580</v>
      </c>
      <c r="M394" s="116">
        <v>203.95</v>
      </c>
      <c r="N394" s="116">
        <v>209.05</v>
      </c>
      <c r="O394" s="116">
        <v>203.5</v>
      </c>
      <c r="P394" s="116">
        <v>206.55</v>
      </c>
      <c r="Q394" s="116">
        <v>203.95</v>
      </c>
      <c r="R394">
        <v>1109245</v>
      </c>
    </row>
    <row r="395" spans="1:18" x14ac:dyDescent="0.25">
      <c r="A395" s="170">
        <v>42583</v>
      </c>
      <c r="B395" s="116">
        <v>216</v>
      </c>
      <c r="C395" s="116">
        <v>211.2</v>
      </c>
      <c r="D395" s="116">
        <v>203.8</v>
      </c>
      <c r="E395" s="116">
        <v>203.8</v>
      </c>
      <c r="F395" s="116">
        <v>211.2</v>
      </c>
      <c r="G395">
        <v>299698</v>
      </c>
      <c r="H395" s="116"/>
      <c r="I395" s="116"/>
      <c r="L395" s="170">
        <v>42583</v>
      </c>
      <c r="M395" s="116">
        <v>211.7</v>
      </c>
      <c r="N395" s="116">
        <v>216.15</v>
      </c>
      <c r="O395" s="116">
        <v>205.1</v>
      </c>
      <c r="P395" s="116">
        <v>206.4</v>
      </c>
      <c r="Q395" s="116">
        <v>211.7</v>
      </c>
      <c r="R395">
        <v>2680856</v>
      </c>
    </row>
    <row r="396" spans="1:18" x14ac:dyDescent="0.25">
      <c r="A396" s="170">
        <v>42584</v>
      </c>
      <c r="B396" s="116">
        <v>214.05</v>
      </c>
      <c r="C396" s="116">
        <v>206.85</v>
      </c>
      <c r="D396" s="116">
        <v>205.5</v>
      </c>
      <c r="E396" s="116">
        <v>211</v>
      </c>
      <c r="F396" s="116">
        <v>206.85</v>
      </c>
      <c r="G396">
        <v>349279</v>
      </c>
      <c r="H396" s="116"/>
      <c r="I396" s="116"/>
      <c r="L396" s="170">
        <v>42584</v>
      </c>
      <c r="M396" s="116">
        <v>206.9</v>
      </c>
      <c r="N396" s="116">
        <v>214.4</v>
      </c>
      <c r="O396" s="116">
        <v>205.8</v>
      </c>
      <c r="P396" s="116">
        <v>211</v>
      </c>
      <c r="Q396" s="116">
        <v>206.9</v>
      </c>
      <c r="R396">
        <v>1436555</v>
      </c>
    </row>
    <row r="397" spans="1:18" x14ac:dyDescent="0.25">
      <c r="A397" s="170">
        <v>42585</v>
      </c>
      <c r="B397" s="116">
        <v>209.2</v>
      </c>
      <c r="C397" s="116">
        <v>206.65</v>
      </c>
      <c r="D397" s="116">
        <v>204.5</v>
      </c>
      <c r="E397" s="116">
        <v>207</v>
      </c>
      <c r="F397" s="116">
        <v>206.65</v>
      </c>
      <c r="G397">
        <v>100029</v>
      </c>
      <c r="H397" s="116"/>
      <c r="I397" s="116"/>
      <c r="L397" s="170">
        <v>42585</v>
      </c>
      <c r="M397" s="116">
        <v>206.7</v>
      </c>
      <c r="N397" s="116">
        <v>209.6</v>
      </c>
      <c r="O397" s="116">
        <v>204.05</v>
      </c>
      <c r="P397" s="116">
        <v>206.4</v>
      </c>
      <c r="Q397" s="116">
        <v>206.7</v>
      </c>
      <c r="R397">
        <v>2084654</v>
      </c>
    </row>
    <row r="398" spans="1:18" x14ac:dyDescent="0.25">
      <c r="A398" s="170">
        <v>42586</v>
      </c>
      <c r="B398" s="116">
        <v>210.5</v>
      </c>
      <c r="C398" s="116">
        <v>208.25</v>
      </c>
      <c r="D398" s="116">
        <v>205.6</v>
      </c>
      <c r="E398" s="116">
        <v>207.5</v>
      </c>
      <c r="F398" s="116">
        <v>208.25</v>
      </c>
      <c r="G398">
        <v>80972</v>
      </c>
      <c r="H398" s="116"/>
      <c r="I398" s="116"/>
      <c r="L398" s="170">
        <v>42586</v>
      </c>
      <c r="M398" s="116">
        <v>208.25</v>
      </c>
      <c r="N398" s="116">
        <v>210.9</v>
      </c>
      <c r="O398" s="116">
        <v>205.55</v>
      </c>
      <c r="P398" s="116">
        <v>210.8</v>
      </c>
      <c r="Q398" s="116">
        <v>208.25</v>
      </c>
      <c r="R398">
        <v>1500020</v>
      </c>
    </row>
    <row r="399" spans="1:18" x14ac:dyDescent="0.25">
      <c r="A399" s="170">
        <v>42587</v>
      </c>
      <c r="B399" s="116">
        <v>223.6</v>
      </c>
      <c r="C399" s="116">
        <v>218.45</v>
      </c>
      <c r="D399" s="116">
        <v>210.5</v>
      </c>
      <c r="E399" s="116">
        <v>210.5</v>
      </c>
      <c r="F399" s="116">
        <v>218.45</v>
      </c>
      <c r="G399">
        <v>680102</v>
      </c>
      <c r="H399" s="116"/>
      <c r="I399" s="116"/>
      <c r="L399" s="170">
        <v>42587</v>
      </c>
      <c r="M399" s="116">
        <v>218.6</v>
      </c>
      <c r="N399" s="116">
        <v>223.4</v>
      </c>
      <c r="O399" s="116">
        <v>210.5</v>
      </c>
      <c r="P399" s="116">
        <v>210.5</v>
      </c>
      <c r="Q399" s="116">
        <v>218.6</v>
      </c>
      <c r="R399">
        <v>6258441</v>
      </c>
    </row>
    <row r="400" spans="1:18" x14ac:dyDescent="0.25">
      <c r="A400" s="170">
        <v>42590</v>
      </c>
      <c r="B400" s="116">
        <v>222.8</v>
      </c>
      <c r="C400" s="116">
        <v>220.35</v>
      </c>
      <c r="D400" s="116">
        <v>218.5</v>
      </c>
      <c r="E400" s="116">
        <v>221</v>
      </c>
      <c r="F400" s="116">
        <v>220.35</v>
      </c>
      <c r="G400">
        <v>142739</v>
      </c>
      <c r="H400" s="116"/>
      <c r="I400" s="116"/>
      <c r="L400" s="170">
        <v>42590</v>
      </c>
      <c r="M400" s="116">
        <v>220.95</v>
      </c>
      <c r="N400" s="116">
        <v>222.7</v>
      </c>
      <c r="O400" s="116">
        <v>218.4</v>
      </c>
      <c r="P400" s="116">
        <v>220.8</v>
      </c>
      <c r="Q400" s="116">
        <v>220.95</v>
      </c>
      <c r="R400">
        <v>2016696</v>
      </c>
    </row>
    <row r="401" spans="1:18" x14ac:dyDescent="0.25">
      <c r="A401" s="170">
        <v>42591</v>
      </c>
      <c r="B401" s="116">
        <v>223.7</v>
      </c>
      <c r="C401" s="116">
        <v>220.15</v>
      </c>
      <c r="D401" s="116">
        <v>217.65</v>
      </c>
      <c r="E401" s="116">
        <v>217.65</v>
      </c>
      <c r="F401" s="116">
        <v>220.15</v>
      </c>
      <c r="G401">
        <v>116333</v>
      </c>
      <c r="H401" s="116"/>
      <c r="I401" s="116"/>
      <c r="L401" s="170">
        <v>42591</v>
      </c>
      <c r="M401" s="116">
        <v>220.35</v>
      </c>
      <c r="N401" s="116">
        <v>223.4</v>
      </c>
      <c r="O401" s="116">
        <v>218.15</v>
      </c>
      <c r="P401" s="116">
        <v>221.4</v>
      </c>
      <c r="Q401" s="116">
        <v>220.35</v>
      </c>
      <c r="R401">
        <v>1805572</v>
      </c>
    </row>
    <row r="402" spans="1:18" x14ac:dyDescent="0.25">
      <c r="A402" s="170">
        <v>42592</v>
      </c>
      <c r="B402" s="116">
        <v>225.4</v>
      </c>
      <c r="C402" s="116">
        <v>219.75</v>
      </c>
      <c r="D402" s="116">
        <v>218.55</v>
      </c>
      <c r="E402" s="116">
        <v>219.35</v>
      </c>
      <c r="F402" s="116">
        <v>219.75</v>
      </c>
      <c r="G402">
        <v>374807</v>
      </c>
      <c r="H402" s="116"/>
      <c r="I402" s="116"/>
      <c r="L402" s="170">
        <v>42592</v>
      </c>
      <c r="M402" s="116">
        <v>220</v>
      </c>
      <c r="N402" s="116">
        <v>225.3</v>
      </c>
      <c r="O402" s="116">
        <v>218.35</v>
      </c>
      <c r="P402" s="116">
        <v>220</v>
      </c>
      <c r="Q402" s="116">
        <v>220</v>
      </c>
      <c r="R402">
        <v>2913281</v>
      </c>
    </row>
    <row r="403" spans="1:18" x14ac:dyDescent="0.25">
      <c r="A403" s="170">
        <v>42593</v>
      </c>
      <c r="B403" s="116">
        <v>221.5</v>
      </c>
      <c r="C403" s="116">
        <v>217.1</v>
      </c>
      <c r="D403" s="116">
        <v>215.35</v>
      </c>
      <c r="E403" s="116">
        <v>220.5</v>
      </c>
      <c r="F403" s="116">
        <v>217.1</v>
      </c>
      <c r="G403">
        <v>106527</v>
      </c>
      <c r="H403" s="116"/>
      <c r="I403" s="116"/>
      <c r="L403" s="170">
        <v>42593</v>
      </c>
      <c r="M403" s="116">
        <v>217.15</v>
      </c>
      <c r="N403" s="116">
        <v>221.8</v>
      </c>
      <c r="O403" s="116">
        <v>215.35</v>
      </c>
      <c r="P403" s="116">
        <v>221.8</v>
      </c>
      <c r="Q403" s="116">
        <v>217.15</v>
      </c>
      <c r="R403">
        <v>1907019</v>
      </c>
    </row>
    <row r="404" spans="1:18" x14ac:dyDescent="0.25">
      <c r="A404" s="170">
        <v>42594</v>
      </c>
      <c r="B404" s="116">
        <v>223</v>
      </c>
      <c r="C404" s="116">
        <v>218.8</v>
      </c>
      <c r="D404" s="116">
        <v>215.15</v>
      </c>
      <c r="E404" s="116">
        <v>215.15</v>
      </c>
      <c r="F404" s="116">
        <v>218.8</v>
      </c>
      <c r="G404">
        <v>155326</v>
      </c>
      <c r="H404" s="116"/>
      <c r="I404" s="116"/>
      <c r="L404" s="170">
        <v>42594</v>
      </c>
      <c r="M404" s="116">
        <v>219.35</v>
      </c>
      <c r="N404" s="116">
        <v>223.45</v>
      </c>
      <c r="O404" s="116">
        <v>217</v>
      </c>
      <c r="P404" s="116">
        <v>218</v>
      </c>
      <c r="Q404" s="116">
        <v>219.35</v>
      </c>
      <c r="R404">
        <v>1639301</v>
      </c>
    </row>
    <row r="405" spans="1:18" x14ac:dyDescent="0.25">
      <c r="A405" s="170">
        <v>42598</v>
      </c>
      <c r="B405" s="116">
        <v>229.5</v>
      </c>
      <c r="C405" s="116">
        <v>227.45</v>
      </c>
      <c r="D405" s="116">
        <v>219.6</v>
      </c>
      <c r="E405" s="116">
        <v>220</v>
      </c>
      <c r="F405" s="116">
        <v>227.45</v>
      </c>
      <c r="G405">
        <v>196774</v>
      </c>
      <c r="H405" s="116"/>
      <c r="I405" s="116"/>
      <c r="L405" s="170">
        <v>42598</v>
      </c>
      <c r="M405" s="116">
        <v>228.3</v>
      </c>
      <c r="N405" s="116">
        <v>229.65</v>
      </c>
      <c r="O405" s="116">
        <v>218.55</v>
      </c>
      <c r="P405" s="116">
        <v>219.1</v>
      </c>
      <c r="Q405" s="116">
        <v>228.3</v>
      </c>
      <c r="R405">
        <v>2192021</v>
      </c>
    </row>
    <row r="406" spans="1:18" x14ac:dyDescent="0.25">
      <c r="A406" s="170">
        <v>42599</v>
      </c>
      <c r="B406" s="116">
        <v>228.5</v>
      </c>
      <c r="C406" s="116">
        <v>223.2</v>
      </c>
      <c r="D406" s="116">
        <v>221.65</v>
      </c>
      <c r="E406" s="116">
        <v>228.1</v>
      </c>
      <c r="F406" s="116">
        <v>223.2</v>
      </c>
      <c r="G406">
        <v>220842</v>
      </c>
      <c r="H406" s="116"/>
      <c r="I406" s="116"/>
      <c r="L406" s="170">
        <v>42599</v>
      </c>
      <c r="M406" s="116">
        <v>223.15</v>
      </c>
      <c r="N406" s="116">
        <v>229.15</v>
      </c>
      <c r="O406" s="116">
        <v>221.1</v>
      </c>
      <c r="P406" s="116">
        <v>229</v>
      </c>
      <c r="Q406" s="116">
        <v>223.15</v>
      </c>
      <c r="R406">
        <v>1713727</v>
      </c>
    </row>
    <row r="407" spans="1:18" x14ac:dyDescent="0.25">
      <c r="A407" s="170">
        <v>42600</v>
      </c>
      <c r="B407" s="116">
        <v>228.75</v>
      </c>
      <c r="C407" s="116">
        <v>228</v>
      </c>
      <c r="D407" s="116">
        <v>224.25</v>
      </c>
      <c r="E407" s="116">
        <v>224.95</v>
      </c>
      <c r="F407" s="116">
        <v>228</v>
      </c>
      <c r="G407">
        <v>73332</v>
      </c>
      <c r="H407" s="116"/>
      <c r="I407" s="116"/>
      <c r="L407" s="170">
        <v>42600</v>
      </c>
      <c r="M407" s="116">
        <v>228</v>
      </c>
      <c r="N407" s="116">
        <v>228.6</v>
      </c>
      <c r="O407" s="116">
        <v>224</v>
      </c>
      <c r="P407" s="116">
        <v>225</v>
      </c>
      <c r="Q407" s="116">
        <v>228</v>
      </c>
      <c r="R407">
        <v>867050</v>
      </c>
    </row>
    <row r="408" spans="1:18" x14ac:dyDescent="0.25">
      <c r="A408" s="170">
        <v>42601</v>
      </c>
      <c r="B408" s="116">
        <v>230.7</v>
      </c>
      <c r="C408" s="116">
        <v>228.2</v>
      </c>
      <c r="D408" s="116">
        <v>223.8</v>
      </c>
      <c r="E408" s="116">
        <v>225</v>
      </c>
      <c r="F408" s="116">
        <v>228.2</v>
      </c>
      <c r="G408">
        <v>479455</v>
      </c>
      <c r="H408" s="116"/>
      <c r="I408" s="116"/>
      <c r="L408" s="170">
        <v>42601</v>
      </c>
      <c r="M408" s="116">
        <v>228.95</v>
      </c>
      <c r="N408" s="116">
        <v>230.6</v>
      </c>
      <c r="O408" s="116">
        <v>223.5</v>
      </c>
      <c r="P408" s="116">
        <v>227.95</v>
      </c>
      <c r="Q408" s="116">
        <v>228.95</v>
      </c>
      <c r="R408">
        <v>2115207</v>
      </c>
    </row>
    <row r="409" spans="1:18" x14ac:dyDescent="0.25">
      <c r="A409" s="170">
        <v>42604</v>
      </c>
      <c r="B409" s="116">
        <v>232.1</v>
      </c>
      <c r="C409" s="116">
        <v>229.55</v>
      </c>
      <c r="D409" s="116">
        <v>226.15</v>
      </c>
      <c r="E409" s="116">
        <v>229</v>
      </c>
      <c r="F409" s="116">
        <v>229.55</v>
      </c>
      <c r="G409">
        <v>219246</v>
      </c>
      <c r="H409" s="116"/>
      <c r="I409" s="116"/>
      <c r="L409" s="170">
        <v>42604</v>
      </c>
      <c r="M409" s="116">
        <v>230.2</v>
      </c>
      <c r="N409" s="116">
        <v>232.5</v>
      </c>
      <c r="O409" s="116">
        <v>226.1</v>
      </c>
      <c r="P409" s="116">
        <v>228.25</v>
      </c>
      <c r="Q409" s="116">
        <v>230.2</v>
      </c>
      <c r="R409">
        <v>1713296</v>
      </c>
    </row>
    <row r="410" spans="1:18" x14ac:dyDescent="0.25">
      <c r="A410" s="170">
        <v>42605</v>
      </c>
      <c r="B410" s="116">
        <v>230.95</v>
      </c>
      <c r="C410" s="116">
        <v>227.35</v>
      </c>
      <c r="D410" s="116">
        <v>225.4</v>
      </c>
      <c r="E410" s="116">
        <v>230.95</v>
      </c>
      <c r="F410" s="116">
        <v>227.35</v>
      </c>
      <c r="G410">
        <v>88996</v>
      </c>
      <c r="H410" s="116"/>
      <c r="I410" s="116"/>
      <c r="L410" s="170">
        <v>42605</v>
      </c>
      <c r="M410" s="116">
        <v>227.25</v>
      </c>
      <c r="N410" s="116">
        <v>231.1</v>
      </c>
      <c r="O410" s="116">
        <v>225</v>
      </c>
      <c r="P410" s="116">
        <v>229.1</v>
      </c>
      <c r="Q410" s="116">
        <v>227.25</v>
      </c>
      <c r="R410">
        <v>1037654</v>
      </c>
    </row>
    <row r="411" spans="1:18" x14ac:dyDescent="0.25">
      <c r="A411" s="170">
        <v>42606</v>
      </c>
      <c r="B411" s="116">
        <v>230.6</v>
      </c>
      <c r="C411" s="116">
        <v>227.65</v>
      </c>
      <c r="D411" s="116">
        <v>226.5</v>
      </c>
      <c r="E411" s="116">
        <v>228.3</v>
      </c>
      <c r="F411" s="116">
        <v>227.65</v>
      </c>
      <c r="G411">
        <v>102506</v>
      </c>
      <c r="H411" s="116"/>
      <c r="I411" s="116"/>
      <c r="L411" s="170">
        <v>42606</v>
      </c>
      <c r="M411" s="116">
        <v>228.2</v>
      </c>
      <c r="N411" s="116">
        <v>230.5</v>
      </c>
      <c r="O411" s="116">
        <v>226.2</v>
      </c>
      <c r="P411" s="116">
        <v>226.2</v>
      </c>
      <c r="Q411" s="116">
        <v>228.2</v>
      </c>
      <c r="R411">
        <v>1103595</v>
      </c>
    </row>
    <row r="412" spans="1:18" x14ac:dyDescent="0.25">
      <c r="A412" s="170">
        <v>42607</v>
      </c>
      <c r="B412" s="116">
        <v>229.3</v>
      </c>
      <c r="C412" s="116">
        <v>224.3</v>
      </c>
      <c r="D412" s="116">
        <v>222.6</v>
      </c>
      <c r="E412" s="116">
        <v>227</v>
      </c>
      <c r="F412" s="116">
        <v>224.3</v>
      </c>
      <c r="G412">
        <v>57161</v>
      </c>
      <c r="H412" s="116"/>
      <c r="I412" s="116"/>
      <c r="L412" s="170">
        <v>42607</v>
      </c>
      <c r="M412" s="116">
        <v>223.8</v>
      </c>
      <c r="N412" s="116">
        <v>229.4</v>
      </c>
      <c r="O412" s="116">
        <v>222.35</v>
      </c>
      <c r="P412" s="116">
        <v>227.9</v>
      </c>
      <c r="Q412" s="116">
        <v>223.8</v>
      </c>
      <c r="R412">
        <v>1940709</v>
      </c>
    </row>
    <row r="413" spans="1:18" x14ac:dyDescent="0.25">
      <c r="A413" s="170">
        <v>42608</v>
      </c>
      <c r="B413" s="116">
        <v>226.05</v>
      </c>
      <c r="C413" s="116">
        <v>224.75</v>
      </c>
      <c r="D413" s="116">
        <v>221.9</v>
      </c>
      <c r="E413" s="116">
        <v>222</v>
      </c>
      <c r="F413" s="116">
        <v>224.75</v>
      </c>
      <c r="G413">
        <v>55052</v>
      </c>
      <c r="H413" s="116"/>
      <c r="I413" s="116"/>
      <c r="L413" s="170">
        <v>42608</v>
      </c>
      <c r="M413" s="116">
        <v>224.95</v>
      </c>
      <c r="N413" s="116">
        <v>226.1</v>
      </c>
      <c r="O413" s="116">
        <v>221.9</v>
      </c>
      <c r="P413" s="116">
        <v>225</v>
      </c>
      <c r="Q413" s="116">
        <v>224.95</v>
      </c>
      <c r="R413">
        <v>762134</v>
      </c>
    </row>
    <row r="414" spans="1:18" x14ac:dyDescent="0.25">
      <c r="A414" s="170">
        <v>42611</v>
      </c>
      <c r="B414" s="116">
        <v>232.5</v>
      </c>
      <c r="C414" s="116">
        <v>227.45</v>
      </c>
      <c r="D414" s="116">
        <v>225.7</v>
      </c>
      <c r="E414" s="116">
        <v>227</v>
      </c>
      <c r="F414" s="116">
        <v>227.45</v>
      </c>
      <c r="G414">
        <v>156469</v>
      </c>
      <c r="H414" s="116"/>
      <c r="I414" s="116"/>
      <c r="L414" s="170">
        <v>42611</v>
      </c>
      <c r="M414" s="116">
        <v>227.1</v>
      </c>
      <c r="N414" s="116">
        <v>232.65</v>
      </c>
      <c r="O414" s="116">
        <v>225.2</v>
      </c>
      <c r="P414" s="116">
        <v>227</v>
      </c>
      <c r="Q414" s="116">
        <v>227.1</v>
      </c>
      <c r="R414">
        <v>1861663</v>
      </c>
    </row>
    <row r="415" spans="1:18" x14ac:dyDescent="0.25">
      <c r="A415" s="170">
        <v>42612</v>
      </c>
      <c r="B415" s="116">
        <v>231.4</v>
      </c>
      <c r="C415" s="116">
        <v>228.4</v>
      </c>
      <c r="D415" s="116">
        <v>227.5</v>
      </c>
      <c r="E415" s="116">
        <v>231.4</v>
      </c>
      <c r="F415" s="116">
        <v>228.4</v>
      </c>
      <c r="G415">
        <v>75502</v>
      </c>
      <c r="H415" s="116"/>
      <c r="I415" s="116"/>
      <c r="L415" s="170">
        <v>42612</v>
      </c>
      <c r="M415" s="116">
        <v>228.4</v>
      </c>
      <c r="N415" s="116">
        <v>232.5</v>
      </c>
      <c r="O415" s="116">
        <v>227.4</v>
      </c>
      <c r="P415" s="116">
        <v>229.8</v>
      </c>
      <c r="Q415" s="116">
        <v>228.4</v>
      </c>
      <c r="R415">
        <v>796938</v>
      </c>
    </row>
    <row r="416" spans="1:18" x14ac:dyDescent="0.25">
      <c r="A416" s="170">
        <v>42613</v>
      </c>
      <c r="B416" s="116">
        <v>229</v>
      </c>
      <c r="C416" s="116">
        <v>226.75</v>
      </c>
      <c r="D416" s="116">
        <v>226</v>
      </c>
      <c r="E416" s="116">
        <v>228.1</v>
      </c>
      <c r="F416" s="116">
        <v>226.75</v>
      </c>
      <c r="G416">
        <v>55822</v>
      </c>
      <c r="H416" s="116"/>
      <c r="I416" s="116"/>
      <c r="L416" s="170">
        <v>42613</v>
      </c>
      <c r="M416" s="116">
        <v>227</v>
      </c>
      <c r="N416" s="116">
        <v>228.85</v>
      </c>
      <c r="O416" s="116">
        <v>226</v>
      </c>
      <c r="P416" s="116">
        <v>227.8</v>
      </c>
      <c r="Q416" s="116">
        <v>227</v>
      </c>
      <c r="R416">
        <v>834787</v>
      </c>
    </row>
    <row r="417" spans="1:18" x14ac:dyDescent="0.25">
      <c r="A417" s="170">
        <v>42614</v>
      </c>
      <c r="B417" s="116">
        <v>229</v>
      </c>
      <c r="C417" s="116">
        <v>225.45</v>
      </c>
      <c r="D417" s="116">
        <v>225</v>
      </c>
      <c r="E417" s="116">
        <v>227.8</v>
      </c>
      <c r="F417" s="116">
        <v>225.45</v>
      </c>
      <c r="G417">
        <v>74481</v>
      </c>
      <c r="H417" s="116"/>
      <c r="I417" s="116"/>
      <c r="L417" s="170">
        <v>42614</v>
      </c>
      <c r="M417" s="116">
        <v>225.8</v>
      </c>
      <c r="N417" s="116">
        <v>228.8</v>
      </c>
      <c r="O417" s="116">
        <v>225</v>
      </c>
      <c r="P417" s="116">
        <v>228</v>
      </c>
      <c r="Q417" s="116">
        <v>225.8</v>
      </c>
      <c r="R417">
        <v>833706</v>
      </c>
    </row>
    <row r="418" spans="1:18" x14ac:dyDescent="0.25">
      <c r="A418" s="170">
        <v>42615</v>
      </c>
      <c r="B418" s="116">
        <v>228.45</v>
      </c>
      <c r="C418" s="116">
        <v>227.4</v>
      </c>
      <c r="D418" s="116">
        <v>224.05</v>
      </c>
      <c r="E418" s="116">
        <v>225.1</v>
      </c>
      <c r="F418" s="116">
        <v>227.4</v>
      </c>
      <c r="G418">
        <v>50915</v>
      </c>
      <c r="H418" s="116"/>
      <c r="I418" s="116"/>
      <c r="L418" s="170">
        <v>42615</v>
      </c>
      <c r="M418" s="116">
        <v>227.5</v>
      </c>
      <c r="N418" s="116">
        <v>228.5</v>
      </c>
      <c r="O418" s="116">
        <v>224.05</v>
      </c>
      <c r="P418" s="116">
        <v>226.15</v>
      </c>
      <c r="Q418" s="116">
        <v>227.5</v>
      </c>
      <c r="R418">
        <v>1212286</v>
      </c>
    </row>
    <row r="419" spans="1:18" x14ac:dyDescent="0.25">
      <c r="A419" s="170">
        <v>42619</v>
      </c>
      <c r="B419" s="116">
        <v>233.2</v>
      </c>
      <c r="C419" s="116">
        <v>230.05</v>
      </c>
      <c r="D419" s="116">
        <v>227</v>
      </c>
      <c r="E419" s="116">
        <v>228.9</v>
      </c>
      <c r="F419" s="116">
        <v>230.05</v>
      </c>
      <c r="G419">
        <v>92041</v>
      </c>
      <c r="H419" s="116"/>
      <c r="I419" s="116"/>
      <c r="L419" s="170">
        <v>42619</v>
      </c>
      <c r="M419" s="116">
        <v>230.2</v>
      </c>
      <c r="N419" s="116">
        <v>233.8</v>
      </c>
      <c r="O419" s="116">
        <v>227.1</v>
      </c>
      <c r="P419" s="116">
        <v>227.85</v>
      </c>
      <c r="Q419" s="116">
        <v>230.2</v>
      </c>
      <c r="R419">
        <v>1388234</v>
      </c>
    </row>
    <row r="420" spans="1:18" x14ac:dyDescent="0.25">
      <c r="A420" s="170">
        <v>42620</v>
      </c>
      <c r="B420" s="116">
        <v>231</v>
      </c>
      <c r="C420" s="116">
        <v>228.35</v>
      </c>
      <c r="D420" s="116">
        <v>227</v>
      </c>
      <c r="E420" s="116">
        <v>231</v>
      </c>
      <c r="F420" s="116">
        <v>228.35</v>
      </c>
      <c r="G420">
        <v>38831</v>
      </c>
      <c r="H420" s="116"/>
      <c r="I420" s="116"/>
      <c r="L420" s="170">
        <v>42620</v>
      </c>
      <c r="M420" s="116">
        <v>228.35</v>
      </c>
      <c r="N420" s="116">
        <v>230.85</v>
      </c>
      <c r="O420" s="116">
        <v>226.95</v>
      </c>
      <c r="P420" s="116">
        <v>230.1</v>
      </c>
      <c r="Q420" s="116">
        <v>228.35</v>
      </c>
      <c r="R420">
        <v>874257</v>
      </c>
    </row>
    <row r="421" spans="1:18" x14ac:dyDescent="0.25">
      <c r="A421" s="170">
        <v>42621</v>
      </c>
      <c r="B421" s="116">
        <v>229.8</v>
      </c>
      <c r="C421" s="116">
        <v>223.55</v>
      </c>
      <c r="D421" s="116">
        <v>222.3</v>
      </c>
      <c r="E421" s="116">
        <v>229.55</v>
      </c>
      <c r="F421" s="116">
        <v>223.55</v>
      </c>
      <c r="G421">
        <v>72096</v>
      </c>
      <c r="H421" s="116"/>
      <c r="I421" s="116"/>
      <c r="L421" s="170">
        <v>42621</v>
      </c>
      <c r="M421" s="116">
        <v>223.6</v>
      </c>
      <c r="N421" s="116">
        <v>230.05</v>
      </c>
      <c r="O421" s="116">
        <v>221.75</v>
      </c>
      <c r="P421" s="116">
        <v>229.5</v>
      </c>
      <c r="Q421" s="116">
        <v>223.6</v>
      </c>
      <c r="R421">
        <v>1527265</v>
      </c>
    </row>
    <row r="422" spans="1:18" x14ac:dyDescent="0.25">
      <c r="A422" s="170">
        <v>42622</v>
      </c>
      <c r="B422" s="116">
        <v>224</v>
      </c>
      <c r="C422" s="116">
        <v>220.5</v>
      </c>
      <c r="D422" s="116">
        <v>218.1</v>
      </c>
      <c r="E422" s="116">
        <v>224</v>
      </c>
      <c r="F422" s="116">
        <v>220.5</v>
      </c>
      <c r="G422">
        <v>89667</v>
      </c>
      <c r="H422" s="116"/>
      <c r="I422" s="116"/>
      <c r="L422" s="170">
        <v>42622</v>
      </c>
      <c r="M422" s="116">
        <v>220.35</v>
      </c>
      <c r="N422" s="116">
        <v>224</v>
      </c>
      <c r="O422" s="116">
        <v>212.4</v>
      </c>
      <c r="P422" s="116">
        <v>224</v>
      </c>
      <c r="Q422" s="116">
        <v>220.35</v>
      </c>
      <c r="R422">
        <v>1518470</v>
      </c>
    </row>
    <row r="423" spans="1:18" x14ac:dyDescent="0.25">
      <c r="A423" s="170">
        <v>42625</v>
      </c>
      <c r="B423" s="116">
        <v>216.25</v>
      </c>
      <c r="C423" s="116">
        <v>212.1</v>
      </c>
      <c r="D423" s="116">
        <v>210.4</v>
      </c>
      <c r="E423" s="116">
        <v>215</v>
      </c>
      <c r="F423" s="116">
        <v>212.1</v>
      </c>
      <c r="G423">
        <v>89439</v>
      </c>
      <c r="H423" s="116"/>
      <c r="I423" s="116"/>
      <c r="L423" s="170">
        <v>42625</v>
      </c>
      <c r="M423" s="116">
        <v>212.55</v>
      </c>
      <c r="N423" s="116">
        <v>216.8</v>
      </c>
      <c r="O423" s="116">
        <v>210</v>
      </c>
      <c r="P423" s="116">
        <v>212.5</v>
      </c>
      <c r="Q423" s="116">
        <v>212.55</v>
      </c>
      <c r="R423">
        <v>1144134</v>
      </c>
    </row>
    <row r="424" spans="1:18" x14ac:dyDescent="0.25">
      <c r="A424" s="170">
        <v>42627</v>
      </c>
      <c r="B424" s="116">
        <v>221.2</v>
      </c>
      <c r="C424" s="116">
        <v>220.45</v>
      </c>
      <c r="D424" s="116">
        <v>212.55</v>
      </c>
      <c r="E424" s="116">
        <v>214.9</v>
      </c>
      <c r="F424" s="116">
        <v>220.45</v>
      </c>
      <c r="G424">
        <v>77553</v>
      </c>
      <c r="H424" s="116"/>
      <c r="I424" s="116"/>
      <c r="L424" s="170">
        <v>42627</v>
      </c>
      <c r="M424" s="116">
        <v>220.35</v>
      </c>
      <c r="N424" s="116">
        <v>221.5</v>
      </c>
      <c r="O424" s="116">
        <v>212.2</v>
      </c>
      <c r="P424" s="116">
        <v>213.5</v>
      </c>
      <c r="Q424" s="116">
        <v>220.35</v>
      </c>
      <c r="R424">
        <v>2059077</v>
      </c>
    </row>
    <row r="425" spans="1:18" x14ac:dyDescent="0.25">
      <c r="A425" s="170">
        <v>42628</v>
      </c>
      <c r="B425" s="116">
        <v>222.15</v>
      </c>
      <c r="C425" s="116">
        <v>218.55</v>
      </c>
      <c r="D425" s="116">
        <v>217.5</v>
      </c>
      <c r="E425" s="116">
        <v>220.55</v>
      </c>
      <c r="F425" s="116">
        <v>218.55</v>
      </c>
      <c r="G425">
        <v>64722</v>
      </c>
      <c r="H425" s="116"/>
      <c r="I425" s="116"/>
      <c r="L425" s="170">
        <v>42628</v>
      </c>
      <c r="M425" s="116">
        <v>218.8</v>
      </c>
      <c r="N425" s="116">
        <v>222.6</v>
      </c>
      <c r="O425" s="116">
        <v>217.4</v>
      </c>
      <c r="P425" s="116">
        <v>220.45</v>
      </c>
      <c r="Q425" s="116">
        <v>218.8</v>
      </c>
      <c r="R425">
        <v>803494</v>
      </c>
    </row>
    <row r="426" spans="1:18" x14ac:dyDescent="0.25">
      <c r="A426" s="170">
        <v>42629</v>
      </c>
      <c r="B426" s="116">
        <v>220.8</v>
      </c>
      <c r="C426" s="116">
        <v>212.4</v>
      </c>
      <c r="D426" s="116">
        <v>210.3</v>
      </c>
      <c r="E426" s="116">
        <v>220</v>
      </c>
      <c r="F426" s="116">
        <v>212.4</v>
      </c>
      <c r="G426">
        <v>94453</v>
      </c>
      <c r="H426" s="116"/>
      <c r="I426" s="116"/>
      <c r="L426" s="170">
        <v>42629</v>
      </c>
      <c r="M426" s="116">
        <v>211.8</v>
      </c>
      <c r="N426" s="116">
        <v>220.95</v>
      </c>
      <c r="O426" s="116">
        <v>210</v>
      </c>
      <c r="P426" s="116">
        <v>219.2</v>
      </c>
      <c r="Q426" s="116">
        <v>211.8</v>
      </c>
      <c r="R426">
        <v>2735043</v>
      </c>
    </row>
    <row r="427" spans="1:18" x14ac:dyDescent="0.25">
      <c r="A427" s="170">
        <v>42632</v>
      </c>
      <c r="B427" s="116">
        <v>218</v>
      </c>
      <c r="C427" s="116">
        <v>217.1</v>
      </c>
      <c r="D427" s="116">
        <v>211.5</v>
      </c>
      <c r="E427" s="116">
        <v>211.5</v>
      </c>
      <c r="F427" s="116">
        <v>217.1</v>
      </c>
      <c r="G427">
        <v>64499</v>
      </c>
      <c r="H427" s="116"/>
      <c r="I427" s="116"/>
      <c r="L427" s="170">
        <v>42632</v>
      </c>
      <c r="M427" s="116">
        <v>216.9</v>
      </c>
      <c r="N427" s="116">
        <v>217.9</v>
      </c>
      <c r="O427" s="116">
        <v>211.65</v>
      </c>
      <c r="P427" s="116">
        <v>212.2</v>
      </c>
      <c r="Q427" s="116">
        <v>216.9</v>
      </c>
      <c r="R427">
        <v>864991</v>
      </c>
    </row>
    <row r="428" spans="1:18" x14ac:dyDescent="0.25">
      <c r="A428" s="170">
        <v>42633</v>
      </c>
      <c r="B428" s="116">
        <v>221.55</v>
      </c>
      <c r="C428" s="116">
        <v>220.55</v>
      </c>
      <c r="D428" s="116">
        <v>215.15</v>
      </c>
      <c r="E428" s="116">
        <v>217.9</v>
      </c>
      <c r="F428" s="116">
        <v>220.55</v>
      </c>
      <c r="G428">
        <v>174430</v>
      </c>
      <c r="H428" s="116"/>
      <c r="I428" s="116"/>
      <c r="L428" s="170">
        <v>42633</v>
      </c>
      <c r="M428" s="116">
        <v>221.05</v>
      </c>
      <c r="N428" s="116">
        <v>222</v>
      </c>
      <c r="O428" s="116">
        <v>215</v>
      </c>
      <c r="P428" s="116">
        <v>217.65</v>
      </c>
      <c r="Q428" s="116">
        <v>221.05</v>
      </c>
      <c r="R428">
        <v>1183102</v>
      </c>
    </row>
    <row r="429" spans="1:18" x14ac:dyDescent="0.25">
      <c r="A429" s="170">
        <v>42634</v>
      </c>
      <c r="B429" s="116">
        <v>222.95</v>
      </c>
      <c r="C429" s="116">
        <v>219.65</v>
      </c>
      <c r="D429" s="116">
        <v>218.85</v>
      </c>
      <c r="E429" s="116">
        <v>222.6</v>
      </c>
      <c r="F429" s="116">
        <v>219.65</v>
      </c>
      <c r="G429">
        <v>69846</v>
      </c>
      <c r="H429" s="116"/>
      <c r="I429" s="116"/>
      <c r="L429" s="170">
        <v>42634</v>
      </c>
      <c r="M429" s="116">
        <v>219.75</v>
      </c>
      <c r="N429" s="116">
        <v>222.75</v>
      </c>
      <c r="O429" s="116">
        <v>218.4</v>
      </c>
      <c r="P429" s="116">
        <v>222.75</v>
      </c>
      <c r="Q429" s="116">
        <v>219.75</v>
      </c>
      <c r="R429">
        <v>1248571</v>
      </c>
    </row>
    <row r="430" spans="1:18" x14ac:dyDescent="0.25">
      <c r="A430" s="170">
        <v>42635</v>
      </c>
      <c r="B430" s="116">
        <v>223.85</v>
      </c>
      <c r="C430" s="116">
        <v>222.8</v>
      </c>
      <c r="D430" s="116">
        <v>220.55</v>
      </c>
      <c r="E430" s="116">
        <v>222.9</v>
      </c>
      <c r="F430" s="116">
        <v>222.8</v>
      </c>
      <c r="G430">
        <v>47839</v>
      </c>
      <c r="H430" s="116"/>
      <c r="I430" s="116"/>
      <c r="L430" s="170">
        <v>42635</v>
      </c>
      <c r="M430" s="116">
        <v>223.2</v>
      </c>
      <c r="N430" s="116">
        <v>223.9</v>
      </c>
      <c r="O430" s="116">
        <v>220.1</v>
      </c>
      <c r="P430" s="116">
        <v>223.9</v>
      </c>
      <c r="Q430" s="116">
        <v>223.2</v>
      </c>
      <c r="R430">
        <v>1346645</v>
      </c>
    </row>
    <row r="431" spans="1:18" x14ac:dyDescent="0.25">
      <c r="A431" s="170">
        <v>42636</v>
      </c>
      <c r="B431" s="116">
        <v>229.15</v>
      </c>
      <c r="C431" s="116">
        <v>226.7</v>
      </c>
      <c r="D431" s="116">
        <v>222.25</v>
      </c>
      <c r="E431" s="116">
        <v>223.65</v>
      </c>
      <c r="F431" s="116">
        <v>226.7</v>
      </c>
      <c r="G431">
        <v>148298</v>
      </c>
      <c r="H431" s="116"/>
      <c r="I431" s="116"/>
      <c r="L431" s="170">
        <v>42636</v>
      </c>
      <c r="M431" s="116">
        <v>227.45</v>
      </c>
      <c r="N431" s="116">
        <v>229.4</v>
      </c>
      <c r="O431" s="116">
        <v>221.6</v>
      </c>
      <c r="P431" s="116">
        <v>222.7</v>
      </c>
      <c r="Q431" s="116">
        <v>227.45</v>
      </c>
      <c r="R431">
        <v>3264488</v>
      </c>
    </row>
    <row r="432" spans="1:18" x14ac:dyDescent="0.25">
      <c r="A432" s="170">
        <v>42639</v>
      </c>
      <c r="B432" s="116">
        <v>230</v>
      </c>
      <c r="C432" s="116">
        <v>228.65</v>
      </c>
      <c r="D432" s="116">
        <v>224.8</v>
      </c>
      <c r="E432" s="116">
        <v>227.3</v>
      </c>
      <c r="F432" s="116">
        <v>228.65</v>
      </c>
      <c r="G432">
        <v>81258</v>
      </c>
      <c r="H432" s="116"/>
      <c r="I432" s="116"/>
      <c r="L432" s="170">
        <v>42639</v>
      </c>
      <c r="M432" s="116">
        <v>229.7</v>
      </c>
      <c r="N432" s="116">
        <v>230.65</v>
      </c>
      <c r="O432" s="116">
        <v>224.45</v>
      </c>
      <c r="P432" s="116">
        <v>228</v>
      </c>
      <c r="Q432" s="116">
        <v>229.7</v>
      </c>
      <c r="R432">
        <v>1586051</v>
      </c>
    </row>
    <row r="433" spans="1:18" x14ac:dyDescent="0.25">
      <c r="A433" s="170">
        <v>42640</v>
      </c>
      <c r="B433" s="116">
        <v>231</v>
      </c>
      <c r="C433" s="116">
        <v>228.9</v>
      </c>
      <c r="D433" s="116">
        <v>225.1</v>
      </c>
      <c r="E433" s="116">
        <v>229.9</v>
      </c>
      <c r="F433" s="116">
        <v>228.9</v>
      </c>
      <c r="G433">
        <v>65342</v>
      </c>
      <c r="H433" s="116"/>
      <c r="I433" s="116"/>
      <c r="L433" s="170">
        <v>42640</v>
      </c>
      <c r="M433" s="116">
        <v>228.95</v>
      </c>
      <c r="N433" s="116">
        <v>231.05</v>
      </c>
      <c r="O433" s="116">
        <v>225</v>
      </c>
      <c r="P433" s="116">
        <v>230.05</v>
      </c>
      <c r="Q433" s="116">
        <v>228.95</v>
      </c>
      <c r="R433">
        <v>1572476</v>
      </c>
    </row>
    <row r="434" spans="1:18" x14ac:dyDescent="0.25">
      <c r="A434" s="170">
        <v>42641</v>
      </c>
      <c r="B434" s="116">
        <v>232.05</v>
      </c>
      <c r="C434" s="116">
        <v>230.1</v>
      </c>
      <c r="D434" s="116">
        <v>228.3</v>
      </c>
      <c r="E434" s="116">
        <v>230</v>
      </c>
      <c r="F434" s="116">
        <v>230.1</v>
      </c>
      <c r="G434">
        <v>58912</v>
      </c>
      <c r="H434" s="116"/>
      <c r="I434" s="116"/>
      <c r="L434" s="170">
        <v>42641</v>
      </c>
      <c r="M434" s="116">
        <v>230.55</v>
      </c>
      <c r="N434" s="116">
        <v>232.2</v>
      </c>
      <c r="O434" s="116">
        <v>228.05</v>
      </c>
      <c r="P434" s="116">
        <v>228.95</v>
      </c>
      <c r="Q434" s="116">
        <v>230.55</v>
      </c>
      <c r="R434">
        <v>1024885</v>
      </c>
    </row>
    <row r="435" spans="1:18" x14ac:dyDescent="0.25">
      <c r="A435" s="170">
        <v>42642</v>
      </c>
      <c r="B435" s="116">
        <v>235</v>
      </c>
      <c r="C435" s="116">
        <v>227.85</v>
      </c>
      <c r="D435" s="116">
        <v>225.5</v>
      </c>
      <c r="E435" s="116">
        <v>230.5</v>
      </c>
      <c r="F435" s="116">
        <v>227.85</v>
      </c>
      <c r="G435">
        <v>209531</v>
      </c>
      <c r="H435" s="116"/>
      <c r="I435" s="116"/>
      <c r="L435" s="170">
        <v>42642</v>
      </c>
      <c r="M435" s="116">
        <v>229.15</v>
      </c>
      <c r="N435" s="116">
        <v>235.5</v>
      </c>
      <c r="O435" s="116">
        <v>225.95</v>
      </c>
      <c r="P435" s="116">
        <v>230.1</v>
      </c>
      <c r="Q435" s="116">
        <v>229.15</v>
      </c>
      <c r="R435">
        <v>3159360</v>
      </c>
    </row>
    <row r="436" spans="1:18" x14ac:dyDescent="0.25">
      <c r="A436" s="170">
        <v>42643</v>
      </c>
      <c r="B436" s="116">
        <v>235.8</v>
      </c>
      <c r="C436" s="116">
        <v>233.25</v>
      </c>
      <c r="D436" s="116">
        <v>225.85</v>
      </c>
      <c r="E436" s="116">
        <v>228.2</v>
      </c>
      <c r="F436" s="116">
        <v>233.25</v>
      </c>
      <c r="G436">
        <v>232514</v>
      </c>
      <c r="H436" s="116"/>
      <c r="I436" s="116"/>
      <c r="L436" s="170">
        <v>42643</v>
      </c>
      <c r="M436" s="116">
        <v>233.35</v>
      </c>
      <c r="N436" s="116">
        <v>236.4</v>
      </c>
      <c r="O436" s="116">
        <v>226.15</v>
      </c>
      <c r="P436" s="116">
        <v>227</v>
      </c>
      <c r="Q436" s="116">
        <v>233.35</v>
      </c>
      <c r="R436">
        <v>1172607</v>
      </c>
    </row>
    <row r="437" spans="1:18" x14ac:dyDescent="0.25">
      <c r="A437" s="170">
        <v>42646</v>
      </c>
      <c r="B437" s="116">
        <v>262.8</v>
      </c>
      <c r="C437" s="116">
        <v>254.75</v>
      </c>
      <c r="D437" s="116">
        <v>234.85</v>
      </c>
      <c r="E437" s="116">
        <v>234.85</v>
      </c>
      <c r="F437" s="116">
        <v>254.75</v>
      </c>
      <c r="G437">
        <v>648107</v>
      </c>
      <c r="H437" s="116"/>
      <c r="I437" s="116"/>
      <c r="L437" s="170">
        <v>42646</v>
      </c>
      <c r="M437" s="116">
        <v>254.45</v>
      </c>
      <c r="N437" s="116">
        <v>262.5</v>
      </c>
      <c r="O437" s="116">
        <v>234.05</v>
      </c>
      <c r="P437" s="116">
        <v>234.8</v>
      </c>
      <c r="Q437" s="116">
        <v>254.45</v>
      </c>
      <c r="R437">
        <v>7070078</v>
      </c>
    </row>
    <row r="438" spans="1:18" x14ac:dyDescent="0.25">
      <c r="A438" s="170">
        <v>42647</v>
      </c>
      <c r="B438" s="116">
        <v>257.10000000000002</v>
      </c>
      <c r="C438" s="116">
        <v>251.6</v>
      </c>
      <c r="D438" s="116">
        <v>248.4</v>
      </c>
      <c r="E438" s="116">
        <v>255.05</v>
      </c>
      <c r="F438" s="116">
        <v>251.6</v>
      </c>
      <c r="G438">
        <v>1586347</v>
      </c>
      <c r="H438" s="116"/>
      <c r="I438" s="116"/>
      <c r="L438" s="170">
        <v>42647</v>
      </c>
      <c r="M438" s="116">
        <v>251.95</v>
      </c>
      <c r="N438" s="116">
        <v>256.55</v>
      </c>
      <c r="O438" s="116">
        <v>248.25</v>
      </c>
      <c r="P438" s="116">
        <v>255</v>
      </c>
      <c r="Q438" s="116">
        <v>251.95</v>
      </c>
      <c r="R438">
        <v>3082075</v>
      </c>
    </row>
    <row r="439" spans="1:18" x14ac:dyDescent="0.25">
      <c r="A439" s="170">
        <v>42648</v>
      </c>
      <c r="B439" s="116">
        <v>260</v>
      </c>
      <c r="C439" s="116">
        <v>252.6</v>
      </c>
      <c r="D439" s="116">
        <v>247.65</v>
      </c>
      <c r="E439" s="116">
        <v>252.85</v>
      </c>
      <c r="F439" s="116">
        <v>252.6</v>
      </c>
      <c r="G439">
        <v>1759312</v>
      </c>
      <c r="H439" s="116"/>
      <c r="I439" s="116"/>
      <c r="L439" s="170">
        <v>42648</v>
      </c>
      <c r="M439" s="116">
        <v>253.35</v>
      </c>
      <c r="N439" s="116">
        <v>260.35000000000002</v>
      </c>
      <c r="O439" s="116">
        <v>251.6</v>
      </c>
      <c r="P439" s="116">
        <v>253.9</v>
      </c>
      <c r="Q439" s="116">
        <v>253.35</v>
      </c>
      <c r="R439">
        <v>3499814</v>
      </c>
    </row>
    <row r="440" spans="1:18" x14ac:dyDescent="0.25">
      <c r="A440" s="170">
        <v>42649</v>
      </c>
      <c r="B440" s="116">
        <v>259.89999999999998</v>
      </c>
      <c r="C440" s="116">
        <v>249.9</v>
      </c>
      <c r="D440" s="116">
        <v>246.95</v>
      </c>
      <c r="E440" s="116">
        <v>259.89999999999998</v>
      </c>
      <c r="F440" s="116">
        <v>249.9</v>
      </c>
      <c r="G440">
        <v>130617</v>
      </c>
      <c r="H440" s="116"/>
      <c r="I440" s="116"/>
      <c r="L440" s="170">
        <v>42649</v>
      </c>
      <c r="M440" s="116">
        <v>250</v>
      </c>
      <c r="N440" s="116">
        <v>258.64999999999998</v>
      </c>
      <c r="O440" s="116">
        <v>246.85</v>
      </c>
      <c r="P440" s="116">
        <v>253.4</v>
      </c>
      <c r="Q440" s="116">
        <v>250</v>
      </c>
      <c r="R440">
        <v>1742027</v>
      </c>
    </row>
    <row r="441" spans="1:18" x14ac:dyDescent="0.25">
      <c r="A441" s="170">
        <v>42650</v>
      </c>
      <c r="B441" s="116">
        <v>256</v>
      </c>
      <c r="C441" s="116">
        <v>251.85</v>
      </c>
      <c r="D441" s="116">
        <v>248.8</v>
      </c>
      <c r="E441" s="116">
        <v>256</v>
      </c>
      <c r="F441" s="116">
        <v>251.85</v>
      </c>
      <c r="G441">
        <v>49996</v>
      </c>
      <c r="H441" s="116"/>
      <c r="I441" s="116"/>
      <c r="L441" s="170">
        <v>42650</v>
      </c>
      <c r="M441" s="116">
        <v>252</v>
      </c>
      <c r="N441" s="116">
        <v>253.3</v>
      </c>
      <c r="O441" s="116">
        <v>248.85</v>
      </c>
      <c r="P441" s="116">
        <v>251.8</v>
      </c>
      <c r="Q441" s="116">
        <v>252</v>
      </c>
      <c r="R441">
        <v>1400188</v>
      </c>
    </row>
    <row r="442" spans="1:18" x14ac:dyDescent="0.25">
      <c r="A442" s="170">
        <v>42653</v>
      </c>
      <c r="B442" s="116">
        <v>255.15</v>
      </c>
      <c r="C442" s="116">
        <v>251.7</v>
      </c>
      <c r="D442" s="116">
        <v>250.5</v>
      </c>
      <c r="E442" s="116">
        <v>251.9</v>
      </c>
      <c r="F442" s="116">
        <v>251.7</v>
      </c>
      <c r="G442">
        <v>85276</v>
      </c>
      <c r="H442" s="116"/>
      <c r="I442" s="116"/>
      <c r="L442" s="170">
        <v>42653</v>
      </c>
      <c r="M442" s="116">
        <v>251.65</v>
      </c>
      <c r="N442" s="116">
        <v>255.65</v>
      </c>
      <c r="O442" s="116">
        <v>250.15</v>
      </c>
      <c r="P442" s="116">
        <v>251.75</v>
      </c>
      <c r="Q442" s="116">
        <v>251.65</v>
      </c>
      <c r="R442">
        <v>2291956</v>
      </c>
    </row>
    <row r="443" spans="1:18" x14ac:dyDescent="0.25">
      <c r="A443" s="170">
        <v>42656</v>
      </c>
      <c r="B443" s="116">
        <v>254.4</v>
      </c>
      <c r="C443" s="116">
        <v>243.2</v>
      </c>
      <c r="D443" s="116">
        <v>241</v>
      </c>
      <c r="E443" s="116">
        <v>254.4</v>
      </c>
      <c r="F443" s="116">
        <v>243.2</v>
      </c>
      <c r="G443">
        <v>120974</v>
      </c>
      <c r="H443" s="116"/>
      <c r="I443" s="116"/>
      <c r="L443" s="170">
        <v>42656</v>
      </c>
      <c r="M443" s="116">
        <v>243.35</v>
      </c>
      <c r="N443" s="116">
        <v>249.9</v>
      </c>
      <c r="O443" s="116">
        <v>240.4</v>
      </c>
      <c r="P443" s="116">
        <v>249.9</v>
      </c>
      <c r="Q443" s="116">
        <v>243.35</v>
      </c>
      <c r="R443">
        <v>2464838</v>
      </c>
    </row>
    <row r="444" spans="1:18" x14ac:dyDescent="0.25">
      <c r="A444" s="170">
        <v>42657</v>
      </c>
      <c r="B444" s="116">
        <v>246.5</v>
      </c>
      <c r="C444" s="116">
        <v>245.2</v>
      </c>
      <c r="D444" s="116">
        <v>231</v>
      </c>
      <c r="E444" s="116">
        <v>244.3</v>
      </c>
      <c r="F444" s="116">
        <v>245.2</v>
      </c>
      <c r="G444">
        <v>68098</v>
      </c>
      <c r="H444" s="116"/>
      <c r="I444" s="116"/>
      <c r="L444" s="170">
        <v>42657</v>
      </c>
      <c r="M444" s="116">
        <v>245.75</v>
      </c>
      <c r="N444" s="116">
        <v>247</v>
      </c>
      <c r="O444" s="116">
        <v>241.7</v>
      </c>
      <c r="P444" s="116">
        <v>243.1</v>
      </c>
      <c r="Q444" s="116">
        <v>245.75</v>
      </c>
      <c r="R444">
        <v>745366</v>
      </c>
    </row>
    <row r="445" spans="1:18" x14ac:dyDescent="0.25">
      <c r="A445" s="170">
        <v>42660</v>
      </c>
      <c r="B445" s="116">
        <v>247</v>
      </c>
      <c r="C445" s="116">
        <v>239.95</v>
      </c>
      <c r="D445" s="116">
        <v>236.75</v>
      </c>
      <c r="E445" s="116">
        <v>245.2</v>
      </c>
      <c r="F445" s="116">
        <v>239.95</v>
      </c>
      <c r="G445">
        <v>133442</v>
      </c>
      <c r="H445" s="116"/>
      <c r="I445" s="116"/>
      <c r="L445" s="170">
        <v>42660</v>
      </c>
      <c r="M445" s="116">
        <v>240.35</v>
      </c>
      <c r="N445" s="116">
        <v>247.35</v>
      </c>
      <c r="O445" s="116">
        <v>237</v>
      </c>
      <c r="P445" s="116">
        <v>245.5</v>
      </c>
      <c r="Q445" s="116">
        <v>240.35</v>
      </c>
      <c r="R445">
        <v>2358367</v>
      </c>
    </row>
    <row r="446" spans="1:18" x14ac:dyDescent="0.25">
      <c r="A446" s="170">
        <v>42661</v>
      </c>
      <c r="B446" s="116">
        <v>248.75</v>
      </c>
      <c r="C446" s="116">
        <v>244.85</v>
      </c>
      <c r="D446" s="116">
        <v>240.1</v>
      </c>
      <c r="E446" s="116">
        <v>240.1</v>
      </c>
      <c r="F446" s="116">
        <v>244.85</v>
      </c>
      <c r="G446">
        <v>217846</v>
      </c>
      <c r="H446" s="116"/>
      <c r="I446" s="116"/>
      <c r="L446" s="170">
        <v>42661</v>
      </c>
      <c r="M446" s="116">
        <v>245</v>
      </c>
      <c r="N446" s="116">
        <v>248.75</v>
      </c>
      <c r="O446" s="116">
        <v>240.05</v>
      </c>
      <c r="P446" s="116">
        <v>240.5</v>
      </c>
      <c r="Q446" s="116">
        <v>245</v>
      </c>
      <c r="R446">
        <v>3264263</v>
      </c>
    </row>
    <row r="447" spans="1:18" x14ac:dyDescent="0.25">
      <c r="A447" s="170">
        <v>42662</v>
      </c>
      <c r="B447" s="116">
        <v>251.9</v>
      </c>
      <c r="C447" s="116">
        <v>248.2</v>
      </c>
      <c r="D447" s="116">
        <v>245.5</v>
      </c>
      <c r="E447" s="116">
        <v>246.8</v>
      </c>
      <c r="F447" s="116">
        <v>248.2</v>
      </c>
      <c r="G447">
        <v>268529</v>
      </c>
      <c r="H447" s="116"/>
      <c r="I447" s="116"/>
      <c r="L447" s="170">
        <v>42662</v>
      </c>
      <c r="M447" s="116">
        <v>248.1</v>
      </c>
      <c r="N447" s="116">
        <v>252</v>
      </c>
      <c r="O447" s="116">
        <v>245.4</v>
      </c>
      <c r="P447" s="116">
        <v>245.95</v>
      </c>
      <c r="Q447" s="116">
        <v>248.1</v>
      </c>
      <c r="R447">
        <v>4325941</v>
      </c>
    </row>
    <row r="448" spans="1:18" x14ac:dyDescent="0.25">
      <c r="A448" s="170">
        <v>42663</v>
      </c>
      <c r="B448" s="116">
        <v>260</v>
      </c>
      <c r="C448" s="116">
        <v>249.9</v>
      </c>
      <c r="D448" s="116">
        <v>248.35</v>
      </c>
      <c r="E448" s="116">
        <v>260</v>
      </c>
      <c r="F448" s="116">
        <v>249.9</v>
      </c>
      <c r="G448">
        <v>512115</v>
      </c>
      <c r="H448" s="116"/>
      <c r="I448" s="116"/>
      <c r="L448" s="170">
        <v>42663</v>
      </c>
      <c r="M448" s="116">
        <v>249.9</v>
      </c>
      <c r="N448" s="116">
        <v>260</v>
      </c>
      <c r="O448" s="116">
        <v>247.8</v>
      </c>
      <c r="P448" s="116">
        <v>260</v>
      </c>
      <c r="Q448" s="116">
        <v>249.9</v>
      </c>
      <c r="R448">
        <v>6395649</v>
      </c>
    </row>
    <row r="449" spans="1:18" x14ac:dyDescent="0.25">
      <c r="A449" s="170">
        <v>42664</v>
      </c>
      <c r="B449" s="116">
        <v>251.25</v>
      </c>
      <c r="C449" s="116">
        <v>249.1</v>
      </c>
      <c r="D449" s="116">
        <v>242.65</v>
      </c>
      <c r="E449" s="116">
        <v>250.7</v>
      </c>
      <c r="F449" s="116">
        <v>249.1</v>
      </c>
      <c r="G449">
        <v>116821</v>
      </c>
      <c r="H449" s="116"/>
      <c r="I449" s="116"/>
      <c r="L449" s="170">
        <v>42664</v>
      </c>
      <c r="M449" s="116">
        <v>249.7</v>
      </c>
      <c r="N449" s="116">
        <v>252.9</v>
      </c>
      <c r="O449" s="116">
        <v>242.5</v>
      </c>
      <c r="P449" s="116">
        <v>250</v>
      </c>
      <c r="Q449" s="116">
        <v>249.7</v>
      </c>
      <c r="R449">
        <v>1933457</v>
      </c>
    </row>
    <row r="450" spans="1:18" x14ac:dyDescent="0.25">
      <c r="A450" s="170">
        <v>42667</v>
      </c>
      <c r="B450" s="116">
        <v>254.4</v>
      </c>
      <c r="C450" s="116">
        <v>252.45</v>
      </c>
      <c r="D450" s="116">
        <v>248.15</v>
      </c>
      <c r="E450" s="116">
        <v>252.8</v>
      </c>
      <c r="F450" s="116">
        <v>252.45</v>
      </c>
      <c r="G450">
        <v>122194</v>
      </c>
      <c r="H450" s="116"/>
      <c r="I450" s="116"/>
      <c r="L450" s="170">
        <v>42667</v>
      </c>
      <c r="M450" s="116">
        <v>253.25</v>
      </c>
      <c r="N450" s="116">
        <v>254.8</v>
      </c>
      <c r="O450" s="116">
        <v>247.65</v>
      </c>
      <c r="P450" s="116">
        <v>248.25</v>
      </c>
      <c r="Q450" s="116">
        <v>253.25</v>
      </c>
      <c r="R450">
        <v>2271045</v>
      </c>
    </row>
    <row r="451" spans="1:18" x14ac:dyDescent="0.25">
      <c r="A451" s="170">
        <v>42668</v>
      </c>
      <c r="B451" s="116">
        <v>257.45</v>
      </c>
      <c r="C451" s="116">
        <v>254.4</v>
      </c>
      <c r="D451" s="116">
        <v>251.4</v>
      </c>
      <c r="E451" s="116">
        <v>254</v>
      </c>
      <c r="F451" s="116">
        <v>254.4</v>
      </c>
      <c r="G451">
        <v>210837</v>
      </c>
      <c r="H451" s="116"/>
      <c r="I451" s="116"/>
      <c r="L451" s="170">
        <v>42668</v>
      </c>
      <c r="M451" s="116">
        <v>254.65</v>
      </c>
      <c r="N451" s="116">
        <v>257.8</v>
      </c>
      <c r="O451" s="116">
        <v>251.3</v>
      </c>
      <c r="P451" s="116">
        <v>254</v>
      </c>
      <c r="Q451" s="116">
        <v>254.65</v>
      </c>
      <c r="R451">
        <v>2220816</v>
      </c>
    </row>
    <row r="452" spans="1:18" x14ac:dyDescent="0.25">
      <c r="A452" s="170">
        <v>42669</v>
      </c>
      <c r="B452" s="116">
        <v>257.35000000000002</v>
      </c>
      <c r="C452" s="116">
        <v>252.15</v>
      </c>
      <c r="D452" s="116">
        <v>251</v>
      </c>
      <c r="E452" s="116">
        <v>253</v>
      </c>
      <c r="F452" s="116">
        <v>252.15</v>
      </c>
      <c r="G452">
        <v>118957</v>
      </c>
      <c r="H452" s="116"/>
      <c r="I452" s="116"/>
      <c r="L452" s="170">
        <v>42669</v>
      </c>
      <c r="M452" s="116">
        <v>253.2</v>
      </c>
      <c r="N452" s="116">
        <v>257.60000000000002</v>
      </c>
      <c r="O452" s="116">
        <v>251</v>
      </c>
      <c r="P452" s="116">
        <v>255.05</v>
      </c>
      <c r="Q452" s="116">
        <v>253.2</v>
      </c>
      <c r="R452">
        <v>1805353</v>
      </c>
    </row>
    <row r="453" spans="1:18" x14ac:dyDescent="0.25">
      <c r="A453" s="170">
        <v>42670</v>
      </c>
      <c r="B453" s="116">
        <v>254.9</v>
      </c>
      <c r="C453" s="116">
        <v>250.9</v>
      </c>
      <c r="D453" s="116">
        <v>248.5</v>
      </c>
      <c r="E453" s="116">
        <v>254</v>
      </c>
      <c r="F453" s="116">
        <v>250.9</v>
      </c>
      <c r="G453">
        <v>61535</v>
      </c>
      <c r="H453" s="116"/>
      <c r="I453" s="116"/>
      <c r="L453" s="170">
        <v>42670</v>
      </c>
      <c r="M453" s="116">
        <v>250.8</v>
      </c>
      <c r="N453" s="116">
        <v>254.15</v>
      </c>
      <c r="O453" s="116">
        <v>248.45</v>
      </c>
      <c r="P453" s="116">
        <v>253</v>
      </c>
      <c r="Q453" s="116">
        <v>250.8</v>
      </c>
      <c r="R453">
        <v>2261358</v>
      </c>
    </row>
    <row r="454" spans="1:18" x14ac:dyDescent="0.25">
      <c r="A454" s="170">
        <v>42671</v>
      </c>
      <c r="B454" s="116">
        <v>255.95</v>
      </c>
      <c r="C454" s="116">
        <v>253.15</v>
      </c>
      <c r="D454" s="116">
        <v>250.15</v>
      </c>
      <c r="E454" s="116">
        <v>250.15</v>
      </c>
      <c r="F454" s="116">
        <v>253.15</v>
      </c>
      <c r="G454">
        <v>79717</v>
      </c>
      <c r="H454" s="116"/>
      <c r="I454" s="116"/>
      <c r="L454" s="170">
        <v>42671</v>
      </c>
      <c r="M454" s="116">
        <v>252.95</v>
      </c>
      <c r="N454" s="116">
        <v>256</v>
      </c>
      <c r="O454" s="116">
        <v>250</v>
      </c>
      <c r="P454" s="116">
        <v>250</v>
      </c>
      <c r="Q454" s="116">
        <v>252.95</v>
      </c>
      <c r="R454">
        <v>1400695</v>
      </c>
    </row>
    <row r="455" spans="1:18" x14ac:dyDescent="0.25">
      <c r="A455" s="170">
        <v>42673</v>
      </c>
      <c r="B455" s="116">
        <v>255.8</v>
      </c>
      <c r="C455" s="116">
        <v>252.55</v>
      </c>
      <c r="D455" s="116">
        <v>250</v>
      </c>
      <c r="E455" s="116">
        <v>253.5</v>
      </c>
      <c r="F455" s="116">
        <v>252.55</v>
      </c>
      <c r="G455">
        <v>17452</v>
      </c>
      <c r="H455" s="116"/>
      <c r="I455" s="116"/>
      <c r="L455" s="170">
        <v>42673</v>
      </c>
      <c r="M455" s="116">
        <v>252.5</v>
      </c>
      <c r="N455" s="116">
        <v>256</v>
      </c>
      <c r="O455" s="116">
        <v>251</v>
      </c>
      <c r="P455" s="116">
        <v>253.9</v>
      </c>
      <c r="Q455" s="116">
        <v>252.5</v>
      </c>
      <c r="R455">
        <v>361193</v>
      </c>
    </row>
    <row r="456" spans="1:18" x14ac:dyDescent="0.25">
      <c r="A456" s="170">
        <v>42675</v>
      </c>
      <c r="B456" s="116">
        <v>275.89999999999998</v>
      </c>
      <c r="C456" s="116">
        <v>272.7</v>
      </c>
      <c r="D456" s="116">
        <v>254</v>
      </c>
      <c r="E456" s="116">
        <v>254</v>
      </c>
      <c r="F456" s="116">
        <v>272.7</v>
      </c>
      <c r="G456">
        <v>1566440</v>
      </c>
      <c r="H456" s="116"/>
      <c r="I456" s="116"/>
      <c r="L456" s="170">
        <v>42675</v>
      </c>
      <c r="M456" s="116">
        <v>272.55</v>
      </c>
      <c r="N456" s="116">
        <v>276.2</v>
      </c>
      <c r="O456" s="116">
        <v>254.1</v>
      </c>
      <c r="P456" s="116">
        <v>255.45</v>
      </c>
      <c r="Q456" s="116">
        <v>272.55</v>
      </c>
      <c r="R456">
        <v>6300763</v>
      </c>
    </row>
    <row r="457" spans="1:18" x14ac:dyDescent="0.25">
      <c r="A457" s="170">
        <v>42676</v>
      </c>
      <c r="B457" s="116">
        <v>273.7</v>
      </c>
      <c r="C457" s="116">
        <v>269.7</v>
      </c>
      <c r="D457" s="116">
        <v>266.2</v>
      </c>
      <c r="E457" s="116">
        <v>272.64999999999998</v>
      </c>
      <c r="F457" s="116">
        <v>269.7</v>
      </c>
      <c r="G457">
        <v>331920</v>
      </c>
      <c r="H457" s="116"/>
      <c r="I457" s="116"/>
      <c r="L457" s="170">
        <v>42676</v>
      </c>
      <c r="M457" s="116">
        <v>269.5</v>
      </c>
      <c r="N457" s="116">
        <v>273.45</v>
      </c>
      <c r="O457" s="116">
        <v>266.3</v>
      </c>
      <c r="P457" s="116">
        <v>271.75</v>
      </c>
      <c r="Q457" s="116">
        <v>269.5</v>
      </c>
      <c r="R457">
        <v>3197550</v>
      </c>
    </row>
    <row r="458" spans="1:18" x14ac:dyDescent="0.25">
      <c r="A458" s="170">
        <v>42677</v>
      </c>
      <c r="B458" s="116">
        <v>275.39999999999998</v>
      </c>
      <c r="C458" s="116">
        <v>267.10000000000002</v>
      </c>
      <c r="D458" s="116">
        <v>265.89999999999998</v>
      </c>
      <c r="E458" s="116">
        <v>270</v>
      </c>
      <c r="F458" s="116">
        <v>267.10000000000002</v>
      </c>
      <c r="G458">
        <v>394579</v>
      </c>
      <c r="H458" s="116"/>
      <c r="I458" s="116"/>
      <c r="L458" s="170">
        <v>42677</v>
      </c>
      <c r="M458" s="116">
        <v>267.2</v>
      </c>
      <c r="N458" s="116">
        <v>275.5</v>
      </c>
      <c r="O458" s="116">
        <v>264.3</v>
      </c>
      <c r="P458" s="116">
        <v>264.3</v>
      </c>
      <c r="Q458" s="116">
        <v>267.2</v>
      </c>
      <c r="R458">
        <v>2132194</v>
      </c>
    </row>
    <row r="459" spans="1:18" x14ac:dyDescent="0.25">
      <c r="A459" s="170">
        <v>42678</v>
      </c>
      <c r="B459" s="116">
        <v>272</v>
      </c>
      <c r="C459" s="116">
        <v>255.3</v>
      </c>
      <c r="D459" s="116">
        <v>253.55</v>
      </c>
      <c r="E459" s="116">
        <v>272</v>
      </c>
      <c r="F459" s="116">
        <v>255.3</v>
      </c>
      <c r="G459">
        <v>167677</v>
      </c>
      <c r="H459" s="116"/>
      <c r="I459" s="116"/>
      <c r="L459" s="170">
        <v>42678</v>
      </c>
      <c r="M459" s="116">
        <v>255.65</v>
      </c>
      <c r="N459" s="116">
        <v>270.7</v>
      </c>
      <c r="O459" s="116">
        <v>253.15</v>
      </c>
      <c r="P459" s="116">
        <v>268</v>
      </c>
      <c r="Q459" s="116">
        <v>255.65</v>
      </c>
      <c r="R459">
        <v>1377902</v>
      </c>
    </row>
    <row r="460" spans="1:18" x14ac:dyDescent="0.25">
      <c r="A460" s="170">
        <v>42681</v>
      </c>
      <c r="B460" s="116">
        <v>266.7</v>
      </c>
      <c r="C460" s="116">
        <v>262.5</v>
      </c>
      <c r="D460" s="116">
        <v>258.10000000000002</v>
      </c>
      <c r="E460" s="116">
        <v>258.10000000000002</v>
      </c>
      <c r="F460" s="116">
        <v>262.5</v>
      </c>
      <c r="G460">
        <v>161775</v>
      </c>
      <c r="H460" s="116"/>
      <c r="I460" s="116"/>
      <c r="L460" s="170">
        <v>42681</v>
      </c>
      <c r="M460" s="116">
        <v>262.45</v>
      </c>
      <c r="N460" s="116">
        <v>266.55</v>
      </c>
      <c r="O460" s="116">
        <v>259.25</v>
      </c>
      <c r="P460" s="116">
        <v>262.95</v>
      </c>
      <c r="Q460" s="116">
        <v>262.45</v>
      </c>
      <c r="R460">
        <v>963090</v>
      </c>
    </row>
    <row r="461" spans="1:18" x14ac:dyDescent="0.25">
      <c r="A461" s="170">
        <v>42682</v>
      </c>
      <c r="B461" s="116">
        <v>266.85000000000002</v>
      </c>
      <c r="C461" s="116">
        <v>259.14999999999998</v>
      </c>
      <c r="D461" s="116">
        <v>257.3</v>
      </c>
      <c r="E461" s="116">
        <v>264</v>
      </c>
      <c r="F461" s="116">
        <v>259.14999999999998</v>
      </c>
      <c r="G461">
        <v>141836</v>
      </c>
      <c r="H461" s="116"/>
      <c r="I461" s="116"/>
      <c r="L461" s="170">
        <v>42682</v>
      </c>
      <c r="M461" s="116">
        <v>259.14999999999998</v>
      </c>
      <c r="N461" s="116">
        <v>266.7</v>
      </c>
      <c r="O461" s="116">
        <v>257.3</v>
      </c>
      <c r="P461" s="116">
        <v>266</v>
      </c>
      <c r="Q461" s="116">
        <v>259.14999999999998</v>
      </c>
      <c r="R461">
        <v>1601920</v>
      </c>
    </row>
    <row r="462" spans="1:18" x14ac:dyDescent="0.25">
      <c r="A462" s="170">
        <v>42683</v>
      </c>
      <c r="B462" s="116">
        <v>255.9</v>
      </c>
      <c r="C462" s="116">
        <v>253.3</v>
      </c>
      <c r="D462" s="116">
        <v>233.25</v>
      </c>
      <c r="E462" s="116">
        <v>246</v>
      </c>
      <c r="F462" s="116">
        <v>253.3</v>
      </c>
      <c r="G462">
        <v>213827</v>
      </c>
      <c r="H462" s="116"/>
      <c r="I462" s="116"/>
      <c r="L462" s="170">
        <v>42683</v>
      </c>
      <c r="M462" s="116">
        <v>253.45</v>
      </c>
      <c r="N462" s="116">
        <v>256.25</v>
      </c>
      <c r="O462" s="116">
        <v>221</v>
      </c>
      <c r="P462" s="116">
        <v>233.3</v>
      </c>
      <c r="Q462" s="116">
        <v>253.45</v>
      </c>
      <c r="R462">
        <v>2150302</v>
      </c>
    </row>
    <row r="463" spans="1:18" x14ac:dyDescent="0.25">
      <c r="A463" s="170">
        <v>42684</v>
      </c>
      <c r="B463" s="116">
        <v>271.85000000000002</v>
      </c>
      <c r="C463" s="116">
        <v>258.7</v>
      </c>
      <c r="D463" s="116">
        <v>255.75</v>
      </c>
      <c r="E463" s="116">
        <v>257.2</v>
      </c>
      <c r="F463" s="116">
        <v>258.7</v>
      </c>
      <c r="G463">
        <v>273008</v>
      </c>
      <c r="H463" s="116"/>
      <c r="I463" s="116"/>
      <c r="L463" s="170">
        <v>42684</v>
      </c>
      <c r="M463" s="116">
        <v>258.10000000000002</v>
      </c>
      <c r="N463" s="116">
        <v>272</v>
      </c>
      <c r="O463" s="116">
        <v>255.65</v>
      </c>
      <c r="P463" s="116">
        <v>258.7</v>
      </c>
      <c r="Q463" s="116">
        <v>258.10000000000002</v>
      </c>
      <c r="R463">
        <v>4080584</v>
      </c>
    </row>
    <row r="464" spans="1:18" x14ac:dyDescent="0.25">
      <c r="A464" s="170">
        <v>42685</v>
      </c>
      <c r="B464" s="116">
        <v>260</v>
      </c>
      <c r="C464" s="116">
        <v>250.2</v>
      </c>
      <c r="D464" s="116">
        <v>248.45</v>
      </c>
      <c r="E464" s="116">
        <v>255</v>
      </c>
      <c r="F464" s="116">
        <v>250.2</v>
      </c>
      <c r="G464">
        <v>109793</v>
      </c>
      <c r="H464" s="116"/>
      <c r="I464" s="116"/>
      <c r="L464" s="170">
        <v>42685</v>
      </c>
      <c r="M464" s="116">
        <v>249.75</v>
      </c>
      <c r="N464" s="116">
        <v>260</v>
      </c>
      <c r="O464" s="116">
        <v>248.1</v>
      </c>
      <c r="P464" s="116">
        <v>257</v>
      </c>
      <c r="Q464" s="116">
        <v>249.75</v>
      </c>
      <c r="R464">
        <v>1693349</v>
      </c>
    </row>
    <row r="465" spans="1:18" x14ac:dyDescent="0.25">
      <c r="A465" s="170">
        <v>42689</v>
      </c>
      <c r="B465" s="116">
        <v>256.14999999999998</v>
      </c>
      <c r="C465" s="116">
        <v>238.85</v>
      </c>
      <c r="D465" s="116">
        <v>236</v>
      </c>
      <c r="E465" s="116">
        <v>251</v>
      </c>
      <c r="F465" s="116">
        <v>238.85</v>
      </c>
      <c r="G465">
        <v>93969</v>
      </c>
      <c r="H465" s="116"/>
      <c r="I465" s="116"/>
      <c r="L465" s="170">
        <v>42689</v>
      </c>
      <c r="M465" s="116">
        <v>238.6</v>
      </c>
      <c r="N465" s="116">
        <v>256</v>
      </c>
      <c r="O465" s="116">
        <v>235.35</v>
      </c>
      <c r="P465" s="116">
        <v>255.9</v>
      </c>
      <c r="Q465" s="116">
        <v>238.6</v>
      </c>
      <c r="R465">
        <v>2831194</v>
      </c>
    </row>
    <row r="466" spans="1:18" x14ac:dyDescent="0.25">
      <c r="A466" s="170">
        <v>42690</v>
      </c>
      <c r="B466" s="116">
        <v>248</v>
      </c>
      <c r="C466" s="116">
        <v>237.65</v>
      </c>
      <c r="D466" s="116">
        <v>236.7</v>
      </c>
      <c r="E466" s="116">
        <v>240.1</v>
      </c>
      <c r="F466" s="116">
        <v>237.65</v>
      </c>
      <c r="G466">
        <v>125144</v>
      </c>
      <c r="H466" s="116"/>
      <c r="I466" s="116"/>
      <c r="L466" s="170">
        <v>42690</v>
      </c>
      <c r="M466" s="116">
        <v>237.95</v>
      </c>
      <c r="N466" s="116">
        <v>246.05</v>
      </c>
      <c r="O466" s="116">
        <v>236.65</v>
      </c>
      <c r="P466" s="116">
        <v>245.85</v>
      </c>
      <c r="Q466" s="116">
        <v>237.95</v>
      </c>
      <c r="R466">
        <v>1433958</v>
      </c>
    </row>
    <row r="467" spans="1:18" x14ac:dyDescent="0.25">
      <c r="A467" s="170">
        <v>42691</v>
      </c>
      <c r="B467" s="116">
        <v>253.25</v>
      </c>
      <c r="C467" s="116">
        <v>250.75</v>
      </c>
      <c r="D467" s="116">
        <v>233</v>
      </c>
      <c r="E467" s="116">
        <v>239</v>
      </c>
      <c r="F467" s="116">
        <v>250.75</v>
      </c>
      <c r="G467">
        <v>251224</v>
      </c>
      <c r="H467" s="116"/>
      <c r="I467" s="116"/>
      <c r="L467" s="170">
        <v>42691</v>
      </c>
      <c r="M467" s="116">
        <v>250.7</v>
      </c>
      <c r="N467" s="116">
        <v>253.5</v>
      </c>
      <c r="O467" s="116">
        <v>232.4</v>
      </c>
      <c r="P467" s="116">
        <v>240</v>
      </c>
      <c r="Q467" s="116">
        <v>250.7</v>
      </c>
      <c r="R467">
        <v>3517774</v>
      </c>
    </row>
    <row r="468" spans="1:18" x14ac:dyDescent="0.25">
      <c r="A468" s="170">
        <v>42692</v>
      </c>
      <c r="B468" s="116">
        <v>251</v>
      </c>
      <c r="C468" s="116">
        <v>249.55</v>
      </c>
      <c r="D468" s="116">
        <v>244.8</v>
      </c>
      <c r="E468" s="116">
        <v>248.25</v>
      </c>
      <c r="F468" s="116">
        <v>249.55</v>
      </c>
      <c r="G468">
        <v>198369</v>
      </c>
      <c r="H468" s="116"/>
      <c r="I468" s="116"/>
      <c r="L468" s="170">
        <v>42692</v>
      </c>
      <c r="M468" s="116">
        <v>249.8</v>
      </c>
      <c r="N468" s="116">
        <v>251.35</v>
      </c>
      <c r="O468" s="116">
        <v>244</v>
      </c>
      <c r="P468" s="116">
        <v>249</v>
      </c>
      <c r="Q468" s="116">
        <v>249.8</v>
      </c>
      <c r="R468">
        <v>2101271</v>
      </c>
    </row>
    <row r="469" spans="1:18" x14ac:dyDescent="0.25">
      <c r="A469" s="170">
        <v>42695</v>
      </c>
      <c r="B469" s="116">
        <v>255</v>
      </c>
      <c r="C469" s="116">
        <v>243.5</v>
      </c>
      <c r="D469" s="116">
        <v>242.3</v>
      </c>
      <c r="E469" s="116">
        <v>255</v>
      </c>
      <c r="F469" s="116">
        <v>243.5</v>
      </c>
      <c r="G469">
        <v>85447</v>
      </c>
      <c r="H469" s="116"/>
      <c r="I469" s="116"/>
      <c r="L469" s="170">
        <v>42695</v>
      </c>
      <c r="M469" s="116">
        <v>244.45</v>
      </c>
      <c r="N469" s="116">
        <v>255.4</v>
      </c>
      <c r="O469" s="116">
        <v>242.15</v>
      </c>
      <c r="P469" s="116">
        <v>247.05</v>
      </c>
      <c r="Q469" s="116">
        <v>244.45</v>
      </c>
      <c r="R469">
        <v>1687481</v>
      </c>
    </row>
    <row r="470" spans="1:18" x14ac:dyDescent="0.25">
      <c r="A470" s="170">
        <v>42696</v>
      </c>
      <c r="B470" s="116">
        <v>254.5</v>
      </c>
      <c r="C470" s="116">
        <v>252.2</v>
      </c>
      <c r="D470" s="116">
        <v>246</v>
      </c>
      <c r="E470" s="116">
        <v>247</v>
      </c>
      <c r="F470" s="116">
        <v>252.2</v>
      </c>
      <c r="G470">
        <v>89628</v>
      </c>
      <c r="H470" s="116"/>
      <c r="I470" s="116"/>
      <c r="L470" s="170">
        <v>42696</v>
      </c>
      <c r="M470" s="116">
        <v>253</v>
      </c>
      <c r="N470" s="116">
        <v>254.55</v>
      </c>
      <c r="O470" s="116">
        <v>246.05</v>
      </c>
      <c r="P470" s="116">
        <v>249</v>
      </c>
      <c r="Q470" s="116">
        <v>253</v>
      </c>
      <c r="R470">
        <v>1122530</v>
      </c>
    </row>
    <row r="471" spans="1:18" x14ac:dyDescent="0.25">
      <c r="A471" s="170">
        <v>42697</v>
      </c>
      <c r="B471" s="116">
        <v>259.45</v>
      </c>
      <c r="C471" s="116">
        <v>257.85000000000002</v>
      </c>
      <c r="D471" s="116">
        <v>251.7</v>
      </c>
      <c r="E471" s="116">
        <v>256.5</v>
      </c>
      <c r="F471" s="116">
        <v>257.85000000000002</v>
      </c>
      <c r="G471">
        <v>171258</v>
      </c>
      <c r="H471" s="116"/>
      <c r="I471" s="116"/>
      <c r="L471" s="170">
        <v>42697</v>
      </c>
      <c r="M471" s="116">
        <v>257.8</v>
      </c>
      <c r="N471" s="116">
        <v>259.7</v>
      </c>
      <c r="O471" s="116">
        <v>251.25</v>
      </c>
      <c r="P471" s="116">
        <v>255</v>
      </c>
      <c r="Q471" s="116">
        <v>257.8</v>
      </c>
      <c r="R471">
        <v>2267646</v>
      </c>
    </row>
    <row r="472" spans="1:18" x14ac:dyDescent="0.25">
      <c r="A472" s="170">
        <v>42698</v>
      </c>
      <c r="B472" s="116">
        <v>278</v>
      </c>
      <c r="C472" s="116">
        <v>273.55</v>
      </c>
      <c r="D472" s="116">
        <v>258</v>
      </c>
      <c r="E472" s="116">
        <v>258</v>
      </c>
      <c r="F472" s="116">
        <v>273.55</v>
      </c>
      <c r="G472">
        <v>374351</v>
      </c>
      <c r="H472" s="116"/>
      <c r="I472" s="116"/>
      <c r="L472" s="170">
        <v>42698</v>
      </c>
      <c r="M472" s="116">
        <v>273.35000000000002</v>
      </c>
      <c r="N472" s="116">
        <v>278.39999999999998</v>
      </c>
      <c r="O472" s="116">
        <v>258</v>
      </c>
      <c r="P472" s="116">
        <v>258.8</v>
      </c>
      <c r="Q472" s="116">
        <v>273.35000000000002</v>
      </c>
      <c r="R472">
        <v>5610394</v>
      </c>
    </row>
    <row r="473" spans="1:18" x14ac:dyDescent="0.25">
      <c r="A473" s="170">
        <v>42699</v>
      </c>
      <c r="B473" s="116">
        <v>281.45</v>
      </c>
      <c r="C473" s="116">
        <v>272.95</v>
      </c>
      <c r="D473" s="116">
        <v>271.3</v>
      </c>
      <c r="E473" s="116">
        <v>277</v>
      </c>
      <c r="F473" s="116">
        <v>272.95</v>
      </c>
      <c r="G473">
        <v>370147</v>
      </c>
      <c r="H473" s="116"/>
      <c r="I473" s="116"/>
      <c r="L473" s="170">
        <v>42699</v>
      </c>
      <c r="M473" s="116">
        <v>273.25</v>
      </c>
      <c r="N473" s="116">
        <v>281.39999999999998</v>
      </c>
      <c r="O473" s="116">
        <v>271</v>
      </c>
      <c r="P473" s="116">
        <v>276.8</v>
      </c>
      <c r="Q473" s="116">
        <v>273.25</v>
      </c>
      <c r="R473">
        <v>2941713</v>
      </c>
    </row>
    <row r="474" spans="1:18" x14ac:dyDescent="0.25">
      <c r="A474" s="170">
        <v>42702</v>
      </c>
      <c r="B474" s="116">
        <v>286.95</v>
      </c>
      <c r="C474" s="116">
        <v>284.35000000000002</v>
      </c>
      <c r="D474" s="116">
        <v>276.14999999999998</v>
      </c>
      <c r="E474" s="116">
        <v>276.85000000000002</v>
      </c>
      <c r="F474" s="116">
        <v>284.35000000000002</v>
      </c>
      <c r="G474">
        <v>358927</v>
      </c>
      <c r="H474" s="116"/>
      <c r="I474" s="116"/>
      <c r="L474" s="170">
        <v>42702</v>
      </c>
      <c r="M474" s="116">
        <v>284.5</v>
      </c>
      <c r="N474" s="116">
        <v>287</v>
      </c>
      <c r="O474" s="116">
        <v>275.5</v>
      </c>
      <c r="P474" s="116">
        <v>276</v>
      </c>
      <c r="Q474" s="116">
        <v>284.5</v>
      </c>
      <c r="R474">
        <v>4709996</v>
      </c>
    </row>
    <row r="475" spans="1:18" x14ac:dyDescent="0.25">
      <c r="A475" s="170">
        <v>42703</v>
      </c>
      <c r="B475" s="116">
        <v>286.25</v>
      </c>
      <c r="C475" s="116">
        <v>282</v>
      </c>
      <c r="D475" s="116">
        <v>277.60000000000002</v>
      </c>
      <c r="E475" s="116">
        <v>285</v>
      </c>
      <c r="F475" s="116">
        <v>282</v>
      </c>
      <c r="G475">
        <v>212787</v>
      </c>
      <c r="H475" s="116"/>
      <c r="I475" s="116"/>
      <c r="L475" s="170">
        <v>42703</v>
      </c>
      <c r="M475" s="116">
        <v>282.35000000000002</v>
      </c>
      <c r="N475" s="116">
        <v>287.95</v>
      </c>
      <c r="O475" s="116">
        <v>277.2</v>
      </c>
      <c r="P475" s="116">
        <v>287.95</v>
      </c>
      <c r="Q475" s="116">
        <v>282.35000000000002</v>
      </c>
      <c r="R475">
        <v>3989346</v>
      </c>
    </row>
    <row r="476" spans="1:18" x14ac:dyDescent="0.25">
      <c r="A476" s="170">
        <v>42704</v>
      </c>
      <c r="B476" s="116">
        <v>283.2</v>
      </c>
      <c r="C476" s="116">
        <v>282.25</v>
      </c>
      <c r="D476" s="116">
        <v>273.89999999999998</v>
      </c>
      <c r="E476" s="116">
        <v>282</v>
      </c>
      <c r="F476" s="116">
        <v>282.25</v>
      </c>
      <c r="G476">
        <v>142472</v>
      </c>
      <c r="H476" s="116"/>
      <c r="I476" s="116"/>
      <c r="L476" s="170">
        <v>42704</v>
      </c>
      <c r="M476" s="116">
        <v>282.60000000000002</v>
      </c>
      <c r="N476" s="116">
        <v>283.95</v>
      </c>
      <c r="O476" s="116">
        <v>273.85000000000002</v>
      </c>
      <c r="P476" s="116">
        <v>278.10000000000002</v>
      </c>
      <c r="Q476" s="116">
        <v>282.60000000000002</v>
      </c>
      <c r="R476">
        <v>2362723</v>
      </c>
    </row>
    <row r="477" spans="1:18" x14ac:dyDescent="0.25">
      <c r="A477" s="170">
        <v>42705</v>
      </c>
      <c r="B477" s="116">
        <v>282.89999999999998</v>
      </c>
      <c r="C477" s="116">
        <v>274.85000000000002</v>
      </c>
      <c r="D477" s="116">
        <v>274.05</v>
      </c>
      <c r="E477" s="116">
        <v>280.89999999999998</v>
      </c>
      <c r="F477" s="116">
        <v>274.85000000000002</v>
      </c>
      <c r="G477">
        <v>93565</v>
      </c>
      <c r="H477" s="116"/>
      <c r="I477" s="116"/>
      <c r="L477" s="170">
        <v>42705</v>
      </c>
      <c r="M477" s="116">
        <v>275</v>
      </c>
      <c r="N477" s="116">
        <v>284.05</v>
      </c>
      <c r="O477" s="116">
        <v>274.05</v>
      </c>
      <c r="P477" s="116">
        <v>284.05</v>
      </c>
      <c r="Q477" s="116">
        <v>275</v>
      </c>
      <c r="R477">
        <v>1109940</v>
      </c>
    </row>
    <row r="478" spans="1:18" x14ac:dyDescent="0.25">
      <c r="A478" s="170">
        <v>42706</v>
      </c>
      <c r="B478" s="116">
        <v>279.3</v>
      </c>
      <c r="C478" s="116">
        <v>272.39999999999998</v>
      </c>
      <c r="D478" s="116">
        <v>270.2</v>
      </c>
      <c r="E478" s="116">
        <v>277</v>
      </c>
      <c r="F478" s="116">
        <v>272.39999999999998</v>
      </c>
      <c r="G478">
        <v>119768</v>
      </c>
      <c r="H478" s="116"/>
      <c r="I478" s="116"/>
      <c r="L478" s="170">
        <v>42706</v>
      </c>
      <c r="M478" s="116">
        <v>272.55</v>
      </c>
      <c r="N478" s="116">
        <v>279.8</v>
      </c>
      <c r="O478" s="116">
        <v>270.2</v>
      </c>
      <c r="P478" s="116">
        <v>274</v>
      </c>
      <c r="Q478" s="116">
        <v>272.55</v>
      </c>
      <c r="R478">
        <v>1054154</v>
      </c>
    </row>
    <row r="479" spans="1:18" x14ac:dyDescent="0.25">
      <c r="A479" s="170">
        <v>42709</v>
      </c>
      <c r="B479" s="116">
        <v>280.75</v>
      </c>
      <c r="C479" s="116">
        <v>275.45</v>
      </c>
      <c r="D479" s="116">
        <v>268.5</v>
      </c>
      <c r="E479" s="116">
        <v>273.5</v>
      </c>
      <c r="F479" s="116">
        <v>275.45</v>
      </c>
      <c r="G479">
        <v>111954</v>
      </c>
      <c r="H479" s="116"/>
      <c r="I479" s="116"/>
      <c r="L479" s="170">
        <v>42709</v>
      </c>
      <c r="M479" s="116">
        <v>275.14999999999998</v>
      </c>
      <c r="N479" s="116">
        <v>280.60000000000002</v>
      </c>
      <c r="O479" s="116">
        <v>268.5</v>
      </c>
      <c r="P479" s="116">
        <v>274.05</v>
      </c>
      <c r="Q479" s="116">
        <v>275.14999999999998</v>
      </c>
      <c r="R479">
        <v>2154225</v>
      </c>
    </row>
    <row r="480" spans="1:18" x14ac:dyDescent="0.25">
      <c r="A480" s="170">
        <v>42710</v>
      </c>
      <c r="B480" s="116">
        <v>279</v>
      </c>
      <c r="C480" s="116">
        <v>276.2</v>
      </c>
      <c r="D480" s="116">
        <v>275</v>
      </c>
      <c r="E480" s="116">
        <v>278.2</v>
      </c>
      <c r="F480" s="116">
        <v>276.2</v>
      </c>
      <c r="G480">
        <v>62655</v>
      </c>
      <c r="H480" s="116"/>
      <c r="I480" s="116"/>
      <c r="L480" s="170">
        <v>42710</v>
      </c>
      <c r="M480" s="116">
        <v>275.95</v>
      </c>
      <c r="N480" s="116">
        <v>278.5</v>
      </c>
      <c r="O480" s="116">
        <v>274.89999999999998</v>
      </c>
      <c r="P480" s="116">
        <v>276.8</v>
      </c>
      <c r="Q480" s="116">
        <v>275.95</v>
      </c>
      <c r="R480">
        <v>767204</v>
      </c>
    </row>
    <row r="481" spans="1:18" x14ac:dyDescent="0.25">
      <c r="A481" s="170">
        <v>42711</v>
      </c>
      <c r="B481" s="116">
        <v>280.60000000000002</v>
      </c>
      <c r="C481" s="116">
        <v>278.10000000000002</v>
      </c>
      <c r="D481" s="116">
        <v>274.95</v>
      </c>
      <c r="E481" s="116">
        <v>276</v>
      </c>
      <c r="F481" s="116">
        <v>278.10000000000002</v>
      </c>
      <c r="G481">
        <v>83547</v>
      </c>
      <c r="H481" s="116"/>
      <c r="I481" s="116"/>
      <c r="L481" s="170">
        <v>42711</v>
      </c>
      <c r="M481" s="116">
        <v>278.45</v>
      </c>
      <c r="N481" s="116">
        <v>281</v>
      </c>
      <c r="O481" s="116">
        <v>274</v>
      </c>
      <c r="P481" s="116">
        <v>277.85000000000002</v>
      </c>
      <c r="Q481" s="116">
        <v>278.45</v>
      </c>
      <c r="R481">
        <v>1395795</v>
      </c>
    </row>
    <row r="482" spans="1:18" x14ac:dyDescent="0.25">
      <c r="A482" s="170">
        <v>42712</v>
      </c>
      <c r="B482" s="116">
        <v>286.85000000000002</v>
      </c>
      <c r="C482" s="116">
        <v>283.7</v>
      </c>
      <c r="D482" s="116">
        <v>278.35000000000002</v>
      </c>
      <c r="E482" s="116">
        <v>282</v>
      </c>
      <c r="F482" s="116">
        <v>283.7</v>
      </c>
      <c r="G482">
        <v>166938</v>
      </c>
      <c r="H482" s="116"/>
      <c r="I482" s="116"/>
      <c r="L482" s="170">
        <v>42712</v>
      </c>
      <c r="M482" s="116">
        <v>283.64999999999998</v>
      </c>
      <c r="N482" s="116">
        <v>286.8</v>
      </c>
      <c r="O482" s="116">
        <v>277.7</v>
      </c>
      <c r="P482" s="116">
        <v>280.5</v>
      </c>
      <c r="Q482" s="116">
        <v>283.64999999999998</v>
      </c>
      <c r="R482">
        <v>1927671</v>
      </c>
    </row>
    <row r="483" spans="1:18" x14ac:dyDescent="0.25">
      <c r="A483" s="170">
        <v>42713</v>
      </c>
      <c r="B483" s="116">
        <v>288</v>
      </c>
      <c r="C483" s="116">
        <v>281.3</v>
      </c>
      <c r="D483" s="116">
        <v>279.25</v>
      </c>
      <c r="E483" s="116">
        <v>288</v>
      </c>
      <c r="F483" s="116">
        <v>281.3</v>
      </c>
      <c r="G483">
        <v>88099</v>
      </c>
      <c r="H483" s="116"/>
      <c r="I483" s="116"/>
      <c r="L483" s="170">
        <v>42713</v>
      </c>
      <c r="M483" s="116">
        <v>281.14999999999998</v>
      </c>
      <c r="N483" s="116">
        <v>285</v>
      </c>
      <c r="O483" s="116">
        <v>279.45</v>
      </c>
      <c r="P483" s="116">
        <v>285</v>
      </c>
      <c r="Q483" s="116">
        <v>281.14999999999998</v>
      </c>
      <c r="R483">
        <v>949704</v>
      </c>
    </row>
    <row r="484" spans="1:18" x14ac:dyDescent="0.25">
      <c r="A484" s="170">
        <v>42716</v>
      </c>
      <c r="B484" s="116">
        <v>283.5</v>
      </c>
      <c r="C484" s="116">
        <v>280.64999999999998</v>
      </c>
      <c r="D484" s="116">
        <v>278</v>
      </c>
      <c r="E484" s="116">
        <v>280</v>
      </c>
      <c r="F484" s="116">
        <v>280.64999999999998</v>
      </c>
      <c r="G484">
        <v>66359</v>
      </c>
      <c r="H484" s="116"/>
      <c r="I484" s="116"/>
      <c r="L484" s="170">
        <v>42716</v>
      </c>
      <c r="M484" s="116">
        <v>281.05</v>
      </c>
      <c r="N484" s="116">
        <v>283.5</v>
      </c>
      <c r="O484" s="116">
        <v>277.39999999999998</v>
      </c>
      <c r="P484" s="116">
        <v>281</v>
      </c>
      <c r="Q484" s="116">
        <v>281.05</v>
      </c>
      <c r="R484">
        <v>873829</v>
      </c>
    </row>
    <row r="485" spans="1:18" x14ac:dyDescent="0.25">
      <c r="A485" s="170">
        <v>42717</v>
      </c>
      <c r="B485" s="116">
        <v>281.25</v>
      </c>
      <c r="C485" s="116">
        <v>278</v>
      </c>
      <c r="D485" s="116">
        <v>275.2</v>
      </c>
      <c r="E485" s="116">
        <v>281.10000000000002</v>
      </c>
      <c r="F485" s="116">
        <v>278</v>
      </c>
      <c r="G485">
        <v>48050</v>
      </c>
      <c r="H485" s="116"/>
      <c r="I485" s="116"/>
      <c r="L485" s="170">
        <v>42717</v>
      </c>
      <c r="M485" s="116">
        <v>278.14999999999998</v>
      </c>
      <c r="N485" s="116">
        <v>282</v>
      </c>
      <c r="O485" s="116">
        <v>275.10000000000002</v>
      </c>
      <c r="P485" s="116">
        <v>281</v>
      </c>
      <c r="Q485" s="116">
        <v>278.14999999999998</v>
      </c>
      <c r="R485">
        <v>1495541</v>
      </c>
    </row>
    <row r="486" spans="1:18" x14ac:dyDescent="0.25">
      <c r="A486" s="170">
        <v>42718</v>
      </c>
      <c r="B486" s="116">
        <v>278.10000000000002</v>
      </c>
      <c r="C486" s="116">
        <v>275.89999999999998</v>
      </c>
      <c r="D486" s="116">
        <v>275.2</v>
      </c>
      <c r="E486" s="116">
        <v>278</v>
      </c>
      <c r="F486" s="116">
        <v>275.89999999999998</v>
      </c>
      <c r="G486">
        <v>53506</v>
      </c>
      <c r="H486" s="116"/>
      <c r="I486" s="116"/>
      <c r="L486" s="170">
        <v>42718</v>
      </c>
      <c r="M486" s="116">
        <v>276.64999999999998</v>
      </c>
      <c r="N486" s="116">
        <v>279.14999999999998</v>
      </c>
      <c r="O486" s="116">
        <v>274.89999999999998</v>
      </c>
      <c r="P486" s="116">
        <v>278.14999999999998</v>
      </c>
      <c r="Q486" s="116">
        <v>276.64999999999998</v>
      </c>
      <c r="R486">
        <v>712136</v>
      </c>
    </row>
    <row r="487" spans="1:18" x14ac:dyDescent="0.25">
      <c r="A487" s="170">
        <v>42719</v>
      </c>
      <c r="B487" s="116">
        <v>288.35000000000002</v>
      </c>
      <c r="C487" s="116">
        <v>285.2</v>
      </c>
      <c r="D487" s="116">
        <v>275.14999999999998</v>
      </c>
      <c r="E487" s="116">
        <v>275.95</v>
      </c>
      <c r="F487" s="116">
        <v>285.2</v>
      </c>
      <c r="G487">
        <v>221127</v>
      </c>
      <c r="H487" s="116"/>
      <c r="I487" s="116"/>
      <c r="L487" s="170">
        <v>42719</v>
      </c>
      <c r="M487" s="116">
        <v>285.3</v>
      </c>
      <c r="N487" s="116">
        <v>288.3</v>
      </c>
      <c r="O487" s="116">
        <v>275.5</v>
      </c>
      <c r="P487" s="116">
        <v>277</v>
      </c>
      <c r="Q487" s="116">
        <v>285.3</v>
      </c>
      <c r="R487">
        <v>2882439</v>
      </c>
    </row>
    <row r="488" spans="1:18" x14ac:dyDescent="0.25">
      <c r="A488" s="170">
        <v>42720</v>
      </c>
      <c r="B488" s="116">
        <v>289.85000000000002</v>
      </c>
      <c r="C488" s="116">
        <v>280.64999999999998</v>
      </c>
      <c r="D488" s="116">
        <v>279.2</v>
      </c>
      <c r="E488" s="116">
        <v>287</v>
      </c>
      <c r="F488" s="116">
        <v>280.64999999999998</v>
      </c>
      <c r="G488">
        <v>143522</v>
      </c>
      <c r="H488" s="116"/>
      <c r="I488" s="116"/>
      <c r="L488" s="170">
        <v>42720</v>
      </c>
      <c r="M488" s="116">
        <v>281.14999999999998</v>
      </c>
      <c r="N488" s="116">
        <v>290</v>
      </c>
      <c r="O488" s="116">
        <v>279.45</v>
      </c>
      <c r="P488" s="116">
        <v>287</v>
      </c>
      <c r="Q488" s="116">
        <v>281.14999999999998</v>
      </c>
      <c r="R488">
        <v>2402547</v>
      </c>
    </row>
    <row r="489" spans="1:18" x14ac:dyDescent="0.25">
      <c r="A489" s="170">
        <v>42723</v>
      </c>
      <c r="B489" s="116">
        <v>280.5</v>
      </c>
      <c r="C489" s="116">
        <v>270.25</v>
      </c>
      <c r="D489" s="116">
        <v>269.10000000000002</v>
      </c>
      <c r="E489" s="116">
        <v>280.5</v>
      </c>
      <c r="F489" s="116">
        <v>270.25</v>
      </c>
      <c r="G489">
        <v>107683</v>
      </c>
      <c r="H489" s="116"/>
      <c r="I489" s="116"/>
      <c r="L489" s="170">
        <v>42723</v>
      </c>
      <c r="M489" s="116">
        <v>269.5</v>
      </c>
      <c r="N489" s="116">
        <v>279.85000000000002</v>
      </c>
      <c r="O489" s="116">
        <v>268.60000000000002</v>
      </c>
      <c r="P489" s="116">
        <v>279.35000000000002</v>
      </c>
      <c r="Q489" s="116">
        <v>269.5</v>
      </c>
      <c r="R489">
        <v>1573803</v>
      </c>
    </row>
    <row r="490" spans="1:18" x14ac:dyDescent="0.25">
      <c r="A490" s="170">
        <v>42724</v>
      </c>
      <c r="B490" s="116">
        <v>268.60000000000002</v>
      </c>
      <c r="C490" s="116">
        <v>262.35000000000002</v>
      </c>
      <c r="D490" s="116">
        <v>261.3</v>
      </c>
      <c r="E490" s="116">
        <v>268.60000000000002</v>
      </c>
      <c r="F490" s="116">
        <v>262.35000000000002</v>
      </c>
      <c r="G490">
        <v>120234</v>
      </c>
      <c r="H490" s="116"/>
      <c r="I490" s="116"/>
      <c r="L490" s="170">
        <v>42724</v>
      </c>
      <c r="M490" s="116">
        <v>262.3</v>
      </c>
      <c r="N490" s="116">
        <v>269</v>
      </c>
      <c r="O490" s="116">
        <v>261.35000000000002</v>
      </c>
      <c r="P490" s="116">
        <v>266</v>
      </c>
      <c r="Q490" s="116">
        <v>262.3</v>
      </c>
      <c r="R490">
        <v>2184292</v>
      </c>
    </row>
    <row r="491" spans="1:18" x14ac:dyDescent="0.25">
      <c r="A491" s="170">
        <v>42725</v>
      </c>
      <c r="B491" s="116">
        <v>271.10000000000002</v>
      </c>
      <c r="C491" s="116">
        <v>267.14999999999998</v>
      </c>
      <c r="D491" s="116">
        <v>264</v>
      </c>
      <c r="E491" s="116">
        <v>265</v>
      </c>
      <c r="F491" s="116">
        <v>267.14999999999998</v>
      </c>
      <c r="G491">
        <v>101482</v>
      </c>
      <c r="H491" s="116"/>
      <c r="I491" s="116"/>
      <c r="L491" s="170">
        <v>42725</v>
      </c>
      <c r="M491" s="116">
        <v>266.8</v>
      </c>
      <c r="N491" s="116">
        <v>271</v>
      </c>
      <c r="O491" s="116">
        <v>263</v>
      </c>
      <c r="P491" s="116">
        <v>264.7</v>
      </c>
      <c r="Q491" s="116">
        <v>266.8</v>
      </c>
      <c r="R491">
        <v>2216013</v>
      </c>
    </row>
    <row r="492" spans="1:18" x14ac:dyDescent="0.25">
      <c r="A492" s="170">
        <v>42726</v>
      </c>
      <c r="B492" s="116">
        <v>266.14999999999998</v>
      </c>
      <c r="C492" s="116">
        <v>260.95</v>
      </c>
      <c r="D492" s="116">
        <v>260</v>
      </c>
      <c r="E492" s="116">
        <v>265.64999999999998</v>
      </c>
      <c r="F492" s="116">
        <v>260.95</v>
      </c>
      <c r="G492">
        <v>62246</v>
      </c>
      <c r="H492" s="116"/>
      <c r="I492" s="116"/>
      <c r="L492" s="170">
        <v>42726</v>
      </c>
      <c r="M492" s="116">
        <v>260.95</v>
      </c>
      <c r="N492" s="116">
        <v>265.89999999999998</v>
      </c>
      <c r="O492" s="116">
        <v>260</v>
      </c>
      <c r="P492" s="116">
        <v>264.14999999999998</v>
      </c>
      <c r="Q492" s="116">
        <v>260.95</v>
      </c>
      <c r="R492">
        <v>996408</v>
      </c>
    </row>
    <row r="493" spans="1:18" x14ac:dyDescent="0.25">
      <c r="A493" s="170">
        <v>42727</v>
      </c>
      <c r="B493" s="116">
        <v>261.8</v>
      </c>
      <c r="C493" s="116">
        <v>257.8</v>
      </c>
      <c r="D493" s="116">
        <v>255.2</v>
      </c>
      <c r="E493" s="116">
        <v>261.55</v>
      </c>
      <c r="F493" s="116">
        <v>257.8</v>
      </c>
      <c r="G493">
        <v>97303</v>
      </c>
      <c r="H493" s="116"/>
      <c r="I493" s="116"/>
      <c r="L493" s="170">
        <v>42727</v>
      </c>
      <c r="M493" s="116">
        <v>258.45</v>
      </c>
      <c r="N493" s="116">
        <v>262</v>
      </c>
      <c r="O493" s="116">
        <v>254.7</v>
      </c>
      <c r="P493" s="116">
        <v>261.45</v>
      </c>
      <c r="Q493" s="116">
        <v>258.45</v>
      </c>
      <c r="R493">
        <v>1360594</v>
      </c>
    </row>
    <row r="494" spans="1:18" x14ac:dyDescent="0.25">
      <c r="A494" s="170">
        <v>42730</v>
      </c>
      <c r="B494" s="116">
        <v>256.95</v>
      </c>
      <c r="C494" s="116">
        <v>249.5</v>
      </c>
      <c r="D494" s="116">
        <v>248.65</v>
      </c>
      <c r="E494" s="116">
        <v>256.95</v>
      </c>
      <c r="F494" s="116">
        <v>249.5</v>
      </c>
      <c r="G494">
        <v>78356</v>
      </c>
      <c r="H494" s="116"/>
      <c r="I494" s="116"/>
      <c r="L494" s="170">
        <v>42730</v>
      </c>
      <c r="M494" s="116">
        <v>249.7</v>
      </c>
      <c r="N494" s="116">
        <v>257</v>
      </c>
      <c r="O494" s="116">
        <v>248.5</v>
      </c>
      <c r="P494" s="116">
        <v>255.05</v>
      </c>
      <c r="Q494" s="116">
        <v>249.7</v>
      </c>
      <c r="R494">
        <v>1626586</v>
      </c>
    </row>
    <row r="495" spans="1:18" x14ac:dyDescent="0.25">
      <c r="A495" s="170">
        <v>42731</v>
      </c>
      <c r="B495" s="116">
        <v>254</v>
      </c>
      <c r="C495" s="116">
        <v>252.2</v>
      </c>
      <c r="D495" s="116">
        <v>247.1</v>
      </c>
      <c r="E495" s="116">
        <v>250</v>
      </c>
      <c r="F495" s="116">
        <v>252.2</v>
      </c>
      <c r="G495">
        <v>242207</v>
      </c>
      <c r="H495" s="116"/>
      <c r="I495" s="116"/>
      <c r="L495" s="170">
        <v>42731</v>
      </c>
      <c r="M495" s="116">
        <v>252.4</v>
      </c>
      <c r="N495" s="116">
        <v>254</v>
      </c>
      <c r="O495" s="116">
        <v>247.05</v>
      </c>
      <c r="P495" s="116">
        <v>249.85</v>
      </c>
      <c r="Q495" s="116">
        <v>252.4</v>
      </c>
      <c r="R495">
        <v>1445798</v>
      </c>
    </row>
    <row r="496" spans="1:18" x14ac:dyDescent="0.25">
      <c r="A496" s="170">
        <v>42732</v>
      </c>
      <c r="B496" s="116">
        <v>256.35000000000002</v>
      </c>
      <c r="C496" s="116">
        <v>249.85</v>
      </c>
      <c r="D496" s="116">
        <v>249.2</v>
      </c>
      <c r="E496" s="116">
        <v>254.25</v>
      </c>
      <c r="F496" s="116">
        <v>249.85</v>
      </c>
      <c r="G496">
        <v>73616</v>
      </c>
      <c r="H496" s="116"/>
      <c r="I496" s="116"/>
      <c r="L496" s="170">
        <v>42732</v>
      </c>
      <c r="M496" s="116">
        <v>249.6</v>
      </c>
      <c r="N496" s="116">
        <v>256.05</v>
      </c>
      <c r="O496" s="116">
        <v>249.1</v>
      </c>
      <c r="P496" s="116">
        <v>254.25</v>
      </c>
      <c r="Q496" s="116">
        <v>249.6</v>
      </c>
      <c r="R496">
        <v>1037376</v>
      </c>
    </row>
    <row r="497" spans="1:18" x14ac:dyDescent="0.25">
      <c r="A497" s="170">
        <v>42733</v>
      </c>
      <c r="B497" s="116">
        <v>258.8</v>
      </c>
      <c r="C497" s="116">
        <v>256.39999999999998</v>
      </c>
      <c r="D497" s="116">
        <v>249.25</v>
      </c>
      <c r="E497" s="116">
        <v>250</v>
      </c>
      <c r="F497" s="116">
        <v>256.39999999999998</v>
      </c>
      <c r="G497">
        <v>102853</v>
      </c>
      <c r="H497" s="116"/>
      <c r="I497" s="116"/>
      <c r="L497" s="170">
        <v>42733</v>
      </c>
      <c r="M497" s="116">
        <v>256.5</v>
      </c>
      <c r="N497" s="116">
        <v>259</v>
      </c>
      <c r="O497" s="116">
        <v>249.45</v>
      </c>
      <c r="P497" s="116">
        <v>249.85</v>
      </c>
      <c r="Q497" s="116">
        <v>256.5</v>
      </c>
      <c r="R497">
        <v>1125490</v>
      </c>
    </row>
    <row r="498" spans="1:18" x14ac:dyDescent="0.25">
      <c r="A498" s="170">
        <v>42734</v>
      </c>
      <c r="B498" s="116">
        <v>259.39999999999998</v>
      </c>
      <c r="C498" s="116">
        <v>255.45</v>
      </c>
      <c r="D498" s="116">
        <v>254.55</v>
      </c>
      <c r="E498" s="116">
        <v>259</v>
      </c>
      <c r="F498" s="116">
        <v>255.45</v>
      </c>
      <c r="G498">
        <v>115252</v>
      </c>
      <c r="H498" s="116"/>
      <c r="I498" s="116"/>
      <c r="L498" s="170">
        <v>42734</v>
      </c>
      <c r="M498" s="116">
        <v>255.4</v>
      </c>
      <c r="N498" s="116">
        <v>259.39999999999998</v>
      </c>
      <c r="O498" s="116">
        <v>254.4</v>
      </c>
      <c r="P498" s="116">
        <v>257.3</v>
      </c>
      <c r="Q498" s="116">
        <v>255.4</v>
      </c>
      <c r="R498">
        <v>953908</v>
      </c>
    </row>
    <row r="499" spans="1:18" x14ac:dyDescent="0.25">
      <c r="A499" s="170">
        <v>42737</v>
      </c>
      <c r="B499" s="116">
        <v>260.35000000000002</v>
      </c>
      <c r="C499" s="116">
        <v>259.75</v>
      </c>
      <c r="D499" s="116">
        <v>253.9</v>
      </c>
      <c r="E499" s="116">
        <v>257</v>
      </c>
      <c r="F499" s="116">
        <v>259.75</v>
      </c>
      <c r="G499">
        <v>153596</v>
      </c>
      <c r="H499" s="116"/>
      <c r="I499" s="116"/>
      <c r="L499" s="170">
        <v>42737</v>
      </c>
      <c r="M499" s="116">
        <v>259.55</v>
      </c>
      <c r="N499" s="116">
        <v>260.5</v>
      </c>
      <c r="O499" s="116">
        <v>253.65</v>
      </c>
      <c r="P499" s="116">
        <v>256.95</v>
      </c>
      <c r="Q499" s="116">
        <v>259.55</v>
      </c>
      <c r="R499">
        <v>784038</v>
      </c>
    </row>
    <row r="500" spans="1:18" x14ac:dyDescent="0.25">
      <c r="A500" s="170">
        <v>42738</v>
      </c>
      <c r="B500" s="116">
        <v>261</v>
      </c>
      <c r="C500" s="116">
        <v>259.3</v>
      </c>
      <c r="D500" s="116">
        <v>256.60000000000002</v>
      </c>
      <c r="E500" s="116">
        <v>260.45</v>
      </c>
      <c r="F500" s="116">
        <v>259.3</v>
      </c>
      <c r="G500">
        <v>118652</v>
      </c>
      <c r="H500" s="116"/>
      <c r="I500" s="116"/>
      <c r="L500" s="170">
        <v>42738</v>
      </c>
      <c r="M500" s="116">
        <v>259.39999999999998</v>
      </c>
      <c r="N500" s="116">
        <v>261.2</v>
      </c>
      <c r="O500" s="116">
        <v>256.64999999999998</v>
      </c>
      <c r="P500" s="116">
        <v>260.7</v>
      </c>
      <c r="Q500" s="116">
        <v>259.39999999999998</v>
      </c>
      <c r="R500">
        <v>865382</v>
      </c>
    </row>
    <row r="501" spans="1:18" x14ac:dyDescent="0.25">
      <c r="A501" s="170">
        <v>42739</v>
      </c>
      <c r="B501" s="116">
        <v>260.3</v>
      </c>
      <c r="C501" s="116">
        <v>251.15</v>
      </c>
      <c r="D501" s="116">
        <v>250.1</v>
      </c>
      <c r="E501" s="116">
        <v>260</v>
      </c>
      <c r="F501" s="116">
        <v>251.15</v>
      </c>
      <c r="G501">
        <v>156557</v>
      </c>
      <c r="H501" s="116"/>
      <c r="I501" s="116"/>
      <c r="L501" s="170">
        <v>42739</v>
      </c>
      <c r="M501" s="116">
        <v>251.3</v>
      </c>
      <c r="N501" s="116">
        <v>260</v>
      </c>
      <c r="O501" s="116">
        <v>250.2</v>
      </c>
      <c r="P501" s="116">
        <v>259.8</v>
      </c>
      <c r="Q501" s="116">
        <v>251.3</v>
      </c>
      <c r="R501">
        <v>2186297</v>
      </c>
    </row>
    <row r="502" spans="1:18" x14ac:dyDescent="0.25">
      <c r="A502" s="170">
        <v>42740</v>
      </c>
      <c r="B502" s="116">
        <v>262.5</v>
      </c>
      <c r="C502" s="116">
        <v>261.7</v>
      </c>
      <c r="D502" s="116">
        <v>254</v>
      </c>
      <c r="E502" s="116">
        <v>254</v>
      </c>
      <c r="F502" s="116">
        <v>261.7</v>
      </c>
      <c r="G502">
        <v>236934</v>
      </c>
      <c r="H502" s="116"/>
      <c r="I502" s="116"/>
      <c r="L502" s="170">
        <v>42740</v>
      </c>
      <c r="M502" s="116">
        <v>261.89999999999998</v>
      </c>
      <c r="N502" s="116">
        <v>262.64999999999998</v>
      </c>
      <c r="O502" s="116">
        <v>254.6</v>
      </c>
      <c r="P502" s="116">
        <v>256.5</v>
      </c>
      <c r="Q502" s="116">
        <v>261.89999999999998</v>
      </c>
      <c r="R502">
        <v>2537509</v>
      </c>
    </row>
    <row r="503" spans="1:18" x14ac:dyDescent="0.25">
      <c r="A503" s="170">
        <v>42741</v>
      </c>
      <c r="B503" s="116">
        <v>267.8</v>
      </c>
      <c r="C503" s="116">
        <v>264.35000000000002</v>
      </c>
      <c r="D503" s="116">
        <v>262.60000000000002</v>
      </c>
      <c r="E503" s="116">
        <v>264.5</v>
      </c>
      <c r="F503" s="116">
        <v>264.35000000000002</v>
      </c>
      <c r="G503">
        <v>185790</v>
      </c>
      <c r="H503" s="116"/>
      <c r="I503" s="116"/>
      <c r="L503" s="170">
        <v>42741</v>
      </c>
      <c r="M503" s="116">
        <v>264.5</v>
      </c>
      <c r="N503" s="116">
        <v>267.7</v>
      </c>
      <c r="O503" s="116">
        <v>262.5</v>
      </c>
      <c r="P503" s="116">
        <v>263</v>
      </c>
      <c r="Q503" s="116">
        <v>264.5</v>
      </c>
      <c r="R503">
        <v>2178696</v>
      </c>
    </row>
    <row r="504" spans="1:18" x14ac:dyDescent="0.25">
      <c r="A504" s="170">
        <v>42744</v>
      </c>
      <c r="B504" s="116">
        <v>274.7</v>
      </c>
      <c r="C504" s="116">
        <v>269.10000000000002</v>
      </c>
      <c r="D504" s="116">
        <v>266.39999999999998</v>
      </c>
      <c r="E504" s="116">
        <v>267.8</v>
      </c>
      <c r="F504" s="116">
        <v>269.10000000000002</v>
      </c>
      <c r="G504">
        <v>252237</v>
      </c>
      <c r="H504" s="116"/>
      <c r="I504" s="116"/>
      <c r="L504" s="170">
        <v>42744</v>
      </c>
      <c r="M504" s="116">
        <v>269.95</v>
      </c>
      <c r="N504" s="116">
        <v>274.60000000000002</v>
      </c>
      <c r="O504" s="116">
        <v>266</v>
      </c>
      <c r="P504" s="116">
        <v>266.35000000000002</v>
      </c>
      <c r="Q504" s="116">
        <v>269.95</v>
      </c>
      <c r="R504">
        <v>1984683</v>
      </c>
    </row>
    <row r="505" spans="1:18" x14ac:dyDescent="0.25">
      <c r="A505" s="170">
        <v>42745</v>
      </c>
      <c r="B505" s="116">
        <v>273.89999999999998</v>
      </c>
      <c r="C505" s="116">
        <v>272.10000000000002</v>
      </c>
      <c r="D505" s="116">
        <v>270.10000000000002</v>
      </c>
      <c r="E505" s="116">
        <v>271.2</v>
      </c>
      <c r="F505" s="116">
        <v>272.10000000000002</v>
      </c>
      <c r="G505">
        <v>157367</v>
      </c>
      <c r="H505" s="116"/>
      <c r="I505" s="116"/>
      <c r="L505" s="170">
        <v>42745</v>
      </c>
      <c r="M505" s="116">
        <v>272.85000000000002</v>
      </c>
      <c r="N505" s="116">
        <v>274.45</v>
      </c>
      <c r="O505" s="116">
        <v>270.2</v>
      </c>
      <c r="P505" s="116">
        <v>271.5</v>
      </c>
      <c r="Q505" s="116">
        <v>272.85000000000002</v>
      </c>
      <c r="R505">
        <v>983380</v>
      </c>
    </row>
    <row r="506" spans="1:18" x14ac:dyDescent="0.25">
      <c r="A506" s="170">
        <v>42746</v>
      </c>
      <c r="B506" s="116">
        <v>279.5</v>
      </c>
      <c r="C506" s="116">
        <v>277.5</v>
      </c>
      <c r="D506" s="116">
        <v>274.8</v>
      </c>
      <c r="E506" s="116">
        <v>274.8</v>
      </c>
      <c r="F506" s="116">
        <v>277.5</v>
      </c>
      <c r="G506">
        <v>327628</v>
      </c>
      <c r="H506" s="116"/>
      <c r="I506" s="116"/>
      <c r="L506" s="170">
        <v>42746</v>
      </c>
      <c r="M506" s="116">
        <v>278.14999999999998</v>
      </c>
      <c r="N506" s="116">
        <v>280.39999999999998</v>
      </c>
      <c r="O506" s="116">
        <v>275.05</v>
      </c>
      <c r="P506" s="116">
        <v>276</v>
      </c>
      <c r="Q506" s="116">
        <v>278.14999999999998</v>
      </c>
      <c r="R506">
        <v>1830540</v>
      </c>
    </row>
    <row r="507" spans="1:18" x14ac:dyDescent="0.25">
      <c r="A507" s="170">
        <v>42747</v>
      </c>
      <c r="B507" s="116">
        <v>280</v>
      </c>
      <c r="C507" s="116">
        <v>275.55</v>
      </c>
      <c r="D507" s="116">
        <v>271.8</v>
      </c>
      <c r="E507" s="116">
        <v>280</v>
      </c>
      <c r="F507" s="116">
        <v>275.55</v>
      </c>
      <c r="G507">
        <v>143252</v>
      </c>
      <c r="H507" s="116"/>
      <c r="I507" s="116"/>
      <c r="L507" s="170">
        <v>42747</v>
      </c>
      <c r="M507" s="116">
        <v>275.45</v>
      </c>
      <c r="N507" s="116">
        <v>280</v>
      </c>
      <c r="O507" s="116">
        <v>271.2</v>
      </c>
      <c r="P507" s="116">
        <v>278.55</v>
      </c>
      <c r="Q507" s="116">
        <v>275.45</v>
      </c>
      <c r="R507">
        <v>1768719</v>
      </c>
    </row>
    <row r="508" spans="1:18" x14ac:dyDescent="0.25">
      <c r="A508" s="170">
        <v>42748</v>
      </c>
      <c r="B508" s="116">
        <v>279.75</v>
      </c>
      <c r="C508" s="116">
        <v>277</v>
      </c>
      <c r="D508" s="116">
        <v>272.3</v>
      </c>
      <c r="E508" s="116">
        <v>276.45</v>
      </c>
      <c r="F508" s="116">
        <v>277</v>
      </c>
      <c r="G508">
        <v>94181</v>
      </c>
      <c r="H508" s="116"/>
      <c r="I508" s="116"/>
      <c r="L508" s="170">
        <v>42748</v>
      </c>
      <c r="M508" s="116">
        <v>277.60000000000002</v>
      </c>
      <c r="N508" s="116">
        <v>279.64999999999998</v>
      </c>
      <c r="O508" s="116">
        <v>272.35000000000002</v>
      </c>
      <c r="P508" s="116">
        <v>276.85000000000002</v>
      </c>
      <c r="Q508" s="116">
        <v>277.60000000000002</v>
      </c>
      <c r="R508">
        <v>1539748</v>
      </c>
    </row>
    <row r="509" spans="1:18" x14ac:dyDescent="0.25">
      <c r="A509" s="170">
        <v>42751</v>
      </c>
      <c r="B509" s="116">
        <v>287.39999999999998</v>
      </c>
      <c r="C509" s="116">
        <v>285.35000000000002</v>
      </c>
      <c r="D509" s="116">
        <v>278.89999999999998</v>
      </c>
      <c r="E509" s="116">
        <v>279.64999999999998</v>
      </c>
      <c r="F509" s="116">
        <v>285.35000000000002</v>
      </c>
      <c r="G509">
        <v>157971</v>
      </c>
      <c r="H509" s="116"/>
      <c r="I509" s="116"/>
      <c r="L509" s="170">
        <v>42751</v>
      </c>
      <c r="M509" s="116">
        <v>285.75</v>
      </c>
      <c r="N509" s="116">
        <v>287.8</v>
      </c>
      <c r="O509" s="116">
        <v>278.60000000000002</v>
      </c>
      <c r="P509" s="116">
        <v>279</v>
      </c>
      <c r="Q509" s="116">
        <v>285.75</v>
      </c>
      <c r="R509">
        <v>2269644</v>
      </c>
    </row>
    <row r="510" spans="1:18" x14ac:dyDescent="0.25">
      <c r="A510" s="170">
        <v>42752</v>
      </c>
      <c r="B510" s="116">
        <v>290</v>
      </c>
      <c r="C510" s="116">
        <v>284.39999999999998</v>
      </c>
      <c r="D510" s="116">
        <v>283</v>
      </c>
      <c r="E510" s="116">
        <v>287</v>
      </c>
      <c r="F510" s="116">
        <v>284.39999999999998</v>
      </c>
      <c r="G510">
        <v>93260</v>
      </c>
      <c r="H510" s="116"/>
      <c r="I510" s="116"/>
      <c r="L510" s="170">
        <v>42752</v>
      </c>
      <c r="M510" s="116">
        <v>284.95</v>
      </c>
      <c r="N510" s="116">
        <v>289.14999999999998</v>
      </c>
      <c r="O510" s="116">
        <v>283.10000000000002</v>
      </c>
      <c r="P510" s="116">
        <v>287.2</v>
      </c>
      <c r="Q510" s="116">
        <v>284.95</v>
      </c>
      <c r="R510">
        <v>1721964</v>
      </c>
    </row>
    <row r="511" spans="1:18" x14ac:dyDescent="0.25">
      <c r="A511" s="170">
        <v>42753</v>
      </c>
      <c r="B511" s="116">
        <v>296.3</v>
      </c>
      <c r="C511" s="116">
        <v>289.55</v>
      </c>
      <c r="D511" s="116">
        <v>286.25</v>
      </c>
      <c r="E511" s="116">
        <v>290.2</v>
      </c>
      <c r="F511" s="116">
        <v>289.55</v>
      </c>
      <c r="G511">
        <v>359436</v>
      </c>
      <c r="H511" s="116"/>
      <c r="I511" s="116"/>
      <c r="L511" s="170">
        <v>42753</v>
      </c>
      <c r="M511" s="116">
        <v>289.55</v>
      </c>
      <c r="N511" s="116">
        <v>296.39999999999998</v>
      </c>
      <c r="O511" s="116">
        <v>286</v>
      </c>
      <c r="P511" s="116">
        <v>293</v>
      </c>
      <c r="Q511" s="116">
        <v>289.55</v>
      </c>
      <c r="R511">
        <v>3645696</v>
      </c>
    </row>
    <row r="512" spans="1:18" x14ac:dyDescent="0.25">
      <c r="A512" s="170">
        <v>42754</v>
      </c>
      <c r="B512" s="116">
        <v>293.95</v>
      </c>
      <c r="C512" s="116">
        <v>293.05</v>
      </c>
      <c r="D512" s="116">
        <v>287.25</v>
      </c>
      <c r="E512" s="116">
        <v>292</v>
      </c>
      <c r="F512" s="116">
        <v>293.05</v>
      </c>
      <c r="G512">
        <v>125794</v>
      </c>
      <c r="H512" s="116"/>
      <c r="I512" s="116"/>
      <c r="L512" s="170">
        <v>42754</v>
      </c>
      <c r="M512" s="116">
        <v>293.14999999999998</v>
      </c>
      <c r="N512" s="116">
        <v>293.8</v>
      </c>
      <c r="O512" s="116">
        <v>287.10000000000002</v>
      </c>
      <c r="P512" s="116">
        <v>289.8</v>
      </c>
      <c r="Q512" s="116">
        <v>293.14999999999998</v>
      </c>
      <c r="R512">
        <v>1263244</v>
      </c>
    </row>
    <row r="513" spans="1:18" x14ac:dyDescent="0.25">
      <c r="A513" s="170">
        <v>42755</v>
      </c>
      <c r="B513" s="116">
        <v>294</v>
      </c>
      <c r="C513" s="116">
        <v>287.89999999999998</v>
      </c>
      <c r="D513" s="116">
        <v>285.60000000000002</v>
      </c>
      <c r="E513" s="116">
        <v>294</v>
      </c>
      <c r="F513" s="116">
        <v>287.89999999999998</v>
      </c>
      <c r="G513">
        <v>88290</v>
      </c>
      <c r="H513" s="116"/>
      <c r="I513" s="116"/>
      <c r="L513" s="170">
        <v>42755</v>
      </c>
      <c r="M513" s="116">
        <v>288.05</v>
      </c>
      <c r="N513" s="116">
        <v>293.14999999999998</v>
      </c>
      <c r="O513" s="116">
        <v>285.39999999999998</v>
      </c>
      <c r="P513" s="116">
        <v>291.89999999999998</v>
      </c>
      <c r="Q513" s="116">
        <v>288.05</v>
      </c>
      <c r="R513">
        <v>1697737</v>
      </c>
    </row>
    <row r="514" spans="1:18" x14ac:dyDescent="0.25">
      <c r="A514" s="170">
        <v>42758</v>
      </c>
      <c r="B514" s="116">
        <v>297.10000000000002</v>
      </c>
      <c r="C514" s="116">
        <v>295.5</v>
      </c>
      <c r="D514" s="116">
        <v>288.89999999999998</v>
      </c>
      <c r="E514" s="116">
        <v>290</v>
      </c>
      <c r="F514" s="116">
        <v>295.5</v>
      </c>
      <c r="G514">
        <v>162396</v>
      </c>
      <c r="H514" s="116"/>
      <c r="I514" s="116"/>
      <c r="L514" s="170">
        <v>42758</v>
      </c>
      <c r="M514" s="116">
        <v>295.10000000000002</v>
      </c>
      <c r="N514" s="116">
        <v>297</v>
      </c>
      <c r="O514" s="116">
        <v>288.05</v>
      </c>
      <c r="P514" s="116">
        <v>288.89999999999998</v>
      </c>
      <c r="Q514" s="116">
        <v>295.10000000000002</v>
      </c>
      <c r="R514">
        <v>1265838</v>
      </c>
    </row>
    <row r="515" spans="1:18" x14ac:dyDescent="0.25">
      <c r="A515" s="170">
        <v>42759</v>
      </c>
      <c r="B515" s="116">
        <v>304.89999999999998</v>
      </c>
      <c r="C515" s="116">
        <v>303.45</v>
      </c>
      <c r="D515" s="116">
        <v>297</v>
      </c>
      <c r="E515" s="116">
        <v>297.25</v>
      </c>
      <c r="F515" s="116">
        <v>303.45</v>
      </c>
      <c r="G515">
        <v>256921</v>
      </c>
      <c r="H515" s="116"/>
      <c r="I515" s="116"/>
      <c r="L515" s="170">
        <v>42759</v>
      </c>
      <c r="M515" s="116">
        <v>303.64999999999998</v>
      </c>
      <c r="N515" s="116">
        <v>304.89999999999998</v>
      </c>
      <c r="O515" s="116">
        <v>296.05</v>
      </c>
      <c r="P515" s="116">
        <v>297.95</v>
      </c>
      <c r="Q515" s="116">
        <v>303.64999999999998</v>
      </c>
      <c r="R515">
        <v>2052442</v>
      </c>
    </row>
    <row r="516" spans="1:18" x14ac:dyDescent="0.25">
      <c r="A516" s="170">
        <v>42760</v>
      </c>
      <c r="B516" s="116">
        <v>307.10000000000002</v>
      </c>
      <c r="C516" s="116">
        <v>301.45</v>
      </c>
      <c r="D516" s="116">
        <v>300.25</v>
      </c>
      <c r="E516" s="116">
        <v>305.64999999999998</v>
      </c>
      <c r="F516" s="116">
        <v>301.45</v>
      </c>
      <c r="G516">
        <v>186066</v>
      </c>
      <c r="H516" s="116"/>
      <c r="I516" s="116"/>
      <c r="L516" s="170">
        <v>42760</v>
      </c>
      <c r="M516" s="116">
        <v>300.45</v>
      </c>
      <c r="N516" s="116">
        <v>306.95</v>
      </c>
      <c r="O516" s="116">
        <v>299.55</v>
      </c>
      <c r="P516" s="116">
        <v>306</v>
      </c>
      <c r="Q516" s="116">
        <v>300.45</v>
      </c>
      <c r="R516">
        <v>2518719</v>
      </c>
    </row>
    <row r="517" spans="1:18" x14ac:dyDescent="0.25">
      <c r="A517" s="170">
        <v>42762</v>
      </c>
      <c r="B517" s="116">
        <v>306</v>
      </c>
      <c r="C517" s="116">
        <v>301</v>
      </c>
      <c r="D517" s="116">
        <v>298.10000000000002</v>
      </c>
      <c r="E517" s="116">
        <v>306</v>
      </c>
      <c r="F517" s="116">
        <v>301</v>
      </c>
      <c r="G517">
        <v>83056</v>
      </c>
      <c r="H517" s="116"/>
      <c r="I517" s="116"/>
      <c r="L517" s="170">
        <v>42762</v>
      </c>
      <c r="M517" s="116">
        <v>300.64999999999998</v>
      </c>
      <c r="N517" s="116">
        <v>304.05</v>
      </c>
      <c r="O517" s="116">
        <v>297.64999999999998</v>
      </c>
      <c r="P517" s="116">
        <v>303.35000000000002</v>
      </c>
      <c r="Q517" s="116">
        <v>300.64999999999998</v>
      </c>
      <c r="R517">
        <v>1065612</v>
      </c>
    </row>
    <row r="518" spans="1:18" x14ac:dyDescent="0.25">
      <c r="A518" s="170">
        <v>42765</v>
      </c>
      <c r="B518" s="116">
        <v>301.7</v>
      </c>
      <c r="C518" s="116">
        <v>299.7</v>
      </c>
      <c r="D518" s="116">
        <v>295.95</v>
      </c>
      <c r="E518" s="116">
        <v>300.95</v>
      </c>
      <c r="F518" s="116">
        <v>299.7</v>
      </c>
      <c r="G518">
        <v>95250</v>
      </c>
      <c r="H518" s="116"/>
      <c r="I518" s="116"/>
      <c r="L518" s="170">
        <v>42765</v>
      </c>
      <c r="M518" s="116">
        <v>300.35000000000002</v>
      </c>
      <c r="N518" s="116">
        <v>301.95</v>
      </c>
      <c r="O518" s="116">
        <v>295.5</v>
      </c>
      <c r="P518" s="116">
        <v>300.75</v>
      </c>
      <c r="Q518" s="116">
        <v>300.35000000000002</v>
      </c>
      <c r="R518">
        <v>1051915</v>
      </c>
    </row>
    <row r="519" spans="1:18" x14ac:dyDescent="0.25">
      <c r="A519" s="170">
        <v>42766</v>
      </c>
      <c r="B519" s="116">
        <v>307.8</v>
      </c>
      <c r="C519" s="116">
        <v>298.45</v>
      </c>
      <c r="D519" s="116">
        <v>297.5</v>
      </c>
      <c r="E519" s="116">
        <v>301.10000000000002</v>
      </c>
      <c r="F519" s="116">
        <v>298.45</v>
      </c>
      <c r="G519">
        <v>182649</v>
      </c>
      <c r="H519" s="116"/>
      <c r="I519" s="116"/>
      <c r="L519" s="170">
        <v>42766</v>
      </c>
      <c r="M519" s="116">
        <v>298.89999999999998</v>
      </c>
      <c r="N519" s="116">
        <v>307.5</v>
      </c>
      <c r="O519" s="116">
        <v>297.3</v>
      </c>
      <c r="P519" s="116">
        <v>301.5</v>
      </c>
      <c r="Q519" s="116">
        <v>298.89999999999998</v>
      </c>
      <c r="R519">
        <v>3038285</v>
      </c>
    </row>
    <row r="520" spans="1:18" x14ac:dyDescent="0.25">
      <c r="A520" s="170">
        <v>42767</v>
      </c>
      <c r="B520" s="116">
        <v>306.5</v>
      </c>
      <c r="C520" s="116">
        <v>305.64999999999998</v>
      </c>
      <c r="D520" s="116">
        <v>298.75</v>
      </c>
      <c r="E520" s="116">
        <v>300.7</v>
      </c>
      <c r="F520" s="116">
        <v>305.64999999999998</v>
      </c>
      <c r="G520">
        <v>117064</v>
      </c>
      <c r="H520" s="116"/>
      <c r="I520" s="116"/>
      <c r="L520" s="170">
        <v>42767</v>
      </c>
      <c r="M520" s="116">
        <v>306.7</v>
      </c>
      <c r="N520" s="116">
        <v>307.5</v>
      </c>
      <c r="O520" s="116">
        <v>298.2</v>
      </c>
      <c r="P520" s="116">
        <v>302</v>
      </c>
      <c r="Q520" s="116">
        <v>306.7</v>
      </c>
      <c r="R520">
        <v>1403927</v>
      </c>
    </row>
    <row r="521" spans="1:18" x14ac:dyDescent="0.25">
      <c r="A521" s="170">
        <v>42768</v>
      </c>
      <c r="B521" s="116">
        <v>324.89999999999998</v>
      </c>
      <c r="C521" s="116">
        <v>321.5</v>
      </c>
      <c r="D521" s="116">
        <v>303</v>
      </c>
      <c r="E521" s="116">
        <v>309.7</v>
      </c>
      <c r="F521" s="116">
        <v>321.5</v>
      </c>
      <c r="G521">
        <v>357625</v>
      </c>
      <c r="H521" s="116"/>
      <c r="I521" s="116"/>
      <c r="L521" s="170">
        <v>42768</v>
      </c>
      <c r="M521" s="116">
        <v>322.55</v>
      </c>
      <c r="N521" s="116">
        <v>324.8</v>
      </c>
      <c r="O521" s="116">
        <v>302.89999999999998</v>
      </c>
      <c r="P521" s="116">
        <v>306</v>
      </c>
      <c r="Q521" s="116">
        <v>322.55</v>
      </c>
      <c r="R521">
        <v>4514033</v>
      </c>
    </row>
    <row r="522" spans="1:18" x14ac:dyDescent="0.25">
      <c r="A522" s="170">
        <v>42769</v>
      </c>
      <c r="B522" s="116">
        <v>333.4</v>
      </c>
      <c r="C522" s="116">
        <v>321.64999999999998</v>
      </c>
      <c r="D522" s="116">
        <v>318.7</v>
      </c>
      <c r="E522" s="116">
        <v>321.5</v>
      </c>
      <c r="F522" s="116">
        <v>321.64999999999998</v>
      </c>
      <c r="G522">
        <v>315300</v>
      </c>
      <c r="H522" s="116"/>
      <c r="I522" s="116"/>
      <c r="L522" s="170">
        <v>42769</v>
      </c>
      <c r="M522" s="116">
        <v>321.85000000000002</v>
      </c>
      <c r="N522" s="116">
        <v>333.2</v>
      </c>
      <c r="O522" s="116">
        <v>318.39999999999998</v>
      </c>
      <c r="P522" s="116">
        <v>320</v>
      </c>
      <c r="Q522" s="116">
        <v>321.85000000000002</v>
      </c>
      <c r="R522">
        <v>5584705</v>
      </c>
    </row>
    <row r="523" spans="1:18" x14ac:dyDescent="0.25">
      <c r="A523" s="170">
        <v>42772</v>
      </c>
      <c r="B523" s="116">
        <v>331</v>
      </c>
      <c r="C523" s="116">
        <v>316.2</v>
      </c>
      <c r="D523" s="116">
        <v>313.55</v>
      </c>
      <c r="E523" s="116">
        <v>323</v>
      </c>
      <c r="F523" s="116">
        <v>316.2</v>
      </c>
      <c r="G523">
        <v>247370</v>
      </c>
      <c r="H523" s="116"/>
      <c r="I523" s="116"/>
      <c r="L523" s="170">
        <v>42772</v>
      </c>
      <c r="M523" s="116">
        <v>314.95</v>
      </c>
      <c r="N523" s="116">
        <v>326.60000000000002</v>
      </c>
      <c r="O523" s="116">
        <v>312.60000000000002</v>
      </c>
      <c r="P523" s="116">
        <v>324</v>
      </c>
      <c r="Q523" s="116">
        <v>314.95</v>
      </c>
      <c r="R523">
        <v>2632211</v>
      </c>
    </row>
    <row r="524" spans="1:18" x14ac:dyDescent="0.25">
      <c r="A524" s="170">
        <v>42773</v>
      </c>
      <c r="B524" s="116">
        <v>316.75</v>
      </c>
      <c r="C524" s="116">
        <v>311</v>
      </c>
      <c r="D524" s="116">
        <v>309.3</v>
      </c>
      <c r="E524" s="116">
        <v>316.75</v>
      </c>
      <c r="F524" s="116">
        <v>311</v>
      </c>
      <c r="G524">
        <v>84687</v>
      </c>
      <c r="H524" s="116"/>
      <c r="I524" s="116"/>
      <c r="L524" s="170">
        <v>42773</v>
      </c>
      <c r="M524" s="116">
        <v>311</v>
      </c>
      <c r="N524" s="116">
        <v>316.8</v>
      </c>
      <c r="O524" s="116">
        <v>309</v>
      </c>
      <c r="P524" s="116">
        <v>315.05</v>
      </c>
      <c r="Q524" s="116">
        <v>311</v>
      </c>
      <c r="R524">
        <v>3024478</v>
      </c>
    </row>
    <row r="525" spans="1:18" x14ac:dyDescent="0.25">
      <c r="A525" s="170">
        <v>42774</v>
      </c>
      <c r="B525" s="116">
        <v>318.60000000000002</v>
      </c>
      <c r="C525" s="116">
        <v>317.7</v>
      </c>
      <c r="D525" s="116">
        <v>311.35000000000002</v>
      </c>
      <c r="E525" s="116">
        <v>312</v>
      </c>
      <c r="F525" s="116">
        <v>317.7</v>
      </c>
      <c r="G525">
        <v>357191</v>
      </c>
      <c r="H525" s="116"/>
      <c r="I525" s="116"/>
      <c r="L525" s="170">
        <v>42774</v>
      </c>
      <c r="M525" s="116">
        <v>317.25</v>
      </c>
      <c r="N525" s="116">
        <v>318.05</v>
      </c>
      <c r="O525" s="116">
        <v>311</v>
      </c>
      <c r="P525" s="116">
        <v>312.14999999999998</v>
      </c>
      <c r="Q525" s="116">
        <v>317.25</v>
      </c>
      <c r="R525">
        <v>1827638</v>
      </c>
    </row>
    <row r="526" spans="1:18" x14ac:dyDescent="0.25">
      <c r="A526" s="170">
        <v>42775</v>
      </c>
      <c r="B526" s="116">
        <v>327.39999999999998</v>
      </c>
      <c r="C526" s="116">
        <v>318</v>
      </c>
      <c r="D526" s="116">
        <v>312.5</v>
      </c>
      <c r="E526" s="116">
        <v>317.7</v>
      </c>
      <c r="F526" s="116">
        <v>318</v>
      </c>
      <c r="G526">
        <v>190058</v>
      </c>
      <c r="H526" s="116"/>
      <c r="I526" s="116"/>
      <c r="L526" s="170">
        <v>42775</v>
      </c>
      <c r="M526" s="116">
        <v>317.89999999999998</v>
      </c>
      <c r="N526" s="116">
        <v>320.85000000000002</v>
      </c>
      <c r="O526" s="116">
        <v>311.7</v>
      </c>
      <c r="P526" s="116">
        <v>319.95</v>
      </c>
      <c r="Q526" s="116">
        <v>317.89999999999998</v>
      </c>
      <c r="R526">
        <v>2262820</v>
      </c>
    </row>
    <row r="527" spans="1:18" x14ac:dyDescent="0.25">
      <c r="A527" s="170">
        <v>42776</v>
      </c>
      <c r="B527" s="116">
        <v>324.89999999999998</v>
      </c>
      <c r="C527" s="116">
        <v>315.25</v>
      </c>
      <c r="D527" s="116">
        <v>308.75</v>
      </c>
      <c r="E527" s="116">
        <v>319.89999999999998</v>
      </c>
      <c r="F527" s="116">
        <v>315.25</v>
      </c>
      <c r="G527">
        <v>302985</v>
      </c>
      <c r="H527" s="116"/>
      <c r="I527" s="116"/>
      <c r="L527" s="170">
        <v>42776</v>
      </c>
      <c r="M527" s="116">
        <v>313.7</v>
      </c>
      <c r="N527" s="116">
        <v>324.8</v>
      </c>
      <c r="O527" s="116">
        <v>308.3</v>
      </c>
      <c r="P527" s="116">
        <v>319.8</v>
      </c>
      <c r="Q527" s="116">
        <v>313.7</v>
      </c>
      <c r="R527">
        <v>3795457</v>
      </c>
    </row>
    <row r="528" spans="1:18" x14ac:dyDescent="0.25">
      <c r="A528" s="170">
        <v>42779</v>
      </c>
      <c r="B528" s="116">
        <v>320.25</v>
      </c>
      <c r="C528" s="116">
        <v>315.3</v>
      </c>
      <c r="D528" s="116">
        <v>312.39999999999998</v>
      </c>
      <c r="E528" s="116">
        <v>316</v>
      </c>
      <c r="F528" s="116">
        <v>315.3</v>
      </c>
      <c r="G528">
        <v>217985</v>
      </c>
      <c r="H528" s="116"/>
      <c r="I528" s="116"/>
      <c r="L528" s="170">
        <v>42779</v>
      </c>
      <c r="M528" s="116">
        <v>314.75</v>
      </c>
      <c r="N528" s="116">
        <v>320.55</v>
      </c>
      <c r="O528" s="116">
        <v>312.05</v>
      </c>
      <c r="P528" s="116">
        <v>317.95</v>
      </c>
      <c r="Q528" s="116">
        <v>314.75</v>
      </c>
      <c r="R528">
        <v>1667539</v>
      </c>
    </row>
    <row r="529" spans="1:18" x14ac:dyDescent="0.25">
      <c r="A529" s="170">
        <v>42780</v>
      </c>
      <c r="B529" s="116">
        <v>315</v>
      </c>
      <c r="C529" s="116">
        <v>303.35000000000002</v>
      </c>
      <c r="D529" s="116">
        <v>300</v>
      </c>
      <c r="E529" s="116">
        <v>315</v>
      </c>
      <c r="F529" s="116">
        <v>303.35000000000002</v>
      </c>
      <c r="G529">
        <v>226889</v>
      </c>
      <c r="H529" s="116"/>
      <c r="I529" s="116"/>
      <c r="L529" s="170">
        <v>42780</v>
      </c>
      <c r="M529" s="116">
        <v>303.39999999999998</v>
      </c>
      <c r="N529" s="116">
        <v>315.5</v>
      </c>
      <c r="O529" s="116">
        <v>299.85000000000002</v>
      </c>
      <c r="P529" s="116">
        <v>315.5</v>
      </c>
      <c r="Q529" s="116">
        <v>303.39999999999998</v>
      </c>
      <c r="R529">
        <v>4343666</v>
      </c>
    </row>
    <row r="530" spans="1:18" x14ac:dyDescent="0.25">
      <c r="A530" s="170">
        <v>42781</v>
      </c>
      <c r="B530" s="116">
        <v>305</v>
      </c>
      <c r="C530" s="116">
        <v>293.14999999999998</v>
      </c>
      <c r="D530" s="116">
        <v>292.2</v>
      </c>
      <c r="E530" s="116">
        <v>305</v>
      </c>
      <c r="F530" s="116">
        <v>293.14999999999998</v>
      </c>
      <c r="G530">
        <v>93208</v>
      </c>
      <c r="H530" s="116"/>
      <c r="I530" s="116"/>
      <c r="L530" s="170">
        <v>42781</v>
      </c>
      <c r="M530" s="116">
        <v>293.14999999999998</v>
      </c>
      <c r="N530" s="116">
        <v>304.75</v>
      </c>
      <c r="O530" s="116">
        <v>292.55</v>
      </c>
      <c r="P530" s="116">
        <v>304.75</v>
      </c>
      <c r="Q530" s="116">
        <v>293.14999999999998</v>
      </c>
      <c r="R530">
        <v>3034720</v>
      </c>
    </row>
    <row r="531" spans="1:18" x14ac:dyDescent="0.25">
      <c r="A531" s="170">
        <v>42782</v>
      </c>
      <c r="B531" s="116">
        <v>303.25</v>
      </c>
      <c r="C531" s="116">
        <v>302.3</v>
      </c>
      <c r="D531" s="116">
        <v>291.10000000000002</v>
      </c>
      <c r="E531" s="116">
        <v>291.25</v>
      </c>
      <c r="F531" s="116">
        <v>302.3</v>
      </c>
      <c r="G531">
        <v>163747</v>
      </c>
      <c r="H531" s="116"/>
      <c r="I531" s="116"/>
      <c r="L531" s="170">
        <v>42782</v>
      </c>
      <c r="M531" s="116">
        <v>302.39999999999998</v>
      </c>
      <c r="N531" s="116">
        <v>303.8</v>
      </c>
      <c r="O531" s="116">
        <v>290.95</v>
      </c>
      <c r="P531" s="116">
        <v>294.39999999999998</v>
      </c>
      <c r="Q531" s="116">
        <v>302.39999999999998</v>
      </c>
      <c r="R531">
        <v>3166724</v>
      </c>
    </row>
    <row r="532" spans="1:18" x14ac:dyDescent="0.25">
      <c r="A532" s="170">
        <v>42783</v>
      </c>
      <c r="B532" s="116">
        <v>306</v>
      </c>
      <c r="C532" s="116">
        <v>299.7</v>
      </c>
      <c r="D532" s="116">
        <v>298.8</v>
      </c>
      <c r="E532" s="116">
        <v>306</v>
      </c>
      <c r="F532" s="116">
        <v>299.7</v>
      </c>
      <c r="G532">
        <v>126697</v>
      </c>
      <c r="H532" s="116"/>
      <c r="I532" s="116"/>
      <c r="L532" s="170">
        <v>42783</v>
      </c>
      <c r="M532" s="116">
        <v>299.8</v>
      </c>
      <c r="N532" s="116">
        <v>305.64999999999998</v>
      </c>
      <c r="O532" s="116">
        <v>299.05</v>
      </c>
      <c r="P532" s="116">
        <v>304.89999999999998</v>
      </c>
      <c r="Q532" s="116">
        <v>299.8</v>
      </c>
      <c r="R532">
        <v>2319038</v>
      </c>
    </row>
    <row r="533" spans="1:18" x14ac:dyDescent="0.25">
      <c r="A533" s="170">
        <v>42786</v>
      </c>
      <c r="B533" s="116">
        <v>304.95</v>
      </c>
      <c r="C533" s="116">
        <v>302.60000000000002</v>
      </c>
      <c r="D533" s="116">
        <v>297.39999999999998</v>
      </c>
      <c r="E533" s="116">
        <v>300.85000000000002</v>
      </c>
      <c r="F533" s="116">
        <v>302.60000000000002</v>
      </c>
      <c r="G533">
        <v>100087</v>
      </c>
      <c r="H533" s="116"/>
      <c r="I533" s="116"/>
      <c r="L533" s="170">
        <v>42786</v>
      </c>
      <c r="M533" s="116">
        <v>302.5</v>
      </c>
      <c r="N533" s="116">
        <v>304.89999999999998</v>
      </c>
      <c r="O533" s="116">
        <v>297</v>
      </c>
      <c r="P533" s="116">
        <v>300.95</v>
      </c>
      <c r="Q533" s="116">
        <v>302.5</v>
      </c>
      <c r="R533">
        <v>2391548</v>
      </c>
    </row>
    <row r="534" spans="1:18" x14ac:dyDescent="0.25">
      <c r="A534" s="170">
        <v>42787</v>
      </c>
      <c r="B534" s="116">
        <v>306.89999999999998</v>
      </c>
      <c r="C534" s="116">
        <v>303.45</v>
      </c>
      <c r="D534" s="116">
        <v>302.14999999999998</v>
      </c>
      <c r="E534" s="116">
        <v>303.55</v>
      </c>
      <c r="F534" s="116">
        <v>303.45</v>
      </c>
      <c r="G534">
        <v>78414</v>
      </c>
      <c r="H534" s="116"/>
      <c r="I534" s="116"/>
      <c r="L534" s="170">
        <v>42787</v>
      </c>
      <c r="M534" s="116">
        <v>303.35000000000002</v>
      </c>
      <c r="N534" s="116">
        <v>306.75</v>
      </c>
      <c r="O534" s="116">
        <v>302.39999999999998</v>
      </c>
      <c r="P534" s="116">
        <v>303.95</v>
      </c>
      <c r="Q534" s="116">
        <v>303.35000000000002</v>
      </c>
      <c r="R534">
        <v>1106506</v>
      </c>
    </row>
    <row r="535" spans="1:18" x14ac:dyDescent="0.25">
      <c r="A535" s="170">
        <v>42788</v>
      </c>
      <c r="B535" s="116">
        <v>308.60000000000002</v>
      </c>
      <c r="C535" s="116">
        <v>302.3</v>
      </c>
      <c r="D535" s="116">
        <v>300.5</v>
      </c>
      <c r="E535" s="116">
        <v>304.5</v>
      </c>
      <c r="F535" s="116">
        <v>302.3</v>
      </c>
      <c r="G535">
        <v>122370</v>
      </c>
      <c r="H535" s="116"/>
      <c r="I535" s="116"/>
      <c r="L535" s="170">
        <v>42788</v>
      </c>
      <c r="M535" s="116">
        <v>302.35000000000002</v>
      </c>
      <c r="N535" s="116">
        <v>308.95</v>
      </c>
      <c r="O535" s="116">
        <v>300.75</v>
      </c>
      <c r="P535" s="116">
        <v>303.35000000000002</v>
      </c>
      <c r="Q535" s="116">
        <v>302.35000000000002</v>
      </c>
      <c r="R535">
        <v>1987823</v>
      </c>
    </row>
    <row r="536" spans="1:18" x14ac:dyDescent="0.25">
      <c r="A536" s="170">
        <v>42789</v>
      </c>
      <c r="B536" s="116">
        <v>305.14999999999998</v>
      </c>
      <c r="C536" s="116">
        <v>302.2</v>
      </c>
      <c r="D536" s="116">
        <v>296.5</v>
      </c>
      <c r="E536" s="116">
        <v>302</v>
      </c>
      <c r="F536" s="116">
        <v>302.2</v>
      </c>
      <c r="G536">
        <v>79527</v>
      </c>
      <c r="H536" s="116"/>
      <c r="I536" s="116"/>
      <c r="L536" s="170">
        <v>42789</v>
      </c>
      <c r="M536" s="116">
        <v>302</v>
      </c>
      <c r="N536" s="116">
        <v>305.25</v>
      </c>
      <c r="O536" s="116">
        <v>296.55</v>
      </c>
      <c r="P536" s="116">
        <v>301.89999999999998</v>
      </c>
      <c r="Q536" s="116">
        <v>302</v>
      </c>
      <c r="R536">
        <v>4867046</v>
      </c>
    </row>
    <row r="537" spans="1:18" x14ac:dyDescent="0.25">
      <c r="A537" s="170">
        <v>42793</v>
      </c>
      <c r="B537" s="116">
        <v>309.8</v>
      </c>
      <c r="C537" s="116">
        <v>307</v>
      </c>
      <c r="D537" s="116">
        <v>301.85000000000002</v>
      </c>
      <c r="E537" s="116">
        <v>302</v>
      </c>
      <c r="F537" s="116">
        <v>307</v>
      </c>
      <c r="G537">
        <v>127305</v>
      </c>
      <c r="H537" s="116"/>
      <c r="I537" s="116"/>
      <c r="L537" s="170">
        <v>42793</v>
      </c>
      <c r="M537" s="116">
        <v>307.14999999999998</v>
      </c>
      <c r="N537" s="116">
        <v>309.89999999999998</v>
      </c>
      <c r="O537" s="116">
        <v>301.10000000000002</v>
      </c>
      <c r="P537" s="116">
        <v>301.10000000000002</v>
      </c>
      <c r="Q537" s="116">
        <v>307.14999999999998</v>
      </c>
      <c r="R537">
        <v>1865263</v>
      </c>
    </row>
    <row r="538" spans="1:18" x14ac:dyDescent="0.25">
      <c r="A538" s="170">
        <v>42794</v>
      </c>
      <c r="B538" s="116">
        <v>314.64999999999998</v>
      </c>
      <c r="C538" s="116">
        <v>308.05</v>
      </c>
      <c r="D538" s="116">
        <v>306.5</v>
      </c>
      <c r="E538" s="116">
        <v>309.45</v>
      </c>
      <c r="F538" s="116">
        <v>308.05</v>
      </c>
      <c r="G538">
        <v>209339</v>
      </c>
      <c r="H538" s="116"/>
      <c r="I538" s="116"/>
      <c r="L538" s="170">
        <v>42794</v>
      </c>
      <c r="M538" s="116">
        <v>308.35000000000002</v>
      </c>
      <c r="N538" s="116">
        <v>314.8</v>
      </c>
      <c r="O538" s="116">
        <v>306.85000000000002</v>
      </c>
      <c r="P538" s="116">
        <v>309.39999999999998</v>
      </c>
      <c r="Q538" s="116">
        <v>308.35000000000002</v>
      </c>
      <c r="R538">
        <v>2274189</v>
      </c>
    </row>
    <row r="539" spans="1:18" x14ac:dyDescent="0.25">
      <c r="A539" s="170">
        <v>42795</v>
      </c>
      <c r="B539" s="116">
        <v>319.35000000000002</v>
      </c>
      <c r="C539" s="116">
        <v>318.14999999999998</v>
      </c>
      <c r="D539" s="116">
        <v>308.05</v>
      </c>
      <c r="E539" s="116">
        <v>308.05</v>
      </c>
      <c r="F539" s="116">
        <v>318.14999999999998</v>
      </c>
      <c r="G539">
        <v>139425</v>
      </c>
      <c r="H539" s="116"/>
      <c r="I539" s="116"/>
      <c r="L539" s="170">
        <v>42795</v>
      </c>
      <c r="M539" s="116">
        <v>318.2</v>
      </c>
      <c r="N539" s="116">
        <v>319</v>
      </c>
      <c r="O539" s="116">
        <v>305.25</v>
      </c>
      <c r="P539" s="116">
        <v>311</v>
      </c>
      <c r="Q539" s="116">
        <v>318.2</v>
      </c>
      <c r="R539">
        <v>2404175</v>
      </c>
    </row>
    <row r="540" spans="1:18" x14ac:dyDescent="0.25">
      <c r="A540" s="170">
        <v>42796</v>
      </c>
      <c r="B540" s="116">
        <v>321.7</v>
      </c>
      <c r="C540" s="116">
        <v>310.10000000000002</v>
      </c>
      <c r="D540" s="116">
        <v>308.5</v>
      </c>
      <c r="E540" s="116">
        <v>321.7</v>
      </c>
      <c r="F540" s="116">
        <v>310.10000000000002</v>
      </c>
      <c r="G540">
        <v>116374</v>
      </c>
      <c r="H540" s="116"/>
      <c r="I540" s="116"/>
      <c r="L540" s="170">
        <v>42796</v>
      </c>
      <c r="M540" s="116">
        <v>310.35000000000002</v>
      </c>
      <c r="N540" s="116">
        <v>319.75</v>
      </c>
      <c r="O540" s="116">
        <v>308.5</v>
      </c>
      <c r="P540" s="116">
        <v>318.75</v>
      </c>
      <c r="Q540" s="116">
        <v>310.35000000000002</v>
      </c>
      <c r="R540">
        <v>1287107</v>
      </c>
    </row>
    <row r="541" spans="1:18" x14ac:dyDescent="0.25">
      <c r="A541" s="170">
        <v>42797</v>
      </c>
      <c r="B541" s="116">
        <v>315</v>
      </c>
      <c r="C541" s="116">
        <v>312.35000000000002</v>
      </c>
      <c r="D541" s="116">
        <v>304.60000000000002</v>
      </c>
      <c r="E541" s="116">
        <v>311</v>
      </c>
      <c r="F541" s="116">
        <v>312.35000000000002</v>
      </c>
      <c r="G541">
        <v>126336</v>
      </c>
      <c r="H541" s="116"/>
      <c r="I541" s="116"/>
      <c r="L541" s="170">
        <v>42797</v>
      </c>
      <c r="M541" s="116">
        <v>313.64999999999998</v>
      </c>
      <c r="N541" s="116">
        <v>316</v>
      </c>
      <c r="O541" s="116">
        <v>304.5</v>
      </c>
      <c r="P541" s="116">
        <v>309.39999999999998</v>
      </c>
      <c r="Q541" s="116">
        <v>313.64999999999998</v>
      </c>
      <c r="R541">
        <v>2353239</v>
      </c>
    </row>
    <row r="542" spans="1:18" x14ac:dyDescent="0.25">
      <c r="A542" s="170">
        <v>42800</v>
      </c>
      <c r="B542" s="116">
        <v>315</v>
      </c>
      <c r="C542" s="116">
        <v>309.3</v>
      </c>
      <c r="D542" s="116">
        <v>307.39999999999998</v>
      </c>
      <c r="E542" s="116">
        <v>315</v>
      </c>
      <c r="F542" s="116">
        <v>309.3</v>
      </c>
      <c r="G542">
        <v>64892</v>
      </c>
      <c r="H542" s="116"/>
      <c r="I542" s="116"/>
      <c r="L542" s="170">
        <v>42800</v>
      </c>
      <c r="M542" s="116">
        <v>309.3</v>
      </c>
      <c r="N542" s="116">
        <v>313.95</v>
      </c>
      <c r="O542" s="116">
        <v>307.14999999999998</v>
      </c>
      <c r="P542" s="116">
        <v>313.95</v>
      </c>
      <c r="Q542" s="116">
        <v>309.3</v>
      </c>
      <c r="R542">
        <v>1719899</v>
      </c>
    </row>
    <row r="543" spans="1:18" x14ac:dyDescent="0.25">
      <c r="A543" s="170">
        <v>42801</v>
      </c>
      <c r="B543" s="116">
        <v>309.05</v>
      </c>
      <c r="C543" s="116">
        <v>298.85000000000002</v>
      </c>
      <c r="D543" s="116">
        <v>298</v>
      </c>
      <c r="E543" s="116">
        <v>308.89999999999998</v>
      </c>
      <c r="F543" s="116">
        <v>298.85000000000002</v>
      </c>
      <c r="G543">
        <v>133914</v>
      </c>
      <c r="H543" s="116"/>
      <c r="I543" s="116"/>
      <c r="L543" s="170">
        <v>42801</v>
      </c>
      <c r="M543" s="116">
        <v>298.55</v>
      </c>
      <c r="N543" s="116">
        <v>308.85000000000002</v>
      </c>
      <c r="O543" s="116">
        <v>297.3</v>
      </c>
      <c r="P543" s="116">
        <v>308.05</v>
      </c>
      <c r="Q543" s="116">
        <v>298.55</v>
      </c>
      <c r="R543">
        <v>2518064</v>
      </c>
    </row>
    <row r="544" spans="1:18" x14ac:dyDescent="0.25">
      <c r="A544" s="170">
        <v>42802</v>
      </c>
      <c r="B544" s="116">
        <v>298.8</v>
      </c>
      <c r="C544" s="116">
        <v>296.55</v>
      </c>
      <c r="D544" s="116">
        <v>293.85000000000002</v>
      </c>
      <c r="E544" s="116">
        <v>296</v>
      </c>
      <c r="F544" s="116">
        <v>296.55</v>
      </c>
      <c r="G544">
        <v>84913</v>
      </c>
      <c r="H544" s="116"/>
      <c r="I544" s="116"/>
      <c r="L544" s="170">
        <v>42802</v>
      </c>
      <c r="M544" s="116">
        <v>296.95</v>
      </c>
      <c r="N544" s="116">
        <v>298.60000000000002</v>
      </c>
      <c r="O544" s="116">
        <v>294</v>
      </c>
      <c r="P544" s="116">
        <v>297</v>
      </c>
      <c r="Q544" s="116">
        <v>296.95</v>
      </c>
      <c r="R544">
        <v>1618846</v>
      </c>
    </row>
    <row r="545" spans="1:18" x14ac:dyDescent="0.25">
      <c r="A545" s="170">
        <v>42803</v>
      </c>
      <c r="B545" s="116">
        <v>296</v>
      </c>
      <c r="C545" s="116">
        <v>291.95</v>
      </c>
      <c r="D545" s="116">
        <v>290.35000000000002</v>
      </c>
      <c r="E545" s="116">
        <v>296</v>
      </c>
      <c r="F545" s="116">
        <v>291.95</v>
      </c>
      <c r="G545">
        <v>151303</v>
      </c>
      <c r="H545" s="116"/>
      <c r="I545" s="116"/>
      <c r="L545" s="170">
        <v>42803</v>
      </c>
      <c r="M545" s="116">
        <v>291.2</v>
      </c>
      <c r="N545" s="116">
        <v>296.39999999999998</v>
      </c>
      <c r="O545" s="116">
        <v>290.05</v>
      </c>
      <c r="P545" s="116">
        <v>294.75</v>
      </c>
      <c r="Q545" s="116">
        <v>291.2</v>
      </c>
      <c r="R545">
        <v>2427632</v>
      </c>
    </row>
    <row r="546" spans="1:18" x14ac:dyDescent="0.25">
      <c r="A546" s="170">
        <v>42804</v>
      </c>
      <c r="B546" s="116">
        <v>293.8</v>
      </c>
      <c r="C546" s="116">
        <v>284.3</v>
      </c>
      <c r="D546" s="116">
        <v>283.10000000000002</v>
      </c>
      <c r="E546" s="116">
        <v>292</v>
      </c>
      <c r="F546" s="116">
        <v>284.3</v>
      </c>
      <c r="G546">
        <v>175970</v>
      </c>
      <c r="H546" s="116"/>
      <c r="I546" s="116"/>
      <c r="L546" s="170">
        <v>42804</v>
      </c>
      <c r="M546" s="116">
        <v>284.14999999999998</v>
      </c>
      <c r="N546" s="116">
        <v>294</v>
      </c>
      <c r="O546" s="116">
        <v>282.5</v>
      </c>
      <c r="P546" s="116">
        <v>293.25</v>
      </c>
      <c r="Q546" s="116">
        <v>284.14999999999998</v>
      </c>
      <c r="R546">
        <v>2965058</v>
      </c>
    </row>
    <row r="547" spans="1:18" x14ac:dyDescent="0.25">
      <c r="A547" s="170">
        <v>42808</v>
      </c>
      <c r="B547" s="116">
        <v>299.8</v>
      </c>
      <c r="C547" s="116">
        <v>291</v>
      </c>
      <c r="D547" s="116">
        <v>285.39999999999998</v>
      </c>
      <c r="E547" s="116">
        <v>292</v>
      </c>
      <c r="F547" s="116">
        <v>291</v>
      </c>
      <c r="G547">
        <v>414747</v>
      </c>
      <c r="H547" s="116"/>
      <c r="I547" s="116"/>
      <c r="L547" s="170">
        <v>42808</v>
      </c>
      <c r="M547" s="116">
        <v>291.39999999999998</v>
      </c>
      <c r="N547" s="116">
        <v>300.5</v>
      </c>
      <c r="O547" s="116">
        <v>285.45</v>
      </c>
      <c r="P547" s="116">
        <v>291</v>
      </c>
      <c r="Q547" s="116">
        <v>291.39999999999998</v>
      </c>
      <c r="R547">
        <v>6464044</v>
      </c>
    </row>
    <row r="548" spans="1:18" x14ac:dyDescent="0.25">
      <c r="A548" s="170">
        <v>42809</v>
      </c>
      <c r="B548" s="116">
        <v>294</v>
      </c>
      <c r="C548" s="116">
        <v>292.3</v>
      </c>
      <c r="D548" s="116">
        <v>290</v>
      </c>
      <c r="E548" s="116">
        <v>292</v>
      </c>
      <c r="F548" s="116">
        <v>292.3</v>
      </c>
      <c r="G548">
        <v>1296968</v>
      </c>
      <c r="H548" s="116"/>
      <c r="I548" s="116"/>
      <c r="L548" s="170">
        <v>42809</v>
      </c>
      <c r="M548" s="116">
        <v>292.39999999999998</v>
      </c>
      <c r="N548" s="116">
        <v>293.8</v>
      </c>
      <c r="O548" s="116">
        <v>289.45</v>
      </c>
      <c r="P548" s="116">
        <v>293.8</v>
      </c>
      <c r="Q548" s="116">
        <v>292.39999999999998</v>
      </c>
      <c r="R548">
        <v>1968514</v>
      </c>
    </row>
    <row r="549" spans="1:18" x14ac:dyDescent="0.25">
      <c r="A549" s="170">
        <v>42810</v>
      </c>
      <c r="B549" s="116">
        <v>310</v>
      </c>
      <c r="C549" s="116">
        <v>307.89999999999998</v>
      </c>
      <c r="D549" s="116">
        <v>297</v>
      </c>
      <c r="E549" s="116">
        <v>297</v>
      </c>
      <c r="F549" s="116">
        <v>307.89999999999998</v>
      </c>
      <c r="G549">
        <v>404722</v>
      </c>
      <c r="H549" s="116"/>
      <c r="I549" s="116"/>
      <c r="L549" s="170">
        <v>42810</v>
      </c>
      <c r="M549" s="116">
        <v>307.8</v>
      </c>
      <c r="N549" s="116">
        <v>310.3</v>
      </c>
      <c r="O549" s="116">
        <v>298.10000000000002</v>
      </c>
      <c r="P549" s="116">
        <v>299.8</v>
      </c>
      <c r="Q549" s="116">
        <v>307.8</v>
      </c>
      <c r="R549">
        <v>6810516</v>
      </c>
    </row>
    <row r="550" spans="1:18" x14ac:dyDescent="0.25">
      <c r="A550" s="170">
        <v>42811</v>
      </c>
      <c r="B550" s="116">
        <v>316.5</v>
      </c>
      <c r="C550" s="116">
        <v>310.10000000000002</v>
      </c>
      <c r="D550" s="116">
        <v>307.55</v>
      </c>
      <c r="E550" s="116">
        <v>312.95</v>
      </c>
      <c r="F550" s="116">
        <v>310.10000000000002</v>
      </c>
      <c r="G550">
        <v>293658</v>
      </c>
      <c r="H550" s="116"/>
      <c r="I550" s="116"/>
      <c r="L550" s="170">
        <v>42811</v>
      </c>
      <c r="M550" s="116">
        <v>310.05</v>
      </c>
      <c r="N550" s="116">
        <v>316.85000000000002</v>
      </c>
      <c r="O550" s="116">
        <v>307.39999999999998</v>
      </c>
      <c r="P550" s="116">
        <v>310.10000000000002</v>
      </c>
      <c r="Q550" s="116">
        <v>310.05</v>
      </c>
      <c r="R550">
        <v>4356018</v>
      </c>
    </row>
    <row r="551" spans="1:18" x14ac:dyDescent="0.25">
      <c r="A551" s="170">
        <v>42814</v>
      </c>
      <c r="B551" s="116">
        <v>313.45</v>
      </c>
      <c r="C551" s="116">
        <v>311.55</v>
      </c>
      <c r="D551" s="116">
        <v>305.8</v>
      </c>
      <c r="E551" s="116">
        <v>311.89999999999998</v>
      </c>
      <c r="F551" s="116">
        <v>311.55</v>
      </c>
      <c r="G551">
        <v>218308</v>
      </c>
      <c r="H551" s="116"/>
      <c r="I551" s="116"/>
      <c r="L551" s="170">
        <v>42814</v>
      </c>
      <c r="M551" s="116">
        <v>311.35000000000002</v>
      </c>
      <c r="N551" s="116">
        <v>313.85000000000002</v>
      </c>
      <c r="O551" s="116">
        <v>305.25</v>
      </c>
      <c r="P551" s="116">
        <v>311.64999999999998</v>
      </c>
      <c r="Q551" s="116">
        <v>311.35000000000002</v>
      </c>
      <c r="R551">
        <v>2843510</v>
      </c>
    </row>
    <row r="552" spans="1:18" x14ac:dyDescent="0.25">
      <c r="A552" s="170">
        <v>42815</v>
      </c>
      <c r="B552" s="116">
        <v>311.89999999999998</v>
      </c>
      <c r="C552" s="116">
        <v>307.25</v>
      </c>
      <c r="D552" s="116">
        <v>304.89999999999998</v>
      </c>
      <c r="E552" s="116">
        <v>311.55</v>
      </c>
      <c r="F552" s="116">
        <v>307.25</v>
      </c>
      <c r="G552">
        <v>92354</v>
      </c>
      <c r="H552" s="116"/>
      <c r="I552" s="116"/>
      <c r="L552" s="170">
        <v>42815</v>
      </c>
      <c r="M552" s="116">
        <v>307.2</v>
      </c>
      <c r="N552" s="116">
        <v>313.7</v>
      </c>
      <c r="O552" s="116">
        <v>304.60000000000002</v>
      </c>
      <c r="P552" s="116">
        <v>313.7</v>
      </c>
      <c r="Q552" s="116">
        <v>307.2</v>
      </c>
      <c r="R552">
        <v>1553168</v>
      </c>
    </row>
    <row r="553" spans="1:18" x14ac:dyDescent="0.25">
      <c r="A553" s="170">
        <v>42816</v>
      </c>
      <c r="B553" s="116">
        <v>315.8</v>
      </c>
      <c r="C553" s="116">
        <v>311.75</v>
      </c>
      <c r="D553" s="116">
        <v>304.14999999999998</v>
      </c>
      <c r="E553" s="116">
        <v>308</v>
      </c>
      <c r="F553" s="116">
        <v>311.75</v>
      </c>
      <c r="G553">
        <v>407798</v>
      </c>
      <c r="H553" s="116"/>
      <c r="I553" s="116"/>
      <c r="L553" s="170">
        <v>42816</v>
      </c>
      <c r="M553" s="116">
        <v>311.85000000000002</v>
      </c>
      <c r="N553" s="116">
        <v>316.2</v>
      </c>
      <c r="O553" s="116">
        <v>304.14999999999998</v>
      </c>
      <c r="P553" s="116">
        <v>307.45</v>
      </c>
      <c r="Q553" s="116">
        <v>311.85000000000002</v>
      </c>
      <c r="R553">
        <v>5024224</v>
      </c>
    </row>
    <row r="554" spans="1:18" x14ac:dyDescent="0.25">
      <c r="A554" s="170">
        <v>42817</v>
      </c>
      <c r="B554" s="116">
        <v>322.10000000000002</v>
      </c>
      <c r="C554" s="116">
        <v>320.2</v>
      </c>
      <c r="D554" s="116">
        <v>316.7</v>
      </c>
      <c r="E554" s="116">
        <v>320</v>
      </c>
      <c r="F554" s="116">
        <v>320.2</v>
      </c>
      <c r="G554">
        <v>2036760</v>
      </c>
      <c r="H554" s="116"/>
      <c r="I554" s="116"/>
      <c r="L554" s="170">
        <v>42817</v>
      </c>
      <c r="M554" s="116">
        <v>319.55</v>
      </c>
      <c r="N554" s="116">
        <v>322</v>
      </c>
      <c r="O554" s="116">
        <v>316.39999999999998</v>
      </c>
      <c r="P554" s="116">
        <v>320</v>
      </c>
      <c r="Q554" s="116">
        <v>319.55</v>
      </c>
      <c r="R554">
        <v>17882232</v>
      </c>
    </row>
    <row r="555" spans="1:18" x14ac:dyDescent="0.25">
      <c r="A555" s="170">
        <v>42818</v>
      </c>
      <c r="B555" s="116">
        <v>325.35000000000002</v>
      </c>
      <c r="C555" s="116">
        <v>322.85000000000002</v>
      </c>
      <c r="D555" s="116">
        <v>318.39999999999998</v>
      </c>
      <c r="E555" s="116">
        <v>322.5</v>
      </c>
      <c r="F555" s="116">
        <v>322.85000000000002</v>
      </c>
      <c r="G555">
        <v>756015</v>
      </c>
      <c r="H555" s="116"/>
      <c r="I555" s="116"/>
      <c r="L555" s="170">
        <v>42818</v>
      </c>
      <c r="M555" s="116">
        <v>323.25</v>
      </c>
      <c r="N555" s="116">
        <v>325.3</v>
      </c>
      <c r="O555" s="116">
        <v>318.3</v>
      </c>
      <c r="P555" s="116">
        <v>321.45</v>
      </c>
      <c r="Q555" s="116">
        <v>323.25</v>
      </c>
      <c r="R555">
        <v>6517456</v>
      </c>
    </row>
    <row r="556" spans="1:18" x14ac:dyDescent="0.25">
      <c r="A556" s="170">
        <v>42821</v>
      </c>
      <c r="B556" s="116">
        <v>325.39999999999998</v>
      </c>
      <c r="C556" s="116">
        <v>324</v>
      </c>
      <c r="D556" s="116">
        <v>322</v>
      </c>
      <c r="E556" s="116">
        <v>325.10000000000002</v>
      </c>
      <c r="F556" s="116">
        <v>324</v>
      </c>
      <c r="G556">
        <v>766001</v>
      </c>
      <c r="H556" s="116"/>
      <c r="I556" s="116"/>
      <c r="L556" s="170">
        <v>42821</v>
      </c>
      <c r="M556" s="116">
        <v>323.89999999999998</v>
      </c>
      <c r="N556" s="116">
        <v>325.60000000000002</v>
      </c>
      <c r="O556" s="116">
        <v>321.64999999999998</v>
      </c>
      <c r="P556" s="116">
        <v>325.35000000000002</v>
      </c>
      <c r="Q556" s="116">
        <v>323.89999999999998</v>
      </c>
      <c r="R556">
        <v>6295161</v>
      </c>
    </row>
    <row r="557" spans="1:18" x14ac:dyDescent="0.25">
      <c r="A557" s="170">
        <v>42822</v>
      </c>
      <c r="B557" s="116">
        <v>328</v>
      </c>
      <c r="C557" s="116">
        <v>326</v>
      </c>
      <c r="D557" s="116">
        <v>320.55</v>
      </c>
      <c r="E557" s="116">
        <v>325</v>
      </c>
      <c r="F557" s="116">
        <v>326</v>
      </c>
      <c r="G557">
        <v>599797</v>
      </c>
      <c r="H557" s="116"/>
      <c r="I557" s="116"/>
      <c r="L557" s="170">
        <v>42822</v>
      </c>
      <c r="M557" s="116">
        <v>326</v>
      </c>
      <c r="N557" s="116">
        <v>327.5</v>
      </c>
      <c r="O557" s="116">
        <v>320.3</v>
      </c>
      <c r="P557" s="116">
        <v>323.8</v>
      </c>
      <c r="Q557" s="116">
        <v>326</v>
      </c>
      <c r="R557">
        <v>6512418</v>
      </c>
    </row>
    <row r="558" spans="1:18" x14ac:dyDescent="0.25">
      <c r="A558" s="170">
        <v>42823</v>
      </c>
      <c r="B558" s="116">
        <v>296.85000000000002</v>
      </c>
      <c r="C558" s="116">
        <v>289.89999999999998</v>
      </c>
      <c r="D558" s="116">
        <v>276.2</v>
      </c>
      <c r="E558" s="116">
        <v>296.85000000000002</v>
      </c>
      <c r="F558" s="116">
        <v>289.89999999999998</v>
      </c>
      <c r="G558">
        <v>711936</v>
      </c>
      <c r="H558" s="116"/>
      <c r="I558" s="116"/>
      <c r="L558" s="170">
        <v>42823</v>
      </c>
      <c r="M558" s="116">
        <v>290.05</v>
      </c>
      <c r="N558" s="116">
        <v>294.75</v>
      </c>
      <c r="O558" s="116">
        <v>289.39999999999998</v>
      </c>
      <c r="P558" s="116">
        <v>294.75</v>
      </c>
      <c r="Q558" s="116">
        <v>290.05</v>
      </c>
      <c r="R558">
        <v>6720119</v>
      </c>
    </row>
    <row r="559" spans="1:18" x14ac:dyDescent="0.25">
      <c r="A559" s="170">
        <v>42824</v>
      </c>
      <c r="B559" s="116">
        <v>291.60000000000002</v>
      </c>
      <c r="C559" s="116">
        <v>284.95</v>
      </c>
      <c r="D559" s="116">
        <v>275</v>
      </c>
      <c r="E559" s="116">
        <v>290.25</v>
      </c>
      <c r="F559" s="116">
        <v>284.95</v>
      </c>
      <c r="G559">
        <v>358615</v>
      </c>
      <c r="H559" s="116"/>
      <c r="I559" s="116"/>
      <c r="L559" s="170">
        <v>42824</v>
      </c>
      <c r="M559" s="116">
        <v>285.8</v>
      </c>
      <c r="N559" s="116">
        <v>291.5</v>
      </c>
      <c r="O559" s="116">
        <v>284.5</v>
      </c>
      <c r="P559" s="116">
        <v>290</v>
      </c>
      <c r="Q559" s="116">
        <v>285.8</v>
      </c>
      <c r="R559">
        <v>5559887</v>
      </c>
    </row>
    <row r="560" spans="1:18" x14ac:dyDescent="0.25">
      <c r="A560" s="170">
        <v>42825</v>
      </c>
      <c r="B560" s="116">
        <v>290.55</v>
      </c>
      <c r="C560" s="116">
        <v>288.85000000000002</v>
      </c>
      <c r="D560" s="116">
        <v>284.05</v>
      </c>
      <c r="E560" s="116">
        <v>286.89999999999998</v>
      </c>
      <c r="F560" s="116">
        <v>288.85000000000002</v>
      </c>
      <c r="G560">
        <v>312229</v>
      </c>
      <c r="H560" s="116"/>
      <c r="I560" s="116"/>
      <c r="L560" s="170">
        <v>42825</v>
      </c>
      <c r="M560" s="116">
        <v>288.8</v>
      </c>
      <c r="N560" s="116">
        <v>290.60000000000002</v>
      </c>
      <c r="O560" s="116">
        <v>284</v>
      </c>
      <c r="P560" s="116">
        <v>285.8</v>
      </c>
      <c r="Q560" s="116">
        <v>288.8</v>
      </c>
      <c r="R560">
        <v>2783380</v>
      </c>
    </row>
    <row r="561" spans="1:18" x14ac:dyDescent="0.25">
      <c r="A561" s="170">
        <v>42828</v>
      </c>
      <c r="B561" s="116">
        <v>292.8</v>
      </c>
      <c r="C561" s="116">
        <v>291.89999999999998</v>
      </c>
      <c r="D561" s="116">
        <v>288</v>
      </c>
      <c r="E561" s="116">
        <v>290.2</v>
      </c>
      <c r="F561" s="116">
        <v>291.89999999999998</v>
      </c>
      <c r="G561">
        <v>221269</v>
      </c>
      <c r="H561" s="116"/>
      <c r="I561" s="116"/>
      <c r="L561" s="170">
        <v>42828</v>
      </c>
      <c r="M561" s="116">
        <v>291.60000000000002</v>
      </c>
      <c r="N561" s="116">
        <v>292.35000000000002</v>
      </c>
      <c r="O561" s="116">
        <v>288.05</v>
      </c>
      <c r="P561" s="116">
        <v>291.10000000000002</v>
      </c>
      <c r="Q561" s="116">
        <v>291.60000000000002</v>
      </c>
      <c r="R561">
        <v>2288384</v>
      </c>
    </row>
    <row r="562" spans="1:18" x14ac:dyDescent="0.25">
      <c r="A562" s="170">
        <v>42830</v>
      </c>
      <c r="B562" s="116">
        <v>294.2</v>
      </c>
      <c r="C562" s="116">
        <v>291.39999999999998</v>
      </c>
      <c r="D562" s="116">
        <v>290.45</v>
      </c>
      <c r="E562" s="116">
        <v>292</v>
      </c>
      <c r="F562" s="116">
        <v>291.39999999999998</v>
      </c>
      <c r="G562">
        <v>142178</v>
      </c>
      <c r="H562" s="116"/>
      <c r="I562" s="116"/>
      <c r="L562" s="170">
        <v>42830</v>
      </c>
      <c r="M562" s="116">
        <v>291.39999999999998</v>
      </c>
      <c r="N562" s="116">
        <v>294.25</v>
      </c>
      <c r="O562" s="116">
        <v>290.35000000000002</v>
      </c>
      <c r="P562" s="116">
        <v>291.2</v>
      </c>
      <c r="Q562" s="116">
        <v>291.39999999999998</v>
      </c>
      <c r="R562">
        <v>1550349</v>
      </c>
    </row>
    <row r="563" spans="1:18" x14ac:dyDescent="0.25">
      <c r="A563" s="170">
        <v>42831</v>
      </c>
      <c r="B563" s="116">
        <v>291.75</v>
      </c>
      <c r="C563" s="116">
        <v>288.25</v>
      </c>
      <c r="D563" s="116">
        <v>286.35000000000002</v>
      </c>
      <c r="E563" s="116">
        <v>291.39999999999998</v>
      </c>
      <c r="F563" s="116">
        <v>288.25</v>
      </c>
      <c r="G563">
        <v>157619</v>
      </c>
      <c r="H563" s="116"/>
      <c r="I563" s="116"/>
      <c r="L563" s="170">
        <v>42831</v>
      </c>
      <c r="M563" s="116">
        <v>288.14999999999998</v>
      </c>
      <c r="N563" s="116">
        <v>292.39999999999998</v>
      </c>
      <c r="O563" s="116">
        <v>285.95</v>
      </c>
      <c r="P563" s="116">
        <v>292</v>
      </c>
      <c r="Q563" s="116">
        <v>288.14999999999998</v>
      </c>
      <c r="R563">
        <v>1430476</v>
      </c>
    </row>
    <row r="564" spans="1:18" x14ac:dyDescent="0.25">
      <c r="A564" s="170">
        <v>42832</v>
      </c>
      <c r="B564" s="116">
        <v>290</v>
      </c>
      <c r="C564" s="116">
        <v>283.85000000000002</v>
      </c>
      <c r="D564" s="116">
        <v>283</v>
      </c>
      <c r="E564" s="116">
        <v>290</v>
      </c>
      <c r="F564" s="116">
        <v>283.85000000000002</v>
      </c>
      <c r="G564">
        <v>208250</v>
      </c>
      <c r="H564" s="116"/>
      <c r="I564" s="116"/>
      <c r="L564" s="170">
        <v>42832</v>
      </c>
      <c r="M564" s="116">
        <v>283.95</v>
      </c>
      <c r="N564" s="116">
        <v>288.89999999999998</v>
      </c>
      <c r="O564" s="116">
        <v>283</v>
      </c>
      <c r="P564" s="116">
        <v>288</v>
      </c>
      <c r="Q564" s="116">
        <v>283.95</v>
      </c>
      <c r="R564">
        <v>1783334</v>
      </c>
    </row>
    <row r="565" spans="1:18" x14ac:dyDescent="0.25">
      <c r="A565" s="170">
        <v>42835</v>
      </c>
      <c r="B565" s="116">
        <v>288.89999999999998</v>
      </c>
      <c r="C565" s="116">
        <v>286.95</v>
      </c>
      <c r="D565" s="116">
        <v>281.8</v>
      </c>
      <c r="E565" s="116">
        <v>281.8</v>
      </c>
      <c r="F565" s="116">
        <v>286.95</v>
      </c>
      <c r="G565">
        <v>141055</v>
      </c>
      <c r="H565" s="116"/>
      <c r="I565" s="116"/>
      <c r="L565" s="170">
        <v>42835</v>
      </c>
      <c r="M565" s="116">
        <v>286.89999999999998</v>
      </c>
      <c r="N565" s="116">
        <v>289</v>
      </c>
      <c r="O565" s="116">
        <v>282.75</v>
      </c>
      <c r="P565" s="116">
        <v>283.95</v>
      </c>
      <c r="Q565" s="116">
        <v>286.89999999999998</v>
      </c>
      <c r="R565">
        <v>1214230</v>
      </c>
    </row>
    <row r="566" spans="1:18" x14ac:dyDescent="0.25">
      <c r="A566" s="170">
        <v>42836</v>
      </c>
      <c r="B566" s="116">
        <v>287.8</v>
      </c>
      <c r="C566" s="116">
        <v>283.95</v>
      </c>
      <c r="D566" s="116">
        <v>283</v>
      </c>
      <c r="E566" s="116">
        <v>287.8</v>
      </c>
      <c r="F566" s="116">
        <v>283.95</v>
      </c>
      <c r="G566">
        <v>127863</v>
      </c>
      <c r="H566" s="116"/>
      <c r="I566" s="116"/>
      <c r="L566" s="170">
        <v>42836</v>
      </c>
      <c r="M566" s="116">
        <v>284.45</v>
      </c>
      <c r="N566" s="116">
        <v>286.89999999999998</v>
      </c>
      <c r="O566" s="116">
        <v>283.14999999999998</v>
      </c>
      <c r="P566" s="116">
        <v>286.89999999999998</v>
      </c>
      <c r="Q566" s="116">
        <v>284.45</v>
      </c>
      <c r="R566">
        <v>1039790</v>
      </c>
    </row>
    <row r="567" spans="1:18" x14ac:dyDescent="0.25">
      <c r="A567" s="170">
        <v>42837</v>
      </c>
      <c r="B567" s="116">
        <v>286.89999999999998</v>
      </c>
      <c r="C567" s="116">
        <v>281.75</v>
      </c>
      <c r="D567" s="116">
        <v>280.14999999999998</v>
      </c>
      <c r="E567" s="116">
        <v>285.3</v>
      </c>
      <c r="F567" s="116">
        <v>281.75</v>
      </c>
      <c r="G567">
        <v>414727</v>
      </c>
      <c r="H567" s="116"/>
      <c r="I567" s="116"/>
      <c r="L567" s="170">
        <v>42837</v>
      </c>
      <c r="M567" s="116">
        <v>281.95</v>
      </c>
      <c r="N567" s="116">
        <v>287.14999999999998</v>
      </c>
      <c r="O567" s="116">
        <v>280.2</v>
      </c>
      <c r="P567" s="116">
        <v>286</v>
      </c>
      <c r="Q567" s="116">
        <v>281.95</v>
      </c>
      <c r="R567">
        <v>1591568</v>
      </c>
    </row>
    <row r="568" spans="1:18" x14ac:dyDescent="0.25">
      <c r="A568" s="170">
        <v>42838</v>
      </c>
      <c r="B568" s="116">
        <v>283.89999999999998</v>
      </c>
      <c r="C568" s="116">
        <v>280.95</v>
      </c>
      <c r="D568" s="116">
        <v>278.5</v>
      </c>
      <c r="E568" s="116">
        <v>283.89999999999998</v>
      </c>
      <c r="F568" s="116">
        <v>280.95</v>
      </c>
      <c r="G568">
        <v>123381</v>
      </c>
      <c r="H568" s="116"/>
      <c r="I568" s="116"/>
      <c r="L568" s="170">
        <v>42838</v>
      </c>
      <c r="M568" s="116">
        <v>281.5</v>
      </c>
      <c r="N568" s="116">
        <v>283.55</v>
      </c>
      <c r="O568" s="116">
        <v>278.5</v>
      </c>
      <c r="P568" s="116">
        <v>283</v>
      </c>
      <c r="Q568" s="116">
        <v>281.5</v>
      </c>
      <c r="R568">
        <v>1237280</v>
      </c>
    </row>
    <row r="569" spans="1:18" x14ac:dyDescent="0.25">
      <c r="A569" s="170">
        <v>42842</v>
      </c>
      <c r="B569" s="116">
        <v>284</v>
      </c>
      <c r="C569" s="116">
        <v>278.45</v>
      </c>
      <c r="D569" s="116">
        <v>277.39999999999998</v>
      </c>
      <c r="E569" s="116">
        <v>282.14999999999998</v>
      </c>
      <c r="F569" s="116">
        <v>278.45</v>
      </c>
      <c r="G569">
        <v>116871</v>
      </c>
      <c r="H569" s="116"/>
      <c r="I569" s="116"/>
      <c r="L569" s="170">
        <v>42842</v>
      </c>
      <c r="M569" s="116">
        <v>277.89999999999998</v>
      </c>
      <c r="N569" s="116">
        <v>284.55</v>
      </c>
      <c r="O569" s="116">
        <v>277.25</v>
      </c>
      <c r="P569" s="116">
        <v>282</v>
      </c>
      <c r="Q569" s="116">
        <v>277.89999999999998</v>
      </c>
      <c r="R569">
        <v>1149276</v>
      </c>
    </row>
    <row r="570" spans="1:18" x14ac:dyDescent="0.25">
      <c r="A570" s="170">
        <v>42843</v>
      </c>
      <c r="B570" s="116">
        <v>282.5</v>
      </c>
      <c r="C570" s="116">
        <v>273.25</v>
      </c>
      <c r="D570" s="116">
        <v>270.05</v>
      </c>
      <c r="E570" s="116">
        <v>279.05</v>
      </c>
      <c r="F570" s="116">
        <v>273.25</v>
      </c>
      <c r="G570">
        <v>282289</v>
      </c>
      <c r="H570" s="116"/>
      <c r="I570" s="116"/>
      <c r="L570" s="170">
        <v>42843</v>
      </c>
      <c r="M570" s="116">
        <v>272.89999999999998</v>
      </c>
      <c r="N570" s="116">
        <v>282.75</v>
      </c>
      <c r="O570" s="116">
        <v>270.60000000000002</v>
      </c>
      <c r="P570" s="116">
        <v>279.89999999999998</v>
      </c>
      <c r="Q570" s="116">
        <v>272.89999999999998</v>
      </c>
      <c r="R570">
        <v>2763659</v>
      </c>
    </row>
    <row r="571" spans="1:18" x14ac:dyDescent="0.25">
      <c r="A571" s="170">
        <v>42844</v>
      </c>
      <c r="B571" s="116">
        <v>273.89999999999998</v>
      </c>
      <c r="C571" s="116">
        <v>271.25</v>
      </c>
      <c r="D571" s="116">
        <v>266.3</v>
      </c>
      <c r="E571" s="116">
        <v>273.89999999999998</v>
      </c>
      <c r="F571" s="116">
        <v>271.25</v>
      </c>
      <c r="G571">
        <v>228582</v>
      </c>
      <c r="H571" s="116"/>
      <c r="I571" s="116"/>
      <c r="L571" s="170">
        <v>42844</v>
      </c>
      <c r="M571" s="116">
        <v>271.05</v>
      </c>
      <c r="N571" s="116">
        <v>273.60000000000002</v>
      </c>
      <c r="O571" s="116">
        <v>266.7</v>
      </c>
      <c r="P571" s="116">
        <v>271.35000000000002</v>
      </c>
      <c r="Q571" s="116">
        <v>271.05</v>
      </c>
      <c r="R571">
        <v>2668570</v>
      </c>
    </row>
    <row r="572" spans="1:18" x14ac:dyDescent="0.25">
      <c r="A572" s="170">
        <v>42845</v>
      </c>
      <c r="B572" s="116">
        <v>285.89999999999998</v>
      </c>
      <c r="C572" s="116">
        <v>282.89999999999998</v>
      </c>
      <c r="D572" s="116">
        <v>273.45</v>
      </c>
      <c r="E572" s="116">
        <v>275.8</v>
      </c>
      <c r="F572" s="116">
        <v>282.89999999999998</v>
      </c>
      <c r="G572">
        <v>453185</v>
      </c>
      <c r="H572" s="116"/>
      <c r="I572" s="116"/>
      <c r="L572" s="170">
        <v>42845</v>
      </c>
      <c r="M572" s="116">
        <v>282.35000000000002</v>
      </c>
      <c r="N572" s="116">
        <v>285.89999999999998</v>
      </c>
      <c r="O572" s="116">
        <v>273.25</v>
      </c>
      <c r="P572" s="116">
        <v>275</v>
      </c>
      <c r="Q572" s="116">
        <v>282.35000000000002</v>
      </c>
      <c r="R572">
        <v>4259852</v>
      </c>
    </row>
    <row r="573" spans="1:18" x14ac:dyDescent="0.25">
      <c r="A573" s="170">
        <v>42846</v>
      </c>
      <c r="B573" s="116">
        <v>289</v>
      </c>
      <c r="C573" s="116">
        <v>273.45</v>
      </c>
      <c r="D573" s="116">
        <v>271.5</v>
      </c>
      <c r="E573" s="116">
        <v>288.5</v>
      </c>
      <c r="F573" s="116">
        <v>273.45</v>
      </c>
      <c r="G573">
        <v>767540</v>
      </c>
      <c r="H573" s="116"/>
      <c r="I573" s="116"/>
      <c r="L573" s="170">
        <v>42846</v>
      </c>
      <c r="M573" s="116">
        <v>272.8</v>
      </c>
      <c r="N573" s="116">
        <v>288</v>
      </c>
      <c r="O573" s="116">
        <v>270.8</v>
      </c>
      <c r="P573" s="116">
        <v>288</v>
      </c>
      <c r="Q573" s="116">
        <v>272.8</v>
      </c>
      <c r="R573">
        <v>6163345</v>
      </c>
    </row>
    <row r="574" spans="1:18" x14ac:dyDescent="0.25">
      <c r="A574" s="170">
        <v>42849</v>
      </c>
      <c r="B574" s="116">
        <v>275.60000000000002</v>
      </c>
      <c r="C574" s="116">
        <v>275.2</v>
      </c>
      <c r="D574" s="116">
        <v>270</v>
      </c>
      <c r="E574" s="116">
        <v>275</v>
      </c>
      <c r="F574" s="116">
        <v>275.2</v>
      </c>
      <c r="G574">
        <v>183208</v>
      </c>
      <c r="H574" s="116"/>
      <c r="I574" s="116"/>
      <c r="L574" s="170">
        <v>42849</v>
      </c>
      <c r="M574" s="116">
        <v>275.25</v>
      </c>
      <c r="N574" s="116">
        <v>275.89999999999998</v>
      </c>
      <c r="O574" s="116">
        <v>269.60000000000002</v>
      </c>
      <c r="P574" s="116">
        <v>275</v>
      </c>
      <c r="Q574" s="116">
        <v>275.25</v>
      </c>
      <c r="R574">
        <v>2162818</v>
      </c>
    </row>
    <row r="575" spans="1:18" x14ac:dyDescent="0.25">
      <c r="A575" s="170">
        <v>42850</v>
      </c>
      <c r="B575" s="116">
        <v>276</v>
      </c>
      <c r="C575" s="116">
        <v>272.55</v>
      </c>
      <c r="D575" s="116">
        <v>270.64999999999998</v>
      </c>
      <c r="E575" s="116">
        <v>276</v>
      </c>
      <c r="F575" s="116">
        <v>272.55</v>
      </c>
      <c r="G575">
        <v>200775</v>
      </c>
      <c r="H575" s="116"/>
      <c r="I575" s="116"/>
      <c r="L575" s="170">
        <v>42850</v>
      </c>
      <c r="M575" s="116">
        <v>272.64999999999998</v>
      </c>
      <c r="N575" s="116">
        <v>276</v>
      </c>
      <c r="O575" s="116">
        <v>270.35000000000002</v>
      </c>
      <c r="P575" s="116">
        <v>275.35000000000002</v>
      </c>
      <c r="Q575" s="116">
        <v>272.64999999999998</v>
      </c>
      <c r="R575">
        <v>2474875</v>
      </c>
    </row>
    <row r="576" spans="1:18" x14ac:dyDescent="0.25">
      <c r="A576" s="170">
        <v>42851</v>
      </c>
      <c r="B576" s="116">
        <v>276.89999999999998</v>
      </c>
      <c r="C576" s="116">
        <v>272.95</v>
      </c>
      <c r="D576" s="116">
        <v>271.55</v>
      </c>
      <c r="E576" s="116">
        <v>273.2</v>
      </c>
      <c r="F576" s="116">
        <v>272.95</v>
      </c>
      <c r="G576">
        <v>191246</v>
      </c>
      <c r="H576" s="116"/>
      <c r="I576" s="116"/>
      <c r="L576" s="170">
        <v>42851</v>
      </c>
      <c r="M576" s="116">
        <v>272.35000000000002</v>
      </c>
      <c r="N576" s="116">
        <v>277.2</v>
      </c>
      <c r="O576" s="116">
        <v>271.39999999999998</v>
      </c>
      <c r="P576" s="116">
        <v>273.3</v>
      </c>
      <c r="Q576" s="116">
        <v>272.35000000000002</v>
      </c>
      <c r="R576">
        <v>2270991</v>
      </c>
    </row>
    <row r="577" spans="1:18" x14ac:dyDescent="0.25">
      <c r="A577" s="170">
        <v>42852</v>
      </c>
      <c r="B577" s="116">
        <v>273.55</v>
      </c>
      <c r="C577" s="116">
        <v>266.85000000000002</v>
      </c>
      <c r="D577" s="116">
        <v>266.10000000000002</v>
      </c>
      <c r="E577" s="116">
        <v>273</v>
      </c>
      <c r="F577" s="116">
        <v>266.85000000000002</v>
      </c>
      <c r="G577">
        <v>172833</v>
      </c>
      <c r="H577" s="116"/>
      <c r="I577" s="116"/>
      <c r="L577" s="170">
        <v>42852</v>
      </c>
      <c r="M577" s="116">
        <v>266.5</v>
      </c>
      <c r="N577" s="116">
        <v>273.89999999999998</v>
      </c>
      <c r="O577" s="116">
        <v>265.5</v>
      </c>
      <c r="P577" s="116">
        <v>271.8</v>
      </c>
      <c r="Q577" s="116">
        <v>266.5</v>
      </c>
      <c r="R577">
        <v>2847518</v>
      </c>
    </row>
    <row r="578" spans="1:18" x14ac:dyDescent="0.25">
      <c r="A578" s="170">
        <v>42853</v>
      </c>
      <c r="B578" s="116">
        <v>271.89999999999998</v>
      </c>
      <c r="C578" s="116">
        <v>268.85000000000002</v>
      </c>
      <c r="D578" s="116">
        <v>266.10000000000002</v>
      </c>
      <c r="E578" s="116">
        <v>267.3</v>
      </c>
      <c r="F578" s="116">
        <v>268.85000000000002</v>
      </c>
      <c r="G578">
        <v>226793</v>
      </c>
      <c r="H578" s="116"/>
      <c r="I578" s="116"/>
      <c r="L578" s="170">
        <v>42853</v>
      </c>
      <c r="M578" s="116">
        <v>267.95</v>
      </c>
      <c r="N578" s="116">
        <v>271.8</v>
      </c>
      <c r="O578" s="116">
        <v>265.7</v>
      </c>
      <c r="P578" s="116">
        <v>267.39999999999998</v>
      </c>
      <c r="Q578" s="116">
        <v>267.95</v>
      </c>
      <c r="R578">
        <v>2965118</v>
      </c>
    </row>
    <row r="579" spans="1:18" x14ac:dyDescent="0.25">
      <c r="A579" s="170">
        <v>42857</v>
      </c>
      <c r="B579" s="116">
        <v>271.7</v>
      </c>
      <c r="C579" s="116">
        <v>268.5</v>
      </c>
      <c r="D579" s="116">
        <v>268.05</v>
      </c>
      <c r="E579" s="116">
        <v>270</v>
      </c>
      <c r="F579" s="116">
        <v>268.5</v>
      </c>
      <c r="G579">
        <v>95022</v>
      </c>
      <c r="H579" s="116"/>
      <c r="I579" s="116"/>
      <c r="L579" s="170">
        <v>42857</v>
      </c>
      <c r="M579" s="116">
        <v>268.8</v>
      </c>
      <c r="N579" s="116">
        <v>271.75</v>
      </c>
      <c r="O579" s="116">
        <v>268</v>
      </c>
      <c r="P579" s="116">
        <v>268.89999999999998</v>
      </c>
      <c r="Q579" s="116">
        <v>268.8</v>
      </c>
      <c r="R579">
        <v>1475556</v>
      </c>
    </row>
    <row r="580" spans="1:18" x14ac:dyDescent="0.25">
      <c r="A580" s="170">
        <v>42858</v>
      </c>
      <c r="B580" s="116">
        <v>270</v>
      </c>
      <c r="C580" s="116">
        <v>264.85000000000002</v>
      </c>
      <c r="D580" s="116">
        <v>262.5</v>
      </c>
      <c r="E580" s="116">
        <v>269.89999999999998</v>
      </c>
      <c r="F580" s="116">
        <v>264.85000000000002</v>
      </c>
      <c r="G580">
        <v>146128</v>
      </c>
      <c r="H580" s="116"/>
      <c r="I580" s="116"/>
      <c r="L580" s="170">
        <v>42858</v>
      </c>
      <c r="M580" s="116">
        <v>264.8</v>
      </c>
      <c r="N580" s="116">
        <v>270.35000000000002</v>
      </c>
      <c r="O580" s="116">
        <v>262.5</v>
      </c>
      <c r="P580" s="116">
        <v>269</v>
      </c>
      <c r="Q580" s="116">
        <v>264.8</v>
      </c>
      <c r="R580">
        <v>1416611</v>
      </c>
    </row>
    <row r="581" spans="1:18" x14ac:dyDescent="0.25">
      <c r="A581" s="170">
        <v>42859</v>
      </c>
      <c r="B581" s="116">
        <v>265.8</v>
      </c>
      <c r="C581" s="116">
        <v>260.89999999999998</v>
      </c>
      <c r="D581" s="116">
        <v>260.3</v>
      </c>
      <c r="E581" s="116">
        <v>265.39999999999998</v>
      </c>
      <c r="F581" s="116">
        <v>260.89999999999998</v>
      </c>
      <c r="G581">
        <v>243411</v>
      </c>
      <c r="H581" s="116"/>
      <c r="I581" s="116"/>
      <c r="L581" s="170">
        <v>42859</v>
      </c>
      <c r="M581" s="116">
        <v>260.75</v>
      </c>
      <c r="N581" s="116">
        <v>265.60000000000002</v>
      </c>
      <c r="O581" s="116">
        <v>260</v>
      </c>
      <c r="P581" s="116">
        <v>265.5</v>
      </c>
      <c r="Q581" s="116">
        <v>260.75</v>
      </c>
      <c r="R581">
        <v>1704519</v>
      </c>
    </row>
    <row r="582" spans="1:18" x14ac:dyDescent="0.25">
      <c r="A582" s="170">
        <v>42860</v>
      </c>
      <c r="B582" s="116">
        <v>258</v>
      </c>
      <c r="C582" s="116">
        <v>250.7</v>
      </c>
      <c r="D582" s="116">
        <v>249.45</v>
      </c>
      <c r="E582" s="116">
        <v>258</v>
      </c>
      <c r="F582" s="116">
        <v>250.7</v>
      </c>
      <c r="G582">
        <v>403056</v>
      </c>
      <c r="H582" s="116"/>
      <c r="I582" s="116"/>
      <c r="L582" s="170">
        <v>42860</v>
      </c>
      <c r="M582" s="116">
        <v>250.35</v>
      </c>
      <c r="N582" s="116">
        <v>258</v>
      </c>
      <c r="O582" s="116">
        <v>249.1</v>
      </c>
      <c r="P582" s="116">
        <v>254</v>
      </c>
      <c r="Q582" s="116">
        <v>250.35</v>
      </c>
      <c r="R582">
        <v>3785011</v>
      </c>
    </row>
    <row r="583" spans="1:18" x14ac:dyDescent="0.25">
      <c r="A583" s="170">
        <v>42863</v>
      </c>
      <c r="B583" s="116">
        <v>252.1</v>
      </c>
      <c r="C583" s="116">
        <v>247.85</v>
      </c>
      <c r="D583" s="116">
        <v>245.35</v>
      </c>
      <c r="E583" s="116">
        <v>252</v>
      </c>
      <c r="F583" s="116">
        <v>247.85</v>
      </c>
      <c r="G583">
        <v>248150</v>
      </c>
      <c r="H583" s="116"/>
      <c r="I583" s="116"/>
      <c r="L583" s="170">
        <v>42863</v>
      </c>
      <c r="M583" s="116">
        <v>247.9</v>
      </c>
      <c r="N583" s="116">
        <v>251</v>
      </c>
      <c r="O583" s="116">
        <v>245.25</v>
      </c>
      <c r="P583" s="116">
        <v>250.2</v>
      </c>
      <c r="Q583" s="116">
        <v>247.9</v>
      </c>
      <c r="R583">
        <v>2915337</v>
      </c>
    </row>
    <row r="584" spans="1:18" x14ac:dyDescent="0.25">
      <c r="A584" s="170">
        <v>42864</v>
      </c>
      <c r="B584" s="116">
        <v>256.10000000000002</v>
      </c>
      <c r="C584" s="116">
        <v>254.05</v>
      </c>
      <c r="D584" s="116">
        <v>246.95</v>
      </c>
      <c r="E584" s="116">
        <v>248</v>
      </c>
      <c r="F584" s="116">
        <v>254.05</v>
      </c>
      <c r="G584">
        <v>233805</v>
      </c>
      <c r="H584" s="116"/>
      <c r="I584" s="116"/>
      <c r="L584" s="170">
        <v>42864</v>
      </c>
      <c r="M584" s="116">
        <v>254</v>
      </c>
      <c r="N584" s="116">
        <v>256.39999999999998</v>
      </c>
      <c r="O584" s="116">
        <v>247.2</v>
      </c>
      <c r="P584" s="116">
        <v>247.85</v>
      </c>
      <c r="Q584" s="116">
        <v>254</v>
      </c>
      <c r="R584">
        <v>2284930</v>
      </c>
    </row>
    <row r="585" spans="1:18" x14ac:dyDescent="0.25">
      <c r="A585" s="170">
        <v>42865</v>
      </c>
      <c r="B585" s="116">
        <v>257</v>
      </c>
      <c r="C585" s="116">
        <v>255.25</v>
      </c>
      <c r="D585" s="116">
        <v>252.65</v>
      </c>
      <c r="E585" s="116">
        <v>256.89999999999998</v>
      </c>
      <c r="F585" s="116">
        <v>255.25</v>
      </c>
      <c r="G585">
        <v>131767</v>
      </c>
      <c r="H585" s="116"/>
      <c r="I585" s="116"/>
      <c r="L585" s="170">
        <v>42865</v>
      </c>
      <c r="M585" s="116">
        <v>254.7</v>
      </c>
      <c r="N585" s="116">
        <v>256.89999999999998</v>
      </c>
      <c r="O585" s="116">
        <v>252.4</v>
      </c>
      <c r="P585" s="116">
        <v>256.7</v>
      </c>
      <c r="Q585" s="116">
        <v>254.7</v>
      </c>
      <c r="R585">
        <v>1105607</v>
      </c>
    </row>
    <row r="586" spans="1:18" x14ac:dyDescent="0.25">
      <c r="A586" s="170">
        <v>42866</v>
      </c>
      <c r="B586" s="116">
        <v>261.89999999999998</v>
      </c>
      <c r="C586" s="116">
        <v>259</v>
      </c>
      <c r="D586" s="116">
        <v>254.85</v>
      </c>
      <c r="E586" s="116">
        <v>256.95</v>
      </c>
      <c r="F586" s="116">
        <v>259</v>
      </c>
      <c r="G586">
        <v>286501</v>
      </c>
      <c r="H586" s="116"/>
      <c r="I586" s="116"/>
      <c r="L586" s="170">
        <v>42866</v>
      </c>
      <c r="M586" s="116">
        <v>259.2</v>
      </c>
      <c r="N586" s="116">
        <v>261.8</v>
      </c>
      <c r="O586" s="116">
        <v>254.5</v>
      </c>
      <c r="P586" s="116">
        <v>254.5</v>
      </c>
      <c r="Q586" s="116">
        <v>259.2</v>
      </c>
      <c r="R586">
        <v>3581689</v>
      </c>
    </row>
    <row r="587" spans="1:18" x14ac:dyDescent="0.25">
      <c r="A587" s="170">
        <v>42867</v>
      </c>
      <c r="B587" s="116">
        <v>260</v>
      </c>
      <c r="C587" s="116">
        <v>254.9</v>
      </c>
      <c r="D587" s="116">
        <v>253.6</v>
      </c>
      <c r="E587" s="116">
        <v>260</v>
      </c>
      <c r="F587" s="116">
        <v>254.9</v>
      </c>
      <c r="G587">
        <v>144071</v>
      </c>
      <c r="H587" s="116"/>
      <c r="I587" s="116"/>
      <c r="L587" s="170">
        <v>42867</v>
      </c>
      <c r="M587" s="116">
        <v>254.35</v>
      </c>
      <c r="N587" s="116">
        <v>260.5</v>
      </c>
      <c r="O587" s="116">
        <v>253.35</v>
      </c>
      <c r="P587" s="116">
        <v>260</v>
      </c>
      <c r="Q587" s="116">
        <v>254.35</v>
      </c>
      <c r="R587">
        <v>1806831</v>
      </c>
    </row>
    <row r="588" spans="1:18" x14ac:dyDescent="0.25">
      <c r="A588" s="170">
        <v>42870</v>
      </c>
      <c r="B588" s="116">
        <v>257.89999999999998</v>
      </c>
      <c r="C588" s="116">
        <v>256.64999999999998</v>
      </c>
      <c r="D588" s="116">
        <v>252.5</v>
      </c>
      <c r="E588" s="116">
        <v>256</v>
      </c>
      <c r="F588" s="116">
        <v>256.64999999999998</v>
      </c>
      <c r="G588">
        <v>97048</v>
      </c>
      <c r="H588" s="116"/>
      <c r="I588" s="116"/>
      <c r="L588" s="170">
        <v>42870</v>
      </c>
      <c r="M588" s="116">
        <v>256.7</v>
      </c>
      <c r="N588" s="116">
        <v>257.75</v>
      </c>
      <c r="O588" s="116">
        <v>253.05</v>
      </c>
      <c r="P588" s="116">
        <v>255</v>
      </c>
      <c r="Q588" s="116">
        <v>256.7</v>
      </c>
      <c r="R588">
        <v>1456796</v>
      </c>
    </row>
    <row r="589" spans="1:18" x14ac:dyDescent="0.25">
      <c r="A589" s="170">
        <v>42871</v>
      </c>
      <c r="B589" s="116">
        <v>258.95</v>
      </c>
      <c r="C589" s="116">
        <v>251.8</v>
      </c>
      <c r="D589" s="116">
        <v>250.5</v>
      </c>
      <c r="E589" s="116">
        <v>258.95</v>
      </c>
      <c r="F589" s="116">
        <v>251.8</v>
      </c>
      <c r="G589">
        <v>192255</v>
      </c>
      <c r="H589" s="116"/>
      <c r="I589" s="116"/>
      <c r="L589" s="170">
        <v>42871</v>
      </c>
      <c r="M589" s="116">
        <v>251.35</v>
      </c>
      <c r="N589" s="116">
        <v>258.95</v>
      </c>
      <c r="O589" s="116">
        <v>249.8</v>
      </c>
      <c r="P589" s="116">
        <v>258.95</v>
      </c>
      <c r="Q589" s="116">
        <v>251.35</v>
      </c>
      <c r="R589">
        <v>2851500</v>
      </c>
    </row>
    <row r="590" spans="1:18" x14ac:dyDescent="0.25">
      <c r="A590" s="170">
        <v>42872</v>
      </c>
      <c r="B590" s="116">
        <v>254.9</v>
      </c>
      <c r="C590" s="116">
        <v>252.2</v>
      </c>
      <c r="D590" s="116">
        <v>249.15</v>
      </c>
      <c r="E590" s="116">
        <v>251.5</v>
      </c>
      <c r="F590" s="116">
        <v>252.2</v>
      </c>
      <c r="G590">
        <v>2047564</v>
      </c>
      <c r="H590" s="116"/>
      <c r="I590" s="116"/>
      <c r="L590" s="170">
        <v>42872</v>
      </c>
      <c r="M590" s="116">
        <v>252.05</v>
      </c>
      <c r="N590" s="116">
        <v>255.1</v>
      </c>
      <c r="O590" s="116">
        <v>249.55</v>
      </c>
      <c r="P590" s="116">
        <v>251</v>
      </c>
      <c r="Q590" s="116">
        <v>252.05</v>
      </c>
      <c r="R590">
        <v>3710056</v>
      </c>
    </row>
    <row r="591" spans="1:18" x14ac:dyDescent="0.25">
      <c r="A591" s="170">
        <v>42873</v>
      </c>
      <c r="B591" s="116">
        <v>251.1</v>
      </c>
      <c r="C591" s="116">
        <v>245.3</v>
      </c>
      <c r="D591" s="116">
        <v>243.4</v>
      </c>
      <c r="E591" s="116">
        <v>250.5</v>
      </c>
      <c r="F591" s="116">
        <v>245.3</v>
      </c>
      <c r="G591">
        <v>701252</v>
      </c>
      <c r="H591" s="116"/>
      <c r="I591" s="116"/>
      <c r="L591" s="170">
        <v>42873</v>
      </c>
      <c r="M591" s="116">
        <v>244.6</v>
      </c>
      <c r="N591" s="116">
        <v>250.8</v>
      </c>
      <c r="O591" s="116">
        <v>243.4</v>
      </c>
      <c r="P591" s="116">
        <v>250</v>
      </c>
      <c r="Q591" s="116">
        <v>244.6</v>
      </c>
      <c r="R591">
        <v>2966914</v>
      </c>
    </row>
    <row r="592" spans="1:18" x14ac:dyDescent="0.25">
      <c r="A592" s="170">
        <v>42874</v>
      </c>
      <c r="B592" s="116">
        <v>248.95</v>
      </c>
      <c r="C592" s="116">
        <v>246.05</v>
      </c>
      <c r="D592" s="116">
        <v>243.85</v>
      </c>
      <c r="E592" s="116">
        <v>245.6</v>
      </c>
      <c r="F592" s="116">
        <v>246.05</v>
      </c>
      <c r="G592">
        <v>146000</v>
      </c>
      <c r="H592" s="116"/>
      <c r="I592" s="116"/>
      <c r="L592" s="170">
        <v>42874</v>
      </c>
      <c r="M592" s="116">
        <v>246.05</v>
      </c>
      <c r="N592" s="116">
        <v>249.2</v>
      </c>
      <c r="O592" s="116">
        <v>243.5</v>
      </c>
      <c r="P592" s="116">
        <v>245.55</v>
      </c>
      <c r="Q592" s="116">
        <v>246.05</v>
      </c>
      <c r="R592">
        <v>1596209</v>
      </c>
    </row>
    <row r="593" spans="1:18" x14ac:dyDescent="0.25">
      <c r="A593" s="170">
        <v>42877</v>
      </c>
      <c r="B593" s="116">
        <v>250.2</v>
      </c>
      <c r="C593" s="116">
        <v>247.25</v>
      </c>
      <c r="D593" s="116">
        <v>246.75</v>
      </c>
      <c r="E593" s="116">
        <v>247.7</v>
      </c>
      <c r="F593" s="116">
        <v>247.25</v>
      </c>
      <c r="G593">
        <v>104604</v>
      </c>
      <c r="H593" s="116"/>
      <c r="I593" s="116"/>
      <c r="L593" s="170">
        <v>42877</v>
      </c>
      <c r="M593" s="116">
        <v>247.9</v>
      </c>
      <c r="N593" s="116">
        <v>250.2</v>
      </c>
      <c r="O593" s="116">
        <v>247.05</v>
      </c>
      <c r="P593" s="116">
        <v>249.4</v>
      </c>
      <c r="Q593" s="116">
        <v>247.9</v>
      </c>
      <c r="R593">
        <v>1125794</v>
      </c>
    </row>
    <row r="594" spans="1:18" x14ac:dyDescent="0.25">
      <c r="A594" s="170">
        <v>42878</v>
      </c>
      <c r="B594" s="116">
        <v>248.35</v>
      </c>
      <c r="C594" s="116">
        <v>240.45</v>
      </c>
      <c r="D594" s="116">
        <v>237.5</v>
      </c>
      <c r="E594" s="116">
        <v>247.4</v>
      </c>
      <c r="F594" s="116">
        <v>240.45</v>
      </c>
      <c r="G594">
        <v>172707</v>
      </c>
      <c r="H594" s="116"/>
      <c r="I594" s="116"/>
      <c r="L594" s="170">
        <v>42878</v>
      </c>
      <c r="M594" s="116">
        <v>240</v>
      </c>
      <c r="N594" s="116">
        <v>247.9</v>
      </c>
      <c r="O594" s="116">
        <v>237.1</v>
      </c>
      <c r="P594" s="116">
        <v>247.9</v>
      </c>
      <c r="Q594" s="116">
        <v>240</v>
      </c>
      <c r="R594">
        <v>2516730</v>
      </c>
    </row>
    <row r="595" spans="1:18" x14ac:dyDescent="0.25">
      <c r="A595" s="170">
        <v>42879</v>
      </c>
      <c r="B595" s="116">
        <v>243.45</v>
      </c>
      <c r="C595" s="116">
        <v>232</v>
      </c>
      <c r="D595" s="116">
        <v>230.6</v>
      </c>
      <c r="E595" s="116">
        <v>242.1</v>
      </c>
      <c r="F595" s="116">
        <v>232</v>
      </c>
      <c r="G595">
        <v>242243</v>
      </c>
      <c r="H595" s="116"/>
      <c r="I595" s="116"/>
      <c r="L595" s="170">
        <v>42879</v>
      </c>
      <c r="M595" s="116">
        <v>231.85</v>
      </c>
      <c r="N595" s="116">
        <v>243.8</v>
      </c>
      <c r="O595" s="116">
        <v>230.15</v>
      </c>
      <c r="P595" s="116">
        <v>243.8</v>
      </c>
      <c r="Q595" s="116">
        <v>231.85</v>
      </c>
      <c r="R595">
        <v>2037521</v>
      </c>
    </row>
    <row r="596" spans="1:18" x14ac:dyDescent="0.25">
      <c r="A596" s="170">
        <v>42880</v>
      </c>
      <c r="B596" s="116">
        <v>236.9</v>
      </c>
      <c r="C596" s="116">
        <v>234.6</v>
      </c>
      <c r="D596" s="116">
        <v>226.75</v>
      </c>
      <c r="E596" s="116">
        <v>232.9</v>
      </c>
      <c r="F596" s="116">
        <v>234.6</v>
      </c>
      <c r="G596">
        <v>247072</v>
      </c>
      <c r="H596" s="116"/>
      <c r="I596" s="116"/>
      <c r="L596" s="170">
        <v>42880</v>
      </c>
      <c r="M596" s="116">
        <v>234.2</v>
      </c>
      <c r="N596" s="116">
        <v>236.9</v>
      </c>
      <c r="O596" s="116">
        <v>226.85</v>
      </c>
      <c r="P596" s="116">
        <v>233.1</v>
      </c>
      <c r="Q596" s="116">
        <v>234.2</v>
      </c>
      <c r="R596">
        <v>5271860</v>
      </c>
    </row>
    <row r="597" spans="1:18" x14ac:dyDescent="0.25">
      <c r="A597" s="170">
        <v>42881</v>
      </c>
      <c r="B597" s="116">
        <v>244</v>
      </c>
      <c r="C597" s="116">
        <v>241.55</v>
      </c>
      <c r="D597" s="116">
        <v>232.15</v>
      </c>
      <c r="E597" s="116">
        <v>235.4</v>
      </c>
      <c r="F597" s="116">
        <v>241.55</v>
      </c>
      <c r="G597">
        <v>293179</v>
      </c>
      <c r="H597" s="116"/>
      <c r="I597" s="116"/>
      <c r="L597" s="170">
        <v>42881</v>
      </c>
      <c r="M597" s="116">
        <v>241.55</v>
      </c>
      <c r="N597" s="116">
        <v>244.15</v>
      </c>
      <c r="O597" s="116">
        <v>232.5</v>
      </c>
      <c r="P597" s="116">
        <v>233.5</v>
      </c>
      <c r="Q597" s="116">
        <v>241.55</v>
      </c>
      <c r="R597">
        <v>4134938</v>
      </c>
    </row>
    <row r="598" spans="1:18" x14ac:dyDescent="0.25">
      <c r="A598" s="170">
        <v>42884</v>
      </c>
      <c r="B598" s="116">
        <v>245.1</v>
      </c>
      <c r="C598" s="116">
        <v>238.75</v>
      </c>
      <c r="D598" s="116">
        <v>238.15</v>
      </c>
      <c r="E598" s="116">
        <v>241.9</v>
      </c>
      <c r="F598" s="116">
        <v>238.75</v>
      </c>
      <c r="G598">
        <v>177966</v>
      </c>
      <c r="H598" s="116"/>
      <c r="I598" s="116"/>
      <c r="L598" s="170">
        <v>42884</v>
      </c>
      <c r="M598" s="116">
        <v>238.85</v>
      </c>
      <c r="N598" s="116">
        <v>244.9</v>
      </c>
      <c r="O598" s="116">
        <v>237.6</v>
      </c>
      <c r="P598" s="116">
        <v>241.8</v>
      </c>
      <c r="Q598" s="116">
        <v>238.85</v>
      </c>
      <c r="R598">
        <v>945526</v>
      </c>
    </row>
    <row r="599" spans="1:18" x14ac:dyDescent="0.25">
      <c r="A599" s="170">
        <v>42885</v>
      </c>
      <c r="B599" s="116">
        <v>244.2</v>
      </c>
      <c r="C599" s="116">
        <v>243.2</v>
      </c>
      <c r="D599" s="116">
        <v>235.65</v>
      </c>
      <c r="E599" s="116">
        <v>239</v>
      </c>
      <c r="F599" s="116">
        <v>243.2</v>
      </c>
      <c r="G599">
        <v>175757</v>
      </c>
      <c r="H599" s="116"/>
      <c r="I599" s="116"/>
      <c r="L599" s="170">
        <v>42885</v>
      </c>
      <c r="M599" s="116">
        <v>243.25</v>
      </c>
      <c r="N599" s="116">
        <v>244.35</v>
      </c>
      <c r="O599" s="116">
        <v>235.3</v>
      </c>
      <c r="P599" s="116">
        <v>237.3</v>
      </c>
      <c r="Q599" s="116">
        <v>243.25</v>
      </c>
      <c r="R599">
        <v>1982079</v>
      </c>
    </row>
    <row r="600" spans="1:18" x14ac:dyDescent="0.25">
      <c r="A600" s="170">
        <v>42886</v>
      </c>
      <c r="B600" s="116">
        <v>245.05</v>
      </c>
      <c r="C600" s="116">
        <v>240.1</v>
      </c>
      <c r="D600" s="116">
        <v>238.15</v>
      </c>
      <c r="E600" s="116">
        <v>243.75</v>
      </c>
      <c r="F600" s="116">
        <v>240.1</v>
      </c>
      <c r="G600">
        <v>197669</v>
      </c>
      <c r="H600" s="116"/>
      <c r="I600" s="116"/>
      <c r="L600" s="170">
        <v>42886</v>
      </c>
      <c r="M600" s="116">
        <v>240.35</v>
      </c>
      <c r="N600" s="116">
        <v>245.5</v>
      </c>
      <c r="O600" s="116">
        <v>238</v>
      </c>
      <c r="P600" s="116">
        <v>245</v>
      </c>
      <c r="Q600" s="116">
        <v>240.35</v>
      </c>
      <c r="R600">
        <v>2667719</v>
      </c>
    </row>
    <row r="601" spans="1:18" x14ac:dyDescent="0.25">
      <c r="A601" s="170">
        <v>42887</v>
      </c>
      <c r="B601" s="116">
        <v>240.9</v>
      </c>
      <c r="C601" s="116">
        <v>238.1</v>
      </c>
      <c r="D601" s="116">
        <v>237.1</v>
      </c>
      <c r="E601" s="116">
        <v>240.85</v>
      </c>
      <c r="F601" s="116">
        <v>238.1</v>
      </c>
      <c r="G601">
        <v>125446</v>
      </c>
      <c r="H601" s="116"/>
      <c r="I601" s="116"/>
      <c r="L601" s="170">
        <v>42887</v>
      </c>
      <c r="M601" s="116">
        <v>238.7</v>
      </c>
      <c r="N601" s="116">
        <v>241.3</v>
      </c>
      <c r="O601" s="116">
        <v>237.35</v>
      </c>
      <c r="P601" s="116">
        <v>240.55</v>
      </c>
      <c r="Q601" s="116">
        <v>238.7</v>
      </c>
      <c r="R601">
        <v>2329022</v>
      </c>
    </row>
    <row r="602" spans="1:18" x14ac:dyDescent="0.25">
      <c r="A602" s="170">
        <v>42888</v>
      </c>
      <c r="B602" s="116">
        <v>240.1</v>
      </c>
      <c r="C602" s="116">
        <v>237.7</v>
      </c>
      <c r="D602" s="116">
        <v>236.6</v>
      </c>
      <c r="E602" s="116">
        <v>238.5</v>
      </c>
      <c r="F602" s="116">
        <v>237.7</v>
      </c>
      <c r="G602">
        <v>137767</v>
      </c>
      <c r="H602" s="116"/>
      <c r="I602" s="116"/>
      <c r="L602" s="170">
        <v>42888</v>
      </c>
      <c r="M602" s="116">
        <v>238.05</v>
      </c>
      <c r="N602" s="116">
        <v>240.5</v>
      </c>
      <c r="O602" s="116">
        <v>236.7</v>
      </c>
      <c r="P602" s="116">
        <v>238.7</v>
      </c>
      <c r="Q602" s="116">
        <v>238.05</v>
      </c>
      <c r="R602">
        <v>2057575</v>
      </c>
    </row>
    <row r="603" spans="1:18" x14ac:dyDescent="0.25">
      <c r="A603" s="170">
        <v>42891</v>
      </c>
      <c r="B603" s="116">
        <v>238.4</v>
      </c>
      <c r="C603" s="116">
        <v>234.25</v>
      </c>
      <c r="D603" s="116">
        <v>232.4</v>
      </c>
      <c r="E603" s="116">
        <v>237.1</v>
      </c>
      <c r="F603" s="116">
        <v>234.25</v>
      </c>
      <c r="G603">
        <v>191008</v>
      </c>
      <c r="H603" s="116"/>
      <c r="I603" s="116"/>
      <c r="L603" s="170">
        <v>42891</v>
      </c>
      <c r="M603" s="116">
        <v>234.65</v>
      </c>
      <c r="N603" s="116">
        <v>238.5</v>
      </c>
      <c r="O603" s="116">
        <v>232.4</v>
      </c>
      <c r="P603" s="116">
        <v>238.05</v>
      </c>
      <c r="Q603" s="116">
        <v>234.65</v>
      </c>
      <c r="R603">
        <v>2256431</v>
      </c>
    </row>
    <row r="604" spans="1:18" x14ac:dyDescent="0.25">
      <c r="A604" s="170">
        <v>42892</v>
      </c>
      <c r="B604" s="116">
        <v>236.3</v>
      </c>
      <c r="C604" s="116">
        <v>232.5</v>
      </c>
      <c r="D604" s="116">
        <v>231</v>
      </c>
      <c r="E604" s="116">
        <v>234.25</v>
      </c>
      <c r="F604" s="116">
        <v>232.5</v>
      </c>
      <c r="G604">
        <v>116768</v>
      </c>
      <c r="H604" s="116"/>
      <c r="I604" s="116"/>
      <c r="L604" s="170">
        <v>42892</v>
      </c>
      <c r="M604" s="116">
        <v>231.95</v>
      </c>
      <c r="N604" s="116">
        <v>236.45</v>
      </c>
      <c r="O604" s="116">
        <v>230.6</v>
      </c>
      <c r="P604" s="116">
        <v>234.65</v>
      </c>
      <c r="Q604" s="116">
        <v>231.95</v>
      </c>
      <c r="R604">
        <v>1507624</v>
      </c>
    </row>
    <row r="605" spans="1:18" x14ac:dyDescent="0.25">
      <c r="A605" s="170">
        <v>42893</v>
      </c>
      <c r="B605" s="116">
        <v>233.85</v>
      </c>
      <c r="C605" s="116">
        <v>232.85</v>
      </c>
      <c r="D605" s="116">
        <v>230.75</v>
      </c>
      <c r="E605" s="116">
        <v>233.1</v>
      </c>
      <c r="F605" s="116">
        <v>232.85</v>
      </c>
      <c r="G605">
        <v>162651</v>
      </c>
      <c r="H605" s="116"/>
      <c r="I605" s="116"/>
      <c r="L605" s="170">
        <v>42893</v>
      </c>
      <c r="M605" s="116">
        <v>232.35</v>
      </c>
      <c r="N605" s="116">
        <v>234.25</v>
      </c>
      <c r="O605" s="116">
        <v>230.55</v>
      </c>
      <c r="P605" s="116">
        <v>232</v>
      </c>
      <c r="Q605" s="116">
        <v>232.35</v>
      </c>
      <c r="R605">
        <v>2622918</v>
      </c>
    </row>
    <row r="606" spans="1:18" x14ac:dyDescent="0.25">
      <c r="A606" s="170">
        <v>42894</v>
      </c>
      <c r="B606" s="116">
        <v>238.45</v>
      </c>
      <c r="C606" s="116">
        <v>237.2</v>
      </c>
      <c r="D606" s="116">
        <v>232.9</v>
      </c>
      <c r="E606" s="116">
        <v>233</v>
      </c>
      <c r="F606" s="116">
        <v>237.2</v>
      </c>
      <c r="G606">
        <v>238596</v>
      </c>
      <c r="H606" s="116"/>
      <c r="I606" s="116"/>
      <c r="L606" s="170">
        <v>42894</v>
      </c>
      <c r="M606" s="116">
        <v>237</v>
      </c>
      <c r="N606" s="116">
        <v>238.5</v>
      </c>
      <c r="O606" s="116">
        <v>232.6</v>
      </c>
      <c r="P606" s="116">
        <v>233</v>
      </c>
      <c r="Q606" s="116">
        <v>237</v>
      </c>
      <c r="R606">
        <v>1938689</v>
      </c>
    </row>
    <row r="607" spans="1:18" x14ac:dyDescent="0.25">
      <c r="A607" s="170">
        <v>42895</v>
      </c>
      <c r="B607" s="116">
        <v>242.5</v>
      </c>
      <c r="C607" s="116">
        <v>241.8</v>
      </c>
      <c r="D607" s="116">
        <v>236.25</v>
      </c>
      <c r="E607" s="116">
        <v>237.9</v>
      </c>
      <c r="F607" s="116">
        <v>241.8</v>
      </c>
      <c r="G607">
        <v>218811</v>
      </c>
      <c r="H607" s="116"/>
      <c r="I607" s="116"/>
      <c r="L607" s="170">
        <v>42895</v>
      </c>
      <c r="M607" s="116">
        <v>241.6</v>
      </c>
      <c r="N607" s="116">
        <v>242.5</v>
      </c>
      <c r="O607" s="116">
        <v>236.05</v>
      </c>
      <c r="P607" s="116">
        <v>237.25</v>
      </c>
      <c r="Q607" s="116">
        <v>241.6</v>
      </c>
      <c r="R607">
        <v>2802058</v>
      </c>
    </row>
    <row r="608" spans="1:18" x14ac:dyDescent="0.25">
      <c r="A608" s="170">
        <v>42898</v>
      </c>
      <c r="B608" s="116">
        <v>246</v>
      </c>
      <c r="C608" s="116">
        <v>243.35</v>
      </c>
      <c r="D608" s="116">
        <v>240.55</v>
      </c>
      <c r="E608" s="116">
        <v>242</v>
      </c>
      <c r="F608" s="116">
        <v>243.35</v>
      </c>
      <c r="G608">
        <v>217008</v>
      </c>
      <c r="H608" s="116"/>
      <c r="I608" s="116"/>
      <c r="L608" s="170">
        <v>42898</v>
      </c>
      <c r="M608" s="116">
        <v>243.6</v>
      </c>
      <c r="N608" s="116">
        <v>245.9</v>
      </c>
      <c r="O608" s="116">
        <v>240.65</v>
      </c>
      <c r="P608" s="116">
        <v>241.5</v>
      </c>
      <c r="Q608" s="116">
        <v>243.6</v>
      </c>
      <c r="R608">
        <v>2734668</v>
      </c>
    </row>
    <row r="609" spans="1:18" x14ac:dyDescent="0.25">
      <c r="A609" s="170">
        <v>42899</v>
      </c>
      <c r="B609" s="116">
        <v>248</v>
      </c>
      <c r="C609" s="116">
        <v>244.5</v>
      </c>
      <c r="D609" s="116">
        <v>241.6</v>
      </c>
      <c r="E609" s="116">
        <v>245.9</v>
      </c>
      <c r="F609" s="116">
        <v>244.5</v>
      </c>
      <c r="G609">
        <v>258876</v>
      </c>
      <c r="H609" s="116"/>
      <c r="I609" s="116"/>
      <c r="L609" s="170">
        <v>42899</v>
      </c>
      <c r="M609" s="116">
        <v>244.4</v>
      </c>
      <c r="N609" s="116">
        <v>247.95</v>
      </c>
      <c r="O609" s="116">
        <v>242</v>
      </c>
      <c r="P609" s="116">
        <v>244</v>
      </c>
      <c r="Q609" s="116">
        <v>244.4</v>
      </c>
      <c r="R609">
        <v>2394532</v>
      </c>
    </row>
    <row r="610" spans="1:18" x14ac:dyDescent="0.25">
      <c r="A610" s="170">
        <v>42900</v>
      </c>
      <c r="B610" s="116">
        <v>245.5</v>
      </c>
      <c r="C610" s="116">
        <v>243.25</v>
      </c>
      <c r="D610" s="116">
        <v>241.1</v>
      </c>
      <c r="E610" s="116">
        <v>244.9</v>
      </c>
      <c r="F610" s="116">
        <v>243.25</v>
      </c>
      <c r="G610">
        <v>121639</v>
      </c>
      <c r="H610" s="116"/>
      <c r="I610" s="116"/>
      <c r="L610" s="170">
        <v>42900</v>
      </c>
      <c r="M610" s="116">
        <v>243.2</v>
      </c>
      <c r="N610" s="116">
        <v>245.8</v>
      </c>
      <c r="O610" s="116">
        <v>241.25</v>
      </c>
      <c r="P610" s="116">
        <v>244.7</v>
      </c>
      <c r="Q610" s="116">
        <v>243.2</v>
      </c>
      <c r="R610">
        <v>1152748</v>
      </c>
    </row>
    <row r="611" spans="1:18" x14ac:dyDescent="0.25">
      <c r="A611" s="170">
        <v>42901</v>
      </c>
      <c r="B611" s="116">
        <v>244.65</v>
      </c>
      <c r="C611" s="116">
        <v>242.85</v>
      </c>
      <c r="D611" s="116">
        <v>240.6</v>
      </c>
      <c r="E611" s="116">
        <v>242.5</v>
      </c>
      <c r="F611" s="116">
        <v>242.85</v>
      </c>
      <c r="G611">
        <v>74769</v>
      </c>
      <c r="H611" s="116"/>
      <c r="I611" s="116"/>
      <c r="L611" s="170">
        <v>42901</v>
      </c>
      <c r="M611" s="116">
        <v>242.85</v>
      </c>
      <c r="N611" s="116">
        <v>244.85</v>
      </c>
      <c r="O611" s="116">
        <v>240.25</v>
      </c>
      <c r="P611" s="116">
        <v>242</v>
      </c>
      <c r="Q611" s="116">
        <v>242.85</v>
      </c>
      <c r="R611">
        <v>1030055</v>
      </c>
    </row>
    <row r="612" spans="1:18" x14ac:dyDescent="0.25">
      <c r="A612" s="170">
        <v>42902</v>
      </c>
      <c r="B612" s="116">
        <v>243.9</v>
      </c>
      <c r="C612" s="116">
        <v>240.95</v>
      </c>
      <c r="D612" s="116">
        <v>239.6</v>
      </c>
      <c r="E612" s="116">
        <v>242.85</v>
      </c>
      <c r="F612" s="116">
        <v>240.95</v>
      </c>
      <c r="G612">
        <v>92951</v>
      </c>
      <c r="H612" s="116"/>
      <c r="I612" s="116"/>
      <c r="L612" s="170">
        <v>42902</v>
      </c>
      <c r="M612" s="116">
        <v>241.3</v>
      </c>
      <c r="N612" s="116">
        <v>244.1</v>
      </c>
      <c r="O612" s="116">
        <v>239.55</v>
      </c>
      <c r="P612" s="116">
        <v>242.8</v>
      </c>
      <c r="Q612" s="116">
        <v>241.3</v>
      </c>
      <c r="R612">
        <v>979334</v>
      </c>
    </row>
    <row r="613" spans="1:18" x14ac:dyDescent="0.25">
      <c r="A613" s="170">
        <v>42905</v>
      </c>
      <c r="B613" s="116">
        <v>246.65</v>
      </c>
      <c r="C613" s="116">
        <v>245.9</v>
      </c>
      <c r="D613" s="116">
        <v>241.65</v>
      </c>
      <c r="E613" s="116">
        <v>242.85</v>
      </c>
      <c r="F613" s="116">
        <v>245.9</v>
      </c>
      <c r="G613">
        <v>140695</v>
      </c>
      <c r="H613" s="116"/>
      <c r="I613" s="116"/>
      <c r="L613" s="170">
        <v>42905</v>
      </c>
      <c r="M613" s="116">
        <v>246.6</v>
      </c>
      <c r="N613" s="116">
        <v>246.9</v>
      </c>
      <c r="O613" s="116">
        <v>241.55</v>
      </c>
      <c r="P613" s="116">
        <v>242</v>
      </c>
      <c r="Q613" s="116">
        <v>246.6</v>
      </c>
      <c r="R613">
        <v>1130447</v>
      </c>
    </row>
    <row r="614" spans="1:18" x14ac:dyDescent="0.25">
      <c r="A614" s="170">
        <v>42906</v>
      </c>
      <c r="B614" s="116">
        <v>253.9</v>
      </c>
      <c r="C614" s="116">
        <v>252.6</v>
      </c>
      <c r="D614" s="116">
        <v>244.2</v>
      </c>
      <c r="E614" s="116">
        <v>248.6</v>
      </c>
      <c r="F614" s="116">
        <v>252.6</v>
      </c>
      <c r="G614">
        <v>254564</v>
      </c>
      <c r="H614" s="116"/>
      <c r="I614" s="116"/>
      <c r="L614" s="170">
        <v>42906</v>
      </c>
      <c r="M614" s="116">
        <v>253.2</v>
      </c>
      <c r="N614" s="116">
        <v>254.5</v>
      </c>
      <c r="O614" s="116">
        <v>244</v>
      </c>
      <c r="P614" s="116">
        <v>248</v>
      </c>
      <c r="Q614" s="116">
        <v>253.2</v>
      </c>
      <c r="R614">
        <v>3199171</v>
      </c>
    </row>
    <row r="615" spans="1:18" x14ac:dyDescent="0.25">
      <c r="A615" s="170">
        <v>42907</v>
      </c>
      <c r="B615" s="116">
        <v>254.55</v>
      </c>
      <c r="C615" s="116">
        <v>248.7</v>
      </c>
      <c r="D615" s="116">
        <v>247.6</v>
      </c>
      <c r="E615" s="116">
        <v>253.8</v>
      </c>
      <c r="F615" s="116">
        <v>248.7</v>
      </c>
      <c r="G615">
        <v>377713</v>
      </c>
      <c r="H615" s="116"/>
      <c r="I615" s="116"/>
      <c r="L615" s="170">
        <v>42907</v>
      </c>
      <c r="M615" s="116">
        <v>248.65</v>
      </c>
      <c r="N615" s="116">
        <v>254.7</v>
      </c>
      <c r="O615" s="116">
        <v>247.5</v>
      </c>
      <c r="P615" s="116">
        <v>253.95</v>
      </c>
      <c r="Q615" s="116">
        <v>248.65</v>
      </c>
      <c r="R615">
        <v>2236317</v>
      </c>
    </row>
    <row r="616" spans="1:18" x14ac:dyDescent="0.25">
      <c r="A616" s="170">
        <v>42908</v>
      </c>
      <c r="B616" s="116">
        <v>254.9</v>
      </c>
      <c r="C616" s="116">
        <v>252.55</v>
      </c>
      <c r="D616" s="116">
        <v>249.4</v>
      </c>
      <c r="E616" s="116">
        <v>249.4</v>
      </c>
      <c r="F616" s="116">
        <v>252.55</v>
      </c>
      <c r="G616">
        <v>204498</v>
      </c>
      <c r="H616" s="116"/>
      <c r="I616" s="116"/>
      <c r="L616" s="170">
        <v>42908</v>
      </c>
      <c r="M616" s="116">
        <v>252.85</v>
      </c>
      <c r="N616" s="116">
        <v>255.35</v>
      </c>
      <c r="O616" s="116">
        <v>249.05</v>
      </c>
      <c r="P616" s="116">
        <v>249.45</v>
      </c>
      <c r="Q616" s="116">
        <v>252.85</v>
      </c>
      <c r="R616">
        <v>2639933</v>
      </c>
    </row>
    <row r="617" spans="1:18" x14ac:dyDescent="0.25">
      <c r="A617" s="170">
        <v>42909</v>
      </c>
      <c r="B617" s="116">
        <v>255</v>
      </c>
      <c r="C617" s="116">
        <v>250.95</v>
      </c>
      <c r="D617" s="116">
        <v>247.05</v>
      </c>
      <c r="E617" s="116">
        <v>255</v>
      </c>
      <c r="F617" s="116">
        <v>250.95</v>
      </c>
      <c r="G617">
        <v>188804</v>
      </c>
      <c r="H617" s="116"/>
      <c r="I617" s="116"/>
      <c r="L617" s="170">
        <v>42909</v>
      </c>
      <c r="M617" s="116">
        <v>251</v>
      </c>
      <c r="N617" s="116">
        <v>254.5</v>
      </c>
      <c r="O617" s="116">
        <v>247</v>
      </c>
      <c r="P617" s="116">
        <v>254.5</v>
      </c>
      <c r="Q617" s="116">
        <v>251</v>
      </c>
      <c r="R617">
        <v>1839249</v>
      </c>
    </row>
    <row r="618" spans="1:18" x14ac:dyDescent="0.25">
      <c r="A618" s="170">
        <v>42913</v>
      </c>
      <c r="B618" s="116">
        <v>256.3</v>
      </c>
      <c r="C618" s="116">
        <v>254.9</v>
      </c>
      <c r="D618" s="116">
        <v>248.45</v>
      </c>
      <c r="E618" s="116">
        <v>251</v>
      </c>
      <c r="F618" s="116">
        <v>254.9</v>
      </c>
      <c r="G618">
        <v>182029</v>
      </c>
      <c r="H618" s="116"/>
      <c r="I618" s="116"/>
      <c r="L618" s="170">
        <v>42913</v>
      </c>
      <c r="M618" s="116">
        <v>255.25</v>
      </c>
      <c r="N618" s="116">
        <v>257</v>
      </c>
      <c r="O618" s="116">
        <v>248.55</v>
      </c>
      <c r="P618" s="116">
        <v>251</v>
      </c>
      <c r="Q618" s="116">
        <v>255.25</v>
      </c>
      <c r="R618">
        <v>1491196</v>
      </c>
    </row>
    <row r="619" spans="1:18" x14ac:dyDescent="0.25">
      <c r="A619" s="170">
        <v>42914</v>
      </c>
      <c r="B619" s="116">
        <v>260.8</v>
      </c>
      <c r="C619" s="116">
        <v>259.55</v>
      </c>
      <c r="D619" s="116">
        <v>253.75</v>
      </c>
      <c r="E619" s="116">
        <v>257.8</v>
      </c>
      <c r="F619" s="116">
        <v>259.55</v>
      </c>
      <c r="G619">
        <v>219879</v>
      </c>
      <c r="H619" s="116"/>
      <c r="I619" s="116"/>
      <c r="L619" s="170">
        <v>42914</v>
      </c>
      <c r="M619" s="116">
        <v>260.35000000000002</v>
      </c>
      <c r="N619" s="116">
        <v>261.55</v>
      </c>
      <c r="O619" s="116">
        <v>253.7</v>
      </c>
      <c r="P619" s="116">
        <v>256</v>
      </c>
      <c r="Q619" s="116">
        <v>260.35000000000002</v>
      </c>
      <c r="R619">
        <v>3602565</v>
      </c>
    </row>
    <row r="620" spans="1:18" x14ac:dyDescent="0.25">
      <c r="A620" s="170">
        <v>42915</v>
      </c>
      <c r="B620" s="116">
        <v>263.75</v>
      </c>
      <c r="C620" s="116">
        <v>261.45</v>
      </c>
      <c r="D620" s="116">
        <v>259.3</v>
      </c>
      <c r="E620" s="116">
        <v>261.8</v>
      </c>
      <c r="F620" s="116">
        <v>261.45</v>
      </c>
      <c r="G620">
        <v>131183</v>
      </c>
      <c r="H620" s="116"/>
      <c r="I620" s="116"/>
      <c r="L620" s="170">
        <v>42915</v>
      </c>
      <c r="M620" s="116">
        <v>262.05</v>
      </c>
      <c r="N620" s="116">
        <v>263.89999999999998</v>
      </c>
      <c r="O620" s="116">
        <v>259.2</v>
      </c>
      <c r="P620" s="116">
        <v>262</v>
      </c>
      <c r="Q620" s="116">
        <v>262.05</v>
      </c>
      <c r="R620">
        <v>3157979</v>
      </c>
    </row>
    <row r="621" spans="1:18" x14ac:dyDescent="0.25">
      <c r="A621" s="170">
        <v>42916</v>
      </c>
      <c r="B621" s="116">
        <v>265.89999999999998</v>
      </c>
      <c r="C621" s="116">
        <v>262.85000000000002</v>
      </c>
      <c r="D621" s="116">
        <v>260</v>
      </c>
      <c r="E621" s="116">
        <v>262</v>
      </c>
      <c r="F621" s="116">
        <v>262.85000000000002</v>
      </c>
      <c r="G621">
        <v>150543</v>
      </c>
      <c r="H621" s="116"/>
      <c r="I621" s="116"/>
      <c r="L621" s="170">
        <v>42916</v>
      </c>
      <c r="M621" s="116">
        <v>263.64999999999998</v>
      </c>
      <c r="N621" s="116">
        <v>266</v>
      </c>
      <c r="O621" s="116">
        <v>260.05</v>
      </c>
      <c r="P621" s="116">
        <v>261</v>
      </c>
      <c r="Q621" s="116">
        <v>263.64999999999998</v>
      </c>
      <c r="R621">
        <v>2267815</v>
      </c>
    </row>
    <row r="622" spans="1:18" x14ac:dyDescent="0.25">
      <c r="A622" s="170">
        <v>42919</v>
      </c>
      <c r="B622" s="116">
        <v>267.2</v>
      </c>
      <c r="C622" s="116">
        <v>265</v>
      </c>
      <c r="D622" s="116">
        <v>263.10000000000002</v>
      </c>
      <c r="E622" s="116">
        <v>264.55</v>
      </c>
      <c r="F622" s="116">
        <v>265</v>
      </c>
      <c r="G622">
        <v>106951</v>
      </c>
      <c r="H622" s="116"/>
      <c r="I622" s="116"/>
      <c r="L622" s="170">
        <v>42919</v>
      </c>
      <c r="M622" s="116">
        <v>265.05</v>
      </c>
      <c r="N622" s="116">
        <v>267.7</v>
      </c>
      <c r="O622" s="116">
        <v>263.10000000000002</v>
      </c>
      <c r="P622" s="116">
        <v>264.10000000000002</v>
      </c>
      <c r="Q622" s="116">
        <v>265.05</v>
      </c>
      <c r="R622">
        <v>1102141</v>
      </c>
    </row>
    <row r="623" spans="1:18" x14ac:dyDescent="0.25">
      <c r="A623" s="170">
        <v>42920</v>
      </c>
      <c r="B623" s="116">
        <v>271.3</v>
      </c>
      <c r="C623" s="116">
        <v>265.2</v>
      </c>
      <c r="D623" s="116">
        <v>264.55</v>
      </c>
      <c r="E623" s="116">
        <v>267</v>
      </c>
      <c r="F623" s="116">
        <v>265.2</v>
      </c>
      <c r="G623">
        <v>221420</v>
      </c>
      <c r="H623" s="116"/>
      <c r="I623" s="116"/>
      <c r="L623" s="170">
        <v>42920</v>
      </c>
      <c r="M623" s="116">
        <v>265.89999999999998</v>
      </c>
      <c r="N623" s="116">
        <v>271.45</v>
      </c>
      <c r="O623" s="116">
        <v>265.05</v>
      </c>
      <c r="P623" s="116">
        <v>266</v>
      </c>
      <c r="Q623" s="116">
        <v>265.89999999999998</v>
      </c>
      <c r="R623">
        <v>2661896</v>
      </c>
    </row>
    <row r="624" spans="1:18" x14ac:dyDescent="0.25">
      <c r="A624" s="170">
        <v>42921</v>
      </c>
      <c r="B624" s="116">
        <v>270.2</v>
      </c>
      <c r="C624" s="116">
        <v>269.35000000000002</v>
      </c>
      <c r="D624" s="116">
        <v>265.8</v>
      </c>
      <c r="E624" s="116">
        <v>267.5</v>
      </c>
      <c r="F624" s="116">
        <v>269.35000000000002</v>
      </c>
      <c r="G624">
        <v>133482</v>
      </c>
      <c r="H624" s="116"/>
      <c r="I624" s="116"/>
      <c r="L624" s="170">
        <v>42921</v>
      </c>
      <c r="M624" s="116">
        <v>270.14999999999998</v>
      </c>
      <c r="N624" s="116">
        <v>270.89999999999998</v>
      </c>
      <c r="O624" s="116">
        <v>265.7</v>
      </c>
      <c r="P624" s="116">
        <v>266.8</v>
      </c>
      <c r="Q624" s="116">
        <v>270.14999999999998</v>
      </c>
      <c r="R624">
        <v>1747996</v>
      </c>
    </row>
    <row r="625" spans="1:18" x14ac:dyDescent="0.25">
      <c r="A625" s="170">
        <v>42922</v>
      </c>
      <c r="B625" s="116">
        <v>271.2</v>
      </c>
      <c r="C625" s="116">
        <v>266</v>
      </c>
      <c r="D625" s="116">
        <v>264.95</v>
      </c>
      <c r="E625" s="116">
        <v>271.2</v>
      </c>
      <c r="F625" s="116">
        <v>266</v>
      </c>
      <c r="G625">
        <v>102057</v>
      </c>
      <c r="H625" s="116"/>
      <c r="I625" s="116"/>
      <c r="L625" s="170">
        <v>42922</v>
      </c>
      <c r="M625" s="116">
        <v>266.45</v>
      </c>
      <c r="N625" s="116">
        <v>271.25</v>
      </c>
      <c r="O625" s="116">
        <v>265.60000000000002</v>
      </c>
      <c r="P625" s="116">
        <v>271</v>
      </c>
      <c r="Q625" s="116">
        <v>266.45</v>
      </c>
      <c r="R625">
        <v>1354306</v>
      </c>
    </row>
    <row r="626" spans="1:18" x14ac:dyDescent="0.25">
      <c r="A626" s="170">
        <v>42923</v>
      </c>
      <c r="B626" s="116">
        <v>267.8</v>
      </c>
      <c r="C626" s="116">
        <v>266.85000000000002</v>
      </c>
      <c r="D626" s="116">
        <v>265</v>
      </c>
      <c r="E626" s="116">
        <v>266.2</v>
      </c>
      <c r="F626" s="116">
        <v>266.85000000000002</v>
      </c>
      <c r="G626">
        <v>54915</v>
      </c>
      <c r="H626" s="116"/>
      <c r="I626" s="116"/>
      <c r="L626" s="170">
        <v>42923</v>
      </c>
      <c r="M626" s="116">
        <v>267.3</v>
      </c>
      <c r="N626" s="116">
        <v>268.25</v>
      </c>
      <c r="O626" s="116">
        <v>264.8</v>
      </c>
      <c r="P626" s="116">
        <v>267</v>
      </c>
      <c r="Q626" s="116">
        <v>267.3</v>
      </c>
      <c r="R626">
        <v>826891</v>
      </c>
    </row>
    <row r="627" spans="1:18" x14ac:dyDescent="0.25">
      <c r="A627" s="170">
        <v>42926</v>
      </c>
      <c r="B627" s="116">
        <v>269.35000000000002</v>
      </c>
      <c r="C627" s="116">
        <v>267.8</v>
      </c>
      <c r="D627" s="116">
        <v>266.8</v>
      </c>
      <c r="E627" s="116">
        <v>268.3</v>
      </c>
      <c r="F627" s="116">
        <v>267.8</v>
      </c>
      <c r="G627">
        <v>546377</v>
      </c>
      <c r="H627" s="116"/>
      <c r="I627" s="116"/>
      <c r="L627" s="170">
        <v>42926</v>
      </c>
      <c r="M627" s="116">
        <v>268.55</v>
      </c>
      <c r="N627" s="116">
        <v>269.89999999999998</v>
      </c>
      <c r="O627" s="116">
        <v>266.55</v>
      </c>
      <c r="P627" s="116">
        <v>269.05</v>
      </c>
      <c r="Q627" s="116">
        <v>268.55</v>
      </c>
      <c r="R627">
        <v>406830</v>
      </c>
    </row>
    <row r="628" spans="1:18" x14ac:dyDescent="0.25">
      <c r="A628" s="170">
        <v>42927</v>
      </c>
      <c r="B628" s="116">
        <v>273.35000000000002</v>
      </c>
      <c r="C628" s="116">
        <v>270.45</v>
      </c>
      <c r="D628" s="116">
        <v>266.89999999999998</v>
      </c>
      <c r="E628" s="116">
        <v>266.89999999999998</v>
      </c>
      <c r="F628" s="116">
        <v>270.45</v>
      </c>
      <c r="G628">
        <v>128303</v>
      </c>
      <c r="H628" s="116"/>
      <c r="I628" s="116"/>
      <c r="L628" s="170">
        <v>42927</v>
      </c>
      <c r="M628" s="116">
        <v>271.3</v>
      </c>
      <c r="N628" s="116">
        <v>273.8</v>
      </c>
      <c r="O628" s="116">
        <v>267.5</v>
      </c>
      <c r="P628" s="116">
        <v>269.5</v>
      </c>
      <c r="Q628" s="116">
        <v>271.3</v>
      </c>
      <c r="R628">
        <v>2032008</v>
      </c>
    </row>
    <row r="629" spans="1:18" x14ac:dyDescent="0.25">
      <c r="A629" s="170">
        <v>42928</v>
      </c>
      <c r="B629" s="116">
        <v>273.95</v>
      </c>
      <c r="C629" s="116">
        <v>272.85000000000002</v>
      </c>
      <c r="D629" s="116">
        <v>270.75</v>
      </c>
      <c r="E629" s="116">
        <v>273</v>
      </c>
      <c r="F629" s="116">
        <v>272.85000000000002</v>
      </c>
      <c r="G629">
        <v>73004</v>
      </c>
      <c r="H629" s="116"/>
      <c r="I629" s="116"/>
      <c r="L629" s="170">
        <v>42928</v>
      </c>
      <c r="M629" s="116">
        <v>272.89999999999998</v>
      </c>
      <c r="N629" s="116">
        <v>273.89999999999998</v>
      </c>
      <c r="O629" s="116">
        <v>270.7</v>
      </c>
      <c r="P629" s="116">
        <v>273</v>
      </c>
      <c r="Q629" s="116">
        <v>272.89999999999998</v>
      </c>
      <c r="R629">
        <v>1132704</v>
      </c>
    </row>
    <row r="630" spans="1:18" x14ac:dyDescent="0.25">
      <c r="A630" s="170">
        <v>42929</v>
      </c>
      <c r="B630" s="116">
        <v>277.25</v>
      </c>
      <c r="C630" s="116">
        <v>276.55</v>
      </c>
      <c r="D630" s="116">
        <v>273.25</v>
      </c>
      <c r="E630" s="116">
        <v>274.60000000000002</v>
      </c>
      <c r="F630" s="116">
        <v>276.55</v>
      </c>
      <c r="G630">
        <v>120063</v>
      </c>
      <c r="H630" s="116"/>
      <c r="I630" s="116"/>
      <c r="L630" s="170">
        <v>42929</v>
      </c>
      <c r="M630" s="116">
        <v>276.60000000000002</v>
      </c>
      <c r="N630" s="116">
        <v>277.3</v>
      </c>
      <c r="O630" s="116">
        <v>273.2</v>
      </c>
      <c r="P630" s="116">
        <v>274</v>
      </c>
      <c r="Q630" s="116">
        <v>276.60000000000002</v>
      </c>
      <c r="R630">
        <v>1924376</v>
      </c>
    </row>
    <row r="631" spans="1:18" x14ac:dyDescent="0.25">
      <c r="A631" s="170">
        <v>42930</v>
      </c>
      <c r="B631" s="116">
        <v>276.7</v>
      </c>
      <c r="C631" s="116">
        <v>273.85000000000002</v>
      </c>
      <c r="D631" s="116">
        <v>271.7</v>
      </c>
      <c r="E631" s="116">
        <v>276.7</v>
      </c>
      <c r="F631" s="116">
        <v>273.85000000000002</v>
      </c>
      <c r="G631">
        <v>57510</v>
      </c>
      <c r="H631" s="116"/>
      <c r="I631" s="116"/>
      <c r="L631" s="170">
        <v>42930</v>
      </c>
      <c r="M631" s="116">
        <v>274</v>
      </c>
      <c r="N631" s="116">
        <v>276.25</v>
      </c>
      <c r="O631" s="116">
        <v>271.75</v>
      </c>
      <c r="P631" s="116">
        <v>276</v>
      </c>
      <c r="Q631" s="116">
        <v>274</v>
      </c>
      <c r="R631">
        <v>1568354</v>
      </c>
    </row>
    <row r="632" spans="1:18" x14ac:dyDescent="0.25">
      <c r="A632" s="170">
        <v>42933</v>
      </c>
      <c r="B632" s="116">
        <v>280.5</v>
      </c>
      <c r="C632" s="116">
        <v>278.64999999999998</v>
      </c>
      <c r="D632" s="116">
        <v>273.45</v>
      </c>
      <c r="E632" s="116">
        <v>274.05</v>
      </c>
      <c r="F632" s="116">
        <v>278.64999999999998</v>
      </c>
      <c r="G632">
        <v>130180</v>
      </c>
      <c r="H632" s="116"/>
      <c r="I632" s="116"/>
      <c r="L632" s="170">
        <v>42933</v>
      </c>
      <c r="M632" s="116">
        <v>279.60000000000002</v>
      </c>
      <c r="N632" s="116">
        <v>281</v>
      </c>
      <c r="O632" s="116">
        <v>273.25</v>
      </c>
      <c r="P632" s="116">
        <v>275.75</v>
      </c>
      <c r="Q632" s="116">
        <v>279.60000000000002</v>
      </c>
      <c r="R632">
        <v>2108194</v>
      </c>
    </row>
    <row r="633" spans="1:18" x14ac:dyDescent="0.25">
      <c r="A633" s="170">
        <v>42934</v>
      </c>
      <c r="B633" s="116">
        <v>280.5</v>
      </c>
      <c r="C633" s="116">
        <v>277.60000000000002</v>
      </c>
      <c r="D633" s="116">
        <v>276.5</v>
      </c>
      <c r="E633" s="116">
        <v>279.5</v>
      </c>
      <c r="F633" s="116">
        <v>277.60000000000002</v>
      </c>
      <c r="G633">
        <v>99086</v>
      </c>
      <c r="H633" s="116"/>
      <c r="I633" s="116"/>
      <c r="L633" s="170">
        <v>42934</v>
      </c>
      <c r="M633" s="116">
        <v>277.64999999999998</v>
      </c>
      <c r="N633" s="116">
        <v>280.95</v>
      </c>
      <c r="O633" s="116">
        <v>276.8</v>
      </c>
      <c r="P633" s="116">
        <v>279.95</v>
      </c>
      <c r="Q633" s="116">
        <v>277.64999999999998</v>
      </c>
      <c r="R633">
        <v>1481540</v>
      </c>
    </row>
    <row r="634" spans="1:18" x14ac:dyDescent="0.25">
      <c r="A634" s="170">
        <v>42935</v>
      </c>
      <c r="B634" s="116">
        <v>281.5</v>
      </c>
      <c r="C634" s="116">
        <v>280.39999999999998</v>
      </c>
      <c r="D634" s="116">
        <v>276.60000000000002</v>
      </c>
      <c r="E634" s="116">
        <v>276.8</v>
      </c>
      <c r="F634" s="116">
        <v>280.39999999999998</v>
      </c>
      <c r="G634">
        <v>84951</v>
      </c>
      <c r="H634" s="116"/>
      <c r="I634" s="116"/>
      <c r="L634" s="170">
        <v>42935</v>
      </c>
      <c r="M634" s="116">
        <v>280.8</v>
      </c>
      <c r="N634" s="116">
        <v>281.39999999999998</v>
      </c>
      <c r="O634" s="116">
        <v>276.45</v>
      </c>
      <c r="P634" s="116">
        <v>279.95</v>
      </c>
      <c r="Q634" s="116">
        <v>280.8</v>
      </c>
      <c r="R634">
        <v>1531255</v>
      </c>
    </row>
    <row r="635" spans="1:18" x14ac:dyDescent="0.25">
      <c r="A635" s="170">
        <v>42936</v>
      </c>
      <c r="B635" s="116">
        <v>286.3</v>
      </c>
      <c r="C635" s="116">
        <v>281.05</v>
      </c>
      <c r="D635" s="116">
        <v>275</v>
      </c>
      <c r="E635" s="116">
        <v>281.5</v>
      </c>
      <c r="F635" s="116">
        <v>281.05</v>
      </c>
      <c r="G635">
        <v>887322</v>
      </c>
      <c r="H635" s="116"/>
      <c r="I635" s="116"/>
      <c r="L635" s="170">
        <v>42936</v>
      </c>
      <c r="M635" s="116">
        <v>280.39999999999998</v>
      </c>
      <c r="N635" s="116">
        <v>285.95</v>
      </c>
      <c r="O635" s="116">
        <v>274.55</v>
      </c>
      <c r="P635" s="116">
        <v>281</v>
      </c>
      <c r="Q635" s="116">
        <v>280.39999999999998</v>
      </c>
      <c r="R635">
        <v>9279235</v>
      </c>
    </row>
    <row r="636" spans="1:18" x14ac:dyDescent="0.25">
      <c r="A636" s="170">
        <v>42937</v>
      </c>
      <c r="B636" s="116">
        <v>286</v>
      </c>
      <c r="C636" s="116">
        <v>280.14999999999998</v>
      </c>
      <c r="D636" s="116">
        <v>277.75</v>
      </c>
      <c r="E636" s="116">
        <v>286</v>
      </c>
      <c r="F636" s="116">
        <v>280.14999999999998</v>
      </c>
      <c r="G636">
        <v>218939</v>
      </c>
      <c r="H636" s="116"/>
      <c r="I636" s="116"/>
      <c r="L636" s="170">
        <v>42937</v>
      </c>
      <c r="M636" s="116">
        <v>280.7</v>
      </c>
      <c r="N636" s="116">
        <v>284.2</v>
      </c>
      <c r="O636" s="116">
        <v>277.5</v>
      </c>
      <c r="P636" s="116">
        <v>284</v>
      </c>
      <c r="Q636" s="116">
        <v>280.7</v>
      </c>
      <c r="R636">
        <v>2835189</v>
      </c>
    </row>
    <row r="637" spans="1:18" x14ac:dyDescent="0.25">
      <c r="A637" s="170">
        <v>42940</v>
      </c>
      <c r="B637" s="116">
        <v>280.14999999999998</v>
      </c>
      <c r="C637" s="116">
        <v>278.25</v>
      </c>
      <c r="D637" s="116">
        <v>277.8</v>
      </c>
      <c r="E637" s="116">
        <v>280.14999999999998</v>
      </c>
      <c r="F637" s="116">
        <v>278.25</v>
      </c>
      <c r="G637">
        <v>99685</v>
      </c>
      <c r="H637" s="116"/>
      <c r="I637" s="116"/>
      <c r="L637" s="170">
        <v>42940</v>
      </c>
      <c r="M637" s="116">
        <v>277.89999999999998</v>
      </c>
      <c r="N637" s="116">
        <v>280.35000000000002</v>
      </c>
      <c r="O637" s="116">
        <v>277</v>
      </c>
      <c r="P637" s="116">
        <v>279.5</v>
      </c>
      <c r="Q637" s="116">
        <v>277.89999999999998</v>
      </c>
      <c r="R637">
        <v>2326071</v>
      </c>
    </row>
    <row r="638" spans="1:18" x14ac:dyDescent="0.25">
      <c r="A638" s="170">
        <v>42941</v>
      </c>
      <c r="B638" s="116">
        <v>282.7</v>
      </c>
      <c r="C638" s="116">
        <v>282</v>
      </c>
      <c r="D638" s="116">
        <v>276.89999999999998</v>
      </c>
      <c r="E638" s="116">
        <v>280</v>
      </c>
      <c r="F638" s="116">
        <v>282</v>
      </c>
      <c r="G638">
        <v>138272</v>
      </c>
      <c r="H638" s="116"/>
      <c r="I638" s="116"/>
      <c r="L638" s="170">
        <v>42941</v>
      </c>
      <c r="M638" s="116">
        <v>282.05</v>
      </c>
      <c r="N638" s="116">
        <v>282.89999999999998</v>
      </c>
      <c r="O638" s="116">
        <v>276.89999999999998</v>
      </c>
      <c r="P638" s="116">
        <v>279.3</v>
      </c>
      <c r="Q638" s="116">
        <v>282.05</v>
      </c>
      <c r="R638">
        <v>1496088</v>
      </c>
    </row>
    <row r="639" spans="1:18" x14ac:dyDescent="0.25">
      <c r="A639" s="170">
        <v>42942</v>
      </c>
      <c r="B639" s="116">
        <v>285.95</v>
      </c>
      <c r="C639" s="116">
        <v>284.60000000000002</v>
      </c>
      <c r="D639" s="116">
        <v>282.75</v>
      </c>
      <c r="E639" s="116">
        <v>283</v>
      </c>
      <c r="F639" s="116">
        <v>284.60000000000002</v>
      </c>
      <c r="G639">
        <v>220688</v>
      </c>
      <c r="H639" s="116"/>
      <c r="I639" s="116"/>
      <c r="L639" s="170">
        <v>42942</v>
      </c>
      <c r="M639" s="116">
        <v>284.8</v>
      </c>
      <c r="N639" s="116">
        <v>285.8</v>
      </c>
      <c r="O639" s="116">
        <v>282.05</v>
      </c>
      <c r="P639" s="116">
        <v>282.95</v>
      </c>
      <c r="Q639" s="116">
        <v>284.8</v>
      </c>
      <c r="R639">
        <v>2476853</v>
      </c>
    </row>
    <row r="640" spans="1:18" x14ac:dyDescent="0.25">
      <c r="A640" s="170">
        <v>42943</v>
      </c>
      <c r="B640" s="116">
        <v>286.7</v>
      </c>
      <c r="C640" s="116">
        <v>275.5</v>
      </c>
      <c r="D640" s="116">
        <v>274.39999999999998</v>
      </c>
      <c r="E640" s="116">
        <v>286.7</v>
      </c>
      <c r="F640" s="116">
        <v>275.5</v>
      </c>
      <c r="G640">
        <v>163296</v>
      </c>
      <c r="H640" s="116"/>
      <c r="I640" s="116"/>
      <c r="L640" s="170">
        <v>42943</v>
      </c>
      <c r="M640" s="116">
        <v>275.14999999999998</v>
      </c>
      <c r="N640" s="116">
        <v>285</v>
      </c>
      <c r="O640" s="116">
        <v>273.85000000000002</v>
      </c>
      <c r="P640" s="116">
        <v>285</v>
      </c>
      <c r="Q640" s="116">
        <v>275.14999999999998</v>
      </c>
      <c r="R640">
        <v>2825925</v>
      </c>
    </row>
    <row r="641" spans="1:18" x14ac:dyDescent="0.25">
      <c r="A641" s="170">
        <v>42944</v>
      </c>
      <c r="B641" s="116">
        <v>279.05</v>
      </c>
      <c r="C641" s="116">
        <v>277.75</v>
      </c>
      <c r="D641" s="116">
        <v>271.5</v>
      </c>
      <c r="E641" s="116">
        <v>275</v>
      </c>
      <c r="F641" s="116">
        <v>277.75</v>
      </c>
      <c r="G641">
        <v>102443</v>
      </c>
      <c r="H641" s="116"/>
      <c r="I641" s="116"/>
      <c r="L641" s="170">
        <v>42944</v>
      </c>
      <c r="M641" s="116">
        <v>277.85000000000002</v>
      </c>
      <c r="N641" s="116">
        <v>278.95</v>
      </c>
      <c r="O641" s="116">
        <v>271.7</v>
      </c>
      <c r="P641" s="116">
        <v>274</v>
      </c>
      <c r="Q641" s="116">
        <v>277.85000000000002</v>
      </c>
      <c r="R641">
        <v>1614559</v>
      </c>
    </row>
    <row r="642" spans="1:18" x14ac:dyDescent="0.25">
      <c r="A642" s="170">
        <v>42947</v>
      </c>
      <c r="B642" s="116">
        <v>283.3</v>
      </c>
      <c r="C642" s="116">
        <v>281.89999999999998</v>
      </c>
      <c r="D642" s="116">
        <v>275.75</v>
      </c>
      <c r="E642" s="116">
        <v>281.95</v>
      </c>
      <c r="F642" s="116">
        <v>281.89999999999998</v>
      </c>
      <c r="G642">
        <v>93261</v>
      </c>
      <c r="H642" s="116"/>
      <c r="I642" s="116"/>
      <c r="L642" s="170">
        <v>42947</v>
      </c>
      <c r="M642" s="116">
        <v>282.89999999999998</v>
      </c>
      <c r="N642" s="116">
        <v>284</v>
      </c>
      <c r="O642" s="116">
        <v>276</v>
      </c>
      <c r="P642" s="116">
        <v>277.89999999999998</v>
      </c>
      <c r="Q642" s="116">
        <v>282.89999999999998</v>
      </c>
      <c r="R642">
        <v>1290299</v>
      </c>
    </row>
    <row r="643" spans="1:18" x14ac:dyDescent="0.25">
      <c r="A643" s="170">
        <v>42948</v>
      </c>
      <c r="B643" s="116">
        <v>284</v>
      </c>
      <c r="C643" s="116">
        <v>282.25</v>
      </c>
      <c r="D643" s="116">
        <v>280.5</v>
      </c>
      <c r="E643" s="116">
        <v>284</v>
      </c>
      <c r="F643" s="116">
        <v>282.25</v>
      </c>
      <c r="G643">
        <v>53988</v>
      </c>
      <c r="H643" s="116"/>
      <c r="I643" s="116"/>
      <c r="L643" s="170">
        <v>42948</v>
      </c>
      <c r="M643" s="116">
        <v>282.25</v>
      </c>
      <c r="N643" s="116">
        <v>284</v>
      </c>
      <c r="O643" s="116">
        <v>280.3</v>
      </c>
      <c r="P643" s="116">
        <v>283</v>
      </c>
      <c r="Q643" s="116">
        <v>282.25</v>
      </c>
      <c r="R643">
        <v>1316008</v>
      </c>
    </row>
    <row r="644" spans="1:18" x14ac:dyDescent="0.25">
      <c r="A644" s="170">
        <v>42949</v>
      </c>
      <c r="B644" s="116">
        <v>285.55</v>
      </c>
      <c r="C644" s="116">
        <v>283.8</v>
      </c>
      <c r="D644" s="116">
        <v>282</v>
      </c>
      <c r="E644" s="116">
        <v>283</v>
      </c>
      <c r="F644" s="116">
        <v>283.8</v>
      </c>
      <c r="G644">
        <v>108829</v>
      </c>
      <c r="H644" s="116"/>
      <c r="I644" s="116"/>
      <c r="L644" s="170">
        <v>42949</v>
      </c>
      <c r="M644" s="116">
        <v>283.8</v>
      </c>
      <c r="N644" s="116">
        <v>285.64999999999998</v>
      </c>
      <c r="O644" s="116">
        <v>282</v>
      </c>
      <c r="P644" s="116">
        <v>282.60000000000002</v>
      </c>
      <c r="Q644" s="116">
        <v>283.8</v>
      </c>
      <c r="R644">
        <v>1676861</v>
      </c>
    </row>
    <row r="645" spans="1:18" x14ac:dyDescent="0.25">
      <c r="A645" s="170">
        <v>42950</v>
      </c>
      <c r="B645" s="116">
        <v>285</v>
      </c>
      <c r="C645" s="116">
        <v>282.2</v>
      </c>
      <c r="D645" s="116">
        <v>281.25</v>
      </c>
      <c r="E645" s="116">
        <v>285</v>
      </c>
      <c r="F645" s="116">
        <v>282.2</v>
      </c>
      <c r="G645">
        <v>65723</v>
      </c>
      <c r="H645" s="116"/>
      <c r="I645" s="116"/>
      <c r="L645" s="170">
        <v>42950</v>
      </c>
      <c r="M645" s="116">
        <v>282.7</v>
      </c>
      <c r="N645" s="116">
        <v>285</v>
      </c>
      <c r="O645" s="116">
        <v>281.7</v>
      </c>
      <c r="P645" s="116">
        <v>283.5</v>
      </c>
      <c r="Q645" s="116">
        <v>282.7</v>
      </c>
      <c r="R645">
        <v>825082</v>
      </c>
    </row>
    <row r="646" spans="1:18" x14ac:dyDescent="0.25">
      <c r="A646" s="170">
        <v>42951</v>
      </c>
      <c r="B646" s="116">
        <v>287.14999999999998</v>
      </c>
      <c r="C646" s="116">
        <v>285.7</v>
      </c>
      <c r="D646" s="116">
        <v>282</v>
      </c>
      <c r="E646" s="116">
        <v>282.2</v>
      </c>
      <c r="F646" s="116">
        <v>285.7</v>
      </c>
      <c r="G646">
        <v>131923</v>
      </c>
      <c r="H646" s="116"/>
      <c r="I646" s="116"/>
      <c r="L646" s="170">
        <v>42951</v>
      </c>
      <c r="M646" s="116">
        <v>285.89999999999998</v>
      </c>
      <c r="N646" s="116">
        <v>287.5</v>
      </c>
      <c r="O646" s="116">
        <v>282</v>
      </c>
      <c r="P646" s="116">
        <v>283</v>
      </c>
      <c r="Q646" s="116">
        <v>285.89999999999998</v>
      </c>
      <c r="R646">
        <v>1645509</v>
      </c>
    </row>
    <row r="647" spans="1:18" x14ac:dyDescent="0.25">
      <c r="A647" s="170">
        <v>42954</v>
      </c>
      <c r="B647" s="116">
        <v>288</v>
      </c>
      <c r="C647" s="116">
        <v>284.95</v>
      </c>
      <c r="D647" s="116">
        <v>284</v>
      </c>
      <c r="E647" s="116">
        <v>285.89999999999998</v>
      </c>
      <c r="F647" s="116">
        <v>284.95</v>
      </c>
      <c r="G647">
        <v>77207</v>
      </c>
      <c r="H647" s="116"/>
      <c r="I647" s="116"/>
      <c r="L647" s="170">
        <v>42954</v>
      </c>
      <c r="M647" s="116">
        <v>285.14999999999998</v>
      </c>
      <c r="N647" s="116">
        <v>288.45</v>
      </c>
      <c r="O647" s="116">
        <v>283.8</v>
      </c>
      <c r="P647" s="116">
        <v>288</v>
      </c>
      <c r="Q647" s="116">
        <v>285.14999999999998</v>
      </c>
      <c r="R647">
        <v>1733736</v>
      </c>
    </row>
    <row r="648" spans="1:18" x14ac:dyDescent="0.25">
      <c r="A648" s="170">
        <v>42955</v>
      </c>
      <c r="B648" s="116">
        <v>292.25</v>
      </c>
      <c r="C648" s="116">
        <v>284.60000000000002</v>
      </c>
      <c r="D648" s="116">
        <v>283.60000000000002</v>
      </c>
      <c r="E648" s="116">
        <v>287.45</v>
      </c>
      <c r="F648" s="116">
        <v>284.60000000000002</v>
      </c>
      <c r="G648">
        <v>184383</v>
      </c>
      <c r="H648" s="116"/>
      <c r="I648" s="116"/>
      <c r="L648" s="170">
        <v>42955</v>
      </c>
      <c r="M648" s="116">
        <v>284.64999999999998</v>
      </c>
      <c r="N648" s="116">
        <v>292.60000000000002</v>
      </c>
      <c r="O648" s="116">
        <v>283.35000000000002</v>
      </c>
      <c r="P648" s="116">
        <v>287.5</v>
      </c>
      <c r="Q648" s="116">
        <v>284.64999999999998</v>
      </c>
      <c r="R648">
        <v>2504439</v>
      </c>
    </row>
    <row r="649" spans="1:18" x14ac:dyDescent="0.25">
      <c r="A649" s="170">
        <v>42956</v>
      </c>
      <c r="B649" s="116">
        <v>290.55</v>
      </c>
      <c r="C649" s="116">
        <v>286.39999999999998</v>
      </c>
      <c r="D649" s="116">
        <v>284.3</v>
      </c>
      <c r="E649" s="116">
        <v>285</v>
      </c>
      <c r="F649" s="116">
        <v>286.39999999999998</v>
      </c>
      <c r="G649">
        <v>166557</v>
      </c>
      <c r="H649" s="116"/>
      <c r="I649" s="116"/>
      <c r="L649" s="170">
        <v>42956</v>
      </c>
      <c r="M649" s="116">
        <v>286.64999999999998</v>
      </c>
      <c r="N649" s="116">
        <v>290.7</v>
      </c>
      <c r="O649" s="116">
        <v>284.05</v>
      </c>
      <c r="P649" s="116">
        <v>285</v>
      </c>
      <c r="Q649" s="116">
        <v>286.64999999999998</v>
      </c>
      <c r="R649">
        <v>1873275</v>
      </c>
    </row>
    <row r="650" spans="1:18" x14ac:dyDescent="0.25">
      <c r="A650" s="170">
        <v>42957</v>
      </c>
      <c r="B650" s="116">
        <v>287.7</v>
      </c>
      <c r="C650" s="116">
        <v>280.39999999999998</v>
      </c>
      <c r="D650" s="116">
        <v>277.45</v>
      </c>
      <c r="E650" s="116">
        <v>286.8</v>
      </c>
      <c r="F650" s="116">
        <v>280.39999999999998</v>
      </c>
      <c r="G650">
        <v>167628</v>
      </c>
      <c r="H650" s="116"/>
      <c r="I650" s="116"/>
      <c r="L650" s="170">
        <v>42957</v>
      </c>
      <c r="M650" s="116">
        <v>280.8</v>
      </c>
      <c r="N650" s="116">
        <v>288</v>
      </c>
      <c r="O650" s="116">
        <v>277.89999999999998</v>
      </c>
      <c r="P650" s="116">
        <v>286</v>
      </c>
      <c r="Q650" s="116">
        <v>280.8</v>
      </c>
      <c r="R650">
        <v>2461891</v>
      </c>
    </row>
    <row r="651" spans="1:18" x14ac:dyDescent="0.25">
      <c r="A651" s="170">
        <v>42958</v>
      </c>
      <c r="B651" s="116">
        <v>281.85000000000002</v>
      </c>
      <c r="C651" s="116">
        <v>270.60000000000002</v>
      </c>
      <c r="D651" s="116">
        <v>268</v>
      </c>
      <c r="E651" s="116">
        <v>277</v>
      </c>
      <c r="F651" s="116">
        <v>270.60000000000002</v>
      </c>
      <c r="G651">
        <v>157808</v>
      </c>
      <c r="H651" s="116"/>
      <c r="I651" s="116"/>
      <c r="L651" s="170">
        <v>42958</v>
      </c>
      <c r="M651" s="116">
        <v>270.5</v>
      </c>
      <c r="N651" s="116">
        <v>282</v>
      </c>
      <c r="O651" s="116">
        <v>267.5</v>
      </c>
      <c r="P651" s="116">
        <v>278.25</v>
      </c>
      <c r="Q651" s="116">
        <v>270.5</v>
      </c>
      <c r="R651">
        <v>2262641</v>
      </c>
    </row>
    <row r="652" spans="1:18" x14ac:dyDescent="0.25">
      <c r="A652" s="170">
        <v>42961</v>
      </c>
      <c r="B652" s="116">
        <v>282.2</v>
      </c>
      <c r="C652" s="116">
        <v>280.85000000000002</v>
      </c>
      <c r="D652" s="116">
        <v>271</v>
      </c>
      <c r="E652" s="116">
        <v>271</v>
      </c>
      <c r="F652" s="116">
        <v>280.85000000000002</v>
      </c>
      <c r="G652">
        <v>106881</v>
      </c>
      <c r="H652" s="116"/>
      <c r="I652" s="116"/>
      <c r="L652" s="170">
        <v>42961</v>
      </c>
      <c r="M652" s="116">
        <v>281</v>
      </c>
      <c r="N652" s="116">
        <v>282.60000000000002</v>
      </c>
      <c r="O652" s="116">
        <v>270.95</v>
      </c>
      <c r="P652" s="116">
        <v>271</v>
      </c>
      <c r="Q652" s="116">
        <v>281</v>
      </c>
      <c r="R652">
        <v>1127785</v>
      </c>
    </row>
    <row r="653" spans="1:18" x14ac:dyDescent="0.25">
      <c r="A653" s="170">
        <v>42963</v>
      </c>
      <c r="B653" s="116">
        <v>294</v>
      </c>
      <c r="C653" s="116">
        <v>290.60000000000002</v>
      </c>
      <c r="D653" s="116">
        <v>281</v>
      </c>
      <c r="E653" s="116">
        <v>281</v>
      </c>
      <c r="F653" s="116">
        <v>290.60000000000002</v>
      </c>
      <c r="G653">
        <v>215179</v>
      </c>
      <c r="H653" s="116"/>
      <c r="I653" s="116"/>
      <c r="L653" s="170">
        <v>42963</v>
      </c>
      <c r="M653" s="116">
        <v>290.89999999999998</v>
      </c>
      <c r="N653" s="116">
        <v>294.2</v>
      </c>
      <c r="O653" s="116">
        <v>282.10000000000002</v>
      </c>
      <c r="P653" s="116">
        <v>283.3</v>
      </c>
      <c r="Q653" s="116">
        <v>290.89999999999998</v>
      </c>
      <c r="R653">
        <v>2175340</v>
      </c>
    </row>
    <row r="654" spans="1:18" x14ac:dyDescent="0.25">
      <c r="A654" s="170">
        <v>42964</v>
      </c>
      <c r="B654" s="116">
        <v>300.35000000000002</v>
      </c>
      <c r="C654" s="116">
        <v>294.5</v>
      </c>
      <c r="D654" s="116">
        <v>292.5</v>
      </c>
      <c r="E654" s="116">
        <v>296</v>
      </c>
      <c r="F654" s="116">
        <v>294.5</v>
      </c>
      <c r="G654">
        <v>279075</v>
      </c>
      <c r="H654" s="116"/>
      <c r="I654" s="116"/>
      <c r="L654" s="170">
        <v>42964</v>
      </c>
      <c r="M654" s="116">
        <v>294.8</v>
      </c>
      <c r="N654" s="116">
        <v>300.89999999999998</v>
      </c>
      <c r="O654" s="116">
        <v>292.45</v>
      </c>
      <c r="P654" s="116">
        <v>296.45</v>
      </c>
      <c r="Q654" s="116">
        <v>294.8</v>
      </c>
      <c r="R654">
        <v>3428249</v>
      </c>
    </row>
    <row r="655" spans="1:18" x14ac:dyDescent="0.25">
      <c r="A655" s="170">
        <v>42965</v>
      </c>
      <c r="B655" s="116">
        <v>298</v>
      </c>
      <c r="C655" s="116">
        <v>293.75</v>
      </c>
      <c r="D655" s="116">
        <v>291</v>
      </c>
      <c r="E655" s="116">
        <v>297.89999999999998</v>
      </c>
      <c r="F655" s="116">
        <v>293.75</v>
      </c>
      <c r="G655">
        <v>143909</v>
      </c>
      <c r="H655" s="116"/>
      <c r="I655" s="116"/>
      <c r="L655" s="170">
        <v>42965</v>
      </c>
      <c r="M655" s="116">
        <v>294.5</v>
      </c>
      <c r="N655" s="116">
        <v>298.25</v>
      </c>
      <c r="O655" s="116">
        <v>290.60000000000002</v>
      </c>
      <c r="P655" s="116">
        <v>295.85000000000002</v>
      </c>
      <c r="Q655" s="116">
        <v>294.5</v>
      </c>
      <c r="R655">
        <v>2513455</v>
      </c>
    </row>
    <row r="656" spans="1:18" x14ac:dyDescent="0.25">
      <c r="A656" s="170">
        <v>42968</v>
      </c>
      <c r="B656" s="116">
        <v>299.3</v>
      </c>
      <c r="C656" s="116">
        <v>290.75</v>
      </c>
      <c r="D656" s="116">
        <v>289.3</v>
      </c>
      <c r="E656" s="116">
        <v>297</v>
      </c>
      <c r="F656" s="116">
        <v>290.75</v>
      </c>
      <c r="G656">
        <v>113975</v>
      </c>
      <c r="H656" s="116"/>
      <c r="I656" s="116"/>
      <c r="L656" s="170">
        <v>42968</v>
      </c>
      <c r="M656" s="116">
        <v>290.89999999999998</v>
      </c>
      <c r="N656" s="116">
        <v>299.45</v>
      </c>
      <c r="O656" s="116">
        <v>289.7</v>
      </c>
      <c r="P656" s="116">
        <v>298.60000000000002</v>
      </c>
      <c r="Q656" s="116">
        <v>290.89999999999998</v>
      </c>
      <c r="R656">
        <v>1493473</v>
      </c>
    </row>
    <row r="657" spans="1:18" x14ac:dyDescent="0.25">
      <c r="A657" s="170">
        <v>42969</v>
      </c>
      <c r="B657" s="116">
        <v>294.10000000000002</v>
      </c>
      <c r="C657" s="116">
        <v>287.2</v>
      </c>
      <c r="D657" s="116">
        <v>286.14999999999998</v>
      </c>
      <c r="E657" s="116">
        <v>293</v>
      </c>
      <c r="F657" s="116">
        <v>287.2</v>
      </c>
      <c r="G657">
        <v>97610</v>
      </c>
      <c r="H657" s="116"/>
      <c r="I657" s="116"/>
      <c r="L657" s="170">
        <v>42969</v>
      </c>
      <c r="M657" s="116">
        <v>287.05</v>
      </c>
      <c r="N657" s="116">
        <v>294.3</v>
      </c>
      <c r="O657" s="116">
        <v>286</v>
      </c>
      <c r="P657" s="116">
        <v>292.85000000000002</v>
      </c>
      <c r="Q657" s="116">
        <v>287.05</v>
      </c>
      <c r="R657">
        <v>1634192</v>
      </c>
    </row>
    <row r="658" spans="1:18" x14ac:dyDescent="0.25">
      <c r="A658" s="170">
        <v>42970</v>
      </c>
      <c r="B658" s="116">
        <v>289.14999999999998</v>
      </c>
      <c r="C658" s="116">
        <v>286.7</v>
      </c>
      <c r="D658" s="116">
        <v>283.10000000000002</v>
      </c>
      <c r="E658" s="116">
        <v>287.14999999999998</v>
      </c>
      <c r="F658" s="116">
        <v>286.7</v>
      </c>
      <c r="G658">
        <v>57323</v>
      </c>
      <c r="H658" s="116"/>
      <c r="I658" s="116"/>
      <c r="L658" s="170">
        <v>42970</v>
      </c>
      <c r="M658" s="116">
        <v>286.5</v>
      </c>
      <c r="N658" s="116">
        <v>288.85000000000002</v>
      </c>
      <c r="O658" s="116">
        <v>283</v>
      </c>
      <c r="P658" s="116">
        <v>287.55</v>
      </c>
      <c r="Q658" s="116">
        <v>286.5</v>
      </c>
      <c r="R658">
        <v>2253675</v>
      </c>
    </row>
    <row r="659" spans="1:18" x14ac:dyDescent="0.25">
      <c r="A659" s="170">
        <v>42971</v>
      </c>
      <c r="B659" s="116">
        <v>288.95</v>
      </c>
      <c r="C659" s="116">
        <v>284.45</v>
      </c>
      <c r="D659" s="116">
        <v>282.85000000000002</v>
      </c>
      <c r="E659" s="116">
        <v>288.95</v>
      </c>
      <c r="F659" s="116">
        <v>284.45</v>
      </c>
      <c r="G659">
        <v>55293</v>
      </c>
      <c r="H659" s="116"/>
      <c r="I659" s="116"/>
      <c r="L659" s="170">
        <v>42971</v>
      </c>
      <c r="M659" s="116">
        <v>283.95</v>
      </c>
      <c r="N659" s="116">
        <v>288.7</v>
      </c>
      <c r="O659" s="116">
        <v>282.45</v>
      </c>
      <c r="P659" s="116">
        <v>287</v>
      </c>
      <c r="Q659" s="116">
        <v>283.95</v>
      </c>
      <c r="R659">
        <v>1445309</v>
      </c>
    </row>
    <row r="660" spans="1:18" x14ac:dyDescent="0.25">
      <c r="A660" s="170">
        <v>42975</v>
      </c>
      <c r="B660" s="116">
        <v>287.2</v>
      </c>
      <c r="C660" s="116">
        <v>286.25</v>
      </c>
      <c r="D660" s="116">
        <v>282.5</v>
      </c>
      <c r="E660" s="116">
        <v>285</v>
      </c>
      <c r="F660" s="116">
        <v>286.25</v>
      </c>
      <c r="G660">
        <v>47546</v>
      </c>
      <c r="H660" s="116"/>
      <c r="I660" s="116"/>
      <c r="L660" s="170">
        <v>42975</v>
      </c>
      <c r="M660" s="116">
        <v>286.5</v>
      </c>
      <c r="N660" s="116">
        <v>287.3</v>
      </c>
      <c r="O660" s="116">
        <v>281.85000000000002</v>
      </c>
      <c r="P660" s="116">
        <v>284.5</v>
      </c>
      <c r="Q660" s="116">
        <v>286.5</v>
      </c>
      <c r="R660">
        <v>1067933</v>
      </c>
    </row>
    <row r="661" spans="1:18" x14ac:dyDescent="0.25">
      <c r="A661" s="170">
        <v>42976</v>
      </c>
      <c r="B661" s="116">
        <v>289.14999999999998</v>
      </c>
      <c r="C661" s="116">
        <v>284.10000000000002</v>
      </c>
      <c r="D661" s="116">
        <v>282.5</v>
      </c>
      <c r="E661" s="116">
        <v>286.25</v>
      </c>
      <c r="F661" s="116">
        <v>284.10000000000002</v>
      </c>
      <c r="G661">
        <v>73906</v>
      </c>
      <c r="H661" s="116"/>
      <c r="I661" s="116"/>
      <c r="L661" s="170">
        <v>42976</v>
      </c>
      <c r="M661" s="116">
        <v>284.10000000000002</v>
      </c>
      <c r="N661" s="116">
        <v>289.8</v>
      </c>
      <c r="O661" s="116">
        <v>282</v>
      </c>
      <c r="P661" s="116">
        <v>283</v>
      </c>
      <c r="Q661" s="116">
        <v>284.10000000000002</v>
      </c>
      <c r="R661">
        <v>1383936</v>
      </c>
    </row>
    <row r="662" spans="1:18" x14ac:dyDescent="0.25">
      <c r="A662" s="170">
        <v>42977</v>
      </c>
      <c r="B662" s="116">
        <v>295</v>
      </c>
      <c r="C662" s="116">
        <v>294.5</v>
      </c>
      <c r="D662" s="116">
        <v>284</v>
      </c>
      <c r="E662" s="116">
        <v>284</v>
      </c>
      <c r="F662" s="116">
        <v>294.5</v>
      </c>
      <c r="G662">
        <v>145492</v>
      </c>
      <c r="H662" s="116"/>
      <c r="I662" s="116"/>
      <c r="L662" s="170">
        <v>42977</v>
      </c>
      <c r="M662" s="116">
        <v>295.35000000000002</v>
      </c>
      <c r="N662" s="116">
        <v>295.95</v>
      </c>
      <c r="O662" s="116">
        <v>286.3</v>
      </c>
      <c r="P662" s="116">
        <v>287.95</v>
      </c>
      <c r="Q662" s="116">
        <v>295.35000000000002</v>
      </c>
      <c r="R662">
        <v>1822670</v>
      </c>
    </row>
    <row r="663" spans="1:18" x14ac:dyDescent="0.25">
      <c r="A663" s="170">
        <v>42978</v>
      </c>
      <c r="B663" s="116">
        <v>299</v>
      </c>
      <c r="C663" s="116">
        <v>295.10000000000002</v>
      </c>
      <c r="D663" s="116">
        <v>290.2</v>
      </c>
      <c r="E663" s="116">
        <v>295</v>
      </c>
      <c r="F663" s="116">
        <v>295.10000000000002</v>
      </c>
      <c r="G663">
        <v>235213</v>
      </c>
      <c r="H663" s="116"/>
      <c r="I663" s="116"/>
      <c r="L663" s="170">
        <v>42978</v>
      </c>
      <c r="M663" s="116">
        <v>294.55</v>
      </c>
      <c r="N663" s="116">
        <v>305.3</v>
      </c>
      <c r="O663" s="116">
        <v>289.5</v>
      </c>
      <c r="P663" s="116">
        <v>296</v>
      </c>
      <c r="Q663" s="116">
        <v>294.55</v>
      </c>
      <c r="R663">
        <v>7292052</v>
      </c>
    </row>
    <row r="664" spans="1:18" x14ac:dyDescent="0.25">
      <c r="A664" s="170">
        <v>42979</v>
      </c>
      <c r="B664" s="116">
        <v>303.7</v>
      </c>
      <c r="C664" s="116">
        <v>302.14999999999998</v>
      </c>
      <c r="D664" s="116">
        <v>298</v>
      </c>
      <c r="E664" s="116">
        <v>300</v>
      </c>
      <c r="F664" s="116">
        <v>302.14999999999998</v>
      </c>
      <c r="G664">
        <v>164548</v>
      </c>
      <c r="H664" s="116"/>
      <c r="I664" s="116"/>
      <c r="L664" s="170">
        <v>42979</v>
      </c>
      <c r="M664" s="116">
        <v>303.14999999999998</v>
      </c>
      <c r="N664" s="116">
        <v>304.39999999999998</v>
      </c>
      <c r="O664" s="116">
        <v>298.05</v>
      </c>
      <c r="P664" s="116">
        <v>301.25</v>
      </c>
      <c r="Q664" s="116">
        <v>303.14999999999998</v>
      </c>
      <c r="R664">
        <v>2109601</v>
      </c>
    </row>
    <row r="665" spans="1:18" x14ac:dyDescent="0.25">
      <c r="A665" s="170">
        <v>42982</v>
      </c>
      <c r="B665" s="116">
        <v>306</v>
      </c>
      <c r="C665" s="116">
        <v>298.89999999999998</v>
      </c>
      <c r="D665" s="116">
        <v>295.10000000000002</v>
      </c>
      <c r="E665" s="116">
        <v>305</v>
      </c>
      <c r="F665" s="116">
        <v>298.89999999999998</v>
      </c>
      <c r="G665">
        <v>151748</v>
      </c>
      <c r="H665" s="116"/>
      <c r="I665" s="116"/>
      <c r="L665" s="170">
        <v>42982</v>
      </c>
      <c r="M665" s="116">
        <v>299.25</v>
      </c>
      <c r="N665" s="116">
        <v>306.3</v>
      </c>
      <c r="O665" s="116">
        <v>295.05</v>
      </c>
      <c r="P665" s="116">
        <v>306</v>
      </c>
      <c r="Q665" s="116">
        <v>299.25</v>
      </c>
      <c r="R665">
        <v>1693897</v>
      </c>
    </row>
    <row r="666" spans="1:18" x14ac:dyDescent="0.25">
      <c r="A666" s="170">
        <v>42983</v>
      </c>
      <c r="B666" s="116">
        <v>305.3</v>
      </c>
      <c r="C666" s="116">
        <v>304.14999999999998</v>
      </c>
      <c r="D666" s="116">
        <v>300.05</v>
      </c>
      <c r="E666" s="116">
        <v>303.60000000000002</v>
      </c>
      <c r="F666" s="116">
        <v>304.14999999999998</v>
      </c>
      <c r="G666">
        <v>83519</v>
      </c>
      <c r="H666" s="116"/>
      <c r="I666" s="116"/>
      <c r="L666" s="170">
        <v>42983</v>
      </c>
      <c r="M666" s="116">
        <v>304.3</v>
      </c>
      <c r="N666" s="116">
        <v>305.25</v>
      </c>
      <c r="O666" s="116">
        <v>300</v>
      </c>
      <c r="P666" s="116">
        <v>302.89999999999998</v>
      </c>
      <c r="Q666" s="116">
        <v>304.3</v>
      </c>
      <c r="R666">
        <v>1359320</v>
      </c>
    </row>
    <row r="667" spans="1:18" x14ac:dyDescent="0.25">
      <c r="A667" s="170">
        <v>42984</v>
      </c>
      <c r="B667" s="116">
        <v>308.3</v>
      </c>
      <c r="C667" s="116">
        <v>306.5</v>
      </c>
      <c r="D667" s="116">
        <v>296.8</v>
      </c>
      <c r="E667" s="116">
        <v>304</v>
      </c>
      <c r="F667" s="116">
        <v>306.5</v>
      </c>
      <c r="G667">
        <v>151868</v>
      </c>
      <c r="H667" s="116"/>
      <c r="I667" s="116"/>
      <c r="L667" s="170">
        <v>42984</v>
      </c>
      <c r="M667" s="116">
        <v>306.35000000000002</v>
      </c>
      <c r="N667" s="116">
        <v>308.5</v>
      </c>
      <c r="O667" s="116">
        <v>296.7</v>
      </c>
      <c r="P667" s="116">
        <v>302</v>
      </c>
      <c r="Q667" s="116">
        <v>306.35000000000002</v>
      </c>
      <c r="R667">
        <v>2212472</v>
      </c>
    </row>
    <row r="668" spans="1:18" x14ac:dyDescent="0.25">
      <c r="A668" s="170">
        <v>42985</v>
      </c>
      <c r="B668" s="116">
        <v>309.5</v>
      </c>
      <c r="C668" s="116">
        <v>307.39999999999998</v>
      </c>
      <c r="D668" s="116">
        <v>305.5</v>
      </c>
      <c r="E668" s="116">
        <v>307.10000000000002</v>
      </c>
      <c r="F668" s="116">
        <v>307.39999999999998</v>
      </c>
      <c r="G668">
        <v>99020</v>
      </c>
      <c r="H668" s="116"/>
      <c r="I668" s="116"/>
      <c r="L668" s="170">
        <v>42985</v>
      </c>
      <c r="M668" s="116">
        <v>307.35000000000002</v>
      </c>
      <c r="N668" s="116">
        <v>309.45</v>
      </c>
      <c r="O668" s="116">
        <v>305.25</v>
      </c>
      <c r="P668" s="116">
        <v>307.95</v>
      </c>
      <c r="Q668" s="116">
        <v>307.35000000000002</v>
      </c>
      <c r="R668">
        <v>1697554</v>
      </c>
    </row>
    <row r="669" spans="1:18" x14ac:dyDescent="0.25">
      <c r="A669" s="170">
        <v>42986</v>
      </c>
      <c r="B669" s="116">
        <v>312.2</v>
      </c>
      <c r="C669" s="116">
        <v>304.39999999999998</v>
      </c>
      <c r="D669" s="116">
        <v>303.10000000000002</v>
      </c>
      <c r="E669" s="116">
        <v>309.5</v>
      </c>
      <c r="F669" s="116">
        <v>304.39999999999998</v>
      </c>
      <c r="G669">
        <v>496549</v>
      </c>
      <c r="H669" s="116"/>
      <c r="I669" s="116"/>
      <c r="L669" s="170">
        <v>42986</v>
      </c>
      <c r="M669" s="116">
        <v>304.35000000000002</v>
      </c>
      <c r="N669" s="116">
        <v>312.35000000000002</v>
      </c>
      <c r="O669" s="116">
        <v>303.2</v>
      </c>
      <c r="P669" s="116">
        <v>309</v>
      </c>
      <c r="Q669" s="116">
        <v>304.35000000000002</v>
      </c>
      <c r="R669">
        <v>2484902</v>
      </c>
    </row>
    <row r="670" spans="1:18" x14ac:dyDescent="0.25">
      <c r="A670" s="170">
        <v>42989</v>
      </c>
      <c r="B670" s="116">
        <v>309.85000000000002</v>
      </c>
      <c r="C670" s="116">
        <v>308.60000000000002</v>
      </c>
      <c r="D670" s="116">
        <v>305.14999999999998</v>
      </c>
      <c r="E670" s="116">
        <v>305.55</v>
      </c>
      <c r="F670" s="116">
        <v>308.60000000000002</v>
      </c>
      <c r="G670">
        <v>125706</v>
      </c>
      <c r="H670" s="116"/>
      <c r="I670" s="116"/>
      <c r="L670" s="170">
        <v>42989</v>
      </c>
      <c r="M670" s="116">
        <v>308.64999999999998</v>
      </c>
      <c r="N670" s="116">
        <v>310.05</v>
      </c>
      <c r="O670" s="116">
        <v>305</v>
      </c>
      <c r="P670" s="116">
        <v>305.55</v>
      </c>
      <c r="Q670" s="116">
        <v>308.64999999999998</v>
      </c>
      <c r="R670">
        <v>1688665</v>
      </c>
    </row>
    <row r="671" spans="1:18" x14ac:dyDescent="0.25">
      <c r="A671" s="170">
        <v>42990</v>
      </c>
      <c r="B671" s="116">
        <v>313.60000000000002</v>
      </c>
      <c r="C671" s="116">
        <v>312.64999999999998</v>
      </c>
      <c r="D671" s="116">
        <v>309.3</v>
      </c>
      <c r="E671" s="116">
        <v>311</v>
      </c>
      <c r="F671" s="116">
        <v>312.64999999999998</v>
      </c>
      <c r="G671">
        <v>134910</v>
      </c>
      <c r="H671" s="116"/>
      <c r="I671" s="116"/>
      <c r="L671" s="170">
        <v>42990</v>
      </c>
      <c r="M671" s="116">
        <v>312.60000000000002</v>
      </c>
      <c r="N671" s="116">
        <v>314</v>
      </c>
      <c r="O671" s="116">
        <v>309</v>
      </c>
      <c r="P671" s="116">
        <v>310.75</v>
      </c>
      <c r="Q671" s="116">
        <v>312.60000000000002</v>
      </c>
      <c r="R671">
        <v>1730977</v>
      </c>
    </row>
    <row r="672" spans="1:18" x14ac:dyDescent="0.25">
      <c r="A672" s="170">
        <v>42991</v>
      </c>
      <c r="B672" s="116">
        <v>313.5</v>
      </c>
      <c r="C672" s="116">
        <v>306.89999999999998</v>
      </c>
      <c r="D672" s="116">
        <v>306.05</v>
      </c>
      <c r="E672" s="116">
        <v>313</v>
      </c>
      <c r="F672" s="116">
        <v>306.89999999999998</v>
      </c>
      <c r="G672">
        <v>81646</v>
      </c>
      <c r="H672" s="116"/>
      <c r="I672" s="116"/>
      <c r="L672" s="170">
        <v>42991</v>
      </c>
      <c r="M672" s="116">
        <v>307.10000000000002</v>
      </c>
      <c r="N672" s="116">
        <v>313.55</v>
      </c>
      <c r="O672" s="116">
        <v>306.05</v>
      </c>
      <c r="P672" s="116">
        <v>313</v>
      </c>
      <c r="Q672" s="116">
        <v>307.10000000000002</v>
      </c>
      <c r="R672">
        <v>1923654</v>
      </c>
    </row>
    <row r="673" spans="1:18" x14ac:dyDescent="0.25">
      <c r="A673" s="170">
        <v>42992</v>
      </c>
      <c r="B673" s="116">
        <v>310</v>
      </c>
      <c r="C673" s="116">
        <v>304.10000000000002</v>
      </c>
      <c r="D673" s="116">
        <v>302.8</v>
      </c>
      <c r="E673" s="116">
        <v>306.89999999999998</v>
      </c>
      <c r="F673" s="116">
        <v>304.10000000000002</v>
      </c>
      <c r="G673">
        <v>88232</v>
      </c>
      <c r="H673" s="116"/>
      <c r="I673" s="116"/>
      <c r="L673" s="170">
        <v>42992</v>
      </c>
      <c r="M673" s="116">
        <v>304.85000000000002</v>
      </c>
      <c r="N673" s="116">
        <v>309.89999999999998</v>
      </c>
      <c r="O673" s="116">
        <v>302.55</v>
      </c>
      <c r="P673" s="116">
        <v>307.95</v>
      </c>
      <c r="Q673" s="116">
        <v>304.85000000000002</v>
      </c>
      <c r="R673">
        <v>1193086</v>
      </c>
    </row>
    <row r="674" spans="1:18" x14ac:dyDescent="0.25">
      <c r="A674" s="170">
        <v>42993</v>
      </c>
      <c r="B674" s="116">
        <v>306.14999999999998</v>
      </c>
      <c r="C674" s="116">
        <v>304.10000000000002</v>
      </c>
      <c r="D674" s="116">
        <v>299.5</v>
      </c>
      <c r="E674" s="116">
        <v>301</v>
      </c>
      <c r="F674" s="116">
        <v>304.10000000000002</v>
      </c>
      <c r="G674">
        <v>149185</v>
      </c>
      <c r="H674" s="116"/>
      <c r="I674" s="116"/>
      <c r="L674" s="170">
        <v>42993</v>
      </c>
      <c r="M674" s="116">
        <v>304.25</v>
      </c>
      <c r="N674" s="116">
        <v>306.8</v>
      </c>
      <c r="O674" s="116">
        <v>299.5</v>
      </c>
      <c r="P674" s="116">
        <v>303.95</v>
      </c>
      <c r="Q674" s="116">
        <v>304.25</v>
      </c>
      <c r="R674">
        <v>1688312</v>
      </c>
    </row>
    <row r="675" spans="1:18" x14ac:dyDescent="0.25">
      <c r="A675" s="170">
        <v>42996</v>
      </c>
      <c r="B675" s="116">
        <v>311</v>
      </c>
      <c r="C675" s="116">
        <v>309.75</v>
      </c>
      <c r="D675" s="116">
        <v>305</v>
      </c>
      <c r="E675" s="116">
        <v>305</v>
      </c>
      <c r="F675" s="116">
        <v>309.75</v>
      </c>
      <c r="G675">
        <v>137386</v>
      </c>
      <c r="H675" s="116"/>
      <c r="I675" s="116"/>
      <c r="L675" s="170">
        <v>42996</v>
      </c>
      <c r="M675" s="116">
        <v>310.89999999999998</v>
      </c>
      <c r="N675" s="116">
        <v>311.95</v>
      </c>
      <c r="O675" s="116">
        <v>306</v>
      </c>
      <c r="P675" s="116">
        <v>306</v>
      </c>
      <c r="Q675" s="116">
        <v>310.89999999999998</v>
      </c>
      <c r="R675">
        <v>1765649</v>
      </c>
    </row>
    <row r="676" spans="1:18" x14ac:dyDescent="0.25">
      <c r="A676" s="170">
        <v>42997</v>
      </c>
      <c r="B676" s="116">
        <v>311.45</v>
      </c>
      <c r="C676" s="116">
        <v>308.10000000000002</v>
      </c>
      <c r="D676" s="116">
        <v>307</v>
      </c>
      <c r="E676" s="116">
        <v>307</v>
      </c>
      <c r="F676" s="116">
        <v>308.10000000000002</v>
      </c>
      <c r="G676">
        <v>274814</v>
      </c>
      <c r="H676" s="116"/>
      <c r="I676" s="116"/>
      <c r="L676" s="170">
        <v>42997</v>
      </c>
      <c r="M676" s="116">
        <v>308.39999999999998</v>
      </c>
      <c r="N676" s="116">
        <v>311.8</v>
      </c>
      <c r="O676" s="116">
        <v>307.05</v>
      </c>
      <c r="P676" s="116">
        <v>310.7</v>
      </c>
      <c r="Q676" s="116">
        <v>308.39999999999998</v>
      </c>
      <c r="R676">
        <v>1221867</v>
      </c>
    </row>
    <row r="677" spans="1:18" x14ac:dyDescent="0.25">
      <c r="A677" s="170">
        <v>42998</v>
      </c>
      <c r="B677" s="116">
        <v>309.8</v>
      </c>
      <c r="C677" s="116">
        <v>304.75</v>
      </c>
      <c r="D677" s="116">
        <v>303.95</v>
      </c>
      <c r="E677" s="116">
        <v>308.10000000000002</v>
      </c>
      <c r="F677" s="116">
        <v>304.75</v>
      </c>
      <c r="G677">
        <v>31431</v>
      </c>
      <c r="H677" s="116"/>
      <c r="I677" s="116"/>
      <c r="L677" s="170">
        <v>42998</v>
      </c>
      <c r="M677" s="116">
        <v>304.85000000000002</v>
      </c>
      <c r="N677" s="116">
        <v>309.8</v>
      </c>
      <c r="O677" s="116">
        <v>304</v>
      </c>
      <c r="P677" s="116">
        <v>307.10000000000002</v>
      </c>
      <c r="Q677" s="116">
        <v>304.85000000000002</v>
      </c>
      <c r="R677">
        <v>1014206</v>
      </c>
    </row>
    <row r="678" spans="1:18" x14ac:dyDescent="0.25">
      <c r="A678" s="170">
        <v>42999</v>
      </c>
      <c r="B678" s="116">
        <v>306.45</v>
      </c>
      <c r="C678" s="116">
        <v>303.95</v>
      </c>
      <c r="D678" s="116">
        <v>301.2</v>
      </c>
      <c r="E678" s="116">
        <v>305.25</v>
      </c>
      <c r="F678" s="116">
        <v>303.95</v>
      </c>
      <c r="G678">
        <v>54070</v>
      </c>
      <c r="H678" s="116"/>
      <c r="I678" s="116"/>
      <c r="L678" s="170">
        <v>42999</v>
      </c>
      <c r="M678" s="116">
        <v>303.85000000000002</v>
      </c>
      <c r="N678" s="116">
        <v>306.95</v>
      </c>
      <c r="O678" s="116">
        <v>301.10000000000002</v>
      </c>
      <c r="P678" s="116">
        <v>304.89999999999998</v>
      </c>
      <c r="Q678" s="116">
        <v>303.85000000000002</v>
      </c>
      <c r="R678">
        <v>999542</v>
      </c>
    </row>
    <row r="679" spans="1:18" x14ac:dyDescent="0.25">
      <c r="A679" s="170">
        <v>43000</v>
      </c>
      <c r="B679" s="116">
        <v>301.3</v>
      </c>
      <c r="C679" s="116">
        <v>292.64999999999998</v>
      </c>
      <c r="D679" s="116">
        <v>291.2</v>
      </c>
      <c r="E679" s="116">
        <v>301.25</v>
      </c>
      <c r="F679" s="116">
        <v>292.64999999999998</v>
      </c>
      <c r="G679">
        <v>75721</v>
      </c>
      <c r="H679" s="116"/>
      <c r="I679" s="116"/>
      <c r="L679" s="170">
        <v>43000</v>
      </c>
      <c r="M679" s="116">
        <v>292.89999999999998</v>
      </c>
      <c r="N679" s="116">
        <v>301.89999999999998</v>
      </c>
      <c r="O679" s="116">
        <v>291.55</v>
      </c>
      <c r="P679" s="116">
        <v>301.89999999999998</v>
      </c>
      <c r="Q679" s="116">
        <v>292.89999999999998</v>
      </c>
      <c r="R679">
        <v>1434044</v>
      </c>
    </row>
    <row r="680" spans="1:18" x14ac:dyDescent="0.25">
      <c r="A680" s="170">
        <v>43003</v>
      </c>
      <c r="B680" s="116">
        <v>294.45</v>
      </c>
      <c r="C680" s="116">
        <v>291.95</v>
      </c>
      <c r="D680" s="116">
        <v>286</v>
      </c>
      <c r="E680" s="116">
        <v>294.45</v>
      </c>
      <c r="F680" s="116">
        <v>291.95</v>
      </c>
      <c r="G680">
        <v>83710</v>
      </c>
      <c r="H680" s="116"/>
      <c r="I680" s="116"/>
      <c r="L680" s="170">
        <v>43003</v>
      </c>
      <c r="M680" s="116">
        <v>293.10000000000002</v>
      </c>
      <c r="N680" s="116">
        <v>294.8</v>
      </c>
      <c r="O680" s="116">
        <v>286.05</v>
      </c>
      <c r="P680" s="116">
        <v>293.55</v>
      </c>
      <c r="Q680" s="116">
        <v>293.10000000000002</v>
      </c>
      <c r="R680">
        <v>1128494</v>
      </c>
    </row>
    <row r="681" spans="1:18" x14ac:dyDescent="0.25">
      <c r="A681" s="170">
        <v>43004</v>
      </c>
      <c r="B681" s="116">
        <v>300.64999999999998</v>
      </c>
      <c r="C681" s="116">
        <v>299.64999999999998</v>
      </c>
      <c r="D681" s="116">
        <v>290.2</v>
      </c>
      <c r="E681" s="116">
        <v>290.2</v>
      </c>
      <c r="F681" s="116">
        <v>299.64999999999998</v>
      </c>
      <c r="G681">
        <v>88112</v>
      </c>
      <c r="H681" s="116"/>
      <c r="I681" s="116"/>
      <c r="L681" s="170">
        <v>43004</v>
      </c>
      <c r="M681" s="116">
        <v>300.05</v>
      </c>
      <c r="N681" s="116">
        <v>301.25</v>
      </c>
      <c r="O681" s="116">
        <v>293.5</v>
      </c>
      <c r="P681" s="116">
        <v>293.5</v>
      </c>
      <c r="Q681" s="116">
        <v>300.05</v>
      </c>
      <c r="R681">
        <v>1106506</v>
      </c>
    </row>
    <row r="682" spans="1:18" x14ac:dyDescent="0.25">
      <c r="A682" s="170">
        <v>43005</v>
      </c>
      <c r="B682" s="116">
        <v>302.60000000000002</v>
      </c>
      <c r="C682" s="116">
        <v>292.89999999999998</v>
      </c>
      <c r="D682" s="116">
        <v>291.39999999999998</v>
      </c>
      <c r="E682" s="116">
        <v>302.5</v>
      </c>
      <c r="F682" s="116">
        <v>292.89999999999998</v>
      </c>
      <c r="G682">
        <v>61696</v>
      </c>
      <c r="H682" s="116"/>
      <c r="I682" s="116"/>
      <c r="L682" s="170">
        <v>43005</v>
      </c>
      <c r="M682" s="116">
        <v>293.10000000000002</v>
      </c>
      <c r="N682" s="116">
        <v>303</v>
      </c>
      <c r="O682" s="116">
        <v>291</v>
      </c>
      <c r="P682" s="116">
        <v>302</v>
      </c>
      <c r="Q682" s="116">
        <v>293.10000000000002</v>
      </c>
      <c r="R682">
        <v>969054</v>
      </c>
    </row>
    <row r="683" spans="1:18" x14ac:dyDescent="0.25">
      <c r="A683" s="170">
        <v>43006</v>
      </c>
      <c r="B683" s="116">
        <v>295.85000000000002</v>
      </c>
      <c r="C683" s="116">
        <v>292.39999999999998</v>
      </c>
      <c r="D683" s="116">
        <v>290.5</v>
      </c>
      <c r="E683" s="116">
        <v>292</v>
      </c>
      <c r="F683" s="116">
        <v>292.39999999999998</v>
      </c>
      <c r="G683">
        <v>45182</v>
      </c>
      <c r="H683" s="116"/>
      <c r="I683" s="116"/>
      <c r="L683" s="170">
        <v>43006</v>
      </c>
      <c r="M683" s="116">
        <v>291.45</v>
      </c>
      <c r="N683" s="116">
        <v>296</v>
      </c>
      <c r="O683" s="116">
        <v>289.95</v>
      </c>
      <c r="P683" s="116">
        <v>293</v>
      </c>
      <c r="Q683" s="116">
        <v>291.45</v>
      </c>
      <c r="R683">
        <v>1214367</v>
      </c>
    </row>
    <row r="684" spans="1:18" x14ac:dyDescent="0.25">
      <c r="A684" s="170">
        <v>43007</v>
      </c>
      <c r="B684" s="116">
        <v>299.7</v>
      </c>
      <c r="C684" s="116">
        <v>295.8</v>
      </c>
      <c r="D684" s="116">
        <v>292</v>
      </c>
      <c r="E684" s="116">
        <v>292.45</v>
      </c>
      <c r="F684" s="116">
        <v>295.8</v>
      </c>
      <c r="G684">
        <v>75582</v>
      </c>
      <c r="H684" s="116"/>
      <c r="I684" s="116"/>
      <c r="L684" s="170">
        <v>43007</v>
      </c>
      <c r="M684" s="116">
        <v>295.89999999999998</v>
      </c>
      <c r="N684" s="116">
        <v>299.85000000000002</v>
      </c>
      <c r="O684" s="116">
        <v>291.25</v>
      </c>
      <c r="P684" s="116">
        <v>292.89999999999998</v>
      </c>
      <c r="Q684" s="116">
        <v>295.89999999999998</v>
      </c>
      <c r="R684">
        <v>1784928</v>
      </c>
    </row>
    <row r="685" spans="1:18" x14ac:dyDescent="0.25">
      <c r="A685" s="170">
        <v>43011</v>
      </c>
      <c r="B685" s="116">
        <v>314.5</v>
      </c>
      <c r="C685" s="116">
        <v>313.55</v>
      </c>
      <c r="D685" s="116">
        <v>300</v>
      </c>
      <c r="E685" s="116">
        <v>301</v>
      </c>
      <c r="F685" s="116">
        <v>313.55</v>
      </c>
      <c r="G685">
        <v>192377</v>
      </c>
      <c r="H685" s="116"/>
      <c r="I685" s="116"/>
      <c r="L685" s="170">
        <v>43011</v>
      </c>
      <c r="M685" s="116">
        <v>313.45</v>
      </c>
      <c r="N685" s="116">
        <v>314.35000000000002</v>
      </c>
      <c r="O685" s="116">
        <v>299.85000000000002</v>
      </c>
      <c r="P685" s="116">
        <v>300</v>
      </c>
      <c r="Q685" s="116">
        <v>313.45</v>
      </c>
      <c r="R685">
        <v>2581848</v>
      </c>
    </row>
    <row r="686" spans="1:18" x14ac:dyDescent="0.25">
      <c r="A686" s="170">
        <v>43012</v>
      </c>
      <c r="B686" s="116">
        <v>317.7</v>
      </c>
      <c r="C686" s="116">
        <v>311.8</v>
      </c>
      <c r="D686" s="116">
        <v>310.60000000000002</v>
      </c>
      <c r="E686" s="116">
        <v>316</v>
      </c>
      <c r="F686" s="116">
        <v>311.8</v>
      </c>
      <c r="G686">
        <v>128390</v>
      </c>
      <c r="H686" s="116"/>
      <c r="I686" s="116"/>
      <c r="L686" s="170">
        <v>43012</v>
      </c>
      <c r="M686" s="116">
        <v>312.05</v>
      </c>
      <c r="N686" s="116">
        <v>317.45</v>
      </c>
      <c r="O686" s="116">
        <v>311</v>
      </c>
      <c r="P686" s="116">
        <v>315.95</v>
      </c>
      <c r="Q686" s="116">
        <v>312.05</v>
      </c>
      <c r="R686">
        <v>2154757</v>
      </c>
    </row>
    <row r="687" spans="1:18" x14ac:dyDescent="0.25">
      <c r="A687" s="170">
        <v>43013</v>
      </c>
      <c r="B687" s="116">
        <v>315.5</v>
      </c>
      <c r="C687" s="116">
        <v>312.60000000000002</v>
      </c>
      <c r="D687" s="116">
        <v>311</v>
      </c>
      <c r="E687" s="116">
        <v>311</v>
      </c>
      <c r="F687" s="116">
        <v>312.60000000000002</v>
      </c>
      <c r="G687">
        <v>53262</v>
      </c>
      <c r="H687" s="116"/>
      <c r="I687" s="116"/>
      <c r="L687" s="170">
        <v>43013</v>
      </c>
      <c r="M687" s="116">
        <v>313.5</v>
      </c>
      <c r="N687" s="116">
        <v>315.5</v>
      </c>
      <c r="O687" s="116">
        <v>311.60000000000002</v>
      </c>
      <c r="P687" s="116">
        <v>314</v>
      </c>
      <c r="Q687" s="116">
        <v>313.5</v>
      </c>
      <c r="R687">
        <v>986576</v>
      </c>
    </row>
    <row r="688" spans="1:18" x14ac:dyDescent="0.25">
      <c r="A688" s="170">
        <v>43014</v>
      </c>
      <c r="B688" s="116">
        <v>321.5</v>
      </c>
      <c r="C688" s="116">
        <v>319.05</v>
      </c>
      <c r="D688" s="116">
        <v>315</v>
      </c>
      <c r="E688" s="116">
        <v>315</v>
      </c>
      <c r="F688" s="116">
        <v>319.05</v>
      </c>
      <c r="G688">
        <v>163202</v>
      </c>
      <c r="H688" s="116"/>
      <c r="I688" s="116"/>
      <c r="L688" s="170">
        <v>43014</v>
      </c>
      <c r="M688" s="116">
        <v>318.95</v>
      </c>
      <c r="N688" s="116">
        <v>321.7</v>
      </c>
      <c r="O688" s="116">
        <v>315</v>
      </c>
      <c r="P688" s="116">
        <v>315</v>
      </c>
      <c r="Q688" s="116">
        <v>318.95</v>
      </c>
      <c r="R688">
        <v>2727282</v>
      </c>
    </row>
    <row r="689" spans="1:18" x14ac:dyDescent="0.25">
      <c r="A689" s="170">
        <v>43017</v>
      </c>
      <c r="B689" s="116">
        <v>320.75</v>
      </c>
      <c r="C689" s="116">
        <v>316.8</v>
      </c>
      <c r="D689" s="116">
        <v>315.5</v>
      </c>
      <c r="E689" s="116">
        <v>319.05</v>
      </c>
      <c r="F689" s="116">
        <v>316.8</v>
      </c>
      <c r="G689">
        <v>56946</v>
      </c>
      <c r="H689" s="116"/>
      <c r="I689" s="116"/>
      <c r="L689" s="170">
        <v>43017</v>
      </c>
      <c r="M689" s="116">
        <v>316.55</v>
      </c>
      <c r="N689" s="116">
        <v>320.5</v>
      </c>
      <c r="O689" s="116">
        <v>315</v>
      </c>
      <c r="P689" s="116">
        <v>319</v>
      </c>
      <c r="Q689" s="116">
        <v>316.55</v>
      </c>
      <c r="R689">
        <v>882134</v>
      </c>
    </row>
    <row r="690" spans="1:18" x14ac:dyDescent="0.25">
      <c r="A690" s="170">
        <v>43018</v>
      </c>
      <c r="B690" s="116">
        <v>318.89999999999998</v>
      </c>
      <c r="C690" s="116">
        <v>314.10000000000002</v>
      </c>
      <c r="D690" s="116">
        <v>312.75</v>
      </c>
      <c r="E690" s="116">
        <v>317</v>
      </c>
      <c r="F690" s="116">
        <v>314.10000000000002</v>
      </c>
      <c r="G690">
        <v>61394</v>
      </c>
      <c r="H690" s="116"/>
      <c r="I690" s="116"/>
      <c r="L690" s="170">
        <v>43018</v>
      </c>
      <c r="M690" s="116">
        <v>313.39999999999998</v>
      </c>
      <c r="N690" s="116">
        <v>318.8</v>
      </c>
      <c r="O690" s="116">
        <v>312.2</v>
      </c>
      <c r="P690" s="116">
        <v>317.64999999999998</v>
      </c>
      <c r="Q690" s="116">
        <v>313.39999999999998</v>
      </c>
      <c r="R690">
        <v>1194679</v>
      </c>
    </row>
    <row r="691" spans="1:18" x14ac:dyDescent="0.25">
      <c r="A691" s="170">
        <v>43019</v>
      </c>
      <c r="B691" s="116">
        <v>318</v>
      </c>
      <c r="C691" s="116">
        <v>309.2</v>
      </c>
      <c r="D691" s="116">
        <v>308.05</v>
      </c>
      <c r="E691" s="116">
        <v>315.10000000000002</v>
      </c>
      <c r="F691" s="116">
        <v>309.2</v>
      </c>
      <c r="G691">
        <v>95241</v>
      </c>
      <c r="H691" s="116"/>
      <c r="I691" s="116"/>
      <c r="L691" s="170">
        <v>43019</v>
      </c>
      <c r="M691" s="116">
        <v>309.35000000000002</v>
      </c>
      <c r="N691" s="116">
        <v>317.64999999999998</v>
      </c>
      <c r="O691" s="116">
        <v>307.95</v>
      </c>
      <c r="P691" s="116">
        <v>314.8</v>
      </c>
      <c r="Q691" s="116">
        <v>309.35000000000002</v>
      </c>
      <c r="R691">
        <v>1928064</v>
      </c>
    </row>
    <row r="692" spans="1:18" x14ac:dyDescent="0.25">
      <c r="A692" s="170">
        <v>43020</v>
      </c>
      <c r="B692" s="116">
        <v>315.5</v>
      </c>
      <c r="C692" s="116">
        <v>314.8</v>
      </c>
      <c r="D692" s="116">
        <v>310.2</v>
      </c>
      <c r="E692" s="116">
        <v>311.5</v>
      </c>
      <c r="F692" s="116">
        <v>314.8</v>
      </c>
      <c r="G692">
        <v>50305</v>
      </c>
      <c r="H692" s="116"/>
      <c r="I692" s="116"/>
      <c r="L692" s="170">
        <v>43020</v>
      </c>
      <c r="M692" s="116">
        <v>314.75</v>
      </c>
      <c r="N692" s="116">
        <v>316</v>
      </c>
      <c r="O692" s="116">
        <v>310.05</v>
      </c>
      <c r="P692" s="116">
        <v>311.95</v>
      </c>
      <c r="Q692" s="116">
        <v>314.75</v>
      </c>
      <c r="R692">
        <v>741526</v>
      </c>
    </row>
    <row r="693" spans="1:18" x14ac:dyDescent="0.25">
      <c r="A693" s="170">
        <v>43021</v>
      </c>
      <c r="B693" s="116">
        <v>323.5</v>
      </c>
      <c r="C693" s="116">
        <v>320.39999999999998</v>
      </c>
      <c r="D693" s="116">
        <v>316</v>
      </c>
      <c r="E693" s="116">
        <v>316</v>
      </c>
      <c r="F693" s="116">
        <v>320.39999999999998</v>
      </c>
      <c r="G693">
        <v>168470</v>
      </c>
      <c r="H693" s="116"/>
      <c r="I693" s="116"/>
      <c r="L693" s="170">
        <v>43021</v>
      </c>
      <c r="M693" s="116">
        <v>320.25</v>
      </c>
      <c r="N693" s="116">
        <v>323.8</v>
      </c>
      <c r="O693" s="116">
        <v>316.75</v>
      </c>
      <c r="P693" s="116">
        <v>317.10000000000002</v>
      </c>
      <c r="Q693" s="116">
        <v>320.25</v>
      </c>
      <c r="R693">
        <v>2059358</v>
      </c>
    </row>
    <row r="694" spans="1:18" x14ac:dyDescent="0.25">
      <c r="A694" s="170">
        <v>43024</v>
      </c>
      <c r="B694" s="116">
        <v>323.8</v>
      </c>
      <c r="C694" s="116">
        <v>319.89999999999998</v>
      </c>
      <c r="D694" s="116">
        <v>318.7</v>
      </c>
      <c r="E694" s="116">
        <v>321</v>
      </c>
      <c r="F694" s="116">
        <v>319.89999999999998</v>
      </c>
      <c r="G694">
        <v>64119</v>
      </c>
      <c r="H694" s="116"/>
      <c r="I694" s="116"/>
      <c r="L694" s="170">
        <v>43024</v>
      </c>
      <c r="M694" s="116">
        <v>319.85000000000002</v>
      </c>
      <c r="N694" s="116">
        <v>324</v>
      </c>
      <c r="O694" s="116">
        <v>318.2</v>
      </c>
      <c r="P694" s="116">
        <v>322</v>
      </c>
      <c r="Q694" s="116">
        <v>319.85000000000002</v>
      </c>
      <c r="R694">
        <v>945463</v>
      </c>
    </row>
    <row r="695" spans="1:18" x14ac:dyDescent="0.25">
      <c r="A695" s="170">
        <v>43025</v>
      </c>
      <c r="B695" s="116">
        <v>329.2</v>
      </c>
      <c r="C695" s="116">
        <v>326.75</v>
      </c>
      <c r="D695" s="116">
        <v>319.85000000000002</v>
      </c>
      <c r="E695" s="116">
        <v>321</v>
      </c>
      <c r="F695" s="116">
        <v>326.75</v>
      </c>
      <c r="G695">
        <v>182983</v>
      </c>
      <c r="H695" s="116"/>
      <c r="I695" s="116"/>
      <c r="L695" s="170">
        <v>43025</v>
      </c>
      <c r="M695" s="116">
        <v>326.75</v>
      </c>
      <c r="N695" s="116">
        <v>329.2</v>
      </c>
      <c r="O695" s="116">
        <v>319.60000000000002</v>
      </c>
      <c r="P695" s="116">
        <v>320.45</v>
      </c>
      <c r="Q695" s="116">
        <v>326.75</v>
      </c>
      <c r="R695">
        <v>2403125</v>
      </c>
    </row>
    <row r="696" spans="1:18" x14ac:dyDescent="0.25">
      <c r="A696" s="170">
        <v>43026</v>
      </c>
      <c r="B696" s="116">
        <v>327.25</v>
      </c>
      <c r="C696" s="116">
        <v>322.85000000000002</v>
      </c>
      <c r="D696" s="116">
        <v>319.35000000000002</v>
      </c>
      <c r="E696" s="116">
        <v>327</v>
      </c>
      <c r="F696" s="116">
        <v>322.85000000000002</v>
      </c>
      <c r="G696">
        <v>86510</v>
      </c>
      <c r="H696" s="116"/>
      <c r="I696" s="116"/>
      <c r="L696" s="170">
        <v>43026</v>
      </c>
      <c r="M696" s="116">
        <v>323.2</v>
      </c>
      <c r="N696" s="116">
        <v>327.5</v>
      </c>
      <c r="O696" s="116">
        <v>319.25</v>
      </c>
      <c r="P696" s="116">
        <v>325</v>
      </c>
      <c r="Q696" s="116">
        <v>323.2</v>
      </c>
      <c r="R696">
        <v>1251838</v>
      </c>
    </row>
    <row r="697" spans="1:18" x14ac:dyDescent="0.25">
      <c r="A697" s="170">
        <v>43027</v>
      </c>
      <c r="B697" s="116">
        <v>325</v>
      </c>
      <c r="C697" s="116">
        <v>322.2</v>
      </c>
      <c r="D697" s="116">
        <v>318.89999999999998</v>
      </c>
      <c r="E697" s="116">
        <v>325</v>
      </c>
      <c r="F697" s="116">
        <v>322.2</v>
      </c>
      <c r="G697">
        <v>32086</v>
      </c>
      <c r="H697" s="116"/>
      <c r="I697" s="116"/>
      <c r="L697" s="170">
        <v>43027</v>
      </c>
      <c r="M697" s="116">
        <v>322</v>
      </c>
      <c r="N697" s="116">
        <v>325</v>
      </c>
      <c r="O697" s="116">
        <v>318.3</v>
      </c>
      <c r="P697" s="116">
        <v>324.7</v>
      </c>
      <c r="Q697" s="116">
        <v>322</v>
      </c>
      <c r="R697">
        <v>255654</v>
      </c>
    </row>
    <row r="698" spans="1:18" x14ac:dyDescent="0.25">
      <c r="A698" s="170">
        <v>43031</v>
      </c>
      <c r="B698" s="116">
        <v>330.6</v>
      </c>
      <c r="C698" s="116">
        <v>317.8</v>
      </c>
      <c r="D698" s="116">
        <v>316.64999999999998</v>
      </c>
      <c r="E698" s="116">
        <v>322.35000000000002</v>
      </c>
      <c r="F698" s="116">
        <v>317.8</v>
      </c>
      <c r="G698">
        <v>389339</v>
      </c>
      <c r="H698" s="116"/>
      <c r="I698" s="116"/>
      <c r="L698" s="170">
        <v>43031</v>
      </c>
      <c r="M698" s="116">
        <v>318.5</v>
      </c>
      <c r="N698" s="116">
        <v>331</v>
      </c>
      <c r="O698" s="116">
        <v>317.05</v>
      </c>
      <c r="P698" s="116">
        <v>323.5</v>
      </c>
      <c r="Q698" s="116">
        <v>318.5</v>
      </c>
      <c r="R698">
        <v>4719756</v>
      </c>
    </row>
    <row r="699" spans="1:18" x14ac:dyDescent="0.25">
      <c r="A699" s="170">
        <v>43032</v>
      </c>
      <c r="B699" s="116">
        <v>320.89999999999998</v>
      </c>
      <c r="C699" s="116">
        <v>315.89999999999998</v>
      </c>
      <c r="D699" s="116">
        <v>313.5</v>
      </c>
      <c r="E699" s="116">
        <v>320.89999999999998</v>
      </c>
      <c r="F699" s="116">
        <v>315.89999999999998</v>
      </c>
      <c r="G699">
        <v>158498</v>
      </c>
      <c r="H699" s="116"/>
      <c r="I699" s="116"/>
      <c r="L699" s="170">
        <v>43032</v>
      </c>
      <c r="M699" s="116">
        <v>315.14999999999998</v>
      </c>
      <c r="N699" s="116">
        <v>321.39999999999998</v>
      </c>
      <c r="O699" s="116">
        <v>313</v>
      </c>
      <c r="P699" s="116">
        <v>320.5</v>
      </c>
      <c r="Q699" s="116">
        <v>315.14999999999998</v>
      </c>
      <c r="R699">
        <v>2570963</v>
      </c>
    </row>
    <row r="700" spans="1:18" x14ac:dyDescent="0.25">
      <c r="A700" s="170">
        <v>43033</v>
      </c>
      <c r="B700" s="116">
        <v>319.85000000000002</v>
      </c>
      <c r="C700" s="116">
        <v>318.85000000000002</v>
      </c>
      <c r="D700" s="116">
        <v>314.7</v>
      </c>
      <c r="E700" s="116">
        <v>319</v>
      </c>
      <c r="F700" s="116">
        <v>318.85000000000002</v>
      </c>
      <c r="G700">
        <v>85154</v>
      </c>
      <c r="H700" s="116"/>
      <c r="I700" s="116"/>
      <c r="L700" s="170">
        <v>43033</v>
      </c>
      <c r="M700" s="116">
        <v>319</v>
      </c>
      <c r="N700" s="116">
        <v>319.89999999999998</v>
      </c>
      <c r="O700" s="116">
        <v>314.10000000000002</v>
      </c>
      <c r="P700" s="116">
        <v>316</v>
      </c>
      <c r="Q700" s="116">
        <v>319</v>
      </c>
      <c r="R700">
        <v>1266550</v>
      </c>
    </row>
    <row r="701" spans="1:18" x14ac:dyDescent="0.25">
      <c r="A701" s="170">
        <v>43034</v>
      </c>
      <c r="B701" s="116">
        <v>323.14999999999998</v>
      </c>
      <c r="C701" s="116">
        <v>317.60000000000002</v>
      </c>
      <c r="D701" s="116">
        <v>317</v>
      </c>
      <c r="E701" s="116">
        <v>320.10000000000002</v>
      </c>
      <c r="F701" s="116">
        <v>317.60000000000002</v>
      </c>
      <c r="G701">
        <v>98326</v>
      </c>
      <c r="H701" s="116"/>
      <c r="I701" s="116"/>
      <c r="L701" s="170">
        <v>43034</v>
      </c>
      <c r="M701" s="116">
        <v>317.14999999999998</v>
      </c>
      <c r="N701" s="116">
        <v>323.45</v>
      </c>
      <c r="O701" s="116">
        <v>316.05</v>
      </c>
      <c r="P701" s="116">
        <v>321</v>
      </c>
      <c r="Q701" s="116">
        <v>317.14999999999998</v>
      </c>
      <c r="R701">
        <v>2313442</v>
      </c>
    </row>
    <row r="702" spans="1:18" x14ac:dyDescent="0.25">
      <c r="A702" s="170">
        <v>43035</v>
      </c>
      <c r="B702" s="116">
        <v>323.35000000000002</v>
      </c>
      <c r="C702" s="116">
        <v>315.95</v>
      </c>
      <c r="D702" s="116">
        <v>314.5</v>
      </c>
      <c r="E702" s="116">
        <v>318</v>
      </c>
      <c r="F702" s="116">
        <v>315.95</v>
      </c>
      <c r="G702">
        <v>58924</v>
      </c>
      <c r="H702" s="116"/>
      <c r="I702" s="116"/>
      <c r="L702" s="170">
        <v>43035</v>
      </c>
      <c r="M702" s="116">
        <v>316</v>
      </c>
      <c r="N702" s="116">
        <v>321.05</v>
      </c>
      <c r="O702" s="116">
        <v>314.25</v>
      </c>
      <c r="P702" s="116">
        <v>318.39999999999998</v>
      </c>
      <c r="Q702" s="116">
        <v>316</v>
      </c>
      <c r="R702">
        <v>853761</v>
      </c>
    </row>
    <row r="703" spans="1:18" x14ac:dyDescent="0.25">
      <c r="A703" s="170">
        <v>43038</v>
      </c>
      <c r="B703" s="116">
        <v>320</v>
      </c>
      <c r="C703" s="116">
        <v>317.85000000000002</v>
      </c>
      <c r="D703" s="116">
        <v>315.5</v>
      </c>
      <c r="E703" s="116">
        <v>317</v>
      </c>
      <c r="F703" s="116">
        <v>317.85000000000002</v>
      </c>
      <c r="G703">
        <v>52752</v>
      </c>
      <c r="H703" s="116"/>
      <c r="I703" s="116"/>
      <c r="L703" s="170">
        <v>43038</v>
      </c>
      <c r="M703" s="116">
        <v>317.85000000000002</v>
      </c>
      <c r="N703" s="116">
        <v>319.89999999999998</v>
      </c>
      <c r="O703" s="116">
        <v>315.25</v>
      </c>
      <c r="P703" s="116">
        <v>317</v>
      </c>
      <c r="Q703" s="116">
        <v>317.85000000000002</v>
      </c>
      <c r="R703">
        <v>558117</v>
      </c>
    </row>
    <row r="704" spans="1:18" x14ac:dyDescent="0.25">
      <c r="A704" s="170">
        <v>43039</v>
      </c>
      <c r="B704" s="116">
        <v>321.89999999999998</v>
      </c>
      <c r="C704" s="116">
        <v>315.45</v>
      </c>
      <c r="D704" s="116">
        <v>312.5</v>
      </c>
      <c r="E704" s="116">
        <v>318</v>
      </c>
      <c r="F704" s="116">
        <v>315.45</v>
      </c>
      <c r="G704">
        <v>73411</v>
      </c>
      <c r="H704" s="116"/>
      <c r="I704" s="116"/>
      <c r="L704" s="170">
        <v>43039</v>
      </c>
      <c r="M704" s="116">
        <v>315.25</v>
      </c>
      <c r="N704" s="116">
        <v>322.05</v>
      </c>
      <c r="O704" s="116">
        <v>312.60000000000002</v>
      </c>
      <c r="P704" s="116">
        <v>318.5</v>
      </c>
      <c r="Q704" s="116">
        <v>315.25</v>
      </c>
      <c r="R704">
        <v>1360354</v>
      </c>
    </row>
    <row r="705" spans="1:18" x14ac:dyDescent="0.25">
      <c r="A705" s="170">
        <v>43040</v>
      </c>
      <c r="B705" s="116">
        <v>326</v>
      </c>
      <c r="C705" s="116">
        <v>324.60000000000002</v>
      </c>
      <c r="D705" s="116">
        <v>316</v>
      </c>
      <c r="E705" s="116">
        <v>316.05</v>
      </c>
      <c r="F705" s="116">
        <v>324.60000000000002</v>
      </c>
      <c r="G705">
        <v>274395</v>
      </c>
      <c r="H705" s="116"/>
      <c r="I705" s="116"/>
      <c r="L705" s="170">
        <v>43040</v>
      </c>
      <c r="M705" s="116">
        <v>324.60000000000002</v>
      </c>
      <c r="N705" s="116">
        <v>326.10000000000002</v>
      </c>
      <c r="O705" s="116">
        <v>316</v>
      </c>
      <c r="P705" s="116">
        <v>316.5</v>
      </c>
      <c r="Q705" s="116">
        <v>324.60000000000002</v>
      </c>
      <c r="R705">
        <v>2011702</v>
      </c>
    </row>
    <row r="706" spans="1:18" x14ac:dyDescent="0.25">
      <c r="A706" s="170">
        <v>43041</v>
      </c>
      <c r="B706" s="116">
        <v>328</v>
      </c>
      <c r="C706" s="116">
        <v>321.60000000000002</v>
      </c>
      <c r="D706" s="116">
        <v>321</v>
      </c>
      <c r="E706" s="116">
        <v>325</v>
      </c>
      <c r="F706" s="116">
        <v>321.60000000000002</v>
      </c>
      <c r="G706">
        <v>188313</v>
      </c>
      <c r="H706" s="116"/>
      <c r="I706" s="116"/>
      <c r="L706" s="170">
        <v>43041</v>
      </c>
      <c r="M706" s="116">
        <v>321.75</v>
      </c>
      <c r="N706" s="116">
        <v>328.35</v>
      </c>
      <c r="O706" s="116">
        <v>320.3</v>
      </c>
      <c r="P706" s="116">
        <v>326.45</v>
      </c>
      <c r="Q706" s="116">
        <v>321.75</v>
      </c>
      <c r="R706">
        <v>1916424</v>
      </c>
    </row>
    <row r="707" spans="1:18" x14ac:dyDescent="0.25">
      <c r="A707" s="170">
        <v>43042</v>
      </c>
      <c r="B707" s="116">
        <v>324.8</v>
      </c>
      <c r="C707" s="116">
        <v>322.14999999999998</v>
      </c>
      <c r="D707" s="116">
        <v>320</v>
      </c>
      <c r="E707" s="116">
        <v>324.8</v>
      </c>
      <c r="F707" s="116">
        <v>322.14999999999998</v>
      </c>
      <c r="G707">
        <v>139913</v>
      </c>
      <c r="H707" s="116"/>
      <c r="I707" s="116"/>
      <c r="L707" s="170">
        <v>43042</v>
      </c>
      <c r="M707" s="116">
        <v>322.3</v>
      </c>
      <c r="N707" s="116">
        <v>324.75</v>
      </c>
      <c r="O707" s="116">
        <v>319.60000000000002</v>
      </c>
      <c r="P707" s="116">
        <v>323.39999999999998</v>
      </c>
      <c r="Q707" s="116">
        <v>322.3</v>
      </c>
      <c r="R707">
        <v>1001669</v>
      </c>
    </row>
    <row r="708" spans="1:18" x14ac:dyDescent="0.25">
      <c r="A708" s="170">
        <v>43045</v>
      </c>
      <c r="B708" s="116">
        <v>325.45</v>
      </c>
      <c r="C708" s="116">
        <v>323.3</v>
      </c>
      <c r="D708" s="116">
        <v>320.10000000000002</v>
      </c>
      <c r="E708" s="116">
        <v>322.14999999999998</v>
      </c>
      <c r="F708" s="116">
        <v>323.3</v>
      </c>
      <c r="G708">
        <v>102017</v>
      </c>
      <c r="H708" s="116"/>
      <c r="I708" s="116"/>
      <c r="L708" s="170">
        <v>43045</v>
      </c>
      <c r="M708" s="116">
        <v>323.75</v>
      </c>
      <c r="N708" s="116">
        <v>326</v>
      </c>
      <c r="O708" s="116">
        <v>319.89999999999998</v>
      </c>
      <c r="P708" s="116">
        <v>321</v>
      </c>
      <c r="Q708" s="116">
        <v>323.75</v>
      </c>
      <c r="R708">
        <v>1475401</v>
      </c>
    </row>
    <row r="709" spans="1:18" x14ac:dyDescent="0.25">
      <c r="A709" s="170">
        <v>43046</v>
      </c>
      <c r="B709" s="116">
        <v>327.5</v>
      </c>
      <c r="C709" s="116">
        <v>318</v>
      </c>
      <c r="D709" s="116">
        <v>316</v>
      </c>
      <c r="E709" s="116">
        <v>325</v>
      </c>
      <c r="F709" s="116">
        <v>318</v>
      </c>
      <c r="G709">
        <v>170122</v>
      </c>
      <c r="H709" s="116"/>
      <c r="I709" s="116"/>
      <c r="L709" s="170">
        <v>43046</v>
      </c>
      <c r="M709" s="116">
        <v>318.64999999999998</v>
      </c>
      <c r="N709" s="116">
        <v>328.2</v>
      </c>
      <c r="O709" s="116">
        <v>315.64999999999998</v>
      </c>
      <c r="P709" s="116">
        <v>326.85000000000002</v>
      </c>
      <c r="Q709" s="116">
        <v>318.64999999999998</v>
      </c>
      <c r="R709">
        <v>1805246</v>
      </c>
    </row>
    <row r="710" spans="1:18" x14ac:dyDescent="0.25">
      <c r="A710" s="170">
        <v>43047</v>
      </c>
      <c r="B710" s="116">
        <v>322.2</v>
      </c>
      <c r="C710" s="116">
        <v>312.95</v>
      </c>
      <c r="D710" s="116">
        <v>310.45</v>
      </c>
      <c r="E710" s="116">
        <v>319</v>
      </c>
      <c r="F710" s="116">
        <v>312.95</v>
      </c>
      <c r="G710">
        <v>87334</v>
      </c>
      <c r="H710" s="116"/>
      <c r="I710" s="116"/>
      <c r="L710" s="170">
        <v>43047</v>
      </c>
      <c r="M710" s="116">
        <v>312.35000000000002</v>
      </c>
      <c r="N710" s="116">
        <v>322.5</v>
      </c>
      <c r="O710" s="116">
        <v>309.45</v>
      </c>
      <c r="P710" s="116">
        <v>318</v>
      </c>
      <c r="Q710" s="116">
        <v>312.35000000000002</v>
      </c>
      <c r="R710">
        <v>1695681</v>
      </c>
    </row>
    <row r="711" spans="1:18" x14ac:dyDescent="0.25">
      <c r="A711" s="170">
        <v>43048</v>
      </c>
      <c r="B711" s="116">
        <v>317.2</v>
      </c>
      <c r="C711" s="116">
        <v>314.25</v>
      </c>
      <c r="D711" s="116">
        <v>311.64999999999998</v>
      </c>
      <c r="E711" s="116">
        <v>314</v>
      </c>
      <c r="F711" s="116">
        <v>314.25</v>
      </c>
      <c r="G711">
        <v>65977</v>
      </c>
      <c r="H711" s="116"/>
      <c r="I711" s="116"/>
      <c r="L711" s="170">
        <v>43048</v>
      </c>
      <c r="M711" s="116">
        <v>314.55</v>
      </c>
      <c r="N711" s="116">
        <v>317.45</v>
      </c>
      <c r="O711" s="116">
        <v>311.25</v>
      </c>
      <c r="P711" s="116">
        <v>312</v>
      </c>
      <c r="Q711" s="116">
        <v>314.55</v>
      </c>
      <c r="R711">
        <v>895408</v>
      </c>
    </row>
    <row r="712" spans="1:18" x14ac:dyDescent="0.25">
      <c r="A712" s="170">
        <v>43049</v>
      </c>
      <c r="B712" s="116">
        <v>317.2</v>
      </c>
      <c r="C712" s="116">
        <v>312.95</v>
      </c>
      <c r="D712" s="116">
        <v>310.7</v>
      </c>
      <c r="E712" s="116">
        <v>312</v>
      </c>
      <c r="F712" s="116">
        <v>312.95</v>
      </c>
      <c r="G712">
        <v>48284</v>
      </c>
      <c r="H712" s="116"/>
      <c r="I712" s="116"/>
      <c r="L712" s="170">
        <v>43049</v>
      </c>
      <c r="M712" s="116">
        <v>312.64999999999998</v>
      </c>
      <c r="N712" s="116">
        <v>317.10000000000002</v>
      </c>
      <c r="O712" s="116">
        <v>311.14999999999998</v>
      </c>
      <c r="P712" s="116">
        <v>314</v>
      </c>
      <c r="Q712" s="116">
        <v>312.64999999999998</v>
      </c>
      <c r="R712">
        <v>1410317</v>
      </c>
    </row>
    <row r="713" spans="1:18" x14ac:dyDescent="0.25">
      <c r="A713" s="170">
        <v>43052</v>
      </c>
      <c r="B713" s="116">
        <v>314.2</v>
      </c>
      <c r="C713" s="116">
        <v>310.5</v>
      </c>
      <c r="D713" s="116">
        <v>309</v>
      </c>
      <c r="E713" s="116">
        <v>310</v>
      </c>
      <c r="F713" s="116">
        <v>310.5</v>
      </c>
      <c r="G713">
        <v>44416</v>
      </c>
      <c r="H713" s="116"/>
      <c r="I713" s="116"/>
      <c r="L713" s="170">
        <v>43052</v>
      </c>
      <c r="M713" s="116">
        <v>310.45</v>
      </c>
      <c r="N713" s="116">
        <v>314.35000000000002</v>
      </c>
      <c r="O713" s="116">
        <v>309</v>
      </c>
      <c r="P713" s="116">
        <v>312.64999999999998</v>
      </c>
      <c r="Q713" s="116">
        <v>310.45</v>
      </c>
      <c r="R713">
        <v>718526</v>
      </c>
    </row>
    <row r="714" spans="1:18" x14ac:dyDescent="0.25">
      <c r="A714" s="170">
        <v>43053</v>
      </c>
      <c r="B714" s="116">
        <v>314.5</v>
      </c>
      <c r="C714" s="116">
        <v>309.85000000000002</v>
      </c>
      <c r="D714" s="116">
        <v>308.45</v>
      </c>
      <c r="E714" s="116">
        <v>314.5</v>
      </c>
      <c r="F714" s="116">
        <v>309.85000000000002</v>
      </c>
      <c r="G714">
        <v>51629</v>
      </c>
      <c r="H714" s="116"/>
      <c r="I714" s="116"/>
      <c r="L714" s="170">
        <v>43053</v>
      </c>
      <c r="M714" s="116">
        <v>309.89999999999998</v>
      </c>
      <c r="N714" s="116">
        <v>313.95</v>
      </c>
      <c r="O714" s="116">
        <v>308.55</v>
      </c>
      <c r="P714" s="116">
        <v>312.95</v>
      </c>
      <c r="Q714" s="116">
        <v>309.89999999999998</v>
      </c>
      <c r="R714">
        <v>729813</v>
      </c>
    </row>
    <row r="715" spans="1:18" x14ac:dyDescent="0.25">
      <c r="A715" s="170">
        <v>43054</v>
      </c>
      <c r="B715" s="116">
        <v>306.45</v>
      </c>
      <c r="C715" s="116">
        <v>296.45</v>
      </c>
      <c r="D715" s="116">
        <v>294.8</v>
      </c>
      <c r="E715" s="116">
        <v>305</v>
      </c>
      <c r="F715" s="116">
        <v>296.45</v>
      </c>
      <c r="G715">
        <v>139409</v>
      </c>
      <c r="H715" s="116"/>
      <c r="I715" s="116"/>
      <c r="L715" s="170">
        <v>43054</v>
      </c>
      <c r="M715" s="116">
        <v>296.39999999999998</v>
      </c>
      <c r="N715" s="116">
        <v>307.60000000000002</v>
      </c>
      <c r="O715" s="116">
        <v>294.5</v>
      </c>
      <c r="P715" s="116">
        <v>307</v>
      </c>
      <c r="Q715" s="116">
        <v>296.39999999999998</v>
      </c>
      <c r="R715">
        <v>1822515</v>
      </c>
    </row>
    <row r="716" spans="1:18" x14ac:dyDescent="0.25">
      <c r="A716" s="170">
        <v>43055</v>
      </c>
      <c r="B716" s="116">
        <v>303</v>
      </c>
      <c r="C716" s="116">
        <v>301.8</v>
      </c>
      <c r="D716" s="116">
        <v>293.39999999999998</v>
      </c>
      <c r="E716" s="116">
        <v>293.39999999999998</v>
      </c>
      <c r="F716" s="116">
        <v>301.8</v>
      </c>
      <c r="G716">
        <v>62357</v>
      </c>
      <c r="H716" s="116"/>
      <c r="I716" s="116"/>
      <c r="L716" s="170">
        <v>43055</v>
      </c>
      <c r="M716" s="116">
        <v>301.8</v>
      </c>
      <c r="N716" s="116">
        <v>303.45</v>
      </c>
      <c r="O716" s="116">
        <v>295.05</v>
      </c>
      <c r="P716" s="116">
        <v>299.75</v>
      </c>
      <c r="Q716" s="116">
        <v>301.8</v>
      </c>
      <c r="R716">
        <v>970788</v>
      </c>
    </row>
    <row r="717" spans="1:18" x14ac:dyDescent="0.25">
      <c r="A717" s="170">
        <v>43056</v>
      </c>
      <c r="B717" s="116">
        <v>312.3</v>
      </c>
      <c r="C717" s="116">
        <v>310.75</v>
      </c>
      <c r="D717" s="116">
        <v>302</v>
      </c>
      <c r="E717" s="116">
        <v>302</v>
      </c>
      <c r="F717" s="116">
        <v>310.75</v>
      </c>
      <c r="G717">
        <v>79346</v>
      </c>
      <c r="H717" s="116"/>
      <c r="I717" s="116"/>
      <c r="L717" s="170">
        <v>43056</v>
      </c>
      <c r="M717" s="116">
        <v>310.95</v>
      </c>
      <c r="N717" s="116">
        <v>313.5</v>
      </c>
      <c r="O717" s="116">
        <v>305.2</v>
      </c>
      <c r="P717" s="116">
        <v>305.85000000000002</v>
      </c>
      <c r="Q717" s="116">
        <v>310.95</v>
      </c>
      <c r="R717">
        <v>1711208</v>
      </c>
    </row>
    <row r="718" spans="1:18" x14ac:dyDescent="0.25">
      <c r="A718" s="170">
        <v>43059</v>
      </c>
      <c r="B718" s="116">
        <v>315.85000000000002</v>
      </c>
      <c r="C718" s="116">
        <v>314.95</v>
      </c>
      <c r="D718" s="116">
        <v>306.89999999999998</v>
      </c>
      <c r="E718" s="116">
        <v>310.75</v>
      </c>
      <c r="F718" s="116">
        <v>314.95</v>
      </c>
      <c r="G718">
        <v>81728</v>
      </c>
      <c r="H718" s="116"/>
      <c r="I718" s="116"/>
      <c r="L718" s="170">
        <v>43059</v>
      </c>
      <c r="M718" s="116">
        <v>315</v>
      </c>
      <c r="N718" s="116">
        <v>316.5</v>
      </c>
      <c r="O718" s="116">
        <v>306.89999999999998</v>
      </c>
      <c r="P718" s="116">
        <v>310.85000000000002</v>
      </c>
      <c r="Q718" s="116">
        <v>315</v>
      </c>
      <c r="R718">
        <v>1363809</v>
      </c>
    </row>
    <row r="719" spans="1:18" x14ac:dyDescent="0.25">
      <c r="A719" s="170">
        <v>43060</v>
      </c>
      <c r="B719" s="116">
        <v>319.14999999999998</v>
      </c>
      <c r="C719" s="116">
        <v>316.10000000000002</v>
      </c>
      <c r="D719" s="116">
        <v>313.7</v>
      </c>
      <c r="E719" s="116">
        <v>315.2</v>
      </c>
      <c r="F719" s="116">
        <v>316.10000000000002</v>
      </c>
      <c r="G719">
        <v>99141</v>
      </c>
      <c r="H719" s="116"/>
      <c r="I719" s="116"/>
      <c r="L719" s="170">
        <v>43060</v>
      </c>
      <c r="M719" s="116">
        <v>317.14999999999998</v>
      </c>
      <c r="N719" s="116">
        <v>319.89999999999998</v>
      </c>
      <c r="O719" s="116">
        <v>314</v>
      </c>
      <c r="P719" s="116">
        <v>318</v>
      </c>
      <c r="Q719" s="116">
        <v>317.14999999999998</v>
      </c>
      <c r="R719">
        <v>1035867</v>
      </c>
    </row>
    <row r="720" spans="1:18" x14ac:dyDescent="0.25">
      <c r="A720" s="170">
        <v>43061</v>
      </c>
      <c r="B720" s="116">
        <v>320.14999999999998</v>
      </c>
      <c r="C720" s="116">
        <v>313.2</v>
      </c>
      <c r="D720" s="116">
        <v>311.14999999999998</v>
      </c>
      <c r="E720" s="116">
        <v>319</v>
      </c>
      <c r="F720" s="116">
        <v>313.2</v>
      </c>
      <c r="G720">
        <v>71199</v>
      </c>
      <c r="H720" s="116"/>
      <c r="I720" s="116"/>
      <c r="L720" s="170">
        <v>43061</v>
      </c>
      <c r="M720" s="116">
        <v>313.7</v>
      </c>
      <c r="N720" s="116">
        <v>320.5</v>
      </c>
      <c r="O720" s="116">
        <v>312.3</v>
      </c>
      <c r="P720" s="116">
        <v>318</v>
      </c>
      <c r="Q720" s="116">
        <v>313.7</v>
      </c>
      <c r="R720">
        <v>765141</v>
      </c>
    </row>
    <row r="721" spans="1:18" x14ac:dyDescent="0.25">
      <c r="A721" s="170">
        <v>43062</v>
      </c>
      <c r="B721" s="116">
        <v>314.64999999999998</v>
      </c>
      <c r="C721" s="116">
        <v>313.14999999999998</v>
      </c>
      <c r="D721" s="116">
        <v>312</v>
      </c>
      <c r="E721" s="116">
        <v>314.39999999999998</v>
      </c>
      <c r="F721" s="116">
        <v>313.14999999999998</v>
      </c>
      <c r="G721">
        <v>42124</v>
      </c>
      <c r="H721" s="116"/>
      <c r="I721" s="116"/>
      <c r="L721" s="170">
        <v>43062</v>
      </c>
      <c r="M721" s="116">
        <v>313.60000000000002</v>
      </c>
      <c r="N721" s="116">
        <v>316</v>
      </c>
      <c r="O721" s="116">
        <v>311.95</v>
      </c>
      <c r="P721" s="116">
        <v>312</v>
      </c>
      <c r="Q721" s="116">
        <v>313.60000000000002</v>
      </c>
      <c r="R721">
        <v>1618403</v>
      </c>
    </row>
    <row r="722" spans="1:18" x14ac:dyDescent="0.25">
      <c r="A722" s="170">
        <v>43063</v>
      </c>
      <c r="B722" s="116">
        <v>315</v>
      </c>
      <c r="C722" s="116">
        <v>309.35000000000002</v>
      </c>
      <c r="D722" s="116">
        <v>306.85000000000002</v>
      </c>
      <c r="E722" s="116">
        <v>315</v>
      </c>
      <c r="F722" s="116">
        <v>309.35000000000002</v>
      </c>
      <c r="G722">
        <v>77756</v>
      </c>
      <c r="H722" s="116"/>
      <c r="I722" s="116"/>
      <c r="L722" s="170">
        <v>43063</v>
      </c>
      <c r="M722" s="116">
        <v>308.89999999999998</v>
      </c>
      <c r="N722" s="116">
        <v>312</v>
      </c>
      <c r="O722" s="116">
        <v>306.7</v>
      </c>
      <c r="P722" s="116">
        <v>311</v>
      </c>
      <c r="Q722" s="116">
        <v>308.89999999999998</v>
      </c>
      <c r="R722">
        <v>1126200</v>
      </c>
    </row>
    <row r="723" spans="1:18" x14ac:dyDescent="0.25">
      <c r="A723" s="170">
        <v>43066</v>
      </c>
      <c r="B723" s="116">
        <v>308.75</v>
      </c>
      <c r="C723" s="116">
        <v>305.7</v>
      </c>
      <c r="D723" s="116">
        <v>303.3</v>
      </c>
      <c r="E723" s="116">
        <v>308.75</v>
      </c>
      <c r="F723" s="116">
        <v>305.7</v>
      </c>
      <c r="G723">
        <v>76564</v>
      </c>
      <c r="H723" s="116"/>
      <c r="I723" s="116"/>
      <c r="L723" s="170">
        <v>43066</v>
      </c>
      <c r="M723" s="116">
        <v>305.25</v>
      </c>
      <c r="N723" s="116">
        <v>308.5</v>
      </c>
      <c r="O723" s="116">
        <v>303</v>
      </c>
      <c r="P723" s="116">
        <v>306.10000000000002</v>
      </c>
      <c r="Q723" s="116">
        <v>305.25</v>
      </c>
      <c r="R723">
        <v>691309</v>
      </c>
    </row>
    <row r="724" spans="1:18" x14ac:dyDescent="0.25">
      <c r="A724" s="170">
        <v>43067</v>
      </c>
      <c r="B724" s="116">
        <v>310</v>
      </c>
      <c r="C724" s="116">
        <v>303</v>
      </c>
      <c r="D724" s="116">
        <v>301.75</v>
      </c>
      <c r="E724" s="116">
        <v>310</v>
      </c>
      <c r="F724" s="116">
        <v>303</v>
      </c>
      <c r="G724">
        <v>50907</v>
      </c>
      <c r="H724" s="116"/>
      <c r="I724" s="116"/>
      <c r="L724" s="170">
        <v>43067</v>
      </c>
      <c r="M724" s="116">
        <v>302.10000000000002</v>
      </c>
      <c r="N724" s="116">
        <v>306.89999999999998</v>
      </c>
      <c r="O724" s="116">
        <v>301</v>
      </c>
      <c r="P724" s="116">
        <v>305.45</v>
      </c>
      <c r="Q724" s="116">
        <v>302.10000000000002</v>
      </c>
      <c r="R724">
        <v>1020233</v>
      </c>
    </row>
    <row r="725" spans="1:18" x14ac:dyDescent="0.25">
      <c r="A725" s="170">
        <v>43068</v>
      </c>
      <c r="B725" s="116">
        <v>309.7</v>
      </c>
      <c r="C725" s="116">
        <v>303.55</v>
      </c>
      <c r="D725" s="116">
        <v>302.60000000000002</v>
      </c>
      <c r="E725" s="116">
        <v>303.85000000000002</v>
      </c>
      <c r="F725" s="116">
        <v>303.55</v>
      </c>
      <c r="G725">
        <v>140700</v>
      </c>
      <c r="H725" s="116"/>
      <c r="I725" s="116"/>
      <c r="L725" s="170">
        <v>43068</v>
      </c>
      <c r="M725" s="116">
        <v>303.5</v>
      </c>
      <c r="N725" s="116">
        <v>309.5</v>
      </c>
      <c r="O725" s="116">
        <v>302.39999999999998</v>
      </c>
      <c r="P725" s="116">
        <v>304</v>
      </c>
      <c r="Q725" s="116">
        <v>303.5</v>
      </c>
      <c r="R725">
        <v>1384530</v>
      </c>
    </row>
    <row r="726" spans="1:18" x14ac:dyDescent="0.25">
      <c r="A726" s="170">
        <v>43069</v>
      </c>
      <c r="B726" s="116">
        <v>305.10000000000002</v>
      </c>
      <c r="C726" s="116">
        <v>299.64999999999998</v>
      </c>
      <c r="D726" s="116">
        <v>298.3</v>
      </c>
      <c r="E726" s="116">
        <v>303.64999999999998</v>
      </c>
      <c r="F726" s="116">
        <v>299.64999999999998</v>
      </c>
      <c r="G726">
        <v>53090</v>
      </c>
      <c r="H726" s="116"/>
      <c r="I726" s="116"/>
      <c r="L726" s="170">
        <v>43069</v>
      </c>
      <c r="M726" s="116">
        <v>299.39999999999998</v>
      </c>
      <c r="N726" s="116">
        <v>305.39999999999998</v>
      </c>
      <c r="O726" s="116">
        <v>297.75</v>
      </c>
      <c r="P726" s="116">
        <v>302</v>
      </c>
      <c r="Q726" s="116">
        <v>299.39999999999998</v>
      </c>
      <c r="R726">
        <v>798397</v>
      </c>
    </row>
    <row r="727" spans="1:18" x14ac:dyDescent="0.25">
      <c r="A727" s="170">
        <v>43070</v>
      </c>
      <c r="B727" s="116">
        <v>304</v>
      </c>
      <c r="C727" s="116">
        <v>296.8</v>
      </c>
      <c r="D727" s="116">
        <v>296</v>
      </c>
      <c r="E727" s="116">
        <v>304</v>
      </c>
      <c r="F727" s="116">
        <v>296.8</v>
      </c>
      <c r="G727">
        <v>66676</v>
      </c>
      <c r="H727" s="116"/>
      <c r="I727" s="116"/>
      <c r="L727" s="170">
        <v>43070</v>
      </c>
      <c r="M727" s="116">
        <v>296.60000000000002</v>
      </c>
      <c r="N727" s="116">
        <v>302.39999999999998</v>
      </c>
      <c r="O727" s="116">
        <v>295.7</v>
      </c>
      <c r="P727" s="116">
        <v>301.95</v>
      </c>
      <c r="Q727" s="116">
        <v>296.60000000000002</v>
      </c>
      <c r="R727">
        <v>779286</v>
      </c>
    </row>
    <row r="728" spans="1:18" x14ac:dyDescent="0.25">
      <c r="A728" s="170">
        <v>43073</v>
      </c>
      <c r="B728" s="116">
        <v>301.35000000000002</v>
      </c>
      <c r="C728" s="116">
        <v>298.95</v>
      </c>
      <c r="D728" s="116">
        <v>295.85000000000002</v>
      </c>
      <c r="E728" s="116">
        <v>297.85000000000002</v>
      </c>
      <c r="F728" s="116">
        <v>298.95</v>
      </c>
      <c r="G728">
        <v>49918</v>
      </c>
      <c r="H728" s="116"/>
      <c r="I728" s="116"/>
      <c r="L728" s="170">
        <v>43073</v>
      </c>
      <c r="M728" s="116">
        <v>299.7</v>
      </c>
      <c r="N728" s="116">
        <v>301.5</v>
      </c>
      <c r="O728" s="116">
        <v>296.05</v>
      </c>
      <c r="P728" s="116">
        <v>297</v>
      </c>
      <c r="Q728" s="116">
        <v>299.7</v>
      </c>
      <c r="R728">
        <v>501120</v>
      </c>
    </row>
    <row r="729" spans="1:18" x14ac:dyDescent="0.25">
      <c r="A729" s="170">
        <v>43074</v>
      </c>
      <c r="B729" s="116">
        <v>298.85000000000002</v>
      </c>
      <c r="C729" s="116">
        <v>295.2</v>
      </c>
      <c r="D729" s="116">
        <v>294.55</v>
      </c>
      <c r="E729" s="116">
        <v>298.85000000000002</v>
      </c>
      <c r="F729" s="116">
        <v>295.2</v>
      </c>
      <c r="G729">
        <v>54021</v>
      </c>
      <c r="H729" s="116"/>
      <c r="I729" s="116"/>
      <c r="L729" s="170">
        <v>43074</v>
      </c>
      <c r="M729" s="116">
        <v>295.89999999999998</v>
      </c>
      <c r="N729" s="116">
        <v>298.89999999999998</v>
      </c>
      <c r="O729" s="116">
        <v>294.5</v>
      </c>
      <c r="P729" s="116">
        <v>296.25</v>
      </c>
      <c r="Q729" s="116">
        <v>295.89999999999998</v>
      </c>
      <c r="R729">
        <v>605956</v>
      </c>
    </row>
    <row r="730" spans="1:18" x14ac:dyDescent="0.25">
      <c r="A730" s="170">
        <v>43075</v>
      </c>
      <c r="B730" s="116">
        <v>293</v>
      </c>
      <c r="C730" s="116">
        <v>286.05</v>
      </c>
      <c r="D730" s="116">
        <v>284.8</v>
      </c>
      <c r="E730" s="116">
        <v>293</v>
      </c>
      <c r="F730" s="116">
        <v>286.05</v>
      </c>
      <c r="G730">
        <v>151274</v>
      </c>
      <c r="H730" s="116"/>
      <c r="I730" s="116"/>
      <c r="L730" s="170">
        <v>43075</v>
      </c>
      <c r="M730" s="116">
        <v>285.85000000000002</v>
      </c>
      <c r="N730" s="116">
        <v>292.05</v>
      </c>
      <c r="O730" s="116">
        <v>284.5</v>
      </c>
      <c r="P730" s="116">
        <v>292</v>
      </c>
      <c r="Q730" s="116">
        <v>285.85000000000002</v>
      </c>
      <c r="R730">
        <v>1819982</v>
      </c>
    </row>
    <row r="731" spans="1:18" x14ac:dyDescent="0.25">
      <c r="A731" s="170">
        <v>43076</v>
      </c>
      <c r="B731" s="116">
        <v>288.7</v>
      </c>
      <c r="C731" s="116">
        <v>287.64999999999998</v>
      </c>
      <c r="D731" s="116">
        <v>281.39999999999998</v>
      </c>
      <c r="E731" s="116">
        <v>284</v>
      </c>
      <c r="F731" s="116">
        <v>287.64999999999998</v>
      </c>
      <c r="G731">
        <v>119568</v>
      </c>
      <c r="H731" s="116"/>
      <c r="I731" s="116"/>
      <c r="L731" s="170">
        <v>43076</v>
      </c>
      <c r="M731" s="116">
        <v>287.39999999999998</v>
      </c>
      <c r="N731" s="116">
        <v>288.39999999999998</v>
      </c>
      <c r="O731" s="116">
        <v>281.25</v>
      </c>
      <c r="P731" s="116">
        <v>284.10000000000002</v>
      </c>
      <c r="Q731" s="116">
        <v>287.39999999999998</v>
      </c>
      <c r="R731">
        <v>2184178</v>
      </c>
    </row>
    <row r="732" spans="1:18" x14ac:dyDescent="0.25">
      <c r="A732" s="170">
        <v>43077</v>
      </c>
      <c r="B732" s="116">
        <v>292.7</v>
      </c>
      <c r="C732" s="116">
        <v>291.64999999999998</v>
      </c>
      <c r="D732" s="116">
        <v>287.64999999999998</v>
      </c>
      <c r="E732" s="116">
        <v>287.64999999999998</v>
      </c>
      <c r="F732" s="116">
        <v>291.64999999999998</v>
      </c>
      <c r="G732">
        <v>65770</v>
      </c>
      <c r="H732" s="116"/>
      <c r="I732" s="116"/>
      <c r="L732" s="170">
        <v>43077</v>
      </c>
      <c r="M732" s="116">
        <v>292.14999999999998</v>
      </c>
      <c r="N732" s="116">
        <v>292.75</v>
      </c>
      <c r="O732" s="116">
        <v>286.05</v>
      </c>
      <c r="P732" s="116">
        <v>288.35000000000002</v>
      </c>
      <c r="Q732" s="116">
        <v>292.14999999999998</v>
      </c>
      <c r="R732">
        <v>1160221</v>
      </c>
    </row>
    <row r="733" spans="1:18" x14ac:dyDescent="0.25">
      <c r="A733" s="170">
        <v>43080</v>
      </c>
      <c r="B733" s="116">
        <v>295.14999999999998</v>
      </c>
      <c r="C733" s="116">
        <v>293</v>
      </c>
      <c r="D733" s="116">
        <v>291.2</v>
      </c>
      <c r="E733" s="116">
        <v>295</v>
      </c>
      <c r="F733" s="116">
        <v>293</v>
      </c>
      <c r="G733">
        <v>52132</v>
      </c>
      <c r="H733" s="116"/>
      <c r="I733" s="116"/>
      <c r="L733" s="170">
        <v>43080</v>
      </c>
      <c r="M733" s="116">
        <v>293.7</v>
      </c>
      <c r="N733" s="116">
        <v>295.8</v>
      </c>
      <c r="O733" s="116">
        <v>291.14999999999998</v>
      </c>
      <c r="P733" s="116">
        <v>295</v>
      </c>
      <c r="Q733" s="116">
        <v>293.7</v>
      </c>
      <c r="R733">
        <v>968315</v>
      </c>
    </row>
    <row r="734" spans="1:18" x14ac:dyDescent="0.25">
      <c r="A734" s="170">
        <v>43081</v>
      </c>
      <c r="B734" s="116">
        <v>296.45</v>
      </c>
      <c r="C734" s="116">
        <v>290.64999999999998</v>
      </c>
      <c r="D734" s="116">
        <v>290.05</v>
      </c>
      <c r="E734" s="116">
        <v>293.10000000000002</v>
      </c>
      <c r="F734" s="116">
        <v>290.64999999999998</v>
      </c>
      <c r="G734">
        <v>40644</v>
      </c>
      <c r="H734" s="116"/>
      <c r="I734" s="116"/>
      <c r="L734" s="170">
        <v>43081</v>
      </c>
      <c r="M734" s="116">
        <v>290.39999999999998</v>
      </c>
      <c r="N734" s="116">
        <v>296.75</v>
      </c>
      <c r="O734" s="116">
        <v>290</v>
      </c>
      <c r="P734" s="116">
        <v>294.45</v>
      </c>
      <c r="Q734" s="116">
        <v>290.39999999999998</v>
      </c>
      <c r="R734">
        <v>997951</v>
      </c>
    </row>
    <row r="735" spans="1:18" x14ac:dyDescent="0.25">
      <c r="A735" s="170">
        <v>43082</v>
      </c>
      <c r="B735" s="116">
        <v>294.25</v>
      </c>
      <c r="C735" s="116">
        <v>288.7</v>
      </c>
      <c r="D735" s="116">
        <v>287.7</v>
      </c>
      <c r="E735" s="116">
        <v>290</v>
      </c>
      <c r="F735" s="116">
        <v>288.7</v>
      </c>
      <c r="G735">
        <v>59250</v>
      </c>
      <c r="H735" s="116"/>
      <c r="I735" s="116"/>
      <c r="L735" s="170">
        <v>43082</v>
      </c>
      <c r="M735" s="116">
        <v>288.8</v>
      </c>
      <c r="N735" s="116">
        <v>294.64999999999998</v>
      </c>
      <c r="O735" s="116">
        <v>287.75</v>
      </c>
      <c r="P735" s="116">
        <v>291.39999999999998</v>
      </c>
      <c r="Q735" s="116">
        <v>288.8</v>
      </c>
      <c r="R735">
        <v>789129</v>
      </c>
    </row>
    <row r="736" spans="1:18" x14ac:dyDescent="0.25">
      <c r="A736" s="170">
        <v>43083</v>
      </c>
      <c r="B736" s="116">
        <v>291.60000000000002</v>
      </c>
      <c r="C736" s="116">
        <v>289.85000000000002</v>
      </c>
      <c r="D736" s="116">
        <v>286.5</v>
      </c>
      <c r="E736" s="116">
        <v>290</v>
      </c>
      <c r="F736" s="116">
        <v>289.85000000000002</v>
      </c>
      <c r="G736">
        <v>30091</v>
      </c>
      <c r="H736" s="116"/>
      <c r="I736" s="116"/>
      <c r="L736" s="170">
        <v>43083</v>
      </c>
      <c r="M736" s="116">
        <v>290.7</v>
      </c>
      <c r="N736" s="116">
        <v>292.10000000000002</v>
      </c>
      <c r="O736" s="116">
        <v>286.5</v>
      </c>
      <c r="P736" s="116">
        <v>291.14999999999998</v>
      </c>
      <c r="Q736" s="116">
        <v>290.7</v>
      </c>
      <c r="R736">
        <v>719517</v>
      </c>
    </row>
    <row r="737" spans="1:18" x14ac:dyDescent="0.25">
      <c r="A737" s="170">
        <v>43084</v>
      </c>
      <c r="B737" s="116">
        <v>297.14999999999998</v>
      </c>
      <c r="C737" s="116">
        <v>292.45</v>
      </c>
      <c r="D737" s="116">
        <v>291.60000000000002</v>
      </c>
      <c r="E737" s="116">
        <v>294.85000000000002</v>
      </c>
      <c r="F737" s="116">
        <v>292.45</v>
      </c>
      <c r="G737">
        <v>75976</v>
      </c>
      <c r="H737" s="116"/>
      <c r="I737" s="116"/>
      <c r="L737" s="170">
        <v>43084</v>
      </c>
      <c r="M737" s="116">
        <v>292.55</v>
      </c>
      <c r="N737" s="116">
        <v>297.2</v>
      </c>
      <c r="O737" s="116">
        <v>291.25</v>
      </c>
      <c r="P737" s="116">
        <v>295.95</v>
      </c>
      <c r="Q737" s="116">
        <v>292.55</v>
      </c>
      <c r="R737">
        <v>1243924</v>
      </c>
    </row>
    <row r="738" spans="1:18" x14ac:dyDescent="0.25">
      <c r="A738" s="170">
        <v>43087</v>
      </c>
      <c r="B738" s="116">
        <v>300.35000000000002</v>
      </c>
      <c r="C738" s="116">
        <v>297.45</v>
      </c>
      <c r="D738" s="116">
        <v>286</v>
      </c>
      <c r="E738" s="116">
        <v>295</v>
      </c>
      <c r="F738" s="116">
        <v>297.45</v>
      </c>
      <c r="G738">
        <v>90493</v>
      </c>
      <c r="H738" s="116"/>
      <c r="I738" s="116"/>
      <c r="L738" s="170">
        <v>43087</v>
      </c>
      <c r="M738" s="116">
        <v>297.55</v>
      </c>
      <c r="N738" s="116">
        <v>300.45</v>
      </c>
      <c r="O738" s="116">
        <v>286</v>
      </c>
      <c r="P738" s="116">
        <v>293.25</v>
      </c>
      <c r="Q738" s="116">
        <v>297.55</v>
      </c>
      <c r="R738">
        <v>1068916</v>
      </c>
    </row>
    <row r="739" spans="1:18" x14ac:dyDescent="0.25">
      <c r="A739" s="170">
        <v>43088</v>
      </c>
      <c r="B739" s="116">
        <v>303.35000000000002</v>
      </c>
      <c r="C739" s="116">
        <v>302.3</v>
      </c>
      <c r="D739" s="116">
        <v>298.60000000000002</v>
      </c>
      <c r="E739" s="116">
        <v>300</v>
      </c>
      <c r="F739" s="116">
        <v>302.3</v>
      </c>
      <c r="G739">
        <v>65444</v>
      </c>
      <c r="H739" s="116"/>
      <c r="I739" s="116"/>
      <c r="L739" s="170">
        <v>43088</v>
      </c>
      <c r="M739" s="116">
        <v>301.85000000000002</v>
      </c>
      <c r="N739" s="116">
        <v>302.8</v>
      </c>
      <c r="O739" s="116">
        <v>298</v>
      </c>
      <c r="P739" s="116">
        <v>299.89999999999998</v>
      </c>
      <c r="Q739" s="116">
        <v>301.85000000000002</v>
      </c>
      <c r="R739">
        <v>909136</v>
      </c>
    </row>
    <row r="740" spans="1:18" x14ac:dyDescent="0.25">
      <c r="A740" s="170">
        <v>43089</v>
      </c>
      <c r="B740" s="116">
        <v>305.5</v>
      </c>
      <c r="C740" s="116">
        <v>303.45</v>
      </c>
      <c r="D740" s="116">
        <v>300.25</v>
      </c>
      <c r="E740" s="116">
        <v>301.39999999999998</v>
      </c>
      <c r="F740" s="116">
        <v>303.45</v>
      </c>
      <c r="G740">
        <v>54994</v>
      </c>
      <c r="H740" s="116"/>
      <c r="I740" s="116"/>
      <c r="L740" s="170">
        <v>43089</v>
      </c>
      <c r="M740" s="116">
        <v>304.2</v>
      </c>
      <c r="N740" s="116">
        <v>306</v>
      </c>
      <c r="O740" s="116">
        <v>300</v>
      </c>
      <c r="P740" s="116">
        <v>304.2</v>
      </c>
      <c r="Q740" s="116">
        <v>304.2</v>
      </c>
      <c r="R740">
        <v>1036289</v>
      </c>
    </row>
    <row r="741" spans="1:18" x14ac:dyDescent="0.25">
      <c r="A741" s="170">
        <v>43090</v>
      </c>
      <c r="B741" s="116">
        <v>306.55</v>
      </c>
      <c r="C741" s="116">
        <v>304.14999999999998</v>
      </c>
      <c r="D741" s="116">
        <v>302</v>
      </c>
      <c r="E741" s="116">
        <v>305</v>
      </c>
      <c r="F741" s="116">
        <v>304.14999999999998</v>
      </c>
      <c r="G741">
        <v>54701</v>
      </c>
      <c r="H741" s="116"/>
      <c r="I741" s="116"/>
      <c r="L741" s="170">
        <v>43090</v>
      </c>
      <c r="M741" s="116">
        <v>303.45</v>
      </c>
      <c r="N741" s="116">
        <v>306.55</v>
      </c>
      <c r="O741" s="116">
        <v>301.25</v>
      </c>
      <c r="P741" s="116">
        <v>304.7</v>
      </c>
      <c r="Q741" s="116">
        <v>303.45</v>
      </c>
      <c r="R741">
        <v>970620</v>
      </c>
    </row>
    <row r="742" spans="1:18" x14ac:dyDescent="0.25">
      <c r="A742" s="170">
        <v>43091</v>
      </c>
      <c r="B742" s="116">
        <v>308</v>
      </c>
      <c r="C742" s="116">
        <v>307.25</v>
      </c>
      <c r="D742" s="116">
        <v>304.25</v>
      </c>
      <c r="E742" s="116">
        <v>304.75</v>
      </c>
      <c r="F742" s="116">
        <v>307.25</v>
      </c>
      <c r="G742">
        <v>66020</v>
      </c>
      <c r="H742" s="116"/>
      <c r="I742" s="116"/>
      <c r="L742" s="170">
        <v>43091</v>
      </c>
      <c r="M742" s="116">
        <v>307.7</v>
      </c>
      <c r="N742" s="116">
        <v>308.35000000000002</v>
      </c>
      <c r="O742" s="116">
        <v>304</v>
      </c>
      <c r="P742" s="116">
        <v>304</v>
      </c>
      <c r="Q742" s="116">
        <v>307.7</v>
      </c>
      <c r="R742">
        <v>1066973</v>
      </c>
    </row>
    <row r="743" spans="1:18" x14ac:dyDescent="0.25">
      <c r="A743" s="170">
        <v>43095</v>
      </c>
      <c r="B743" s="116">
        <v>310.5</v>
      </c>
      <c r="C743" s="116">
        <v>306.45</v>
      </c>
      <c r="D743" s="116">
        <v>305</v>
      </c>
      <c r="E743" s="116">
        <v>309.10000000000002</v>
      </c>
      <c r="F743" s="116">
        <v>306.45</v>
      </c>
      <c r="G743">
        <v>51225</v>
      </c>
      <c r="H743" s="116"/>
      <c r="I743" s="116"/>
      <c r="L743" s="170">
        <v>43095</v>
      </c>
      <c r="M743" s="116">
        <v>307</v>
      </c>
      <c r="N743" s="116">
        <v>311</v>
      </c>
      <c r="O743" s="116">
        <v>305.45</v>
      </c>
      <c r="P743" s="116">
        <v>310.39999999999998</v>
      </c>
      <c r="Q743" s="116">
        <v>307</v>
      </c>
      <c r="R743">
        <v>1355216</v>
      </c>
    </row>
    <row r="744" spans="1:18" x14ac:dyDescent="0.25">
      <c r="A744" s="170">
        <v>43096</v>
      </c>
      <c r="B744" s="116">
        <v>309.25</v>
      </c>
      <c r="C744" s="116">
        <v>303.85000000000002</v>
      </c>
      <c r="D744" s="116">
        <v>302.5</v>
      </c>
      <c r="E744" s="116">
        <v>307.89999999999998</v>
      </c>
      <c r="F744" s="116">
        <v>303.85000000000002</v>
      </c>
      <c r="G744">
        <v>30769</v>
      </c>
      <c r="H744" s="116"/>
      <c r="I744" s="116"/>
      <c r="L744" s="170">
        <v>43096</v>
      </c>
      <c r="M744" s="116">
        <v>303.45</v>
      </c>
      <c r="N744" s="116">
        <v>309.25</v>
      </c>
      <c r="O744" s="116">
        <v>302.05</v>
      </c>
      <c r="P744" s="116">
        <v>309</v>
      </c>
      <c r="Q744" s="116">
        <v>303.45</v>
      </c>
      <c r="R744">
        <v>1593469</v>
      </c>
    </row>
    <row r="745" spans="1:18" x14ac:dyDescent="0.25">
      <c r="A745" s="170">
        <v>43097</v>
      </c>
      <c r="B745" s="116">
        <v>312.85000000000002</v>
      </c>
      <c r="C745" s="116">
        <v>310.95</v>
      </c>
      <c r="D745" s="116">
        <v>301.64999999999998</v>
      </c>
      <c r="E745" s="116">
        <v>303.85000000000002</v>
      </c>
      <c r="F745" s="116">
        <v>310.95</v>
      </c>
      <c r="G745">
        <v>114799</v>
      </c>
      <c r="H745" s="116"/>
      <c r="I745" s="116"/>
      <c r="L745" s="170">
        <v>43097</v>
      </c>
      <c r="M745" s="116">
        <v>311.45</v>
      </c>
      <c r="N745" s="116">
        <v>312.95</v>
      </c>
      <c r="O745" s="116">
        <v>300.95</v>
      </c>
      <c r="P745" s="116">
        <v>305.25</v>
      </c>
      <c r="Q745" s="116">
        <v>311.45</v>
      </c>
      <c r="R745">
        <v>1816110</v>
      </c>
    </row>
    <row r="746" spans="1:18" x14ac:dyDescent="0.25">
      <c r="A746" s="170">
        <v>43098</v>
      </c>
      <c r="B746" s="116">
        <v>314</v>
      </c>
      <c r="C746" s="116">
        <v>309</v>
      </c>
      <c r="D746" s="116">
        <v>308.35000000000002</v>
      </c>
      <c r="E746" s="116">
        <v>311.14999999999998</v>
      </c>
      <c r="F746" s="116">
        <v>309</v>
      </c>
      <c r="G746">
        <v>88796</v>
      </c>
      <c r="H746" s="116"/>
      <c r="I746" s="116"/>
      <c r="L746" s="170">
        <v>43098</v>
      </c>
      <c r="M746" s="116">
        <v>308.85000000000002</v>
      </c>
      <c r="N746" s="116">
        <v>314</v>
      </c>
      <c r="O746" s="116">
        <v>307.8</v>
      </c>
      <c r="P746" s="116">
        <v>313.5</v>
      </c>
      <c r="Q746" s="116">
        <v>308.85000000000002</v>
      </c>
      <c r="R746">
        <v>1161167</v>
      </c>
    </row>
    <row r="747" spans="1:18" x14ac:dyDescent="0.25">
      <c r="A747" s="170">
        <v>43101</v>
      </c>
      <c r="B747" s="116">
        <v>313.5</v>
      </c>
      <c r="C747" s="116">
        <v>309.10000000000002</v>
      </c>
      <c r="D747" s="116">
        <v>308.05</v>
      </c>
      <c r="E747" s="116">
        <v>313.5</v>
      </c>
      <c r="F747" s="116">
        <v>309.10000000000002</v>
      </c>
      <c r="G747">
        <v>49635</v>
      </c>
      <c r="H747" s="116"/>
      <c r="I747" s="116"/>
      <c r="L747" s="170">
        <v>43101</v>
      </c>
      <c r="M747" s="116">
        <v>308.95</v>
      </c>
      <c r="N747" s="116">
        <v>312.45</v>
      </c>
      <c r="O747" s="116">
        <v>308.2</v>
      </c>
      <c r="P747" s="116">
        <v>309.89999999999998</v>
      </c>
      <c r="Q747" s="116">
        <v>308.95</v>
      </c>
      <c r="R747">
        <v>637405</v>
      </c>
    </row>
    <row r="748" spans="1:18" x14ac:dyDescent="0.25">
      <c r="A748" s="170">
        <v>43102</v>
      </c>
      <c r="B748" s="116">
        <v>314.60000000000002</v>
      </c>
      <c r="C748" s="116">
        <v>309.89999999999998</v>
      </c>
      <c r="D748" s="116">
        <v>306</v>
      </c>
      <c r="E748" s="116">
        <v>314.60000000000002</v>
      </c>
      <c r="F748" s="116">
        <v>309.89999999999998</v>
      </c>
      <c r="G748">
        <v>61188</v>
      </c>
      <c r="H748" s="116"/>
      <c r="I748" s="116"/>
      <c r="L748" s="170">
        <v>43102</v>
      </c>
      <c r="M748" s="116">
        <v>309.39999999999998</v>
      </c>
      <c r="N748" s="116">
        <v>311.60000000000002</v>
      </c>
      <c r="O748" s="116">
        <v>305.64999999999998</v>
      </c>
      <c r="P748" s="116">
        <v>311.45</v>
      </c>
      <c r="Q748" s="116">
        <v>309.39999999999998</v>
      </c>
      <c r="R748">
        <v>911293</v>
      </c>
    </row>
    <row r="749" spans="1:18" x14ac:dyDescent="0.25">
      <c r="A749" s="170">
        <v>43103</v>
      </c>
      <c r="B749" s="116">
        <v>315.75</v>
      </c>
      <c r="C749" s="116">
        <v>311.95</v>
      </c>
      <c r="D749" s="116">
        <v>310.5</v>
      </c>
      <c r="E749" s="116">
        <v>312</v>
      </c>
      <c r="F749" s="116">
        <v>311.95</v>
      </c>
      <c r="G749">
        <v>55789</v>
      </c>
      <c r="H749" s="116"/>
      <c r="I749" s="116"/>
      <c r="L749" s="170">
        <v>43103</v>
      </c>
      <c r="M749" s="116">
        <v>312</v>
      </c>
      <c r="N749" s="116">
        <v>315.75</v>
      </c>
      <c r="O749" s="116">
        <v>310.5</v>
      </c>
      <c r="P749" s="116">
        <v>311.85000000000002</v>
      </c>
      <c r="Q749" s="116">
        <v>312</v>
      </c>
      <c r="R749">
        <v>882982</v>
      </c>
    </row>
    <row r="750" spans="1:18" x14ac:dyDescent="0.25">
      <c r="A750" s="170">
        <v>43104</v>
      </c>
      <c r="B750" s="116">
        <v>318</v>
      </c>
      <c r="C750" s="116">
        <v>317.3</v>
      </c>
      <c r="D750" s="116">
        <v>311.10000000000002</v>
      </c>
      <c r="E750" s="116">
        <v>312</v>
      </c>
      <c r="F750" s="116">
        <v>317.3</v>
      </c>
      <c r="G750">
        <v>73694</v>
      </c>
      <c r="H750" s="116"/>
      <c r="I750" s="116"/>
      <c r="L750" s="170">
        <v>43104</v>
      </c>
      <c r="M750" s="116">
        <v>317.85000000000002</v>
      </c>
      <c r="N750" s="116">
        <v>318.5</v>
      </c>
      <c r="O750" s="116">
        <v>310.8</v>
      </c>
      <c r="P750" s="116">
        <v>312</v>
      </c>
      <c r="Q750" s="116">
        <v>317.85000000000002</v>
      </c>
      <c r="R750">
        <v>1150153</v>
      </c>
    </row>
    <row r="751" spans="1:18" x14ac:dyDescent="0.25">
      <c r="A751" s="170">
        <v>43105</v>
      </c>
      <c r="B751" s="116">
        <v>319.85000000000002</v>
      </c>
      <c r="C751" s="116">
        <v>314.10000000000002</v>
      </c>
      <c r="D751" s="116">
        <v>313</v>
      </c>
      <c r="E751" s="116">
        <v>318.14999999999998</v>
      </c>
      <c r="F751" s="116">
        <v>314.10000000000002</v>
      </c>
      <c r="G751">
        <v>75879</v>
      </c>
      <c r="H751" s="116"/>
      <c r="I751" s="116"/>
      <c r="L751" s="170">
        <v>43105</v>
      </c>
      <c r="M751" s="116">
        <v>313.8</v>
      </c>
      <c r="N751" s="116">
        <v>319.85000000000002</v>
      </c>
      <c r="O751" s="116">
        <v>312.7</v>
      </c>
      <c r="P751" s="116">
        <v>318</v>
      </c>
      <c r="Q751" s="116">
        <v>313.8</v>
      </c>
      <c r="R751">
        <v>1255238</v>
      </c>
    </row>
    <row r="752" spans="1:18" x14ac:dyDescent="0.25">
      <c r="A752" s="170">
        <v>43108</v>
      </c>
      <c r="B752" s="116">
        <v>319.5</v>
      </c>
      <c r="C752" s="116">
        <v>317.89999999999998</v>
      </c>
      <c r="D752" s="116">
        <v>314.10000000000002</v>
      </c>
      <c r="E752" s="116">
        <v>316</v>
      </c>
      <c r="F752" s="116">
        <v>317.89999999999998</v>
      </c>
      <c r="G752">
        <v>108003</v>
      </c>
      <c r="H752" s="116"/>
      <c r="I752" s="116"/>
      <c r="L752" s="170">
        <v>43108</v>
      </c>
      <c r="M752" s="116">
        <v>318</v>
      </c>
      <c r="N752" s="116">
        <v>318.85000000000002</v>
      </c>
      <c r="O752" s="116">
        <v>314</v>
      </c>
      <c r="P752" s="116">
        <v>314.05</v>
      </c>
      <c r="Q752" s="116">
        <v>318</v>
      </c>
      <c r="R752">
        <v>1061554</v>
      </c>
    </row>
    <row r="753" spans="1:18" x14ac:dyDescent="0.25">
      <c r="A753" s="170">
        <v>43109</v>
      </c>
      <c r="B753" s="116">
        <v>321.5</v>
      </c>
      <c r="C753" s="116">
        <v>317</v>
      </c>
      <c r="D753" s="116">
        <v>315</v>
      </c>
      <c r="E753" s="116">
        <v>321</v>
      </c>
      <c r="F753" s="116">
        <v>317</v>
      </c>
      <c r="G753">
        <v>46905</v>
      </c>
      <c r="H753" s="116"/>
      <c r="I753" s="116"/>
      <c r="L753" s="170">
        <v>43109</v>
      </c>
      <c r="M753" s="116">
        <v>316.89999999999998</v>
      </c>
      <c r="N753" s="116">
        <v>321.35000000000002</v>
      </c>
      <c r="O753" s="116">
        <v>315.64999999999998</v>
      </c>
      <c r="P753" s="116">
        <v>318.95</v>
      </c>
      <c r="Q753" s="116">
        <v>316.89999999999998</v>
      </c>
      <c r="R753">
        <v>730304</v>
      </c>
    </row>
    <row r="754" spans="1:18" x14ac:dyDescent="0.25">
      <c r="A754" s="170">
        <v>43110</v>
      </c>
      <c r="B754" s="116">
        <v>321.95</v>
      </c>
      <c r="C754" s="116">
        <v>319.5</v>
      </c>
      <c r="D754" s="116">
        <v>317.39999999999998</v>
      </c>
      <c r="E754" s="116">
        <v>318.89999999999998</v>
      </c>
      <c r="F754" s="116">
        <v>319.5</v>
      </c>
      <c r="G754">
        <v>131023</v>
      </c>
      <c r="H754" s="116"/>
      <c r="I754" s="116"/>
      <c r="L754" s="170">
        <v>43110</v>
      </c>
      <c r="M754" s="116">
        <v>319.5</v>
      </c>
      <c r="N754" s="116">
        <v>322.05</v>
      </c>
      <c r="O754" s="116">
        <v>316.89999999999998</v>
      </c>
      <c r="P754" s="116">
        <v>318.5</v>
      </c>
      <c r="Q754" s="116">
        <v>319.5</v>
      </c>
      <c r="R754">
        <v>1246861</v>
      </c>
    </row>
    <row r="755" spans="1:18" x14ac:dyDescent="0.25">
      <c r="A755" s="170">
        <v>43111</v>
      </c>
      <c r="B755" s="116">
        <v>320.89999999999998</v>
      </c>
      <c r="C755" s="116">
        <v>319.89999999999998</v>
      </c>
      <c r="D755" s="116">
        <v>317.5</v>
      </c>
      <c r="E755" s="116">
        <v>319.5</v>
      </c>
      <c r="F755" s="116">
        <v>319.89999999999998</v>
      </c>
      <c r="G755">
        <v>86010</v>
      </c>
      <c r="H755" s="116"/>
      <c r="I755" s="116"/>
      <c r="L755" s="170">
        <v>43111</v>
      </c>
      <c r="M755" s="116">
        <v>319.7</v>
      </c>
      <c r="N755" s="116">
        <v>320.95</v>
      </c>
      <c r="O755" s="116">
        <v>317.64999999999998</v>
      </c>
      <c r="P755" s="116">
        <v>319.95</v>
      </c>
      <c r="Q755" s="116">
        <v>319.7</v>
      </c>
      <c r="R755">
        <v>710197</v>
      </c>
    </row>
    <row r="756" spans="1:18" x14ac:dyDescent="0.25">
      <c r="A756" s="170">
        <v>43112</v>
      </c>
      <c r="B756" s="116">
        <v>325.2</v>
      </c>
      <c r="C756" s="116">
        <v>323.55</v>
      </c>
      <c r="D756" s="116">
        <v>320</v>
      </c>
      <c r="E756" s="116">
        <v>320</v>
      </c>
      <c r="F756" s="116">
        <v>323.55</v>
      </c>
      <c r="G756">
        <v>152799</v>
      </c>
      <c r="H756" s="116"/>
      <c r="I756" s="116"/>
      <c r="L756" s="170">
        <v>43112</v>
      </c>
      <c r="M756" s="116">
        <v>324</v>
      </c>
      <c r="N756" s="116">
        <v>325.45</v>
      </c>
      <c r="O756" s="116">
        <v>319.7</v>
      </c>
      <c r="P756" s="116">
        <v>320</v>
      </c>
      <c r="Q756" s="116">
        <v>324</v>
      </c>
      <c r="R756">
        <v>1150056</v>
      </c>
    </row>
    <row r="757" spans="1:18" x14ac:dyDescent="0.25">
      <c r="A757" s="170">
        <v>43115</v>
      </c>
      <c r="B757" s="116">
        <v>328.35</v>
      </c>
      <c r="C757" s="116">
        <v>322.7</v>
      </c>
      <c r="D757" s="116">
        <v>321.89999999999998</v>
      </c>
      <c r="E757" s="116">
        <v>327</v>
      </c>
      <c r="F757" s="116">
        <v>322.7</v>
      </c>
      <c r="G757">
        <v>100219</v>
      </c>
      <c r="H757" s="116"/>
      <c r="I757" s="116"/>
      <c r="L757" s="170">
        <v>43115</v>
      </c>
      <c r="M757" s="116">
        <v>322.05</v>
      </c>
      <c r="N757" s="116">
        <v>328.5</v>
      </c>
      <c r="O757" s="116">
        <v>321.14999999999998</v>
      </c>
      <c r="P757" s="116">
        <v>324</v>
      </c>
      <c r="Q757" s="116">
        <v>322.05</v>
      </c>
      <c r="R757">
        <v>1043139</v>
      </c>
    </row>
    <row r="758" spans="1:18" x14ac:dyDescent="0.25">
      <c r="A758" s="170">
        <v>43116</v>
      </c>
      <c r="B758" s="116">
        <v>329.4</v>
      </c>
      <c r="C758" s="116">
        <v>316.05</v>
      </c>
      <c r="D758" s="116">
        <v>313.64999999999998</v>
      </c>
      <c r="E758" s="116">
        <v>321</v>
      </c>
      <c r="F758" s="116">
        <v>316.05</v>
      </c>
      <c r="G758">
        <v>180483</v>
      </c>
      <c r="H758" s="116"/>
      <c r="I758" s="116"/>
      <c r="L758" s="170">
        <v>43116</v>
      </c>
      <c r="M758" s="116">
        <v>315.45</v>
      </c>
      <c r="N758" s="116">
        <v>328.8</v>
      </c>
      <c r="O758" s="116">
        <v>313.39999999999998</v>
      </c>
      <c r="P758" s="116">
        <v>322.95</v>
      </c>
      <c r="Q758" s="116">
        <v>315.45</v>
      </c>
      <c r="R758">
        <v>1785116</v>
      </c>
    </row>
    <row r="759" spans="1:18" x14ac:dyDescent="0.25">
      <c r="A759" s="170">
        <v>43117</v>
      </c>
      <c r="B759" s="116">
        <v>324.05</v>
      </c>
      <c r="C759" s="116">
        <v>323.14999999999998</v>
      </c>
      <c r="D759" s="116">
        <v>311.14999999999998</v>
      </c>
      <c r="E759" s="116">
        <v>316</v>
      </c>
      <c r="F759" s="116">
        <v>323.14999999999998</v>
      </c>
      <c r="G759">
        <v>92641</v>
      </c>
      <c r="H759" s="116"/>
      <c r="I759" s="116"/>
      <c r="L759" s="170">
        <v>43117</v>
      </c>
      <c r="M759" s="116">
        <v>323.14999999999998</v>
      </c>
      <c r="N759" s="116">
        <v>323.85000000000002</v>
      </c>
      <c r="O759" s="116">
        <v>311.5</v>
      </c>
      <c r="P759" s="116">
        <v>316.60000000000002</v>
      </c>
      <c r="Q759" s="116">
        <v>323.14999999999998</v>
      </c>
      <c r="R759">
        <v>933055</v>
      </c>
    </row>
    <row r="760" spans="1:18" x14ac:dyDescent="0.25">
      <c r="A760" s="170">
        <v>43118</v>
      </c>
      <c r="B760" s="116">
        <v>325</v>
      </c>
      <c r="C760" s="116">
        <v>308.7</v>
      </c>
      <c r="D760" s="116">
        <v>303.64999999999998</v>
      </c>
      <c r="E760" s="116">
        <v>323</v>
      </c>
      <c r="F760" s="116">
        <v>308.7</v>
      </c>
      <c r="G760">
        <v>272350</v>
      </c>
      <c r="H760" s="116"/>
      <c r="I760" s="116"/>
      <c r="L760" s="170">
        <v>43118</v>
      </c>
      <c r="M760" s="116">
        <v>308.3</v>
      </c>
      <c r="N760" s="116">
        <v>324.8</v>
      </c>
      <c r="O760" s="116">
        <v>303.25</v>
      </c>
      <c r="P760" s="116">
        <v>323.14999999999998</v>
      </c>
      <c r="Q760" s="116">
        <v>308.3</v>
      </c>
      <c r="R760">
        <v>2229509</v>
      </c>
    </row>
    <row r="761" spans="1:18" x14ac:dyDescent="0.25">
      <c r="A761" s="170">
        <v>43119</v>
      </c>
      <c r="B761" s="116">
        <v>307.60000000000002</v>
      </c>
      <c r="C761" s="116">
        <v>300.95</v>
      </c>
      <c r="D761" s="116">
        <v>298</v>
      </c>
      <c r="E761" s="116">
        <v>307</v>
      </c>
      <c r="F761" s="116">
        <v>300.95</v>
      </c>
      <c r="G761">
        <v>175483</v>
      </c>
      <c r="H761" s="116"/>
      <c r="I761" s="116"/>
      <c r="L761" s="170">
        <v>43119</v>
      </c>
      <c r="M761" s="116">
        <v>299.35000000000002</v>
      </c>
      <c r="N761" s="116">
        <v>307.64999999999998</v>
      </c>
      <c r="O761" s="116">
        <v>297.7</v>
      </c>
      <c r="P761" s="116">
        <v>307.10000000000002</v>
      </c>
      <c r="Q761" s="116">
        <v>299.35000000000002</v>
      </c>
      <c r="R761">
        <v>2349471</v>
      </c>
    </row>
    <row r="762" spans="1:18" x14ac:dyDescent="0.25">
      <c r="A762" s="170">
        <v>43122</v>
      </c>
      <c r="B762" s="116">
        <v>301.64999999999998</v>
      </c>
      <c r="C762" s="116">
        <v>292.8</v>
      </c>
      <c r="D762" s="116">
        <v>291</v>
      </c>
      <c r="E762" s="116">
        <v>301</v>
      </c>
      <c r="F762" s="116">
        <v>292.8</v>
      </c>
      <c r="G762">
        <v>177741</v>
      </c>
      <c r="H762" s="116"/>
      <c r="I762" s="116"/>
      <c r="L762" s="170">
        <v>43122</v>
      </c>
      <c r="M762" s="116">
        <v>292.45</v>
      </c>
      <c r="N762" s="116">
        <v>301.60000000000002</v>
      </c>
      <c r="O762" s="116">
        <v>291.14999999999998</v>
      </c>
      <c r="P762" s="116">
        <v>300.5</v>
      </c>
      <c r="Q762" s="116">
        <v>292.45</v>
      </c>
      <c r="R762">
        <v>2433313</v>
      </c>
    </row>
    <row r="763" spans="1:18" x14ac:dyDescent="0.25">
      <c r="A763" s="170">
        <v>43123</v>
      </c>
      <c r="B763" s="116">
        <v>302.05</v>
      </c>
      <c r="C763" s="116">
        <v>297.39999999999998</v>
      </c>
      <c r="D763" s="116">
        <v>294.10000000000002</v>
      </c>
      <c r="E763" s="116">
        <v>294.10000000000002</v>
      </c>
      <c r="F763" s="116">
        <v>297.39999999999998</v>
      </c>
      <c r="G763">
        <v>131155</v>
      </c>
      <c r="H763" s="116"/>
      <c r="I763" s="116"/>
      <c r="L763" s="170">
        <v>43123</v>
      </c>
      <c r="M763" s="116">
        <v>296.64999999999998</v>
      </c>
      <c r="N763" s="116">
        <v>302</v>
      </c>
      <c r="O763" s="116">
        <v>293.60000000000002</v>
      </c>
      <c r="P763" s="116">
        <v>293.60000000000002</v>
      </c>
      <c r="Q763" s="116">
        <v>296.64999999999998</v>
      </c>
      <c r="R763">
        <v>2894490</v>
      </c>
    </row>
    <row r="764" spans="1:18" x14ac:dyDescent="0.25">
      <c r="A764" s="170">
        <v>43124</v>
      </c>
      <c r="B764" s="116">
        <v>299.39999999999998</v>
      </c>
      <c r="C764" s="116">
        <v>293.25</v>
      </c>
      <c r="D764" s="116">
        <v>289.05</v>
      </c>
      <c r="E764" s="116">
        <v>297</v>
      </c>
      <c r="F764" s="116">
        <v>293.25</v>
      </c>
      <c r="G764">
        <v>172069</v>
      </c>
      <c r="H764" s="116"/>
      <c r="I764" s="116"/>
      <c r="L764" s="170">
        <v>43124</v>
      </c>
      <c r="M764" s="116">
        <v>293.05</v>
      </c>
      <c r="N764" s="116">
        <v>299.3</v>
      </c>
      <c r="O764" s="116">
        <v>289.60000000000002</v>
      </c>
      <c r="P764" s="116">
        <v>297.55</v>
      </c>
      <c r="Q764" s="116">
        <v>293.05</v>
      </c>
      <c r="R764">
        <v>1915105</v>
      </c>
    </row>
    <row r="765" spans="1:18" x14ac:dyDescent="0.25">
      <c r="A765" s="170">
        <v>43125</v>
      </c>
      <c r="B765" s="116">
        <v>300.89999999999998</v>
      </c>
      <c r="C765" s="116">
        <v>298.25</v>
      </c>
      <c r="D765" s="116">
        <v>294.7</v>
      </c>
      <c r="E765" s="116">
        <v>298</v>
      </c>
      <c r="F765" s="116">
        <v>298.25</v>
      </c>
      <c r="G765">
        <v>145480</v>
      </c>
      <c r="H765" s="116"/>
      <c r="I765" s="116"/>
      <c r="L765" s="170">
        <v>43125</v>
      </c>
      <c r="M765" s="116">
        <v>298.55</v>
      </c>
      <c r="N765" s="116">
        <v>301</v>
      </c>
      <c r="O765" s="116">
        <v>294.89999999999998</v>
      </c>
      <c r="P765" s="116">
        <v>298.55</v>
      </c>
      <c r="Q765" s="116">
        <v>298.55</v>
      </c>
      <c r="R765">
        <v>3727672</v>
      </c>
    </row>
    <row r="766" spans="1:18" x14ac:dyDescent="0.25">
      <c r="A766" s="170">
        <v>43129</v>
      </c>
      <c r="B766" s="116">
        <v>312.60000000000002</v>
      </c>
      <c r="C766" s="116">
        <v>304.75</v>
      </c>
      <c r="D766" s="116">
        <v>301.5</v>
      </c>
      <c r="E766" s="116">
        <v>301.5</v>
      </c>
      <c r="F766" s="116">
        <v>304.75</v>
      </c>
      <c r="G766">
        <v>248821</v>
      </c>
      <c r="H766" s="116"/>
      <c r="I766" s="116"/>
      <c r="L766" s="170">
        <v>43129</v>
      </c>
      <c r="M766" s="116">
        <v>304.14999999999998</v>
      </c>
      <c r="N766" s="116">
        <v>312.8</v>
      </c>
      <c r="O766" s="116">
        <v>302.3</v>
      </c>
      <c r="P766" s="116">
        <v>303.5</v>
      </c>
      <c r="Q766" s="116">
        <v>304.14999999999998</v>
      </c>
      <c r="R766">
        <v>3747559</v>
      </c>
    </row>
    <row r="767" spans="1:18" x14ac:dyDescent="0.25">
      <c r="A767" s="170">
        <v>43130</v>
      </c>
      <c r="B767" s="116">
        <v>313.64999999999998</v>
      </c>
      <c r="C767" s="116">
        <v>311.05</v>
      </c>
      <c r="D767" s="116">
        <v>298.5</v>
      </c>
      <c r="E767" s="116">
        <v>304</v>
      </c>
      <c r="F767" s="116">
        <v>311.05</v>
      </c>
      <c r="G767">
        <v>172287</v>
      </c>
      <c r="H767" s="116"/>
      <c r="I767" s="116"/>
      <c r="L767" s="170">
        <v>43130</v>
      </c>
      <c r="M767" s="116">
        <v>310.89999999999998</v>
      </c>
      <c r="N767" s="116">
        <v>313.75</v>
      </c>
      <c r="O767" s="116">
        <v>298.64999999999998</v>
      </c>
      <c r="P767" s="116">
        <v>303.95</v>
      </c>
      <c r="Q767" s="116">
        <v>310.89999999999998</v>
      </c>
      <c r="R767">
        <v>2129122</v>
      </c>
    </row>
    <row r="768" spans="1:18" x14ac:dyDescent="0.25">
      <c r="A768" s="170">
        <v>43131</v>
      </c>
      <c r="B768" s="116">
        <v>316.05</v>
      </c>
      <c r="C768" s="116">
        <v>310.05</v>
      </c>
      <c r="D768" s="116">
        <v>304</v>
      </c>
      <c r="E768" s="116">
        <v>311</v>
      </c>
      <c r="F768" s="116">
        <v>310.05</v>
      </c>
      <c r="G768">
        <v>221666</v>
      </c>
      <c r="H768" s="116"/>
      <c r="I768" s="116"/>
      <c r="L768" s="170">
        <v>43131</v>
      </c>
      <c r="M768" s="116">
        <v>310.25</v>
      </c>
      <c r="N768" s="116">
        <v>316.14999999999998</v>
      </c>
      <c r="O768" s="116">
        <v>303.55</v>
      </c>
      <c r="P768" s="116">
        <v>311</v>
      </c>
      <c r="Q768" s="116">
        <v>310.25</v>
      </c>
      <c r="R768">
        <v>3717227</v>
      </c>
    </row>
    <row r="769" spans="1:18" x14ac:dyDescent="0.25">
      <c r="A769" s="170">
        <v>43132</v>
      </c>
      <c r="B769" s="116">
        <v>311.14999999999998</v>
      </c>
      <c r="C769" s="116">
        <v>307.75</v>
      </c>
      <c r="D769" s="116">
        <v>300.5</v>
      </c>
      <c r="E769" s="116">
        <v>309.7</v>
      </c>
      <c r="F769" s="116">
        <v>307.75</v>
      </c>
      <c r="G769">
        <v>166829</v>
      </c>
      <c r="H769" s="116"/>
      <c r="I769" s="116"/>
      <c r="L769" s="170">
        <v>43132</v>
      </c>
      <c r="M769" s="116">
        <v>307.95</v>
      </c>
      <c r="N769" s="116">
        <v>311.8</v>
      </c>
      <c r="O769" s="116">
        <v>300</v>
      </c>
      <c r="P769" s="116">
        <v>308</v>
      </c>
      <c r="Q769" s="116">
        <v>307.95</v>
      </c>
      <c r="R769">
        <v>1511270</v>
      </c>
    </row>
    <row r="770" spans="1:18" x14ac:dyDescent="0.25">
      <c r="A770" s="170">
        <v>43133</v>
      </c>
      <c r="B770" s="116">
        <v>309</v>
      </c>
      <c r="C770" s="116">
        <v>294.60000000000002</v>
      </c>
      <c r="D770" s="116">
        <v>292.14999999999998</v>
      </c>
      <c r="E770" s="116">
        <v>307.85000000000002</v>
      </c>
      <c r="F770" s="116">
        <v>294.60000000000002</v>
      </c>
      <c r="G770">
        <v>178364</v>
      </c>
      <c r="H770" s="116"/>
      <c r="I770" s="116"/>
      <c r="L770" s="170">
        <v>43133</v>
      </c>
      <c r="M770" s="116">
        <v>294.35000000000002</v>
      </c>
      <c r="N770" s="116">
        <v>309</v>
      </c>
      <c r="O770" s="116">
        <v>291.5</v>
      </c>
      <c r="P770" s="116">
        <v>306.5</v>
      </c>
      <c r="Q770" s="116">
        <v>294.35000000000002</v>
      </c>
      <c r="R770">
        <v>1780007</v>
      </c>
    </row>
    <row r="771" spans="1:18" x14ac:dyDescent="0.25">
      <c r="A771" s="170">
        <v>43136</v>
      </c>
      <c r="B771" s="116">
        <v>297.60000000000002</v>
      </c>
      <c r="C771" s="116">
        <v>292.8</v>
      </c>
      <c r="D771" s="116">
        <v>283.14999999999998</v>
      </c>
      <c r="E771" s="116">
        <v>290.10000000000002</v>
      </c>
      <c r="F771" s="116">
        <v>292.8</v>
      </c>
      <c r="G771">
        <v>125417</v>
      </c>
      <c r="H771" s="116"/>
      <c r="I771" s="116"/>
      <c r="L771" s="170">
        <v>43136</v>
      </c>
      <c r="M771" s="116">
        <v>292.95</v>
      </c>
      <c r="N771" s="116">
        <v>298</v>
      </c>
      <c r="O771" s="116">
        <v>283.05</v>
      </c>
      <c r="P771" s="116">
        <v>290</v>
      </c>
      <c r="Q771" s="116">
        <v>292.95</v>
      </c>
      <c r="R771">
        <v>2515888</v>
      </c>
    </row>
    <row r="772" spans="1:18" x14ac:dyDescent="0.25">
      <c r="A772" s="170">
        <v>43137</v>
      </c>
      <c r="B772" s="116">
        <v>289</v>
      </c>
      <c r="C772" s="116">
        <v>283.14999999999998</v>
      </c>
      <c r="D772" s="116">
        <v>275.10000000000002</v>
      </c>
      <c r="E772" s="116">
        <v>289</v>
      </c>
      <c r="F772" s="116">
        <v>283.14999999999998</v>
      </c>
      <c r="G772">
        <v>1195611</v>
      </c>
      <c r="H772" s="116"/>
      <c r="I772" s="116"/>
      <c r="L772" s="170">
        <v>43137</v>
      </c>
      <c r="M772" s="116">
        <v>283.3</v>
      </c>
      <c r="N772" s="116">
        <v>286.39999999999998</v>
      </c>
      <c r="O772" s="116">
        <v>275.05</v>
      </c>
      <c r="P772" s="116">
        <v>281.95</v>
      </c>
      <c r="Q772" s="116">
        <v>283.3</v>
      </c>
      <c r="R772">
        <v>2196991</v>
      </c>
    </row>
    <row r="773" spans="1:18" x14ac:dyDescent="0.25">
      <c r="A773" s="170">
        <v>43138</v>
      </c>
      <c r="B773" s="116">
        <v>291.05</v>
      </c>
      <c r="C773" s="116">
        <v>288.95</v>
      </c>
      <c r="D773" s="116">
        <v>285</v>
      </c>
      <c r="E773" s="116">
        <v>289.89999999999998</v>
      </c>
      <c r="F773" s="116">
        <v>288.95</v>
      </c>
      <c r="G773">
        <v>120875</v>
      </c>
      <c r="H773" s="116"/>
      <c r="I773" s="116"/>
      <c r="L773" s="170">
        <v>43138</v>
      </c>
      <c r="M773" s="116">
        <v>288.89999999999998</v>
      </c>
      <c r="N773" s="116">
        <v>291.35000000000002</v>
      </c>
      <c r="O773" s="116">
        <v>285</v>
      </c>
      <c r="P773" s="116">
        <v>289.7</v>
      </c>
      <c r="Q773" s="116">
        <v>288.89999999999998</v>
      </c>
      <c r="R773">
        <v>1841739</v>
      </c>
    </row>
    <row r="774" spans="1:18" x14ac:dyDescent="0.25">
      <c r="A774" s="170">
        <v>43139</v>
      </c>
      <c r="B774" s="116">
        <v>292.5</v>
      </c>
      <c r="C774" s="116">
        <v>288.2</v>
      </c>
      <c r="D774" s="116">
        <v>283.45</v>
      </c>
      <c r="E774" s="116">
        <v>289</v>
      </c>
      <c r="F774" s="116">
        <v>288.2</v>
      </c>
      <c r="G774">
        <v>105853</v>
      </c>
      <c r="H774" s="116"/>
      <c r="I774" s="116"/>
      <c r="L774" s="170">
        <v>43139</v>
      </c>
      <c r="M774" s="116">
        <v>287.3</v>
      </c>
      <c r="N774" s="116">
        <v>292</v>
      </c>
      <c r="O774" s="116">
        <v>283</v>
      </c>
      <c r="P774" s="116">
        <v>285.10000000000002</v>
      </c>
      <c r="Q774" s="116">
        <v>287.3</v>
      </c>
      <c r="R774">
        <v>4075914</v>
      </c>
    </row>
    <row r="775" spans="1:18" x14ac:dyDescent="0.25">
      <c r="A775" s="170">
        <v>43140</v>
      </c>
      <c r="B775" s="116">
        <v>311.5</v>
      </c>
      <c r="C775" s="116">
        <v>303.85000000000002</v>
      </c>
      <c r="D775" s="116">
        <v>281</v>
      </c>
      <c r="E775" s="116">
        <v>283</v>
      </c>
      <c r="F775" s="116">
        <v>303.85000000000002</v>
      </c>
      <c r="G775">
        <v>374077</v>
      </c>
      <c r="H775" s="116"/>
      <c r="I775" s="116"/>
      <c r="L775" s="170">
        <v>43140</v>
      </c>
      <c r="M775" s="116">
        <v>303.55</v>
      </c>
      <c r="N775" s="116">
        <v>311.89999999999998</v>
      </c>
      <c r="O775" s="116">
        <v>280.5</v>
      </c>
      <c r="P775" s="116">
        <v>281</v>
      </c>
      <c r="Q775" s="116">
        <v>303.55</v>
      </c>
      <c r="R775">
        <v>5294692</v>
      </c>
    </row>
    <row r="776" spans="1:18" x14ac:dyDescent="0.25">
      <c r="A776" s="170">
        <v>43143</v>
      </c>
      <c r="B776" s="116">
        <v>312</v>
      </c>
      <c r="C776" s="116">
        <v>307.35000000000002</v>
      </c>
      <c r="D776" s="116">
        <v>303</v>
      </c>
      <c r="E776" s="116">
        <v>309.60000000000002</v>
      </c>
      <c r="F776" s="116">
        <v>307.35000000000002</v>
      </c>
      <c r="G776">
        <v>727777</v>
      </c>
      <c r="H776" s="116"/>
      <c r="I776" s="116"/>
      <c r="L776" s="170">
        <v>43143</v>
      </c>
      <c r="M776" s="116">
        <v>307.64999999999998</v>
      </c>
      <c r="N776" s="116">
        <v>311.89999999999998</v>
      </c>
      <c r="O776" s="116">
        <v>303.25</v>
      </c>
      <c r="P776" s="116">
        <v>306.60000000000002</v>
      </c>
      <c r="Q776" s="116">
        <v>307.64999999999998</v>
      </c>
      <c r="R776">
        <v>4332375</v>
      </c>
    </row>
    <row r="777" spans="1:18" x14ac:dyDescent="0.25">
      <c r="A777" s="170">
        <v>43145</v>
      </c>
      <c r="B777" s="116">
        <v>313.75</v>
      </c>
      <c r="C777" s="116">
        <v>308.55</v>
      </c>
      <c r="D777" s="116">
        <v>307.55</v>
      </c>
      <c r="E777" s="116">
        <v>309</v>
      </c>
      <c r="F777" s="116">
        <v>308.55</v>
      </c>
      <c r="G777">
        <v>120433</v>
      </c>
      <c r="H777" s="116"/>
      <c r="I777" s="116"/>
      <c r="L777" s="170">
        <v>43145</v>
      </c>
      <c r="M777" s="116">
        <v>309.10000000000002</v>
      </c>
      <c r="N777" s="116">
        <v>314.89999999999998</v>
      </c>
      <c r="O777" s="116">
        <v>308</v>
      </c>
      <c r="P777" s="116">
        <v>308</v>
      </c>
      <c r="Q777" s="116">
        <v>309.10000000000002</v>
      </c>
      <c r="R777">
        <v>2014996</v>
      </c>
    </row>
    <row r="778" spans="1:18" x14ac:dyDescent="0.25">
      <c r="A778" s="170">
        <v>43146</v>
      </c>
      <c r="B778" s="116">
        <v>317.89999999999998</v>
      </c>
      <c r="C778" s="116">
        <v>313.35000000000002</v>
      </c>
      <c r="D778" s="116">
        <v>312.10000000000002</v>
      </c>
      <c r="E778" s="116">
        <v>312.10000000000002</v>
      </c>
      <c r="F778" s="116">
        <v>313.35000000000002</v>
      </c>
      <c r="G778">
        <v>167180</v>
      </c>
      <c r="H778" s="116"/>
      <c r="I778" s="116"/>
      <c r="L778" s="170">
        <v>43146</v>
      </c>
      <c r="M778" s="116">
        <v>313.39999999999998</v>
      </c>
      <c r="N778" s="116">
        <v>318.10000000000002</v>
      </c>
      <c r="O778" s="116">
        <v>311.39999999999998</v>
      </c>
      <c r="P778" s="116">
        <v>311.39999999999998</v>
      </c>
      <c r="Q778" s="116">
        <v>313.39999999999998</v>
      </c>
      <c r="R778">
        <v>2255264</v>
      </c>
    </row>
    <row r="779" spans="1:18" x14ac:dyDescent="0.25">
      <c r="A779" s="170">
        <v>43147</v>
      </c>
      <c r="B779" s="116">
        <v>317.89999999999998</v>
      </c>
      <c r="C779" s="116">
        <v>312.3</v>
      </c>
      <c r="D779" s="116">
        <v>310.5</v>
      </c>
      <c r="E779" s="116">
        <v>315.05</v>
      </c>
      <c r="F779" s="116">
        <v>312.3</v>
      </c>
      <c r="G779">
        <v>100367</v>
      </c>
      <c r="H779" s="116"/>
      <c r="I779" s="116"/>
      <c r="L779" s="170">
        <v>43147</v>
      </c>
      <c r="M779" s="116">
        <v>313.05</v>
      </c>
      <c r="N779" s="116">
        <v>318</v>
      </c>
      <c r="O779" s="116">
        <v>310.55</v>
      </c>
      <c r="P779" s="116">
        <v>317.95</v>
      </c>
      <c r="Q779" s="116">
        <v>313.05</v>
      </c>
      <c r="R779">
        <v>2220694</v>
      </c>
    </row>
    <row r="780" spans="1:18" x14ac:dyDescent="0.25">
      <c r="A780" s="170">
        <v>43150</v>
      </c>
      <c r="B780" s="116">
        <v>314.85000000000002</v>
      </c>
      <c r="C780" s="116">
        <v>311.60000000000002</v>
      </c>
      <c r="D780" s="116">
        <v>306.3</v>
      </c>
      <c r="E780" s="116">
        <v>314.8</v>
      </c>
      <c r="F780" s="116">
        <v>311.60000000000002</v>
      </c>
      <c r="G780">
        <v>102109</v>
      </c>
      <c r="H780" s="116"/>
      <c r="I780" s="116"/>
      <c r="L780" s="170">
        <v>43150</v>
      </c>
      <c r="M780" s="116">
        <v>312.3</v>
      </c>
      <c r="N780" s="116">
        <v>315.95</v>
      </c>
      <c r="O780" s="116">
        <v>306</v>
      </c>
      <c r="P780" s="116">
        <v>315.95</v>
      </c>
      <c r="Q780" s="116">
        <v>312.3</v>
      </c>
      <c r="R780">
        <v>1416403</v>
      </c>
    </row>
    <row r="781" spans="1:18" x14ac:dyDescent="0.25">
      <c r="A781" s="170">
        <v>43151</v>
      </c>
      <c r="B781" s="116">
        <v>316.64999999999998</v>
      </c>
      <c r="C781" s="116">
        <v>315.64999999999998</v>
      </c>
      <c r="D781" s="116">
        <v>309.2</v>
      </c>
      <c r="E781" s="116">
        <v>312.14999999999998</v>
      </c>
      <c r="F781" s="116">
        <v>315.64999999999998</v>
      </c>
      <c r="G781">
        <v>120534</v>
      </c>
      <c r="H781" s="116"/>
      <c r="I781" s="116"/>
      <c r="L781" s="170">
        <v>43151</v>
      </c>
      <c r="M781" s="116">
        <v>315.39999999999998</v>
      </c>
      <c r="N781" s="116">
        <v>316.75</v>
      </c>
      <c r="O781" s="116">
        <v>309</v>
      </c>
      <c r="P781" s="116">
        <v>312.3</v>
      </c>
      <c r="Q781" s="116">
        <v>315.39999999999998</v>
      </c>
      <c r="R781">
        <v>4034778</v>
      </c>
    </row>
    <row r="782" spans="1:18" x14ac:dyDescent="0.25">
      <c r="A782" s="170">
        <v>43152</v>
      </c>
      <c r="B782" s="116">
        <v>319.2</v>
      </c>
      <c r="C782" s="116">
        <v>316.39999999999998</v>
      </c>
      <c r="D782" s="116">
        <v>315.14999999999998</v>
      </c>
      <c r="E782" s="116">
        <v>316.5</v>
      </c>
      <c r="F782" s="116">
        <v>316.39999999999998</v>
      </c>
      <c r="G782">
        <v>74788</v>
      </c>
      <c r="H782" s="116"/>
      <c r="I782" s="116"/>
      <c r="L782" s="170">
        <v>43152</v>
      </c>
      <c r="M782" s="116">
        <v>316.2</v>
      </c>
      <c r="N782" s="116">
        <v>319.25</v>
      </c>
      <c r="O782" s="116">
        <v>315.2</v>
      </c>
      <c r="P782" s="116">
        <v>317.35000000000002</v>
      </c>
      <c r="Q782" s="116">
        <v>316.2</v>
      </c>
      <c r="R782">
        <v>3448007</v>
      </c>
    </row>
    <row r="783" spans="1:18" x14ac:dyDescent="0.25">
      <c r="A783" s="170">
        <v>43153</v>
      </c>
      <c r="B783" s="116">
        <v>317.64999999999998</v>
      </c>
      <c r="C783" s="116">
        <v>314.55</v>
      </c>
      <c r="D783" s="116">
        <v>312.10000000000002</v>
      </c>
      <c r="E783" s="116">
        <v>313.10000000000002</v>
      </c>
      <c r="F783" s="116">
        <v>314.55</v>
      </c>
      <c r="G783">
        <v>885568</v>
      </c>
      <c r="H783" s="116"/>
      <c r="I783" s="116"/>
      <c r="L783" s="170">
        <v>43153</v>
      </c>
      <c r="M783" s="116">
        <v>314.14999999999998</v>
      </c>
      <c r="N783" s="116">
        <v>317.89999999999998</v>
      </c>
      <c r="O783" s="116">
        <v>312.10000000000002</v>
      </c>
      <c r="P783" s="116">
        <v>315.5</v>
      </c>
      <c r="Q783" s="116">
        <v>314.14999999999998</v>
      </c>
      <c r="R783">
        <v>9054662</v>
      </c>
    </row>
    <row r="784" spans="1:18" x14ac:dyDescent="0.25">
      <c r="A784" s="170">
        <v>43154</v>
      </c>
      <c r="B784" s="116">
        <v>328.5</v>
      </c>
      <c r="C784" s="116">
        <v>327.8</v>
      </c>
      <c r="D784" s="116">
        <v>312.5</v>
      </c>
      <c r="E784" s="116">
        <v>312.5</v>
      </c>
      <c r="F784" s="116">
        <v>327.8</v>
      </c>
      <c r="G784">
        <v>309688</v>
      </c>
      <c r="H784" s="116"/>
      <c r="I784" s="116"/>
      <c r="L784" s="170">
        <v>43154</v>
      </c>
      <c r="M784" s="116">
        <v>328</v>
      </c>
      <c r="N784" s="116">
        <v>329</v>
      </c>
      <c r="O784" s="116">
        <v>314.39999999999998</v>
      </c>
      <c r="P784" s="116">
        <v>316</v>
      </c>
      <c r="Q784" s="116">
        <v>328</v>
      </c>
      <c r="R784">
        <v>3963412</v>
      </c>
    </row>
    <row r="785" spans="1:18" x14ac:dyDescent="0.25">
      <c r="A785" s="170">
        <v>43157</v>
      </c>
      <c r="B785" s="116">
        <v>339.55</v>
      </c>
      <c r="C785" s="116">
        <v>331.7</v>
      </c>
      <c r="D785" s="116">
        <v>330.1</v>
      </c>
      <c r="E785" s="116">
        <v>330.1</v>
      </c>
      <c r="F785" s="116">
        <v>331.7</v>
      </c>
      <c r="G785">
        <v>278413</v>
      </c>
      <c r="H785" s="116"/>
      <c r="I785" s="116"/>
      <c r="L785" s="170">
        <v>43157</v>
      </c>
      <c r="M785" s="116">
        <v>332.3</v>
      </c>
      <c r="N785" s="116">
        <v>340.2</v>
      </c>
      <c r="O785" s="116">
        <v>330.8</v>
      </c>
      <c r="P785" s="116">
        <v>333</v>
      </c>
      <c r="Q785" s="116">
        <v>332.3</v>
      </c>
      <c r="R785">
        <v>3776145</v>
      </c>
    </row>
    <row r="786" spans="1:18" x14ac:dyDescent="0.25">
      <c r="A786" s="170">
        <v>43158</v>
      </c>
      <c r="B786" s="116">
        <v>334.75</v>
      </c>
      <c r="C786" s="116">
        <v>329.35</v>
      </c>
      <c r="D786" s="116">
        <v>326.60000000000002</v>
      </c>
      <c r="E786" s="116">
        <v>333</v>
      </c>
      <c r="F786" s="116">
        <v>329.35</v>
      </c>
      <c r="G786">
        <v>95482</v>
      </c>
      <c r="H786" s="116"/>
      <c r="I786" s="116"/>
      <c r="L786" s="170">
        <v>43158</v>
      </c>
      <c r="M786" s="116">
        <v>329.4</v>
      </c>
      <c r="N786" s="116">
        <v>334.8</v>
      </c>
      <c r="O786" s="116">
        <v>326.25</v>
      </c>
      <c r="P786" s="116">
        <v>333.95</v>
      </c>
      <c r="Q786" s="116">
        <v>329.4</v>
      </c>
      <c r="R786">
        <v>1360525</v>
      </c>
    </row>
    <row r="787" spans="1:18" x14ac:dyDescent="0.25">
      <c r="A787" s="170">
        <v>43159</v>
      </c>
      <c r="B787" s="116">
        <v>329.45</v>
      </c>
      <c r="C787" s="116">
        <v>325.95</v>
      </c>
      <c r="D787" s="116">
        <v>324</v>
      </c>
      <c r="E787" s="116">
        <v>329.45</v>
      </c>
      <c r="F787" s="116">
        <v>325.95</v>
      </c>
      <c r="G787">
        <v>84103</v>
      </c>
      <c r="H787" s="116"/>
      <c r="I787" s="116"/>
      <c r="L787" s="170">
        <v>43159</v>
      </c>
      <c r="M787" s="116">
        <v>326.45</v>
      </c>
      <c r="N787" s="116">
        <v>328</v>
      </c>
      <c r="O787" s="116">
        <v>324</v>
      </c>
      <c r="P787" s="116">
        <v>326</v>
      </c>
      <c r="Q787" s="116">
        <v>326.45</v>
      </c>
      <c r="R787">
        <v>1309367</v>
      </c>
    </row>
    <row r="788" spans="1:18" x14ac:dyDescent="0.25">
      <c r="A788" s="170">
        <v>43160</v>
      </c>
      <c r="B788" s="116">
        <v>330.2</v>
      </c>
      <c r="C788" s="116">
        <v>315.64999999999998</v>
      </c>
      <c r="D788" s="116">
        <v>314.3</v>
      </c>
      <c r="E788" s="116">
        <v>326</v>
      </c>
      <c r="F788" s="116">
        <v>315.64999999999998</v>
      </c>
      <c r="G788">
        <v>99798</v>
      </c>
      <c r="H788" s="116"/>
      <c r="I788" s="116"/>
      <c r="L788" s="170">
        <v>43160</v>
      </c>
      <c r="M788" s="116">
        <v>315.60000000000002</v>
      </c>
      <c r="N788" s="116">
        <v>330.3</v>
      </c>
      <c r="O788" s="116">
        <v>314.05</v>
      </c>
      <c r="P788" s="116">
        <v>325.89999999999998</v>
      </c>
      <c r="Q788" s="116">
        <v>315.60000000000002</v>
      </c>
      <c r="R788">
        <v>2251422</v>
      </c>
    </row>
    <row r="789" spans="1:18" x14ac:dyDescent="0.25">
      <c r="A789" s="170">
        <v>43164</v>
      </c>
      <c r="B789" s="116">
        <v>315.95</v>
      </c>
      <c r="C789" s="116">
        <v>313.39999999999998</v>
      </c>
      <c r="D789" s="116">
        <v>307.64999999999998</v>
      </c>
      <c r="E789" s="116">
        <v>315.7</v>
      </c>
      <c r="F789" s="116">
        <v>313.39999999999998</v>
      </c>
      <c r="G789">
        <v>284227</v>
      </c>
      <c r="H789" s="116"/>
      <c r="I789" s="116"/>
      <c r="L789" s="170">
        <v>43164</v>
      </c>
      <c r="M789" s="116">
        <v>313.64999999999998</v>
      </c>
      <c r="N789" s="116">
        <v>316.25</v>
      </c>
      <c r="O789" s="116">
        <v>307.39999999999998</v>
      </c>
      <c r="P789" s="116">
        <v>314.39999999999998</v>
      </c>
      <c r="Q789" s="116">
        <v>313.64999999999998</v>
      </c>
      <c r="R789">
        <v>3660347</v>
      </c>
    </row>
    <row r="790" spans="1:18" x14ac:dyDescent="0.25">
      <c r="A790" s="170">
        <v>43165</v>
      </c>
      <c r="B790" s="116">
        <v>319</v>
      </c>
      <c r="C790" s="116">
        <v>313.75</v>
      </c>
      <c r="D790" s="116">
        <v>305</v>
      </c>
      <c r="E790" s="116">
        <v>314</v>
      </c>
      <c r="F790" s="116">
        <v>313.75</v>
      </c>
      <c r="G790">
        <v>95599</v>
      </c>
      <c r="H790" s="116"/>
      <c r="I790" s="116"/>
      <c r="L790" s="170">
        <v>43165</v>
      </c>
      <c r="M790" s="116">
        <v>314.7</v>
      </c>
      <c r="N790" s="116">
        <v>319.35000000000002</v>
      </c>
      <c r="O790" s="116">
        <v>311.3</v>
      </c>
      <c r="P790" s="116">
        <v>314.2</v>
      </c>
      <c r="Q790" s="116">
        <v>314.7</v>
      </c>
      <c r="R790">
        <v>1813814</v>
      </c>
    </row>
    <row r="791" spans="1:18" x14ac:dyDescent="0.25">
      <c r="A791" s="170">
        <v>43166</v>
      </c>
      <c r="B791" s="116">
        <v>312.39999999999998</v>
      </c>
      <c r="C791" s="116">
        <v>309.8</v>
      </c>
      <c r="D791" s="116">
        <v>306.5</v>
      </c>
      <c r="E791" s="116">
        <v>311.25</v>
      </c>
      <c r="F791" s="116">
        <v>309.8</v>
      </c>
      <c r="G791">
        <v>695595</v>
      </c>
      <c r="H791" s="116"/>
      <c r="I791" s="116"/>
      <c r="L791" s="170">
        <v>43166</v>
      </c>
      <c r="M791" s="116">
        <v>308.75</v>
      </c>
      <c r="N791" s="116">
        <v>312.55</v>
      </c>
      <c r="O791" s="116">
        <v>306.14999999999998</v>
      </c>
      <c r="P791" s="116">
        <v>311.3</v>
      </c>
      <c r="Q791" s="116">
        <v>308.75</v>
      </c>
      <c r="R791">
        <v>3978426</v>
      </c>
    </row>
    <row r="792" spans="1:18" x14ac:dyDescent="0.25">
      <c r="A792" s="170">
        <v>43167</v>
      </c>
      <c r="B792" s="116">
        <v>314.89999999999998</v>
      </c>
      <c r="C792" s="116">
        <v>313.35000000000002</v>
      </c>
      <c r="D792" s="116">
        <v>305</v>
      </c>
      <c r="E792" s="116">
        <v>310</v>
      </c>
      <c r="F792" s="116">
        <v>313.35000000000002</v>
      </c>
      <c r="G792">
        <v>95741</v>
      </c>
      <c r="H792" s="116"/>
      <c r="I792" s="116"/>
      <c r="L792" s="170">
        <v>43167</v>
      </c>
      <c r="M792" s="116">
        <v>313.85000000000002</v>
      </c>
      <c r="N792" s="116">
        <v>315.10000000000002</v>
      </c>
      <c r="O792" s="116">
        <v>304.7</v>
      </c>
      <c r="P792" s="116">
        <v>309.2</v>
      </c>
      <c r="Q792" s="116">
        <v>313.85000000000002</v>
      </c>
      <c r="R792">
        <v>1041476</v>
      </c>
    </row>
    <row r="793" spans="1:18" x14ac:dyDescent="0.25">
      <c r="A793" s="170">
        <v>43168</v>
      </c>
      <c r="B793" s="116">
        <v>315.39999999999998</v>
      </c>
      <c r="C793" s="116">
        <v>314.14999999999998</v>
      </c>
      <c r="D793" s="116">
        <v>304.2</v>
      </c>
      <c r="E793" s="116">
        <v>313.35000000000002</v>
      </c>
      <c r="F793" s="116">
        <v>314.14999999999998</v>
      </c>
      <c r="G793">
        <v>734492</v>
      </c>
      <c r="H793" s="116"/>
      <c r="I793" s="116"/>
      <c r="L793" s="170">
        <v>43168</v>
      </c>
      <c r="M793" s="116">
        <v>313.3</v>
      </c>
      <c r="N793" s="116">
        <v>315.45</v>
      </c>
      <c r="O793" s="116">
        <v>304.14999999999998</v>
      </c>
      <c r="P793" s="116">
        <v>314</v>
      </c>
      <c r="Q793" s="116">
        <v>313.3</v>
      </c>
      <c r="R793">
        <v>3300536</v>
      </c>
    </row>
    <row r="794" spans="1:18" x14ac:dyDescent="0.25">
      <c r="A794" s="170">
        <v>43171</v>
      </c>
      <c r="B794" s="116">
        <v>320.2</v>
      </c>
      <c r="C794" s="116">
        <v>318.95</v>
      </c>
      <c r="D794" s="116">
        <v>302.25</v>
      </c>
      <c r="E794" s="116">
        <v>314.8</v>
      </c>
      <c r="F794" s="116">
        <v>318.95</v>
      </c>
      <c r="G794">
        <v>199363</v>
      </c>
      <c r="H794" s="116"/>
      <c r="I794" s="116"/>
      <c r="L794" s="170">
        <v>43171</v>
      </c>
      <c r="M794" s="116">
        <v>318.85000000000002</v>
      </c>
      <c r="N794" s="116">
        <v>320.55</v>
      </c>
      <c r="O794" s="116">
        <v>302.05</v>
      </c>
      <c r="P794" s="116">
        <v>317.25</v>
      </c>
      <c r="Q794" s="116">
        <v>318.85000000000002</v>
      </c>
      <c r="R794">
        <v>3756718</v>
      </c>
    </row>
    <row r="795" spans="1:18" x14ac:dyDescent="0.25">
      <c r="A795" s="170">
        <v>43172</v>
      </c>
      <c r="B795" s="116">
        <v>325.75</v>
      </c>
      <c r="C795" s="116">
        <v>318.39999999999998</v>
      </c>
      <c r="D795" s="116">
        <v>311</v>
      </c>
      <c r="E795" s="116">
        <v>314.8</v>
      </c>
      <c r="F795" s="116">
        <v>318.39999999999998</v>
      </c>
      <c r="G795">
        <v>161775</v>
      </c>
      <c r="H795" s="116"/>
      <c r="I795" s="116"/>
      <c r="L795" s="170">
        <v>43172</v>
      </c>
      <c r="M795" s="116">
        <v>319</v>
      </c>
      <c r="N795" s="116">
        <v>326.39999999999998</v>
      </c>
      <c r="O795" s="116">
        <v>313.35000000000002</v>
      </c>
      <c r="P795" s="116">
        <v>313.35000000000002</v>
      </c>
      <c r="Q795" s="116">
        <v>319</v>
      </c>
      <c r="R795">
        <v>2762603</v>
      </c>
    </row>
    <row r="796" spans="1:18" x14ac:dyDescent="0.25">
      <c r="A796" s="170">
        <v>43173</v>
      </c>
      <c r="B796" s="116">
        <v>326</v>
      </c>
      <c r="C796" s="116">
        <v>320.2</v>
      </c>
      <c r="D796" s="116">
        <v>318.39999999999998</v>
      </c>
      <c r="E796" s="116">
        <v>318.39999999999998</v>
      </c>
      <c r="F796" s="116">
        <v>320.2</v>
      </c>
      <c r="G796">
        <v>163374</v>
      </c>
      <c r="H796" s="116"/>
      <c r="I796" s="116"/>
      <c r="L796" s="170">
        <v>43173</v>
      </c>
      <c r="M796" s="116">
        <v>320.60000000000002</v>
      </c>
      <c r="N796" s="116">
        <v>326.64999999999998</v>
      </c>
      <c r="O796" s="116">
        <v>318.2</v>
      </c>
      <c r="P796" s="116">
        <v>320.5</v>
      </c>
      <c r="Q796" s="116">
        <v>320.60000000000002</v>
      </c>
      <c r="R796">
        <v>4342932</v>
      </c>
    </row>
    <row r="797" spans="1:18" x14ac:dyDescent="0.25">
      <c r="A797" s="170">
        <v>43174</v>
      </c>
      <c r="B797" s="116">
        <v>323.5</v>
      </c>
      <c r="C797" s="116">
        <v>318.55</v>
      </c>
      <c r="D797" s="116">
        <v>316.8</v>
      </c>
      <c r="E797" s="116">
        <v>321</v>
      </c>
      <c r="F797" s="116">
        <v>318.55</v>
      </c>
      <c r="G797">
        <v>324850</v>
      </c>
      <c r="H797" s="116"/>
      <c r="I797" s="116"/>
      <c r="L797" s="170">
        <v>43174</v>
      </c>
      <c r="M797" s="116">
        <v>318.45</v>
      </c>
      <c r="N797" s="116">
        <v>323.7</v>
      </c>
      <c r="O797" s="116">
        <v>316.64999999999998</v>
      </c>
      <c r="P797" s="116">
        <v>319.3</v>
      </c>
      <c r="Q797" s="116">
        <v>318.45</v>
      </c>
      <c r="R797">
        <v>4495797</v>
      </c>
    </row>
    <row r="798" spans="1:18" x14ac:dyDescent="0.25">
      <c r="A798" s="170">
        <v>43175</v>
      </c>
      <c r="B798" s="116">
        <v>324.7</v>
      </c>
      <c r="C798" s="116">
        <v>315.39999999999998</v>
      </c>
      <c r="D798" s="116">
        <v>311</v>
      </c>
      <c r="E798" s="116">
        <v>318.55</v>
      </c>
      <c r="F798" s="116">
        <v>315.39999999999998</v>
      </c>
      <c r="G798">
        <v>240271</v>
      </c>
      <c r="H798" s="116"/>
      <c r="I798" s="116"/>
      <c r="L798" s="170">
        <v>43175</v>
      </c>
      <c r="M798" s="116">
        <v>314.89999999999998</v>
      </c>
      <c r="N798" s="116">
        <v>324.85000000000002</v>
      </c>
      <c r="O798" s="116">
        <v>311.3</v>
      </c>
      <c r="P798" s="116">
        <v>318.39999999999998</v>
      </c>
      <c r="Q798" s="116">
        <v>314.89999999999998</v>
      </c>
      <c r="R798">
        <v>6325044</v>
      </c>
    </row>
    <row r="799" spans="1:18" x14ac:dyDescent="0.25">
      <c r="A799" s="170">
        <v>43178</v>
      </c>
      <c r="B799" s="116">
        <v>317.25</v>
      </c>
      <c r="C799" s="116">
        <v>308.55</v>
      </c>
      <c r="D799" s="116">
        <v>307</v>
      </c>
      <c r="E799" s="116">
        <v>316</v>
      </c>
      <c r="F799" s="116">
        <v>308.55</v>
      </c>
      <c r="G799">
        <v>73403</v>
      </c>
      <c r="H799" s="116"/>
      <c r="I799" s="116"/>
      <c r="L799" s="170">
        <v>43178</v>
      </c>
      <c r="M799" s="116">
        <v>308.7</v>
      </c>
      <c r="N799" s="116">
        <v>317.35000000000002</v>
      </c>
      <c r="O799" s="116">
        <v>307</v>
      </c>
      <c r="P799" s="116">
        <v>314.95</v>
      </c>
      <c r="Q799" s="116">
        <v>308.7</v>
      </c>
      <c r="R799">
        <v>2354765</v>
      </c>
    </row>
    <row r="800" spans="1:18" x14ac:dyDescent="0.25">
      <c r="A800" s="170">
        <v>43179</v>
      </c>
      <c r="B800" s="116">
        <v>313.7</v>
      </c>
      <c r="C800" s="116">
        <v>312</v>
      </c>
      <c r="D800" s="116">
        <v>305.14999999999998</v>
      </c>
      <c r="E800" s="116">
        <v>307.95</v>
      </c>
      <c r="F800" s="116">
        <v>312</v>
      </c>
      <c r="G800">
        <v>66817</v>
      </c>
      <c r="H800" s="116"/>
      <c r="I800" s="116"/>
      <c r="L800" s="170">
        <v>43179</v>
      </c>
      <c r="M800" s="116">
        <v>313</v>
      </c>
      <c r="N800" s="116">
        <v>314.60000000000002</v>
      </c>
      <c r="O800" s="116">
        <v>305.25</v>
      </c>
      <c r="P800" s="116">
        <v>305.25</v>
      </c>
      <c r="Q800" s="116">
        <v>313</v>
      </c>
      <c r="R800">
        <v>2430725</v>
      </c>
    </row>
    <row r="801" spans="1:18" x14ac:dyDescent="0.25">
      <c r="A801" s="170">
        <v>43180</v>
      </c>
      <c r="B801" s="116">
        <v>314.60000000000002</v>
      </c>
      <c r="C801" s="116">
        <v>311.3</v>
      </c>
      <c r="D801" s="116">
        <v>309.5</v>
      </c>
      <c r="E801" s="116">
        <v>314</v>
      </c>
      <c r="F801" s="116">
        <v>311.3</v>
      </c>
      <c r="G801">
        <v>108993</v>
      </c>
      <c r="H801" s="116"/>
      <c r="I801" s="116"/>
      <c r="L801" s="170">
        <v>43180</v>
      </c>
      <c r="M801" s="116">
        <v>311.39999999999998</v>
      </c>
      <c r="N801" s="116">
        <v>314.39999999999998</v>
      </c>
      <c r="O801" s="116">
        <v>309.25</v>
      </c>
      <c r="P801" s="116">
        <v>313.5</v>
      </c>
      <c r="Q801" s="116">
        <v>311.39999999999998</v>
      </c>
      <c r="R801">
        <v>2405096</v>
      </c>
    </row>
    <row r="802" spans="1:18" x14ac:dyDescent="0.25">
      <c r="A802" s="170">
        <v>43181</v>
      </c>
      <c r="B802" s="116">
        <v>314.85000000000002</v>
      </c>
      <c r="C802" s="116">
        <v>312.5</v>
      </c>
      <c r="D802" s="116">
        <v>310.7</v>
      </c>
      <c r="E802" s="116">
        <v>313.95</v>
      </c>
      <c r="F802" s="116">
        <v>312.5</v>
      </c>
      <c r="G802">
        <v>62934</v>
      </c>
      <c r="H802" s="116"/>
      <c r="I802" s="116"/>
      <c r="L802" s="170">
        <v>43181</v>
      </c>
      <c r="M802" s="116">
        <v>312.75</v>
      </c>
      <c r="N802" s="116">
        <v>315.2</v>
      </c>
      <c r="O802" s="116">
        <v>310.25</v>
      </c>
      <c r="P802" s="116">
        <v>312.05</v>
      </c>
      <c r="Q802" s="116">
        <v>312.75</v>
      </c>
      <c r="R802">
        <v>2439322</v>
      </c>
    </row>
    <row r="803" spans="1:18" x14ac:dyDescent="0.25">
      <c r="A803" s="170">
        <v>43182</v>
      </c>
      <c r="B803" s="116">
        <v>304.5</v>
      </c>
      <c r="C803" s="116">
        <v>300.55</v>
      </c>
      <c r="D803" s="116">
        <v>296.45</v>
      </c>
      <c r="E803" s="116">
        <v>304.25</v>
      </c>
      <c r="F803" s="116">
        <v>300.55</v>
      </c>
      <c r="G803">
        <v>87540</v>
      </c>
      <c r="H803" s="116"/>
      <c r="I803" s="116"/>
      <c r="L803" s="170">
        <v>43182</v>
      </c>
      <c r="M803" s="116">
        <v>301.45</v>
      </c>
      <c r="N803" s="116">
        <v>305.05</v>
      </c>
      <c r="O803" s="116">
        <v>296.35000000000002</v>
      </c>
      <c r="P803" s="116">
        <v>300</v>
      </c>
      <c r="Q803" s="116">
        <v>301.45</v>
      </c>
      <c r="R803">
        <v>2797668</v>
      </c>
    </row>
    <row r="804" spans="1:18" x14ac:dyDescent="0.25">
      <c r="A804" s="170">
        <v>43185</v>
      </c>
      <c r="B804" s="116">
        <v>304.14999999999998</v>
      </c>
      <c r="C804" s="116">
        <v>302.89999999999998</v>
      </c>
      <c r="D804" s="116">
        <v>299</v>
      </c>
      <c r="E804" s="116">
        <v>302</v>
      </c>
      <c r="F804" s="116">
        <v>302.89999999999998</v>
      </c>
      <c r="G804">
        <v>93274</v>
      </c>
      <c r="H804" s="116"/>
      <c r="I804" s="116"/>
      <c r="L804" s="170">
        <v>43185</v>
      </c>
      <c r="M804" s="116">
        <v>303.55</v>
      </c>
      <c r="N804" s="116">
        <v>304.8</v>
      </c>
      <c r="O804" s="116">
        <v>298.55</v>
      </c>
      <c r="P804" s="116">
        <v>298.89999999999998</v>
      </c>
      <c r="Q804" s="116">
        <v>303.55</v>
      </c>
      <c r="R804">
        <v>1760298</v>
      </c>
    </row>
    <row r="805" spans="1:18" x14ac:dyDescent="0.25">
      <c r="A805" s="170">
        <v>43186</v>
      </c>
      <c r="B805" s="116">
        <v>310.64999999999998</v>
      </c>
      <c r="C805" s="116">
        <v>305.45</v>
      </c>
      <c r="D805" s="116">
        <v>304.2</v>
      </c>
      <c r="E805" s="116">
        <v>306.75</v>
      </c>
      <c r="F805" s="116">
        <v>305.45</v>
      </c>
      <c r="G805">
        <v>78011</v>
      </c>
      <c r="H805" s="116"/>
      <c r="I805" s="116"/>
      <c r="L805" s="170">
        <v>43186</v>
      </c>
      <c r="M805" s="116">
        <v>305.95</v>
      </c>
      <c r="N805" s="116">
        <v>310.89999999999998</v>
      </c>
      <c r="O805" s="116">
        <v>304.2</v>
      </c>
      <c r="P805" s="116">
        <v>305.7</v>
      </c>
      <c r="Q805" s="116">
        <v>305.95</v>
      </c>
      <c r="R805">
        <v>1995622</v>
      </c>
    </row>
    <row r="806" spans="1:18" x14ac:dyDescent="0.25">
      <c r="A806" s="170">
        <v>43187</v>
      </c>
      <c r="B806" s="116">
        <v>305.95</v>
      </c>
      <c r="C806" s="116">
        <v>300.95</v>
      </c>
      <c r="D806" s="116">
        <v>298</v>
      </c>
      <c r="E806" s="116">
        <v>305.35000000000002</v>
      </c>
      <c r="F806" s="116">
        <v>300.95</v>
      </c>
      <c r="G806">
        <v>78823</v>
      </c>
      <c r="H806" s="116"/>
      <c r="I806" s="116"/>
      <c r="L806" s="170">
        <v>43187</v>
      </c>
      <c r="M806" s="116">
        <v>300.55</v>
      </c>
      <c r="N806" s="116">
        <v>306.3</v>
      </c>
      <c r="O806" s="116">
        <v>298</v>
      </c>
      <c r="P806" s="116">
        <v>305.5</v>
      </c>
      <c r="Q806" s="116">
        <v>300.55</v>
      </c>
      <c r="R806">
        <v>4641159</v>
      </c>
    </row>
    <row r="807" spans="1:18" x14ac:dyDescent="0.25">
      <c r="A807" s="170">
        <v>43192</v>
      </c>
      <c r="B807" s="116">
        <v>304.64999999999998</v>
      </c>
      <c r="C807" s="116">
        <v>302.85000000000002</v>
      </c>
      <c r="D807" s="116">
        <v>301.3</v>
      </c>
      <c r="E807" s="116">
        <v>303</v>
      </c>
      <c r="F807" s="116">
        <v>302.85000000000002</v>
      </c>
      <c r="G807">
        <v>44139</v>
      </c>
      <c r="H807" s="116"/>
      <c r="I807" s="116"/>
      <c r="L807" s="170">
        <v>43192</v>
      </c>
      <c r="M807" s="116">
        <v>303.2</v>
      </c>
      <c r="N807" s="116">
        <v>304.75</v>
      </c>
      <c r="O807" s="116">
        <v>300.8</v>
      </c>
      <c r="P807" s="116">
        <v>304.35000000000002</v>
      </c>
      <c r="Q807" s="116">
        <v>303.2</v>
      </c>
      <c r="R807">
        <v>1007283</v>
      </c>
    </row>
    <row r="808" spans="1:18" x14ac:dyDescent="0.25">
      <c r="A808" s="170">
        <v>43193</v>
      </c>
      <c r="B808" s="116">
        <v>310.45</v>
      </c>
      <c r="C808" s="116">
        <v>309.75</v>
      </c>
      <c r="D808" s="116">
        <v>303.89999999999998</v>
      </c>
      <c r="E808" s="116">
        <v>305</v>
      </c>
      <c r="F808" s="116">
        <v>309.75</v>
      </c>
      <c r="G808">
        <v>119252</v>
      </c>
      <c r="H808" s="116"/>
      <c r="I808" s="116"/>
      <c r="L808" s="170">
        <v>43193</v>
      </c>
      <c r="M808" s="116">
        <v>309.2</v>
      </c>
      <c r="N808" s="116">
        <v>310.39999999999998</v>
      </c>
      <c r="O808" s="116">
        <v>303.25</v>
      </c>
      <c r="P808" s="116">
        <v>303.5</v>
      </c>
      <c r="Q808" s="116">
        <v>309.2</v>
      </c>
      <c r="R808">
        <v>2389206</v>
      </c>
    </row>
    <row r="809" spans="1:18" x14ac:dyDescent="0.25">
      <c r="A809" s="170">
        <v>43194</v>
      </c>
      <c r="B809" s="116">
        <v>309.7</v>
      </c>
      <c r="C809" s="116">
        <v>307.39999999999998</v>
      </c>
      <c r="D809" s="116">
        <v>305.25</v>
      </c>
      <c r="E809" s="116">
        <v>309</v>
      </c>
      <c r="F809" s="116">
        <v>307.39999999999998</v>
      </c>
      <c r="G809">
        <v>503571</v>
      </c>
      <c r="H809" s="116"/>
      <c r="I809" s="116"/>
      <c r="L809" s="170">
        <v>43194</v>
      </c>
      <c r="M809" s="116">
        <v>307.25</v>
      </c>
      <c r="N809" s="116">
        <v>310</v>
      </c>
      <c r="O809" s="116">
        <v>305.14999999999998</v>
      </c>
      <c r="P809" s="116">
        <v>310</v>
      </c>
      <c r="Q809" s="116">
        <v>307.25</v>
      </c>
      <c r="R809">
        <v>2784661</v>
      </c>
    </row>
    <row r="810" spans="1:18" x14ac:dyDescent="0.25">
      <c r="A810" s="170">
        <v>43195</v>
      </c>
      <c r="B810" s="116">
        <v>316.5</v>
      </c>
      <c r="C810" s="116">
        <v>313.3</v>
      </c>
      <c r="D810" s="116">
        <v>307.10000000000002</v>
      </c>
      <c r="E810" s="116">
        <v>307.10000000000002</v>
      </c>
      <c r="F810" s="116">
        <v>313.3</v>
      </c>
      <c r="G810">
        <v>250824</v>
      </c>
      <c r="H810" s="116"/>
      <c r="I810" s="116"/>
      <c r="L810" s="170">
        <v>43195</v>
      </c>
      <c r="M810" s="116">
        <v>313.5</v>
      </c>
      <c r="N810" s="116">
        <v>316.5</v>
      </c>
      <c r="O810" s="116">
        <v>309.10000000000002</v>
      </c>
      <c r="P810" s="116">
        <v>309.10000000000002</v>
      </c>
      <c r="Q810" s="116">
        <v>313.5</v>
      </c>
      <c r="R810">
        <v>3971835</v>
      </c>
    </row>
    <row r="811" spans="1:18" x14ac:dyDescent="0.25">
      <c r="A811" s="170">
        <v>43196</v>
      </c>
      <c r="B811" s="116">
        <v>315.39999999999998</v>
      </c>
      <c r="C811" s="116">
        <v>314.55</v>
      </c>
      <c r="D811" s="116">
        <v>309.35000000000002</v>
      </c>
      <c r="E811" s="116">
        <v>313.45</v>
      </c>
      <c r="F811" s="116">
        <v>314.55</v>
      </c>
      <c r="G811">
        <v>76181</v>
      </c>
      <c r="H811" s="116"/>
      <c r="I811" s="116"/>
      <c r="L811" s="170">
        <v>43196</v>
      </c>
      <c r="M811" s="116">
        <v>314.3</v>
      </c>
      <c r="N811" s="116">
        <v>315.3</v>
      </c>
      <c r="O811" s="116">
        <v>309.2</v>
      </c>
      <c r="P811" s="116">
        <v>312.5</v>
      </c>
      <c r="Q811" s="116">
        <v>314.3</v>
      </c>
      <c r="R811">
        <v>2594222</v>
      </c>
    </row>
    <row r="812" spans="1:18" x14ac:dyDescent="0.25">
      <c r="A812" s="170">
        <v>43199</v>
      </c>
      <c r="B812" s="116">
        <v>317.75</v>
      </c>
      <c r="C812" s="116">
        <v>313.55</v>
      </c>
      <c r="D812" s="116">
        <v>310.64999999999998</v>
      </c>
      <c r="E812" s="116">
        <v>314.60000000000002</v>
      </c>
      <c r="F812" s="116">
        <v>313.55</v>
      </c>
      <c r="G812">
        <v>81949</v>
      </c>
      <c r="H812" s="116"/>
      <c r="I812" s="116"/>
      <c r="L812" s="170">
        <v>43199</v>
      </c>
      <c r="M812" s="116">
        <v>313.60000000000002</v>
      </c>
      <c r="N812" s="116">
        <v>317.85000000000002</v>
      </c>
      <c r="O812" s="116">
        <v>310.3</v>
      </c>
      <c r="P812" s="116">
        <v>315</v>
      </c>
      <c r="Q812" s="116">
        <v>313.60000000000002</v>
      </c>
      <c r="R812">
        <v>2425848</v>
      </c>
    </row>
    <row r="813" spans="1:18" x14ac:dyDescent="0.25">
      <c r="A813" s="170">
        <v>43200</v>
      </c>
      <c r="B813" s="116">
        <v>318</v>
      </c>
      <c r="C813" s="116">
        <v>315.3</v>
      </c>
      <c r="D813" s="116">
        <v>312.64999999999998</v>
      </c>
      <c r="E813" s="116">
        <v>315.3</v>
      </c>
      <c r="F813" s="116">
        <v>315.3</v>
      </c>
      <c r="G813">
        <v>75548</v>
      </c>
      <c r="H813" s="116"/>
      <c r="I813" s="116"/>
      <c r="L813" s="170">
        <v>43200</v>
      </c>
      <c r="M813" s="116">
        <v>315</v>
      </c>
      <c r="N813" s="116">
        <v>318.3</v>
      </c>
      <c r="O813" s="116">
        <v>313</v>
      </c>
      <c r="P813" s="116">
        <v>315.5</v>
      </c>
      <c r="Q813" s="116">
        <v>315</v>
      </c>
      <c r="R813">
        <v>2310001</v>
      </c>
    </row>
    <row r="814" spans="1:18" x14ac:dyDescent="0.25">
      <c r="A814" s="170">
        <v>43201</v>
      </c>
      <c r="B814" s="116">
        <v>320</v>
      </c>
      <c r="C814" s="116">
        <v>318.35000000000002</v>
      </c>
      <c r="D814" s="116">
        <v>315.45</v>
      </c>
      <c r="E814" s="116">
        <v>316.89999999999998</v>
      </c>
      <c r="F814" s="116">
        <v>318.35000000000002</v>
      </c>
      <c r="G814">
        <v>115195</v>
      </c>
      <c r="H814" s="116"/>
      <c r="I814" s="116"/>
      <c r="L814" s="170">
        <v>43201</v>
      </c>
      <c r="M814" s="116">
        <v>318.7</v>
      </c>
      <c r="N814" s="116">
        <v>320.5</v>
      </c>
      <c r="O814" s="116">
        <v>315</v>
      </c>
      <c r="P814" s="116">
        <v>316.2</v>
      </c>
      <c r="Q814" s="116">
        <v>318.7</v>
      </c>
      <c r="R814">
        <v>2032156</v>
      </c>
    </row>
    <row r="815" spans="1:18" x14ac:dyDescent="0.25">
      <c r="A815" s="170">
        <v>43202</v>
      </c>
      <c r="B815" s="116">
        <v>316.8</v>
      </c>
      <c r="C815" s="116">
        <v>312.95</v>
      </c>
      <c r="D815" s="116">
        <v>309.2</v>
      </c>
      <c r="E815" s="116">
        <v>315.85000000000002</v>
      </c>
      <c r="F815" s="116">
        <v>312.95</v>
      </c>
      <c r="G815">
        <v>169883</v>
      </c>
      <c r="H815" s="116"/>
      <c r="I815" s="116"/>
      <c r="L815" s="170">
        <v>43202</v>
      </c>
      <c r="M815" s="116">
        <v>312.95</v>
      </c>
      <c r="N815" s="116">
        <v>316.89999999999998</v>
      </c>
      <c r="O815" s="116">
        <v>308.89999999999998</v>
      </c>
      <c r="P815" s="116">
        <v>316</v>
      </c>
      <c r="Q815" s="116">
        <v>312.95</v>
      </c>
      <c r="R815">
        <v>4123627</v>
      </c>
    </row>
    <row r="816" spans="1:18" x14ac:dyDescent="0.25">
      <c r="A816" s="170">
        <v>43203</v>
      </c>
      <c r="B816" s="116">
        <v>315.7</v>
      </c>
      <c r="C816" s="116">
        <v>314.5</v>
      </c>
      <c r="D816" s="116">
        <v>310.10000000000002</v>
      </c>
      <c r="E816" s="116">
        <v>313.95</v>
      </c>
      <c r="F816" s="116">
        <v>314.5</v>
      </c>
      <c r="G816">
        <v>646499</v>
      </c>
      <c r="H816" s="116"/>
      <c r="I816" s="116"/>
      <c r="L816" s="170">
        <v>43203</v>
      </c>
      <c r="M816" s="116">
        <v>314.39999999999998</v>
      </c>
      <c r="N816" s="116">
        <v>315.60000000000002</v>
      </c>
      <c r="O816" s="116">
        <v>310.14999999999998</v>
      </c>
      <c r="P816" s="116">
        <v>312.85000000000002</v>
      </c>
      <c r="Q816" s="116">
        <v>314.39999999999998</v>
      </c>
      <c r="R816">
        <v>2839968</v>
      </c>
    </row>
    <row r="817" spans="1:18" x14ac:dyDescent="0.25">
      <c r="A817" s="170">
        <v>43206</v>
      </c>
      <c r="B817" s="116">
        <v>317.14999999999998</v>
      </c>
      <c r="C817" s="116">
        <v>316.10000000000002</v>
      </c>
      <c r="D817" s="116">
        <v>311</v>
      </c>
      <c r="E817" s="116">
        <v>315</v>
      </c>
      <c r="F817" s="116">
        <v>316.10000000000002</v>
      </c>
      <c r="G817">
        <v>906755</v>
      </c>
      <c r="H817" s="116"/>
      <c r="I817" s="116"/>
      <c r="L817" s="170">
        <v>43206</v>
      </c>
      <c r="M817" s="116">
        <v>317.10000000000002</v>
      </c>
      <c r="N817" s="116">
        <v>318.25</v>
      </c>
      <c r="O817" s="116">
        <v>311.45</v>
      </c>
      <c r="P817" s="116">
        <v>314</v>
      </c>
      <c r="Q817" s="116">
        <v>317.10000000000002</v>
      </c>
      <c r="R817">
        <v>2523468</v>
      </c>
    </row>
    <row r="818" spans="1:18" x14ac:dyDescent="0.25">
      <c r="A818" s="170">
        <v>43207</v>
      </c>
      <c r="B818" s="116">
        <v>319.8</v>
      </c>
      <c r="C818" s="116">
        <v>317.89999999999998</v>
      </c>
      <c r="D818" s="116">
        <v>316.3</v>
      </c>
      <c r="E818" s="116">
        <v>317.89999999999998</v>
      </c>
      <c r="F818" s="116">
        <v>317.89999999999998</v>
      </c>
      <c r="G818">
        <v>52612</v>
      </c>
      <c r="H818" s="116"/>
      <c r="I818" s="116"/>
      <c r="L818" s="170">
        <v>43207</v>
      </c>
      <c r="M818" s="116">
        <v>318.35000000000002</v>
      </c>
      <c r="N818" s="116">
        <v>320</v>
      </c>
      <c r="O818" s="116">
        <v>316.3</v>
      </c>
      <c r="P818" s="116">
        <v>319</v>
      </c>
      <c r="Q818" s="116">
        <v>318.35000000000002</v>
      </c>
      <c r="R818">
        <v>917787</v>
      </c>
    </row>
    <row r="819" spans="1:18" x14ac:dyDescent="0.25">
      <c r="A819" s="170">
        <v>43208</v>
      </c>
      <c r="B819" s="116">
        <v>324.60000000000002</v>
      </c>
      <c r="C819" s="116">
        <v>323</v>
      </c>
      <c r="D819" s="116">
        <v>316.35000000000002</v>
      </c>
      <c r="E819" s="116">
        <v>316.35000000000002</v>
      </c>
      <c r="F819" s="116">
        <v>323</v>
      </c>
      <c r="G819">
        <v>112471</v>
      </c>
      <c r="H819" s="116"/>
      <c r="I819" s="116"/>
      <c r="L819" s="170">
        <v>43208</v>
      </c>
      <c r="M819" s="116">
        <v>323.39999999999998</v>
      </c>
      <c r="N819" s="116">
        <v>324.55</v>
      </c>
      <c r="O819" s="116">
        <v>317.2</v>
      </c>
      <c r="P819" s="116">
        <v>319.89999999999998</v>
      </c>
      <c r="Q819" s="116">
        <v>323.39999999999998</v>
      </c>
      <c r="R819">
        <v>1990928</v>
      </c>
    </row>
    <row r="820" spans="1:18" x14ac:dyDescent="0.25">
      <c r="A820" s="170">
        <v>43209</v>
      </c>
      <c r="B820" s="116">
        <v>336.35</v>
      </c>
      <c r="C820" s="116">
        <v>329.25</v>
      </c>
      <c r="D820" s="116">
        <v>327.2</v>
      </c>
      <c r="E820" s="116">
        <v>327.2</v>
      </c>
      <c r="F820" s="116">
        <v>329.25</v>
      </c>
      <c r="G820">
        <v>312635</v>
      </c>
      <c r="H820" s="116"/>
      <c r="I820" s="116"/>
      <c r="L820" s="170">
        <v>43209</v>
      </c>
      <c r="M820" s="116">
        <v>328.95</v>
      </c>
      <c r="N820" s="116">
        <v>336.5</v>
      </c>
      <c r="O820" s="116">
        <v>327.39999999999998</v>
      </c>
      <c r="P820" s="116">
        <v>328.1</v>
      </c>
      <c r="Q820" s="116">
        <v>328.95</v>
      </c>
      <c r="R820">
        <v>4340595</v>
      </c>
    </row>
    <row r="821" spans="1:18" x14ac:dyDescent="0.25">
      <c r="A821" s="170">
        <v>43210</v>
      </c>
      <c r="B821" s="116">
        <v>328.75</v>
      </c>
      <c r="C821" s="116">
        <v>327.75</v>
      </c>
      <c r="D821" s="116">
        <v>322.95</v>
      </c>
      <c r="E821" s="116">
        <v>327.8</v>
      </c>
      <c r="F821" s="116">
        <v>327.75</v>
      </c>
      <c r="G821">
        <v>101160</v>
      </c>
      <c r="H821" s="116"/>
      <c r="I821" s="116"/>
      <c r="L821" s="170">
        <v>43210</v>
      </c>
      <c r="M821" s="116">
        <v>327.64999999999998</v>
      </c>
      <c r="N821" s="116">
        <v>328.8</v>
      </c>
      <c r="O821" s="116">
        <v>323</v>
      </c>
      <c r="P821" s="116">
        <v>326.60000000000002</v>
      </c>
      <c r="Q821" s="116">
        <v>327.64999999999998</v>
      </c>
      <c r="R821">
        <v>1607315</v>
      </c>
    </row>
    <row r="822" spans="1:18" x14ac:dyDescent="0.25">
      <c r="A822" s="170">
        <v>43213</v>
      </c>
      <c r="B822" s="116">
        <v>330</v>
      </c>
      <c r="C822" s="116">
        <v>322.95</v>
      </c>
      <c r="D822" s="116">
        <v>319.39999999999998</v>
      </c>
      <c r="E822" s="116">
        <v>330</v>
      </c>
      <c r="F822" s="116">
        <v>322.95</v>
      </c>
      <c r="G822">
        <v>94803</v>
      </c>
      <c r="H822" s="116"/>
      <c r="I822" s="116"/>
      <c r="L822" s="170">
        <v>43213</v>
      </c>
      <c r="M822" s="116">
        <v>323.2</v>
      </c>
      <c r="N822" s="116">
        <v>327.5</v>
      </c>
      <c r="O822" s="116">
        <v>319.3</v>
      </c>
      <c r="P822" s="116">
        <v>327</v>
      </c>
      <c r="Q822" s="116">
        <v>323.2</v>
      </c>
      <c r="R822">
        <v>1774416</v>
      </c>
    </row>
    <row r="823" spans="1:18" x14ac:dyDescent="0.25">
      <c r="A823" s="170">
        <v>43214</v>
      </c>
      <c r="B823" s="116">
        <v>322.85000000000002</v>
      </c>
      <c r="C823" s="116">
        <v>321.25</v>
      </c>
      <c r="D823" s="116">
        <v>317.5</v>
      </c>
      <c r="E823" s="116">
        <v>321</v>
      </c>
      <c r="F823" s="116">
        <v>321.25</v>
      </c>
      <c r="G823">
        <v>44792</v>
      </c>
      <c r="H823" s="116"/>
      <c r="I823" s="116"/>
      <c r="L823" s="170">
        <v>43214</v>
      </c>
      <c r="M823" s="116">
        <v>321</v>
      </c>
      <c r="N823" s="116">
        <v>322.64999999999998</v>
      </c>
      <c r="O823" s="116">
        <v>317.35000000000002</v>
      </c>
      <c r="P823" s="116">
        <v>320.10000000000002</v>
      </c>
      <c r="Q823" s="116">
        <v>321</v>
      </c>
      <c r="R823">
        <v>2087447</v>
      </c>
    </row>
    <row r="824" spans="1:18" x14ac:dyDescent="0.25">
      <c r="A824" s="170">
        <v>43215</v>
      </c>
      <c r="B824" s="116">
        <v>327.14999999999998</v>
      </c>
      <c r="C824" s="116">
        <v>324.25</v>
      </c>
      <c r="D824" s="116">
        <v>319.75</v>
      </c>
      <c r="E824" s="116">
        <v>320.10000000000002</v>
      </c>
      <c r="F824" s="116">
        <v>324.25</v>
      </c>
      <c r="G824">
        <v>49624</v>
      </c>
      <c r="H824" s="116"/>
      <c r="I824" s="116"/>
      <c r="L824" s="170">
        <v>43215</v>
      </c>
      <c r="M824" s="116">
        <v>324.39999999999998</v>
      </c>
      <c r="N824" s="116">
        <v>327.39999999999998</v>
      </c>
      <c r="O824" s="116">
        <v>319.60000000000002</v>
      </c>
      <c r="P824" s="116">
        <v>320.89999999999998</v>
      </c>
      <c r="Q824" s="116">
        <v>324.39999999999998</v>
      </c>
      <c r="R824">
        <v>1553599</v>
      </c>
    </row>
    <row r="825" spans="1:18" x14ac:dyDescent="0.25">
      <c r="A825" s="170">
        <v>43216</v>
      </c>
      <c r="B825" s="116">
        <v>326.39999999999998</v>
      </c>
      <c r="C825" s="116">
        <v>320.39999999999998</v>
      </c>
      <c r="D825" s="116">
        <v>318.25</v>
      </c>
      <c r="E825" s="116">
        <v>326.39999999999998</v>
      </c>
      <c r="F825" s="116">
        <v>320.39999999999998</v>
      </c>
      <c r="G825">
        <v>743492</v>
      </c>
      <c r="H825" s="116"/>
      <c r="I825" s="116"/>
      <c r="L825" s="170">
        <v>43216</v>
      </c>
      <c r="M825" s="116">
        <v>320</v>
      </c>
      <c r="N825" s="116">
        <v>326.14999999999998</v>
      </c>
      <c r="O825" s="116">
        <v>318.45</v>
      </c>
      <c r="P825" s="116">
        <v>326.14999999999998</v>
      </c>
      <c r="Q825" s="116">
        <v>320</v>
      </c>
      <c r="R825">
        <v>2669645</v>
      </c>
    </row>
    <row r="826" spans="1:18" x14ac:dyDescent="0.25">
      <c r="A826" s="170">
        <v>43217</v>
      </c>
      <c r="B826" s="116">
        <v>331.9</v>
      </c>
      <c r="C826" s="116">
        <v>326.10000000000002</v>
      </c>
      <c r="D826" s="116">
        <v>319.25</v>
      </c>
      <c r="E826" s="116">
        <v>320.14999999999998</v>
      </c>
      <c r="F826" s="116">
        <v>326.10000000000002</v>
      </c>
      <c r="G826">
        <v>159985</v>
      </c>
      <c r="H826" s="116"/>
      <c r="I826" s="116"/>
      <c r="L826" s="170">
        <v>43217</v>
      </c>
      <c r="M826" s="116">
        <v>327.10000000000002</v>
      </c>
      <c r="N826" s="116">
        <v>332</v>
      </c>
      <c r="O826" s="116">
        <v>319.14999999999998</v>
      </c>
      <c r="P826" s="116">
        <v>320</v>
      </c>
      <c r="Q826" s="116">
        <v>327.10000000000002</v>
      </c>
      <c r="R826">
        <v>1442493</v>
      </c>
    </row>
    <row r="827" spans="1:18" x14ac:dyDescent="0.25">
      <c r="A827" s="170">
        <v>43220</v>
      </c>
      <c r="B827" s="116">
        <v>333.95</v>
      </c>
      <c r="C827" s="116">
        <v>327.10000000000002</v>
      </c>
      <c r="D827" s="116">
        <v>323.75</v>
      </c>
      <c r="E827" s="116">
        <v>333</v>
      </c>
      <c r="F827" s="116">
        <v>327.10000000000002</v>
      </c>
      <c r="G827">
        <v>126126</v>
      </c>
      <c r="H827" s="116"/>
      <c r="I827" s="116"/>
      <c r="L827" s="170">
        <v>43220</v>
      </c>
      <c r="M827" s="116">
        <v>326.85000000000002</v>
      </c>
      <c r="N827" s="116">
        <v>334.25</v>
      </c>
      <c r="O827" s="116">
        <v>325.2</v>
      </c>
      <c r="P827" s="116">
        <v>334.25</v>
      </c>
      <c r="Q827" s="116">
        <v>326.85000000000002</v>
      </c>
      <c r="R827">
        <v>1498585</v>
      </c>
    </row>
    <row r="828" spans="1:18" x14ac:dyDescent="0.25">
      <c r="A828" s="170">
        <v>43222</v>
      </c>
      <c r="B828" s="116">
        <v>321.14999999999998</v>
      </c>
      <c r="C828" s="116">
        <v>308.14999999999998</v>
      </c>
      <c r="D828" s="116">
        <v>307.05</v>
      </c>
      <c r="E828" s="116">
        <v>321.14999999999998</v>
      </c>
      <c r="F828" s="116">
        <v>308.14999999999998</v>
      </c>
      <c r="G828">
        <v>249789</v>
      </c>
      <c r="H828" s="116"/>
      <c r="I828" s="116"/>
      <c r="L828" s="170">
        <v>43222</v>
      </c>
      <c r="M828" s="116">
        <v>308.10000000000002</v>
      </c>
      <c r="N828" s="116">
        <v>321.35000000000002</v>
      </c>
      <c r="O828" s="116">
        <v>307</v>
      </c>
      <c r="P828" s="116">
        <v>320</v>
      </c>
      <c r="Q828" s="116">
        <v>308.10000000000002</v>
      </c>
      <c r="R828">
        <v>3691790</v>
      </c>
    </row>
    <row r="829" spans="1:18" x14ac:dyDescent="0.25">
      <c r="A829" s="170">
        <v>43223</v>
      </c>
      <c r="B829" s="116">
        <v>311.64999999999998</v>
      </c>
      <c r="C829" s="116">
        <v>309.5</v>
      </c>
      <c r="D829" s="116">
        <v>304.14999999999998</v>
      </c>
      <c r="E829" s="116">
        <v>311</v>
      </c>
      <c r="F829" s="116">
        <v>309.5</v>
      </c>
      <c r="G829">
        <v>61664</v>
      </c>
      <c r="H829" s="116"/>
      <c r="I829" s="116"/>
      <c r="L829" s="170">
        <v>43223</v>
      </c>
      <c r="M829" s="116">
        <v>309.45</v>
      </c>
      <c r="N829" s="116">
        <v>311.55</v>
      </c>
      <c r="O829" s="116">
        <v>304.05</v>
      </c>
      <c r="P829" s="116">
        <v>310</v>
      </c>
      <c r="Q829" s="116">
        <v>309.45</v>
      </c>
      <c r="R829">
        <v>1606264</v>
      </c>
    </row>
    <row r="830" spans="1:18" x14ac:dyDescent="0.25">
      <c r="A830" s="170">
        <v>43224</v>
      </c>
      <c r="B830" s="116">
        <v>310</v>
      </c>
      <c r="C830" s="116">
        <v>303.85000000000002</v>
      </c>
      <c r="D830" s="116">
        <v>299.55</v>
      </c>
      <c r="E830" s="116">
        <v>310</v>
      </c>
      <c r="F830" s="116">
        <v>303.85000000000002</v>
      </c>
      <c r="G830">
        <v>125062</v>
      </c>
      <c r="H830" s="116"/>
      <c r="I830" s="116"/>
      <c r="L830" s="170">
        <v>43224</v>
      </c>
      <c r="M830" s="116">
        <v>303.5</v>
      </c>
      <c r="N830" s="116">
        <v>309</v>
      </c>
      <c r="O830" s="116">
        <v>299.2</v>
      </c>
      <c r="P830" s="116">
        <v>309</v>
      </c>
      <c r="Q830" s="116">
        <v>303.5</v>
      </c>
      <c r="R830">
        <v>1443132</v>
      </c>
    </row>
    <row r="831" spans="1:18" x14ac:dyDescent="0.25">
      <c r="A831" s="170">
        <v>43227</v>
      </c>
      <c r="B831" s="116">
        <v>307.25</v>
      </c>
      <c r="C831" s="116">
        <v>302.14999999999998</v>
      </c>
      <c r="D831" s="116">
        <v>301.25</v>
      </c>
      <c r="E831" s="116">
        <v>303.85000000000002</v>
      </c>
      <c r="F831" s="116">
        <v>302.14999999999998</v>
      </c>
      <c r="G831">
        <v>98743</v>
      </c>
      <c r="H831" s="116"/>
      <c r="I831" s="116"/>
      <c r="L831" s="170">
        <v>43227</v>
      </c>
      <c r="M831" s="116">
        <v>302.14999999999998</v>
      </c>
      <c r="N831" s="116">
        <v>307.95</v>
      </c>
      <c r="O831" s="116">
        <v>301</v>
      </c>
      <c r="P831" s="116">
        <v>306</v>
      </c>
      <c r="Q831" s="116">
        <v>302.14999999999998</v>
      </c>
      <c r="R831">
        <v>1344158</v>
      </c>
    </row>
    <row r="832" spans="1:18" x14ac:dyDescent="0.25">
      <c r="A832" s="170">
        <v>43228</v>
      </c>
      <c r="B832" s="116">
        <v>307.64999999999998</v>
      </c>
      <c r="C832" s="116">
        <v>301.60000000000002</v>
      </c>
      <c r="D832" s="116">
        <v>300.05</v>
      </c>
      <c r="E832" s="116">
        <v>307.64999999999998</v>
      </c>
      <c r="F832" s="116">
        <v>301.60000000000002</v>
      </c>
      <c r="G832">
        <v>52626</v>
      </c>
      <c r="H832" s="116"/>
      <c r="I832" s="116"/>
      <c r="L832" s="170">
        <v>43228</v>
      </c>
      <c r="M832" s="116">
        <v>300.8</v>
      </c>
      <c r="N832" s="116">
        <v>305.60000000000002</v>
      </c>
      <c r="O832" s="116">
        <v>299.5</v>
      </c>
      <c r="P832" s="116">
        <v>304.89999999999998</v>
      </c>
      <c r="Q832" s="116">
        <v>300.8</v>
      </c>
      <c r="R832">
        <v>1129761</v>
      </c>
    </row>
    <row r="833" spans="1:18" x14ac:dyDescent="0.25">
      <c r="A833" s="170">
        <v>43229</v>
      </c>
      <c r="B833" s="116">
        <v>303.5</v>
      </c>
      <c r="C833" s="116">
        <v>300.05</v>
      </c>
      <c r="D833" s="116">
        <v>299.25</v>
      </c>
      <c r="E833" s="116">
        <v>301.60000000000002</v>
      </c>
      <c r="F833" s="116">
        <v>300.05</v>
      </c>
      <c r="G833">
        <v>50040</v>
      </c>
      <c r="H833" s="116"/>
      <c r="I833" s="116"/>
      <c r="L833" s="170">
        <v>43229</v>
      </c>
      <c r="M833" s="116">
        <v>300.10000000000002</v>
      </c>
      <c r="N833" s="116">
        <v>303.7</v>
      </c>
      <c r="O833" s="116">
        <v>298.64999999999998</v>
      </c>
      <c r="P833" s="116">
        <v>300.7</v>
      </c>
      <c r="Q833" s="116">
        <v>300.10000000000002</v>
      </c>
      <c r="R833">
        <v>1131982</v>
      </c>
    </row>
    <row r="834" spans="1:18" x14ac:dyDescent="0.25">
      <c r="A834" s="170">
        <v>43230</v>
      </c>
      <c r="B834" s="116">
        <v>304.45</v>
      </c>
      <c r="C834" s="116">
        <v>296.25</v>
      </c>
      <c r="D834" s="116">
        <v>292.8</v>
      </c>
      <c r="E834" s="116">
        <v>304.45</v>
      </c>
      <c r="F834" s="116">
        <v>296.25</v>
      </c>
      <c r="G834">
        <v>101426</v>
      </c>
      <c r="H834" s="116"/>
      <c r="I834" s="116"/>
      <c r="L834" s="170">
        <v>43230</v>
      </c>
      <c r="M834" s="116">
        <v>295.2</v>
      </c>
      <c r="N834" s="116">
        <v>301.95</v>
      </c>
      <c r="O834" s="116">
        <v>292.3</v>
      </c>
      <c r="P834" s="116">
        <v>301.95</v>
      </c>
      <c r="Q834" s="116">
        <v>295.2</v>
      </c>
      <c r="R834">
        <v>2258556</v>
      </c>
    </row>
    <row r="835" spans="1:18" x14ac:dyDescent="0.25">
      <c r="A835" s="170">
        <v>43231</v>
      </c>
      <c r="B835" s="116">
        <v>300</v>
      </c>
      <c r="C835" s="116">
        <v>299</v>
      </c>
      <c r="D835" s="116">
        <v>292.5</v>
      </c>
      <c r="E835" s="116">
        <v>296.5</v>
      </c>
      <c r="F835" s="116">
        <v>299</v>
      </c>
      <c r="G835">
        <v>103322</v>
      </c>
      <c r="H835" s="116"/>
      <c r="I835" s="116"/>
      <c r="L835" s="170">
        <v>43231</v>
      </c>
      <c r="M835" s="116">
        <v>298.8</v>
      </c>
      <c r="N835" s="116">
        <v>299.5</v>
      </c>
      <c r="O835" s="116">
        <v>292.5</v>
      </c>
      <c r="P835" s="116">
        <v>295.10000000000002</v>
      </c>
      <c r="Q835" s="116">
        <v>298.8</v>
      </c>
      <c r="R835">
        <v>1737957</v>
      </c>
    </row>
    <row r="836" spans="1:18" x14ac:dyDescent="0.25">
      <c r="A836" s="170">
        <v>43234</v>
      </c>
      <c r="B836" s="116">
        <v>300.25</v>
      </c>
      <c r="C836" s="116">
        <v>297.2</v>
      </c>
      <c r="D836" s="116">
        <v>295.2</v>
      </c>
      <c r="E836" s="116">
        <v>300</v>
      </c>
      <c r="F836" s="116">
        <v>297.2</v>
      </c>
      <c r="G836">
        <v>59482</v>
      </c>
      <c r="H836" s="116"/>
      <c r="I836" s="116"/>
      <c r="L836" s="170">
        <v>43234</v>
      </c>
      <c r="M836" s="116">
        <v>297.60000000000002</v>
      </c>
      <c r="N836" s="116">
        <v>300.55</v>
      </c>
      <c r="O836" s="116">
        <v>295.10000000000002</v>
      </c>
      <c r="P836" s="116">
        <v>299</v>
      </c>
      <c r="Q836" s="116">
        <v>297.60000000000002</v>
      </c>
      <c r="R836">
        <v>933662</v>
      </c>
    </row>
    <row r="837" spans="1:18" x14ac:dyDescent="0.25">
      <c r="A837" s="170">
        <v>43235</v>
      </c>
      <c r="B837" s="116">
        <v>300.95</v>
      </c>
      <c r="C837" s="116">
        <v>296.85000000000002</v>
      </c>
      <c r="D837" s="116">
        <v>291.35000000000002</v>
      </c>
      <c r="E837" s="116">
        <v>297.35000000000002</v>
      </c>
      <c r="F837" s="116">
        <v>296.85000000000002</v>
      </c>
      <c r="G837">
        <v>72682</v>
      </c>
      <c r="H837" s="116"/>
      <c r="I837" s="116"/>
      <c r="L837" s="170">
        <v>43235</v>
      </c>
      <c r="M837" s="116">
        <v>297.39999999999998</v>
      </c>
      <c r="N837" s="116">
        <v>301.10000000000002</v>
      </c>
      <c r="O837" s="116">
        <v>295.2</v>
      </c>
      <c r="P837" s="116">
        <v>297.10000000000002</v>
      </c>
      <c r="Q837" s="116">
        <v>297.39999999999998</v>
      </c>
      <c r="R837">
        <v>1338723</v>
      </c>
    </row>
    <row r="838" spans="1:18" x14ac:dyDescent="0.25">
      <c r="A838" s="170">
        <v>43236</v>
      </c>
      <c r="B838" s="116">
        <v>299.10000000000002</v>
      </c>
      <c r="C838" s="116">
        <v>297.85000000000002</v>
      </c>
      <c r="D838" s="116">
        <v>293.64999999999998</v>
      </c>
      <c r="E838" s="116">
        <v>297.95</v>
      </c>
      <c r="F838" s="116">
        <v>297.85000000000002</v>
      </c>
      <c r="G838">
        <v>41959</v>
      </c>
      <c r="H838" s="116"/>
      <c r="I838" s="116"/>
      <c r="L838" s="170">
        <v>43236</v>
      </c>
      <c r="M838" s="116">
        <v>298.3</v>
      </c>
      <c r="N838" s="116">
        <v>299.2</v>
      </c>
      <c r="O838" s="116">
        <v>293.5</v>
      </c>
      <c r="P838" s="116">
        <v>295.60000000000002</v>
      </c>
      <c r="Q838" s="116">
        <v>298.3</v>
      </c>
      <c r="R838">
        <v>1766981</v>
      </c>
    </row>
    <row r="839" spans="1:18" x14ac:dyDescent="0.25">
      <c r="A839" s="170">
        <v>43237</v>
      </c>
      <c r="B839" s="116">
        <v>301</v>
      </c>
      <c r="C839" s="116">
        <v>299.8</v>
      </c>
      <c r="D839" s="116">
        <v>294.75</v>
      </c>
      <c r="E839" s="116">
        <v>297.64999999999998</v>
      </c>
      <c r="F839" s="116">
        <v>299.8</v>
      </c>
      <c r="G839">
        <v>36240</v>
      </c>
      <c r="H839" s="116"/>
      <c r="I839" s="116"/>
      <c r="L839" s="170">
        <v>43237</v>
      </c>
      <c r="M839" s="116">
        <v>299.25</v>
      </c>
      <c r="N839" s="116">
        <v>300.95</v>
      </c>
      <c r="O839" s="116">
        <v>294.60000000000002</v>
      </c>
      <c r="P839" s="116">
        <v>298</v>
      </c>
      <c r="Q839" s="116">
        <v>299.25</v>
      </c>
      <c r="R839">
        <v>2193669</v>
      </c>
    </row>
    <row r="840" spans="1:18" x14ac:dyDescent="0.25">
      <c r="A840" s="170">
        <v>43238</v>
      </c>
      <c r="B840" s="116">
        <v>300.7</v>
      </c>
      <c r="C840" s="116">
        <v>297.64999999999998</v>
      </c>
      <c r="D840" s="116">
        <v>296.14999999999998</v>
      </c>
      <c r="E840" s="116">
        <v>299.10000000000002</v>
      </c>
      <c r="F840" s="116">
        <v>297.64999999999998</v>
      </c>
      <c r="G840">
        <v>49394</v>
      </c>
      <c r="H840" s="116"/>
      <c r="I840" s="116"/>
      <c r="L840" s="170">
        <v>43238</v>
      </c>
      <c r="M840" s="116">
        <v>297.75</v>
      </c>
      <c r="N840" s="116">
        <v>300.8</v>
      </c>
      <c r="O840" s="116">
        <v>296.25</v>
      </c>
      <c r="P840" s="116">
        <v>299.7</v>
      </c>
      <c r="Q840" s="116">
        <v>297.75</v>
      </c>
      <c r="R840">
        <v>1475581</v>
      </c>
    </row>
    <row r="841" spans="1:18" x14ac:dyDescent="0.25">
      <c r="A841" s="170">
        <v>43241</v>
      </c>
      <c r="B841" s="116">
        <v>299.5</v>
      </c>
      <c r="C841" s="116">
        <v>290</v>
      </c>
      <c r="D841" s="116">
        <v>288.75</v>
      </c>
      <c r="E841" s="116">
        <v>297.75</v>
      </c>
      <c r="F841" s="116">
        <v>290</v>
      </c>
      <c r="G841">
        <v>47437</v>
      </c>
      <c r="H841" s="116"/>
      <c r="I841" s="116"/>
      <c r="L841" s="170">
        <v>43241</v>
      </c>
      <c r="M841" s="116">
        <v>289.55</v>
      </c>
      <c r="N841" s="116">
        <v>299.85000000000002</v>
      </c>
      <c r="O841" s="116">
        <v>288.10000000000002</v>
      </c>
      <c r="P841" s="116">
        <v>299.05</v>
      </c>
      <c r="Q841" s="116">
        <v>289.55</v>
      </c>
      <c r="R841">
        <v>1056510</v>
      </c>
    </row>
    <row r="842" spans="1:18" x14ac:dyDescent="0.25">
      <c r="A842" s="170">
        <v>43242</v>
      </c>
      <c r="B842" s="116">
        <v>290</v>
      </c>
      <c r="C842" s="116">
        <v>289.10000000000002</v>
      </c>
      <c r="D842" s="116">
        <v>285.75</v>
      </c>
      <c r="E842" s="116">
        <v>290</v>
      </c>
      <c r="F842" s="116">
        <v>289.10000000000002</v>
      </c>
      <c r="G842">
        <v>46250</v>
      </c>
      <c r="H842" s="116"/>
      <c r="I842" s="116"/>
      <c r="L842" s="170">
        <v>43242</v>
      </c>
      <c r="M842" s="116">
        <v>288.45</v>
      </c>
      <c r="N842" s="116">
        <v>290.14999999999998</v>
      </c>
      <c r="O842" s="116">
        <v>285.45</v>
      </c>
      <c r="P842" s="116">
        <v>289.39999999999998</v>
      </c>
      <c r="Q842" s="116">
        <v>288.45</v>
      </c>
      <c r="R842">
        <v>1551037</v>
      </c>
    </row>
    <row r="843" spans="1:18" x14ac:dyDescent="0.25">
      <c r="A843" s="170">
        <v>43243</v>
      </c>
      <c r="B843" s="116">
        <v>289.89999999999998</v>
      </c>
      <c r="C843" s="116">
        <v>284.3</v>
      </c>
      <c r="D843" s="116">
        <v>282.39999999999998</v>
      </c>
      <c r="E843" s="116">
        <v>289.89999999999998</v>
      </c>
      <c r="F843" s="116">
        <v>284.3</v>
      </c>
      <c r="G843">
        <v>64207</v>
      </c>
      <c r="H843" s="116"/>
      <c r="I843" s="116"/>
      <c r="L843" s="170">
        <v>43243</v>
      </c>
      <c r="M843" s="116">
        <v>284.2</v>
      </c>
      <c r="N843" s="116">
        <v>288.39999999999998</v>
      </c>
      <c r="O843" s="116">
        <v>282.2</v>
      </c>
      <c r="P843" s="116">
        <v>288.39999999999998</v>
      </c>
      <c r="Q843" s="116">
        <v>284.2</v>
      </c>
      <c r="R843">
        <v>693963</v>
      </c>
    </row>
    <row r="844" spans="1:18" x14ac:dyDescent="0.25">
      <c r="A844" s="170">
        <v>43244</v>
      </c>
      <c r="B844" s="116">
        <v>286.75</v>
      </c>
      <c r="C844" s="116">
        <v>284.10000000000002</v>
      </c>
      <c r="D844" s="116">
        <v>281.55</v>
      </c>
      <c r="E844" s="116">
        <v>285</v>
      </c>
      <c r="F844" s="116">
        <v>284.10000000000002</v>
      </c>
      <c r="G844">
        <v>54931</v>
      </c>
      <c r="H844" s="116"/>
      <c r="I844" s="116"/>
      <c r="L844" s="170">
        <v>43244</v>
      </c>
      <c r="M844" s="116">
        <v>283.3</v>
      </c>
      <c r="N844" s="116">
        <v>286.60000000000002</v>
      </c>
      <c r="O844" s="116">
        <v>281.14999999999998</v>
      </c>
      <c r="P844" s="116">
        <v>284.5</v>
      </c>
      <c r="Q844" s="116">
        <v>283.3</v>
      </c>
      <c r="R844">
        <v>811089</v>
      </c>
    </row>
    <row r="845" spans="1:18" x14ac:dyDescent="0.25">
      <c r="A845" s="170">
        <v>43245</v>
      </c>
      <c r="B845" s="116">
        <v>293.39999999999998</v>
      </c>
      <c r="C845" s="116">
        <v>290.10000000000002</v>
      </c>
      <c r="D845" s="116">
        <v>283.39999999999998</v>
      </c>
      <c r="E845" s="116">
        <v>284.89999999999998</v>
      </c>
      <c r="F845" s="116">
        <v>290.10000000000002</v>
      </c>
      <c r="G845">
        <v>377417</v>
      </c>
      <c r="H845" s="116"/>
      <c r="I845" s="116"/>
      <c r="L845" s="170">
        <v>43245</v>
      </c>
      <c r="M845" s="116">
        <v>290.60000000000002</v>
      </c>
      <c r="N845" s="116">
        <v>293.55</v>
      </c>
      <c r="O845" s="116">
        <v>283</v>
      </c>
      <c r="P845" s="116">
        <v>284.45</v>
      </c>
      <c r="Q845" s="116">
        <v>290.60000000000002</v>
      </c>
      <c r="R845">
        <v>826412</v>
      </c>
    </row>
    <row r="846" spans="1:18" x14ac:dyDescent="0.25">
      <c r="A846" s="170">
        <v>43248</v>
      </c>
      <c r="B846" s="116">
        <v>291.75</v>
      </c>
      <c r="C846" s="116">
        <v>290.25</v>
      </c>
      <c r="D846" s="116">
        <v>287.10000000000002</v>
      </c>
      <c r="E846" s="116">
        <v>291.75</v>
      </c>
      <c r="F846" s="116">
        <v>290.25</v>
      </c>
      <c r="G846">
        <v>184659</v>
      </c>
      <c r="H846" s="116"/>
      <c r="I846" s="116"/>
      <c r="L846" s="170">
        <v>43248</v>
      </c>
      <c r="M846" s="116">
        <v>289.95</v>
      </c>
      <c r="N846" s="116">
        <v>291.8</v>
      </c>
      <c r="O846" s="116">
        <v>287.05</v>
      </c>
      <c r="P846" s="116">
        <v>291.10000000000002</v>
      </c>
      <c r="Q846" s="116">
        <v>289.95</v>
      </c>
      <c r="R846">
        <v>762776</v>
      </c>
    </row>
    <row r="847" spans="1:18" x14ac:dyDescent="0.25">
      <c r="A847" s="170">
        <v>43249</v>
      </c>
      <c r="B847" s="116">
        <v>293.3</v>
      </c>
      <c r="C847" s="116">
        <v>289.5</v>
      </c>
      <c r="D847" s="116">
        <v>287.35000000000002</v>
      </c>
      <c r="E847" s="116">
        <v>288.85000000000002</v>
      </c>
      <c r="F847" s="116">
        <v>289.5</v>
      </c>
      <c r="G847">
        <v>529696</v>
      </c>
      <c r="H847" s="116"/>
      <c r="I847" s="116"/>
      <c r="L847" s="170">
        <v>43249</v>
      </c>
      <c r="M847" s="116">
        <v>289.3</v>
      </c>
      <c r="N847" s="116">
        <v>293.2</v>
      </c>
      <c r="O847" s="116">
        <v>287.05</v>
      </c>
      <c r="P847" s="116">
        <v>290</v>
      </c>
      <c r="Q847" s="116">
        <v>289.3</v>
      </c>
      <c r="R847">
        <v>1046698</v>
      </c>
    </row>
    <row r="848" spans="1:18" x14ac:dyDescent="0.25">
      <c r="A848" s="170">
        <v>43250</v>
      </c>
      <c r="B848" s="116">
        <v>296.05</v>
      </c>
      <c r="C848" s="116">
        <v>293.89999999999998</v>
      </c>
      <c r="D848" s="116">
        <v>286</v>
      </c>
      <c r="E848" s="116">
        <v>286</v>
      </c>
      <c r="F848" s="116">
        <v>293.89999999999998</v>
      </c>
      <c r="G848">
        <v>36128</v>
      </c>
      <c r="H848" s="116"/>
      <c r="I848" s="116"/>
      <c r="L848" s="170">
        <v>43250</v>
      </c>
      <c r="M848" s="116">
        <v>294.85000000000002</v>
      </c>
      <c r="N848" s="116">
        <v>296.25</v>
      </c>
      <c r="O848" s="116">
        <v>285.05</v>
      </c>
      <c r="P848" s="116">
        <v>285.05</v>
      </c>
      <c r="Q848" s="116">
        <v>294.85000000000002</v>
      </c>
      <c r="R848">
        <v>1595093</v>
      </c>
    </row>
    <row r="849" spans="1:18" x14ac:dyDescent="0.25">
      <c r="A849" s="170">
        <v>43251</v>
      </c>
      <c r="B849" s="116">
        <v>297.89999999999998</v>
      </c>
      <c r="C849" s="116">
        <v>296.14999999999998</v>
      </c>
      <c r="D849" s="116">
        <v>292.60000000000002</v>
      </c>
      <c r="E849" s="116">
        <v>294.3</v>
      </c>
      <c r="F849" s="116">
        <v>296.14999999999998</v>
      </c>
      <c r="G849">
        <v>78316</v>
      </c>
      <c r="H849" s="116"/>
      <c r="I849" s="116"/>
      <c r="L849" s="170">
        <v>43251</v>
      </c>
      <c r="M849" s="116">
        <v>296.35000000000002</v>
      </c>
      <c r="N849" s="116">
        <v>298</v>
      </c>
      <c r="O849" s="116">
        <v>292.55</v>
      </c>
      <c r="P849" s="116">
        <v>295.10000000000002</v>
      </c>
      <c r="Q849" s="116">
        <v>296.35000000000002</v>
      </c>
      <c r="R849">
        <v>3784771</v>
      </c>
    </row>
    <row r="850" spans="1:18" x14ac:dyDescent="0.25">
      <c r="A850" s="170">
        <v>43252</v>
      </c>
      <c r="B850" s="116">
        <v>296.45</v>
      </c>
      <c r="C850" s="116">
        <v>290.64999999999998</v>
      </c>
      <c r="D850" s="116">
        <v>287</v>
      </c>
      <c r="E850" s="116">
        <v>294.05</v>
      </c>
      <c r="F850" s="116">
        <v>290.64999999999998</v>
      </c>
      <c r="G850">
        <v>45957</v>
      </c>
      <c r="H850" s="116"/>
      <c r="I850" s="116"/>
      <c r="L850" s="170">
        <v>43252</v>
      </c>
      <c r="M850" s="116">
        <v>291.25</v>
      </c>
      <c r="N850" s="116">
        <v>296.89999999999998</v>
      </c>
      <c r="O850" s="116">
        <v>286.64999999999998</v>
      </c>
      <c r="P850" s="116">
        <v>296.3</v>
      </c>
      <c r="Q850" s="116">
        <v>291.25</v>
      </c>
      <c r="R850">
        <v>2617279</v>
      </c>
    </row>
    <row r="851" spans="1:18" x14ac:dyDescent="0.25">
      <c r="A851" s="170">
        <v>43255</v>
      </c>
      <c r="B851" s="116">
        <v>291</v>
      </c>
      <c r="C851" s="116">
        <v>286.2</v>
      </c>
      <c r="D851" s="116">
        <v>283.5</v>
      </c>
      <c r="E851" s="116">
        <v>291</v>
      </c>
      <c r="F851" s="116">
        <v>286.2</v>
      </c>
      <c r="G851">
        <v>71206</v>
      </c>
      <c r="H851" s="116"/>
      <c r="I851" s="116"/>
      <c r="L851" s="170">
        <v>43255</v>
      </c>
      <c r="M851" s="116">
        <v>286.14999999999998</v>
      </c>
      <c r="N851" s="116">
        <v>290.75</v>
      </c>
      <c r="O851" s="116">
        <v>283.14999999999998</v>
      </c>
      <c r="P851" s="116">
        <v>290.75</v>
      </c>
      <c r="Q851" s="116">
        <v>286.14999999999998</v>
      </c>
      <c r="R851">
        <v>2264249</v>
      </c>
    </row>
    <row r="852" spans="1:18" x14ac:dyDescent="0.25">
      <c r="A852" s="170">
        <v>43256</v>
      </c>
      <c r="B852" s="116">
        <v>286.25</v>
      </c>
      <c r="C852" s="116">
        <v>284.55</v>
      </c>
      <c r="D852" s="116">
        <v>277.7</v>
      </c>
      <c r="E852" s="116">
        <v>284</v>
      </c>
      <c r="F852" s="116">
        <v>284.55</v>
      </c>
      <c r="G852">
        <v>142278</v>
      </c>
      <c r="H852" s="116"/>
      <c r="I852" s="116"/>
      <c r="L852" s="170">
        <v>43256</v>
      </c>
      <c r="M852" s="116">
        <v>284.64999999999998</v>
      </c>
      <c r="N852" s="116">
        <v>289.89999999999998</v>
      </c>
      <c r="O852" s="116">
        <v>277.25</v>
      </c>
      <c r="P852" s="116">
        <v>281.60000000000002</v>
      </c>
      <c r="Q852" s="116">
        <v>284.64999999999998</v>
      </c>
      <c r="R852">
        <v>2292835</v>
      </c>
    </row>
    <row r="853" spans="1:18" x14ac:dyDescent="0.25">
      <c r="A853" s="170">
        <v>43257</v>
      </c>
      <c r="B853" s="116">
        <v>299.05</v>
      </c>
      <c r="C853" s="116">
        <v>297.85000000000002</v>
      </c>
      <c r="D853" s="116">
        <v>286.35000000000002</v>
      </c>
      <c r="E853" s="116">
        <v>286.35000000000002</v>
      </c>
      <c r="F853" s="116">
        <v>297.85000000000002</v>
      </c>
      <c r="G853">
        <v>254150</v>
      </c>
      <c r="H853" s="116"/>
      <c r="I853" s="116"/>
      <c r="L853" s="170">
        <v>43257</v>
      </c>
      <c r="M853" s="116">
        <v>297.45</v>
      </c>
      <c r="N853" s="116">
        <v>299.3</v>
      </c>
      <c r="O853" s="116">
        <v>285</v>
      </c>
      <c r="P853" s="116">
        <v>285</v>
      </c>
      <c r="Q853" s="116">
        <v>297.45</v>
      </c>
      <c r="R853">
        <v>2982065</v>
      </c>
    </row>
    <row r="854" spans="1:18" x14ac:dyDescent="0.25">
      <c r="A854" s="170">
        <v>43258</v>
      </c>
      <c r="B854" s="116">
        <v>300.60000000000002</v>
      </c>
      <c r="C854" s="116">
        <v>297.75</v>
      </c>
      <c r="D854" s="116">
        <v>294.5</v>
      </c>
      <c r="E854" s="116">
        <v>296</v>
      </c>
      <c r="F854" s="116">
        <v>297.75</v>
      </c>
      <c r="G854">
        <v>46547</v>
      </c>
      <c r="H854" s="116"/>
      <c r="I854" s="116"/>
      <c r="L854" s="170">
        <v>43258</v>
      </c>
      <c r="M854" s="116">
        <v>297.45</v>
      </c>
      <c r="N854" s="116">
        <v>300.75</v>
      </c>
      <c r="O854" s="116">
        <v>294.5</v>
      </c>
      <c r="P854" s="116">
        <v>296.60000000000002</v>
      </c>
      <c r="Q854" s="116">
        <v>297.45</v>
      </c>
      <c r="R854">
        <v>1261579</v>
      </c>
    </row>
    <row r="855" spans="1:18" x14ac:dyDescent="0.25">
      <c r="A855" s="170">
        <v>43259</v>
      </c>
      <c r="B855" s="116">
        <v>298</v>
      </c>
      <c r="C855" s="116">
        <v>296.05</v>
      </c>
      <c r="D855" s="116">
        <v>294</v>
      </c>
      <c r="E855" s="116">
        <v>295.05</v>
      </c>
      <c r="F855" s="116">
        <v>296.05</v>
      </c>
      <c r="G855">
        <v>20876</v>
      </c>
      <c r="H855" s="116"/>
      <c r="I855" s="116"/>
      <c r="L855" s="170">
        <v>43259</v>
      </c>
      <c r="M855" s="116">
        <v>296.05</v>
      </c>
      <c r="N855" s="116">
        <v>298.45</v>
      </c>
      <c r="O855" s="116">
        <v>294.25</v>
      </c>
      <c r="P855" s="116">
        <v>296</v>
      </c>
      <c r="Q855" s="116">
        <v>296.05</v>
      </c>
      <c r="R855">
        <v>997787</v>
      </c>
    </row>
    <row r="856" spans="1:18" x14ac:dyDescent="0.25">
      <c r="A856" s="170">
        <v>43262</v>
      </c>
      <c r="B856" s="116">
        <v>303.5</v>
      </c>
      <c r="C856" s="116">
        <v>301.95</v>
      </c>
      <c r="D856" s="116">
        <v>295.25</v>
      </c>
      <c r="E856" s="116">
        <v>296.7</v>
      </c>
      <c r="F856" s="116">
        <v>301.95</v>
      </c>
      <c r="G856">
        <v>111145</v>
      </c>
      <c r="H856" s="116"/>
      <c r="I856" s="116"/>
      <c r="L856" s="170">
        <v>43262</v>
      </c>
      <c r="M856" s="116">
        <v>302.05</v>
      </c>
      <c r="N856" s="116">
        <v>303.5</v>
      </c>
      <c r="O856" s="116">
        <v>295.25</v>
      </c>
      <c r="P856" s="116">
        <v>296.14999999999998</v>
      </c>
      <c r="Q856" s="116">
        <v>302.05</v>
      </c>
      <c r="R856">
        <v>1951398</v>
      </c>
    </row>
    <row r="857" spans="1:18" x14ac:dyDescent="0.25">
      <c r="A857" s="170">
        <v>43263</v>
      </c>
      <c r="B857" s="116">
        <v>304.05</v>
      </c>
      <c r="C857" s="116">
        <v>303.8</v>
      </c>
      <c r="D857" s="116">
        <v>298.75</v>
      </c>
      <c r="E857" s="116">
        <v>303.60000000000002</v>
      </c>
      <c r="F857" s="116">
        <v>303.8</v>
      </c>
      <c r="G857">
        <v>479175</v>
      </c>
      <c r="H857" s="116"/>
      <c r="I857" s="116"/>
      <c r="L857" s="170">
        <v>43263</v>
      </c>
      <c r="M857" s="116">
        <v>303.75</v>
      </c>
      <c r="N857" s="116">
        <v>304.3</v>
      </c>
      <c r="O857" s="116">
        <v>298.39999999999998</v>
      </c>
      <c r="P857" s="116">
        <v>304.3</v>
      </c>
      <c r="Q857" s="116">
        <v>303.75</v>
      </c>
      <c r="R857">
        <v>3923577</v>
      </c>
    </row>
    <row r="858" spans="1:18" x14ac:dyDescent="0.25">
      <c r="A858" s="170">
        <v>43264</v>
      </c>
      <c r="B858" s="116">
        <v>304.5</v>
      </c>
      <c r="C858" s="116">
        <v>301.7</v>
      </c>
      <c r="D858" s="116">
        <v>299.64999999999998</v>
      </c>
      <c r="E858" s="116">
        <v>302.39999999999998</v>
      </c>
      <c r="F858" s="116">
        <v>301.7</v>
      </c>
      <c r="G858">
        <v>176455</v>
      </c>
      <c r="H858" s="116"/>
      <c r="I858" s="116"/>
      <c r="L858" s="170">
        <v>43264</v>
      </c>
      <c r="M858" s="116">
        <v>301.39999999999998</v>
      </c>
      <c r="N858" s="116">
        <v>304.64999999999998</v>
      </c>
      <c r="O858" s="116">
        <v>299.35000000000002</v>
      </c>
      <c r="P858" s="116">
        <v>303.89999999999998</v>
      </c>
      <c r="Q858" s="116">
        <v>301.39999999999998</v>
      </c>
      <c r="R858">
        <v>2494135</v>
      </c>
    </row>
    <row r="859" spans="1:18" x14ac:dyDescent="0.25">
      <c r="A859" s="170">
        <v>43265</v>
      </c>
      <c r="B859" s="116">
        <v>305.14999999999998</v>
      </c>
      <c r="C859" s="116">
        <v>302.25</v>
      </c>
      <c r="D859" s="116">
        <v>300.95</v>
      </c>
      <c r="E859" s="116">
        <v>301.10000000000002</v>
      </c>
      <c r="F859" s="116">
        <v>302.25</v>
      </c>
      <c r="G859">
        <v>280806</v>
      </c>
      <c r="H859" s="116"/>
      <c r="I859" s="116"/>
      <c r="L859" s="170">
        <v>43265</v>
      </c>
      <c r="M859" s="116">
        <v>301.45</v>
      </c>
      <c r="N859" s="116">
        <v>305.25</v>
      </c>
      <c r="O859" s="116">
        <v>300.5</v>
      </c>
      <c r="P859" s="116">
        <v>301.35000000000002</v>
      </c>
      <c r="Q859" s="116">
        <v>301.45</v>
      </c>
      <c r="R859">
        <v>2775323</v>
      </c>
    </row>
    <row r="860" spans="1:18" x14ac:dyDescent="0.25">
      <c r="A860" s="170">
        <v>43266</v>
      </c>
      <c r="B860" s="116">
        <v>306.8</v>
      </c>
      <c r="C860" s="116">
        <v>304.45</v>
      </c>
      <c r="D860" s="116">
        <v>299.55</v>
      </c>
      <c r="E860" s="116">
        <v>301.39999999999998</v>
      </c>
      <c r="F860" s="116">
        <v>304.45</v>
      </c>
      <c r="G860">
        <v>66185</v>
      </c>
      <c r="H860" s="116"/>
      <c r="I860" s="116"/>
      <c r="L860" s="170">
        <v>43266</v>
      </c>
      <c r="M860" s="116">
        <v>304.3</v>
      </c>
      <c r="N860" s="116">
        <v>306</v>
      </c>
      <c r="O860" s="116">
        <v>299</v>
      </c>
      <c r="P860" s="116">
        <v>301.5</v>
      </c>
      <c r="Q860" s="116">
        <v>304.3</v>
      </c>
      <c r="R860">
        <v>2540672</v>
      </c>
    </row>
    <row r="861" spans="1:18" x14ac:dyDescent="0.25">
      <c r="A861" s="170">
        <v>43269</v>
      </c>
      <c r="B861" s="116">
        <v>308</v>
      </c>
      <c r="C861" s="116">
        <v>297.45</v>
      </c>
      <c r="D861" s="116">
        <v>286.55</v>
      </c>
      <c r="E861" s="116">
        <v>308</v>
      </c>
      <c r="F861" s="116">
        <v>297.45</v>
      </c>
      <c r="G861">
        <v>151263</v>
      </c>
      <c r="H861" s="116"/>
      <c r="I861" s="116"/>
      <c r="L861" s="170">
        <v>43269</v>
      </c>
      <c r="M861" s="116">
        <v>297.89999999999998</v>
      </c>
      <c r="N861" s="116">
        <v>305.85000000000002</v>
      </c>
      <c r="O861" s="116">
        <v>291</v>
      </c>
      <c r="P861" s="116">
        <v>305.85000000000002</v>
      </c>
      <c r="Q861" s="116">
        <v>297.89999999999998</v>
      </c>
      <c r="R861">
        <v>2677240</v>
      </c>
    </row>
    <row r="862" spans="1:18" x14ac:dyDescent="0.25">
      <c r="A862" s="170">
        <v>43270</v>
      </c>
      <c r="B862" s="116">
        <v>296.8</v>
      </c>
      <c r="C862" s="116">
        <v>295.60000000000002</v>
      </c>
      <c r="D862" s="116">
        <v>292.7</v>
      </c>
      <c r="E862" s="116">
        <v>296</v>
      </c>
      <c r="F862" s="116">
        <v>295.60000000000002</v>
      </c>
      <c r="G862">
        <v>42942</v>
      </c>
      <c r="H862" s="116"/>
      <c r="I862" s="116"/>
      <c r="L862" s="170">
        <v>43270</v>
      </c>
      <c r="M862" s="116">
        <v>295.89999999999998</v>
      </c>
      <c r="N862" s="116">
        <v>298</v>
      </c>
      <c r="O862" s="116">
        <v>292.64999999999998</v>
      </c>
      <c r="P862" s="116">
        <v>297.8</v>
      </c>
      <c r="Q862" s="116">
        <v>295.89999999999998</v>
      </c>
      <c r="R862">
        <v>1874147</v>
      </c>
    </row>
    <row r="863" spans="1:18" x14ac:dyDescent="0.25">
      <c r="A863" s="170">
        <v>43271</v>
      </c>
      <c r="B863" s="116">
        <v>295.45</v>
      </c>
      <c r="C863" s="116">
        <v>294.5</v>
      </c>
      <c r="D863" s="116">
        <v>292.5</v>
      </c>
      <c r="E863" s="116">
        <v>294.60000000000002</v>
      </c>
      <c r="F863" s="116">
        <v>294.5</v>
      </c>
      <c r="G863">
        <v>49030</v>
      </c>
      <c r="H863" s="116"/>
      <c r="I863" s="116"/>
      <c r="L863" s="170">
        <v>43271</v>
      </c>
      <c r="M863" s="116">
        <v>295</v>
      </c>
      <c r="N863" s="116">
        <v>296.05</v>
      </c>
      <c r="O863" s="116">
        <v>292.25</v>
      </c>
      <c r="P863" s="116">
        <v>296</v>
      </c>
      <c r="Q863" s="116">
        <v>295</v>
      </c>
      <c r="R863">
        <v>1277530</v>
      </c>
    </row>
    <row r="864" spans="1:18" x14ac:dyDescent="0.25">
      <c r="A864" s="170">
        <v>43272</v>
      </c>
      <c r="B864" s="116">
        <v>295.55</v>
      </c>
      <c r="C864" s="116">
        <v>289.95</v>
      </c>
      <c r="D864" s="116">
        <v>288.75</v>
      </c>
      <c r="E864" s="116">
        <v>294.64999999999998</v>
      </c>
      <c r="F864" s="116">
        <v>289.95</v>
      </c>
      <c r="G864">
        <v>78211</v>
      </c>
      <c r="H864" s="116"/>
      <c r="I864" s="116"/>
      <c r="L864" s="170">
        <v>43272</v>
      </c>
      <c r="M864" s="116">
        <v>290.39999999999998</v>
      </c>
      <c r="N864" s="116">
        <v>295.7</v>
      </c>
      <c r="O864" s="116">
        <v>289</v>
      </c>
      <c r="P864" s="116">
        <v>295</v>
      </c>
      <c r="Q864" s="116">
        <v>290.39999999999998</v>
      </c>
      <c r="R864">
        <v>1726567</v>
      </c>
    </row>
    <row r="865" spans="1:18" x14ac:dyDescent="0.25">
      <c r="A865" s="170">
        <v>43273</v>
      </c>
      <c r="B865" s="116">
        <v>289.8</v>
      </c>
      <c r="C865" s="116">
        <v>289.10000000000002</v>
      </c>
      <c r="D865" s="116">
        <v>284</v>
      </c>
      <c r="E865" s="116">
        <v>289</v>
      </c>
      <c r="F865" s="116">
        <v>289.10000000000002</v>
      </c>
      <c r="G865">
        <v>55924</v>
      </c>
      <c r="H865" s="116"/>
      <c r="I865" s="116"/>
      <c r="L865" s="170">
        <v>43273</v>
      </c>
      <c r="M865" s="116">
        <v>289.05</v>
      </c>
      <c r="N865" s="116">
        <v>290.14999999999998</v>
      </c>
      <c r="O865" s="116">
        <v>284</v>
      </c>
      <c r="P865" s="116">
        <v>288</v>
      </c>
      <c r="Q865" s="116">
        <v>289.05</v>
      </c>
      <c r="R865">
        <v>1045176</v>
      </c>
    </row>
    <row r="866" spans="1:18" x14ac:dyDescent="0.25">
      <c r="A866" s="170">
        <v>43276</v>
      </c>
      <c r="B866" s="116">
        <v>292.95</v>
      </c>
      <c r="C866" s="116">
        <v>288.3</v>
      </c>
      <c r="D866" s="116">
        <v>286</v>
      </c>
      <c r="E866" s="116">
        <v>289.10000000000002</v>
      </c>
      <c r="F866" s="116">
        <v>288.3</v>
      </c>
      <c r="G866">
        <v>26137</v>
      </c>
      <c r="H866" s="116"/>
      <c r="I866" s="116"/>
      <c r="L866" s="170">
        <v>43276</v>
      </c>
      <c r="M866" s="116">
        <v>288.55</v>
      </c>
      <c r="N866" s="116">
        <v>292.8</v>
      </c>
      <c r="O866" s="116">
        <v>286</v>
      </c>
      <c r="P866" s="116">
        <v>287.89999999999998</v>
      </c>
      <c r="Q866" s="116">
        <v>288.55</v>
      </c>
      <c r="R866">
        <v>571670</v>
      </c>
    </row>
    <row r="867" spans="1:18" x14ac:dyDescent="0.25">
      <c r="A867" s="170">
        <v>43277</v>
      </c>
      <c r="B867" s="116">
        <v>290</v>
      </c>
      <c r="C867" s="116">
        <v>278.8</v>
      </c>
      <c r="D867" s="116">
        <v>277</v>
      </c>
      <c r="E867" s="116">
        <v>286</v>
      </c>
      <c r="F867" s="116">
        <v>278.8</v>
      </c>
      <c r="G867">
        <v>92411</v>
      </c>
      <c r="H867" s="116"/>
      <c r="I867" s="116"/>
      <c r="L867" s="170">
        <v>43277</v>
      </c>
      <c r="M867" s="116">
        <v>278.10000000000002</v>
      </c>
      <c r="N867" s="116">
        <v>290.10000000000002</v>
      </c>
      <c r="O867" s="116">
        <v>275.45</v>
      </c>
      <c r="P867" s="116">
        <v>287</v>
      </c>
      <c r="Q867" s="116">
        <v>278.10000000000002</v>
      </c>
      <c r="R867">
        <v>1450605</v>
      </c>
    </row>
    <row r="868" spans="1:18" x14ac:dyDescent="0.25">
      <c r="A868" s="170">
        <v>43278</v>
      </c>
      <c r="B868" s="116">
        <v>279.39999999999998</v>
      </c>
      <c r="C868" s="116">
        <v>273.75</v>
      </c>
      <c r="D868" s="116">
        <v>272.55</v>
      </c>
      <c r="E868" s="116">
        <v>276</v>
      </c>
      <c r="F868" s="116">
        <v>273.75</v>
      </c>
      <c r="G868">
        <v>63539</v>
      </c>
      <c r="H868" s="116"/>
      <c r="I868" s="116"/>
      <c r="L868" s="170">
        <v>43278</v>
      </c>
      <c r="M868" s="116">
        <v>273.39999999999998</v>
      </c>
      <c r="N868" s="116">
        <v>279.75</v>
      </c>
      <c r="O868" s="116">
        <v>272</v>
      </c>
      <c r="P868" s="116">
        <v>277.5</v>
      </c>
      <c r="Q868" s="116">
        <v>273.39999999999998</v>
      </c>
      <c r="R868">
        <v>1311002</v>
      </c>
    </row>
    <row r="869" spans="1:18" x14ac:dyDescent="0.25">
      <c r="A869" s="170">
        <v>43279</v>
      </c>
      <c r="B869" s="116">
        <v>276.05</v>
      </c>
      <c r="C869" s="116">
        <v>271.85000000000002</v>
      </c>
      <c r="D869" s="116">
        <v>270.85000000000002</v>
      </c>
      <c r="E869" s="116">
        <v>272.14999999999998</v>
      </c>
      <c r="F869" s="116">
        <v>271.85000000000002</v>
      </c>
      <c r="G869">
        <v>85001</v>
      </c>
      <c r="H869" s="116"/>
      <c r="I869" s="116"/>
      <c r="L869" s="170">
        <v>43279</v>
      </c>
      <c r="M869" s="116">
        <v>272.10000000000002</v>
      </c>
      <c r="N869" s="116">
        <v>276</v>
      </c>
      <c r="O869" s="116">
        <v>270.5</v>
      </c>
      <c r="P869" s="116">
        <v>273.3</v>
      </c>
      <c r="Q869" s="116">
        <v>272.10000000000002</v>
      </c>
      <c r="R869">
        <v>1358366</v>
      </c>
    </row>
    <row r="870" spans="1:18" x14ac:dyDescent="0.25">
      <c r="A870" s="170">
        <v>43280</v>
      </c>
      <c r="B870" s="116">
        <v>278.75</v>
      </c>
      <c r="C870" s="116">
        <v>275.75</v>
      </c>
      <c r="D870" s="116">
        <v>270</v>
      </c>
      <c r="E870" s="116">
        <v>272.55</v>
      </c>
      <c r="F870" s="116">
        <v>275.75</v>
      </c>
      <c r="G870">
        <v>63914</v>
      </c>
      <c r="H870" s="116"/>
      <c r="I870" s="116"/>
      <c r="L870" s="170">
        <v>43280</v>
      </c>
      <c r="M870" s="116">
        <v>274.5</v>
      </c>
      <c r="N870" s="116">
        <v>279.14999999999998</v>
      </c>
      <c r="O870" s="116">
        <v>269.55</v>
      </c>
      <c r="P870" s="116">
        <v>273.45</v>
      </c>
      <c r="Q870" s="116">
        <v>274.5</v>
      </c>
      <c r="R870">
        <v>1688334</v>
      </c>
    </row>
    <row r="871" spans="1:18" x14ac:dyDescent="0.25">
      <c r="A871" s="170">
        <v>43283</v>
      </c>
      <c r="B871" s="116">
        <v>281.05</v>
      </c>
      <c r="C871" s="116">
        <v>279.75</v>
      </c>
      <c r="D871" s="116">
        <v>273.8</v>
      </c>
      <c r="E871" s="116">
        <v>277.35000000000002</v>
      </c>
      <c r="F871" s="116">
        <v>279.75</v>
      </c>
      <c r="G871">
        <v>63232</v>
      </c>
      <c r="H871" s="116"/>
      <c r="I871" s="116"/>
      <c r="L871" s="170">
        <v>43283</v>
      </c>
      <c r="M871" s="116">
        <v>279.8</v>
      </c>
      <c r="N871" s="116">
        <v>281.39999999999998</v>
      </c>
      <c r="O871" s="116">
        <v>273.64999999999998</v>
      </c>
      <c r="P871" s="116">
        <v>277.75</v>
      </c>
      <c r="Q871" s="116">
        <v>279.8</v>
      </c>
      <c r="R871">
        <v>1727103</v>
      </c>
    </row>
    <row r="872" spans="1:18" x14ac:dyDescent="0.25">
      <c r="A872" s="170">
        <v>43284</v>
      </c>
      <c r="B872" s="116">
        <v>282.89999999999998</v>
      </c>
      <c r="C872" s="116">
        <v>277.89999999999998</v>
      </c>
      <c r="D872" s="116">
        <v>276.05</v>
      </c>
      <c r="E872" s="116">
        <v>281.5</v>
      </c>
      <c r="F872" s="116">
        <v>277.89999999999998</v>
      </c>
      <c r="G872">
        <v>717895</v>
      </c>
      <c r="H872" s="116"/>
      <c r="I872" s="116"/>
      <c r="L872" s="170">
        <v>43284</v>
      </c>
      <c r="M872" s="116">
        <v>277.35000000000002</v>
      </c>
      <c r="N872" s="116">
        <v>282.64999999999998</v>
      </c>
      <c r="O872" s="116">
        <v>275.64999999999998</v>
      </c>
      <c r="P872" s="116">
        <v>280</v>
      </c>
      <c r="Q872" s="116">
        <v>277.35000000000002</v>
      </c>
      <c r="R872">
        <v>1599950</v>
      </c>
    </row>
    <row r="873" spans="1:18" x14ac:dyDescent="0.25">
      <c r="A873" s="170">
        <v>43285</v>
      </c>
      <c r="B873" s="116">
        <v>281.85000000000002</v>
      </c>
      <c r="C873" s="116">
        <v>280</v>
      </c>
      <c r="D873" s="116">
        <v>273.7</v>
      </c>
      <c r="E873" s="116">
        <v>275.25</v>
      </c>
      <c r="F873" s="116">
        <v>280</v>
      </c>
      <c r="G873">
        <v>130661</v>
      </c>
      <c r="H873" s="116"/>
      <c r="I873" s="116"/>
      <c r="L873" s="170">
        <v>43285</v>
      </c>
      <c r="M873" s="116">
        <v>280</v>
      </c>
      <c r="N873" s="116">
        <v>281.95</v>
      </c>
      <c r="O873" s="116">
        <v>273.5</v>
      </c>
      <c r="P873" s="116">
        <v>277.35000000000002</v>
      </c>
      <c r="Q873" s="116">
        <v>280</v>
      </c>
      <c r="R873">
        <v>1924866</v>
      </c>
    </row>
    <row r="874" spans="1:18" x14ac:dyDescent="0.25">
      <c r="A874" s="170">
        <v>43286</v>
      </c>
      <c r="B874" s="116">
        <v>276.85000000000002</v>
      </c>
      <c r="C874" s="116">
        <v>274.05</v>
      </c>
      <c r="D874" s="116">
        <v>271.64999999999998</v>
      </c>
      <c r="E874" s="116">
        <v>276.25</v>
      </c>
      <c r="F874" s="116">
        <v>274.05</v>
      </c>
      <c r="G874">
        <v>73879</v>
      </c>
      <c r="H874" s="116"/>
      <c r="I874" s="116"/>
      <c r="L874" s="170">
        <v>43286</v>
      </c>
      <c r="M874" s="116">
        <v>274.10000000000002</v>
      </c>
      <c r="N874" s="116">
        <v>277.60000000000002</v>
      </c>
      <c r="O874" s="116">
        <v>270.95</v>
      </c>
      <c r="P874" s="116">
        <v>275.2</v>
      </c>
      <c r="Q874" s="116">
        <v>274.10000000000002</v>
      </c>
      <c r="R874">
        <v>1595811</v>
      </c>
    </row>
    <row r="875" spans="1:18" x14ac:dyDescent="0.25">
      <c r="A875" s="170">
        <v>43287</v>
      </c>
      <c r="B875" s="116">
        <v>278.5</v>
      </c>
      <c r="C875" s="116">
        <v>273.2</v>
      </c>
      <c r="D875" s="116">
        <v>268.7</v>
      </c>
      <c r="E875" s="116">
        <v>271.5</v>
      </c>
      <c r="F875" s="116">
        <v>273.2</v>
      </c>
      <c r="G875">
        <v>209835</v>
      </c>
      <c r="H875" s="116"/>
      <c r="I875" s="116"/>
      <c r="L875" s="170">
        <v>43287</v>
      </c>
      <c r="M875" s="116">
        <v>272</v>
      </c>
      <c r="N875" s="116">
        <v>274.39999999999998</v>
      </c>
      <c r="O875" s="116">
        <v>268.85000000000002</v>
      </c>
      <c r="P875" s="116">
        <v>272.8</v>
      </c>
      <c r="Q875" s="116">
        <v>272</v>
      </c>
      <c r="R875">
        <v>1458492</v>
      </c>
    </row>
    <row r="876" spans="1:18" x14ac:dyDescent="0.25">
      <c r="A876" s="170">
        <v>43290</v>
      </c>
      <c r="B876" s="116">
        <v>281.10000000000002</v>
      </c>
      <c r="C876" s="116">
        <v>279.55</v>
      </c>
      <c r="D876" s="116">
        <v>273.60000000000002</v>
      </c>
      <c r="E876" s="116">
        <v>274</v>
      </c>
      <c r="F876" s="116">
        <v>279.55</v>
      </c>
      <c r="G876">
        <v>61799</v>
      </c>
      <c r="H876" s="116"/>
      <c r="I876" s="116"/>
      <c r="L876" s="170">
        <v>43290</v>
      </c>
      <c r="M876" s="116">
        <v>279.95</v>
      </c>
      <c r="N876" s="116">
        <v>281.35000000000002</v>
      </c>
      <c r="O876" s="116">
        <v>273.10000000000002</v>
      </c>
      <c r="P876" s="116">
        <v>273.10000000000002</v>
      </c>
      <c r="Q876" s="116">
        <v>279.95</v>
      </c>
      <c r="R876">
        <v>859101</v>
      </c>
    </row>
    <row r="877" spans="1:18" x14ac:dyDescent="0.25">
      <c r="A877" s="170">
        <v>43291</v>
      </c>
      <c r="B877" s="116">
        <v>283.75</v>
      </c>
      <c r="C877" s="116">
        <v>282.5</v>
      </c>
      <c r="D877" s="116">
        <v>275.35000000000002</v>
      </c>
      <c r="E877" s="116">
        <v>281</v>
      </c>
      <c r="F877" s="116">
        <v>282.5</v>
      </c>
      <c r="G877">
        <v>86322</v>
      </c>
      <c r="H877" s="116"/>
      <c r="I877" s="116"/>
      <c r="L877" s="170">
        <v>43291</v>
      </c>
      <c r="M877" s="116">
        <v>282.35000000000002</v>
      </c>
      <c r="N877" s="116">
        <v>283.85000000000002</v>
      </c>
      <c r="O877" s="116">
        <v>275.10000000000002</v>
      </c>
      <c r="P877" s="116">
        <v>280</v>
      </c>
      <c r="Q877" s="116">
        <v>282.35000000000002</v>
      </c>
      <c r="R877">
        <v>2624843</v>
      </c>
    </row>
    <row r="878" spans="1:18" x14ac:dyDescent="0.25">
      <c r="A878" s="170">
        <v>43292</v>
      </c>
      <c r="B878" s="116">
        <v>278</v>
      </c>
      <c r="C878" s="116">
        <v>273.64999999999998</v>
      </c>
      <c r="D878" s="116">
        <v>270.05</v>
      </c>
      <c r="E878" s="116">
        <v>278</v>
      </c>
      <c r="F878" s="116">
        <v>273.64999999999998</v>
      </c>
      <c r="G878">
        <v>212366</v>
      </c>
      <c r="H878" s="116"/>
      <c r="I878" s="116"/>
      <c r="L878" s="170">
        <v>43292</v>
      </c>
      <c r="M878" s="116">
        <v>273.55</v>
      </c>
      <c r="N878" s="116">
        <v>277</v>
      </c>
      <c r="O878" s="116">
        <v>270.10000000000002</v>
      </c>
      <c r="P878" s="116">
        <v>276.95</v>
      </c>
      <c r="Q878" s="116">
        <v>273.55</v>
      </c>
      <c r="R878">
        <v>3661817</v>
      </c>
    </row>
    <row r="879" spans="1:18" x14ac:dyDescent="0.25">
      <c r="A879" s="170">
        <v>43293</v>
      </c>
      <c r="B879" s="116">
        <v>277.5</v>
      </c>
      <c r="C879" s="116">
        <v>274.10000000000002</v>
      </c>
      <c r="D879" s="116">
        <v>271.8</v>
      </c>
      <c r="E879" s="116">
        <v>274</v>
      </c>
      <c r="F879" s="116">
        <v>274.10000000000002</v>
      </c>
      <c r="G879">
        <v>89176</v>
      </c>
      <c r="H879" s="116"/>
      <c r="I879" s="116"/>
      <c r="L879" s="170">
        <v>43293</v>
      </c>
      <c r="M879" s="116">
        <v>274.75</v>
      </c>
      <c r="N879" s="116">
        <v>277.7</v>
      </c>
      <c r="O879" s="116">
        <v>271.7</v>
      </c>
      <c r="P879" s="116">
        <v>273.05</v>
      </c>
      <c r="Q879" s="116">
        <v>274.75</v>
      </c>
      <c r="R879">
        <v>2020275</v>
      </c>
    </row>
    <row r="880" spans="1:18" x14ac:dyDescent="0.25">
      <c r="A880" s="170">
        <v>43294</v>
      </c>
      <c r="B880" s="116">
        <v>276.10000000000002</v>
      </c>
      <c r="C880" s="116">
        <v>274</v>
      </c>
      <c r="D880" s="116">
        <v>270.7</v>
      </c>
      <c r="E880" s="116">
        <v>273.25</v>
      </c>
      <c r="F880" s="116">
        <v>274</v>
      </c>
      <c r="G880">
        <v>71493</v>
      </c>
      <c r="H880" s="116"/>
      <c r="I880" s="116"/>
      <c r="L880" s="170">
        <v>43294</v>
      </c>
      <c r="M880" s="116">
        <v>274.95</v>
      </c>
      <c r="N880" s="116">
        <v>276.2</v>
      </c>
      <c r="O880" s="116">
        <v>270.60000000000002</v>
      </c>
      <c r="P880" s="116">
        <v>272.2</v>
      </c>
      <c r="Q880" s="116">
        <v>274.95</v>
      </c>
      <c r="R880">
        <v>2257251</v>
      </c>
    </row>
    <row r="881" spans="1:18" x14ac:dyDescent="0.25">
      <c r="A881" s="170">
        <v>43297</v>
      </c>
      <c r="B881" s="116">
        <v>274.14999999999998</v>
      </c>
      <c r="C881" s="116">
        <v>268.8</v>
      </c>
      <c r="D881" s="116">
        <v>266.2</v>
      </c>
      <c r="E881" s="116">
        <v>273.39999999999998</v>
      </c>
      <c r="F881" s="116">
        <v>268.8</v>
      </c>
      <c r="G881">
        <v>1387116</v>
      </c>
      <c r="H881" s="116"/>
      <c r="I881" s="116"/>
      <c r="L881" s="170">
        <v>43297</v>
      </c>
      <c r="M881" s="116">
        <v>268.55</v>
      </c>
      <c r="N881" s="116">
        <v>274.85000000000002</v>
      </c>
      <c r="O881" s="116">
        <v>266.5</v>
      </c>
      <c r="P881" s="116">
        <v>274.85000000000002</v>
      </c>
      <c r="Q881" s="116">
        <v>268.55</v>
      </c>
      <c r="R881">
        <v>1396585</v>
      </c>
    </row>
    <row r="882" spans="1:18" x14ac:dyDescent="0.25">
      <c r="A882" s="170">
        <v>43298</v>
      </c>
      <c r="B882" s="116">
        <v>271</v>
      </c>
      <c r="C882" s="116">
        <v>269.60000000000002</v>
      </c>
      <c r="D882" s="116">
        <v>261.3</v>
      </c>
      <c r="E882" s="116">
        <v>267</v>
      </c>
      <c r="F882" s="116">
        <v>269.60000000000002</v>
      </c>
      <c r="G882">
        <v>467958</v>
      </c>
      <c r="H882" s="116"/>
      <c r="I882" s="116"/>
      <c r="L882" s="170">
        <v>43298</v>
      </c>
      <c r="M882" s="116">
        <v>269.5</v>
      </c>
      <c r="N882" s="116">
        <v>270.95</v>
      </c>
      <c r="O882" s="116">
        <v>261</v>
      </c>
      <c r="P882" s="116">
        <v>267</v>
      </c>
      <c r="Q882" s="116">
        <v>269.5</v>
      </c>
      <c r="R882">
        <v>2669806</v>
      </c>
    </row>
    <row r="883" spans="1:18" x14ac:dyDescent="0.25">
      <c r="A883" s="170">
        <v>43299</v>
      </c>
      <c r="B883" s="116">
        <v>272.5</v>
      </c>
      <c r="C883" s="116">
        <v>269.55</v>
      </c>
      <c r="D883" s="116">
        <v>266.89999999999998</v>
      </c>
      <c r="E883" s="116">
        <v>270.5</v>
      </c>
      <c r="F883" s="116">
        <v>269.55</v>
      </c>
      <c r="G883">
        <v>165695</v>
      </c>
      <c r="H883" s="116"/>
      <c r="I883" s="116"/>
      <c r="L883" s="170">
        <v>43299</v>
      </c>
      <c r="M883" s="116">
        <v>269.35000000000002</v>
      </c>
      <c r="N883" s="116">
        <v>272.45</v>
      </c>
      <c r="O883" s="116">
        <v>266.75</v>
      </c>
      <c r="P883" s="116">
        <v>270.85000000000002</v>
      </c>
      <c r="Q883" s="116">
        <v>269.35000000000002</v>
      </c>
      <c r="R883">
        <v>1730209</v>
      </c>
    </row>
    <row r="884" spans="1:18" x14ac:dyDescent="0.25">
      <c r="A884" s="170">
        <v>43300</v>
      </c>
      <c r="B884" s="116">
        <v>274.95</v>
      </c>
      <c r="C884" s="116">
        <v>269.05</v>
      </c>
      <c r="D884" s="116">
        <v>265.95</v>
      </c>
      <c r="E884" s="116">
        <v>268</v>
      </c>
      <c r="F884" s="116">
        <v>269.05</v>
      </c>
      <c r="G884">
        <v>640308</v>
      </c>
      <c r="H884" s="116"/>
      <c r="I884" s="116"/>
      <c r="L884" s="170">
        <v>43300</v>
      </c>
      <c r="M884" s="116">
        <v>268.89999999999998</v>
      </c>
      <c r="N884" s="116">
        <v>275.10000000000002</v>
      </c>
      <c r="O884" s="116">
        <v>265.39999999999998</v>
      </c>
      <c r="P884" s="116">
        <v>273.39999999999998</v>
      </c>
      <c r="Q884" s="116">
        <v>268.89999999999998</v>
      </c>
      <c r="R884">
        <v>2472327</v>
      </c>
    </row>
    <row r="885" spans="1:18" x14ac:dyDescent="0.25">
      <c r="A885" s="170">
        <v>43301</v>
      </c>
      <c r="B885" s="116">
        <v>269.10000000000002</v>
      </c>
      <c r="C885" s="116">
        <v>265.3</v>
      </c>
      <c r="D885" s="116">
        <v>263</v>
      </c>
      <c r="E885" s="116">
        <v>269.10000000000002</v>
      </c>
      <c r="F885" s="116">
        <v>265.3</v>
      </c>
      <c r="G885">
        <v>967087</v>
      </c>
      <c r="H885" s="116"/>
      <c r="I885" s="116"/>
      <c r="L885" s="170">
        <v>43301</v>
      </c>
      <c r="M885" s="116">
        <v>265.25</v>
      </c>
      <c r="N885" s="116">
        <v>268</v>
      </c>
      <c r="O885" s="116">
        <v>262.60000000000002</v>
      </c>
      <c r="P885" s="116">
        <v>268</v>
      </c>
      <c r="Q885" s="116">
        <v>265.25</v>
      </c>
      <c r="R885">
        <v>1732161</v>
      </c>
    </row>
    <row r="886" spans="1:18" x14ac:dyDescent="0.25">
      <c r="A886" s="170">
        <v>43304</v>
      </c>
      <c r="B886" s="116">
        <v>271</v>
      </c>
      <c r="C886" s="116">
        <v>267.60000000000002</v>
      </c>
      <c r="D886" s="116">
        <v>262.5</v>
      </c>
      <c r="E886" s="116">
        <v>265.3</v>
      </c>
      <c r="F886" s="116">
        <v>267.60000000000002</v>
      </c>
      <c r="G886">
        <v>658752</v>
      </c>
      <c r="H886" s="116"/>
      <c r="I886" s="116"/>
      <c r="L886" s="170">
        <v>43304</v>
      </c>
      <c r="M886" s="116">
        <v>267.7</v>
      </c>
      <c r="N886" s="116">
        <v>270</v>
      </c>
      <c r="O886" s="116">
        <v>261.2</v>
      </c>
      <c r="P886" s="116">
        <v>265</v>
      </c>
      <c r="Q886" s="116">
        <v>267.7</v>
      </c>
      <c r="R886">
        <v>2055644</v>
      </c>
    </row>
    <row r="887" spans="1:18" x14ac:dyDescent="0.25">
      <c r="A887" s="170">
        <v>43305</v>
      </c>
      <c r="B887" s="116">
        <v>274.45</v>
      </c>
      <c r="C887" s="116">
        <v>273.14999999999998</v>
      </c>
      <c r="D887" s="116">
        <v>261.14999999999998</v>
      </c>
      <c r="E887" s="116">
        <v>265.14999999999998</v>
      </c>
      <c r="F887" s="116">
        <v>273.14999999999998</v>
      </c>
      <c r="G887">
        <v>173704</v>
      </c>
      <c r="H887" s="116"/>
      <c r="I887" s="116"/>
      <c r="L887" s="170">
        <v>43305</v>
      </c>
      <c r="M887" s="116">
        <v>272.60000000000002</v>
      </c>
      <c r="N887" s="116">
        <v>274.55</v>
      </c>
      <c r="O887" s="116">
        <v>260.64999999999998</v>
      </c>
      <c r="P887" s="116">
        <v>266.64999999999998</v>
      </c>
      <c r="Q887" s="116">
        <v>272.60000000000002</v>
      </c>
      <c r="R887">
        <v>3091112</v>
      </c>
    </row>
    <row r="888" spans="1:18" x14ac:dyDescent="0.25">
      <c r="A888" s="170">
        <v>43306</v>
      </c>
      <c r="B888" s="116">
        <v>283.8</v>
      </c>
      <c r="C888" s="116">
        <v>282.2</v>
      </c>
      <c r="D888" s="116">
        <v>274</v>
      </c>
      <c r="E888" s="116">
        <v>276</v>
      </c>
      <c r="F888" s="116">
        <v>282.2</v>
      </c>
      <c r="G888">
        <v>266789</v>
      </c>
      <c r="H888" s="116"/>
      <c r="I888" s="116"/>
      <c r="L888" s="170">
        <v>43306</v>
      </c>
      <c r="M888" s="116">
        <v>281.85000000000002</v>
      </c>
      <c r="N888" s="116">
        <v>282.95</v>
      </c>
      <c r="O888" s="116">
        <v>273.55</v>
      </c>
      <c r="P888" s="116">
        <v>274.3</v>
      </c>
      <c r="Q888" s="116">
        <v>281.85000000000002</v>
      </c>
      <c r="R888">
        <v>3137473</v>
      </c>
    </row>
    <row r="889" spans="1:18" x14ac:dyDescent="0.25">
      <c r="A889" s="170">
        <v>43307</v>
      </c>
      <c r="B889" s="116">
        <v>282.95</v>
      </c>
      <c r="C889" s="116">
        <v>274.8</v>
      </c>
      <c r="D889" s="116">
        <v>269.5</v>
      </c>
      <c r="E889" s="116">
        <v>282.95</v>
      </c>
      <c r="F889" s="116">
        <v>274.8</v>
      </c>
      <c r="G889">
        <v>201836</v>
      </c>
      <c r="H889" s="116"/>
      <c r="I889" s="116"/>
      <c r="L889" s="170">
        <v>43307</v>
      </c>
      <c r="M889" s="116">
        <v>272.10000000000002</v>
      </c>
      <c r="N889" s="116">
        <v>282.64999999999998</v>
      </c>
      <c r="O889" s="116">
        <v>269</v>
      </c>
      <c r="P889" s="116">
        <v>281.45</v>
      </c>
      <c r="Q889" s="116">
        <v>272.10000000000002</v>
      </c>
      <c r="R889">
        <v>3797761</v>
      </c>
    </row>
    <row r="890" spans="1:18" x14ac:dyDescent="0.25">
      <c r="A890" s="170">
        <v>43308</v>
      </c>
      <c r="B890" s="116">
        <v>276.35000000000002</v>
      </c>
      <c r="C890" s="116">
        <v>273.85000000000002</v>
      </c>
      <c r="D890" s="116">
        <v>270.10000000000002</v>
      </c>
      <c r="E890" s="116">
        <v>271.7</v>
      </c>
      <c r="F890" s="116">
        <v>273.85000000000002</v>
      </c>
      <c r="G890">
        <v>44988</v>
      </c>
      <c r="H890" s="116"/>
      <c r="I890" s="116"/>
      <c r="L890" s="170">
        <v>43308</v>
      </c>
      <c r="M890" s="116">
        <v>273.85000000000002</v>
      </c>
      <c r="N890" s="116">
        <v>276.3</v>
      </c>
      <c r="O890" s="116">
        <v>269.89999999999998</v>
      </c>
      <c r="P890" s="116">
        <v>270</v>
      </c>
      <c r="Q890" s="116">
        <v>273.85000000000002</v>
      </c>
      <c r="R890">
        <v>606887</v>
      </c>
    </row>
    <row r="891" spans="1:18" x14ac:dyDescent="0.25">
      <c r="A891" s="170">
        <v>43311</v>
      </c>
      <c r="B891" s="116">
        <v>275.45</v>
      </c>
      <c r="C891" s="116">
        <v>274.64999999999998</v>
      </c>
      <c r="D891" s="116">
        <v>271.85000000000002</v>
      </c>
      <c r="E891" s="116">
        <v>274.05</v>
      </c>
      <c r="F891" s="116">
        <v>274.64999999999998</v>
      </c>
      <c r="G891">
        <v>47713</v>
      </c>
      <c r="H891" s="116"/>
      <c r="I891" s="116"/>
      <c r="L891" s="170">
        <v>43311</v>
      </c>
      <c r="M891" s="116">
        <v>274.95</v>
      </c>
      <c r="N891" s="116">
        <v>275.95</v>
      </c>
      <c r="O891" s="116">
        <v>272</v>
      </c>
      <c r="P891" s="116">
        <v>274</v>
      </c>
      <c r="Q891" s="116">
        <v>274.95</v>
      </c>
      <c r="R891">
        <v>493831</v>
      </c>
    </row>
    <row r="892" spans="1:18" x14ac:dyDescent="0.25">
      <c r="A892" s="170">
        <v>43312</v>
      </c>
      <c r="B892" s="116">
        <v>280.5</v>
      </c>
      <c r="C892" s="116">
        <v>280.2</v>
      </c>
      <c r="D892" s="116">
        <v>272.5</v>
      </c>
      <c r="E892" s="116">
        <v>274.2</v>
      </c>
      <c r="F892" s="116">
        <v>280.2</v>
      </c>
      <c r="G892">
        <v>55145</v>
      </c>
      <c r="H892" s="116"/>
      <c r="I892" s="116"/>
      <c r="L892" s="170">
        <v>43312</v>
      </c>
      <c r="M892" s="116">
        <v>280.05</v>
      </c>
      <c r="N892" s="116">
        <v>280.85000000000002</v>
      </c>
      <c r="O892" s="116">
        <v>272.25</v>
      </c>
      <c r="P892" s="116">
        <v>275.75</v>
      </c>
      <c r="Q892" s="116">
        <v>280.05</v>
      </c>
      <c r="R892">
        <v>760972</v>
      </c>
    </row>
    <row r="893" spans="1:18" x14ac:dyDescent="0.25">
      <c r="A893" s="170">
        <v>43313</v>
      </c>
      <c r="B893" s="116">
        <v>284.60000000000002</v>
      </c>
      <c r="C893" s="116">
        <v>277.95</v>
      </c>
      <c r="D893" s="116">
        <v>276</v>
      </c>
      <c r="E893" s="116">
        <v>280</v>
      </c>
      <c r="F893" s="116">
        <v>277.95</v>
      </c>
      <c r="G893">
        <v>518565</v>
      </c>
      <c r="H893" s="116"/>
      <c r="I893" s="116"/>
      <c r="L893" s="170">
        <v>43313</v>
      </c>
      <c r="M893" s="116">
        <v>277.7</v>
      </c>
      <c r="N893" s="116">
        <v>284.8</v>
      </c>
      <c r="O893" s="116">
        <v>276</v>
      </c>
      <c r="P893" s="116">
        <v>282</v>
      </c>
      <c r="Q893" s="116">
        <v>277.7</v>
      </c>
      <c r="R893">
        <v>1212505</v>
      </c>
    </row>
    <row r="894" spans="1:18" x14ac:dyDescent="0.25">
      <c r="A894" s="170">
        <v>43314</v>
      </c>
      <c r="B894" s="116">
        <v>284.2</v>
      </c>
      <c r="C894" s="116">
        <v>281.10000000000002</v>
      </c>
      <c r="D894" s="116">
        <v>275.25</v>
      </c>
      <c r="E894" s="116">
        <v>277.89999999999998</v>
      </c>
      <c r="F894" s="116">
        <v>281.10000000000002</v>
      </c>
      <c r="G894">
        <v>388186</v>
      </c>
      <c r="H894" s="116"/>
      <c r="I894" s="116"/>
      <c r="L894" s="170">
        <v>43314</v>
      </c>
      <c r="M894" s="116">
        <v>280.8</v>
      </c>
      <c r="N894" s="116">
        <v>283.8</v>
      </c>
      <c r="O894" s="116">
        <v>275.05</v>
      </c>
      <c r="P894" s="116">
        <v>278.5</v>
      </c>
      <c r="Q894" s="116">
        <v>280.8</v>
      </c>
      <c r="R894">
        <v>1245965</v>
      </c>
    </row>
    <row r="895" spans="1:18" x14ac:dyDescent="0.25">
      <c r="A895" s="170">
        <v>43315</v>
      </c>
      <c r="B895" s="116">
        <v>283.64999999999998</v>
      </c>
      <c r="C895" s="116">
        <v>282.39999999999998</v>
      </c>
      <c r="D895" s="116">
        <v>280.89999999999998</v>
      </c>
      <c r="E895" s="116">
        <v>281.85000000000002</v>
      </c>
      <c r="F895" s="116">
        <v>282.39999999999998</v>
      </c>
      <c r="G895">
        <v>178685</v>
      </c>
      <c r="H895" s="116"/>
      <c r="I895" s="116"/>
      <c r="L895" s="170">
        <v>43315</v>
      </c>
      <c r="M895" s="116">
        <v>282.3</v>
      </c>
      <c r="N895" s="116">
        <v>283.75</v>
      </c>
      <c r="O895" s="116">
        <v>280.2</v>
      </c>
      <c r="P895" s="116">
        <v>281.95</v>
      </c>
      <c r="Q895" s="116">
        <v>282.3</v>
      </c>
      <c r="R895">
        <v>571292</v>
      </c>
    </row>
    <row r="896" spans="1:18" x14ac:dyDescent="0.25">
      <c r="A896" s="170">
        <v>43318</v>
      </c>
      <c r="B896" s="116">
        <v>290</v>
      </c>
      <c r="C896" s="116">
        <v>285.89999999999998</v>
      </c>
      <c r="D896" s="116">
        <v>281.75</v>
      </c>
      <c r="E896" s="116">
        <v>284</v>
      </c>
      <c r="F896" s="116">
        <v>285.89999999999998</v>
      </c>
      <c r="G896">
        <v>218605</v>
      </c>
      <c r="H896" s="116"/>
      <c r="I896" s="116"/>
      <c r="L896" s="170">
        <v>43318</v>
      </c>
      <c r="M896" s="116">
        <v>285.3</v>
      </c>
      <c r="N896" s="116">
        <v>289.64999999999998</v>
      </c>
      <c r="O896" s="116">
        <v>280.85000000000002</v>
      </c>
      <c r="P896" s="116">
        <v>284.85000000000002</v>
      </c>
      <c r="Q896" s="116">
        <v>285.3</v>
      </c>
      <c r="R896">
        <v>1036316</v>
      </c>
    </row>
    <row r="897" spans="1:18" x14ac:dyDescent="0.25">
      <c r="A897" s="170">
        <v>43319</v>
      </c>
      <c r="B897" s="116">
        <v>290.64999999999998</v>
      </c>
      <c r="C897" s="116">
        <v>285.64999999999998</v>
      </c>
      <c r="D897" s="116">
        <v>283.14999999999998</v>
      </c>
      <c r="E897" s="116">
        <v>288</v>
      </c>
      <c r="F897" s="116">
        <v>285.64999999999998</v>
      </c>
      <c r="G897">
        <v>93617</v>
      </c>
      <c r="H897" s="116"/>
      <c r="I897" s="116"/>
      <c r="L897" s="170">
        <v>43319</v>
      </c>
      <c r="M897" s="116">
        <v>285.75</v>
      </c>
      <c r="N897" s="116">
        <v>290.95</v>
      </c>
      <c r="O897" s="116">
        <v>283.55</v>
      </c>
      <c r="P897" s="116">
        <v>287.2</v>
      </c>
      <c r="Q897" s="116">
        <v>285.75</v>
      </c>
      <c r="R897">
        <v>1255502</v>
      </c>
    </row>
    <row r="898" spans="1:18" x14ac:dyDescent="0.25">
      <c r="A898" s="170">
        <v>43320</v>
      </c>
      <c r="B898" s="116">
        <v>290</v>
      </c>
      <c r="C898" s="116">
        <v>288.5</v>
      </c>
      <c r="D898" s="116">
        <v>284.39999999999998</v>
      </c>
      <c r="E898" s="116">
        <v>286.64999999999998</v>
      </c>
      <c r="F898" s="116">
        <v>288.5</v>
      </c>
      <c r="G898">
        <v>49538</v>
      </c>
      <c r="H898" s="116"/>
      <c r="I898" s="116"/>
      <c r="L898" s="170">
        <v>43320</v>
      </c>
      <c r="M898" s="116">
        <v>286.05</v>
      </c>
      <c r="N898" s="116">
        <v>288.5</v>
      </c>
      <c r="O898" s="116">
        <v>284.64999999999998</v>
      </c>
      <c r="P898" s="116">
        <v>285.75</v>
      </c>
      <c r="Q898" s="116">
        <v>286.05</v>
      </c>
      <c r="R898">
        <v>486339</v>
      </c>
    </row>
    <row r="899" spans="1:18" x14ac:dyDescent="0.25">
      <c r="A899" s="170">
        <v>43321</v>
      </c>
      <c r="B899" s="116">
        <v>289</v>
      </c>
      <c r="C899" s="116">
        <v>287.7</v>
      </c>
      <c r="D899" s="116">
        <v>285</v>
      </c>
      <c r="E899" s="116">
        <v>288</v>
      </c>
      <c r="F899" s="116">
        <v>287.7</v>
      </c>
      <c r="G899">
        <v>34807</v>
      </c>
      <c r="H899" s="116"/>
      <c r="I899" s="116"/>
      <c r="L899" s="170">
        <v>43321</v>
      </c>
      <c r="M899" s="116">
        <v>286.7</v>
      </c>
      <c r="N899" s="116">
        <v>289</v>
      </c>
      <c r="O899" s="116">
        <v>284.5</v>
      </c>
      <c r="P899" s="116">
        <v>286.89999999999998</v>
      </c>
      <c r="Q899" s="116">
        <v>286.7</v>
      </c>
      <c r="R899">
        <v>691773</v>
      </c>
    </row>
    <row r="900" spans="1:18" x14ac:dyDescent="0.25">
      <c r="A900" s="170">
        <v>43322</v>
      </c>
      <c r="B900" s="116">
        <v>288.3</v>
      </c>
      <c r="C900" s="116">
        <v>286.5</v>
      </c>
      <c r="D900" s="116">
        <v>284</v>
      </c>
      <c r="E900" s="116">
        <v>285.7</v>
      </c>
      <c r="F900" s="116">
        <v>286.5</v>
      </c>
      <c r="G900">
        <v>46955</v>
      </c>
      <c r="H900" s="116"/>
      <c r="I900" s="116"/>
      <c r="L900" s="170">
        <v>43322</v>
      </c>
      <c r="M900" s="116">
        <v>286.95</v>
      </c>
      <c r="N900" s="116">
        <v>288.3</v>
      </c>
      <c r="O900" s="116">
        <v>283.8</v>
      </c>
      <c r="P900" s="116">
        <v>286.7</v>
      </c>
      <c r="Q900" s="116">
        <v>286.95</v>
      </c>
      <c r="R900">
        <v>662744</v>
      </c>
    </row>
    <row r="901" spans="1:18" x14ac:dyDescent="0.25">
      <c r="A901" s="170">
        <v>43325</v>
      </c>
      <c r="B901" s="116">
        <v>288.45</v>
      </c>
      <c r="C901" s="116">
        <v>287.3</v>
      </c>
      <c r="D901" s="116">
        <v>280.55</v>
      </c>
      <c r="E901" s="116">
        <v>284.25</v>
      </c>
      <c r="F901" s="116">
        <v>287.3</v>
      </c>
      <c r="G901">
        <v>60886</v>
      </c>
      <c r="H901" s="116"/>
      <c r="I901" s="116"/>
      <c r="L901" s="170">
        <v>43325</v>
      </c>
      <c r="M901" s="116">
        <v>286.64999999999998</v>
      </c>
      <c r="N901" s="116">
        <v>288.85000000000002</v>
      </c>
      <c r="O901" s="116">
        <v>280.05</v>
      </c>
      <c r="P901" s="116">
        <v>283.95</v>
      </c>
      <c r="Q901" s="116">
        <v>286.64999999999998</v>
      </c>
      <c r="R901">
        <v>1237293</v>
      </c>
    </row>
    <row r="902" spans="1:18" x14ac:dyDescent="0.25">
      <c r="A902" s="170">
        <v>43326</v>
      </c>
      <c r="B902" s="116">
        <v>292</v>
      </c>
      <c r="C902" s="116">
        <v>285.14999999999998</v>
      </c>
      <c r="D902" s="116">
        <v>282.8</v>
      </c>
      <c r="E902" s="116">
        <v>292</v>
      </c>
      <c r="F902" s="116">
        <v>285.14999999999998</v>
      </c>
      <c r="G902">
        <v>162899</v>
      </c>
      <c r="H902" s="116"/>
      <c r="I902" s="116"/>
      <c r="L902" s="170">
        <v>43326</v>
      </c>
      <c r="M902" s="116">
        <v>285.14999999999998</v>
      </c>
      <c r="N902" s="116">
        <v>287</v>
      </c>
      <c r="O902" s="116">
        <v>282.75</v>
      </c>
      <c r="P902" s="116">
        <v>284.10000000000002</v>
      </c>
      <c r="Q902" s="116">
        <v>285.14999999999998</v>
      </c>
      <c r="R902">
        <v>971916</v>
      </c>
    </row>
    <row r="903" spans="1:18" x14ac:dyDescent="0.25">
      <c r="A903" s="170">
        <v>43328</v>
      </c>
      <c r="B903" s="116">
        <v>280.85000000000002</v>
      </c>
      <c r="C903" s="116">
        <v>276.14999999999998</v>
      </c>
      <c r="D903" s="116">
        <v>272.64999999999998</v>
      </c>
      <c r="E903" s="116">
        <v>280.85000000000002</v>
      </c>
      <c r="F903" s="116">
        <v>276.14999999999998</v>
      </c>
      <c r="G903">
        <v>149235</v>
      </c>
      <c r="H903" s="116"/>
      <c r="I903" s="116"/>
      <c r="L903" s="170">
        <v>43328</v>
      </c>
      <c r="M903" s="116">
        <v>276.05</v>
      </c>
      <c r="N903" s="116">
        <v>279</v>
      </c>
      <c r="O903" s="116">
        <v>272.05</v>
      </c>
      <c r="P903" s="116">
        <v>277.60000000000002</v>
      </c>
      <c r="Q903" s="116">
        <v>276.05</v>
      </c>
      <c r="R903">
        <v>1886985</v>
      </c>
    </row>
    <row r="904" spans="1:18" x14ac:dyDescent="0.25">
      <c r="A904" s="170">
        <v>43329</v>
      </c>
      <c r="B904" s="116">
        <v>279.95</v>
      </c>
      <c r="C904" s="116">
        <v>277.39999999999998</v>
      </c>
      <c r="D904" s="116">
        <v>276.25</v>
      </c>
      <c r="E904" s="116">
        <v>278.5</v>
      </c>
      <c r="F904" s="116">
        <v>277.39999999999998</v>
      </c>
      <c r="G904">
        <v>32222</v>
      </c>
      <c r="H904" s="116"/>
      <c r="I904" s="116"/>
      <c r="L904" s="170">
        <v>43329</v>
      </c>
      <c r="M904" s="116">
        <v>277.35000000000002</v>
      </c>
      <c r="N904" s="116">
        <v>279.89999999999998</v>
      </c>
      <c r="O904" s="116">
        <v>275.35000000000002</v>
      </c>
      <c r="P904" s="116">
        <v>278</v>
      </c>
      <c r="Q904" s="116">
        <v>277.35000000000002</v>
      </c>
      <c r="R904">
        <v>361292</v>
      </c>
    </row>
    <row r="905" spans="1:18" x14ac:dyDescent="0.25">
      <c r="A905" s="170">
        <v>43332</v>
      </c>
      <c r="B905" s="116">
        <v>282.7</v>
      </c>
      <c r="C905" s="116">
        <v>280.39999999999998</v>
      </c>
      <c r="D905" s="116">
        <v>273.5</v>
      </c>
      <c r="E905" s="116">
        <v>277.5</v>
      </c>
      <c r="F905" s="116">
        <v>280.39999999999998</v>
      </c>
      <c r="G905">
        <v>50520</v>
      </c>
      <c r="H905" s="116"/>
      <c r="I905" s="116"/>
      <c r="L905" s="170">
        <v>43332</v>
      </c>
      <c r="M905" s="116">
        <v>280.25</v>
      </c>
      <c r="N905" s="116">
        <v>283</v>
      </c>
      <c r="O905" s="116">
        <v>272.95</v>
      </c>
      <c r="P905" s="116">
        <v>277.35000000000002</v>
      </c>
      <c r="Q905" s="116">
        <v>280.25</v>
      </c>
      <c r="R905">
        <v>1283856</v>
      </c>
    </row>
    <row r="906" spans="1:18" x14ac:dyDescent="0.25">
      <c r="A906" s="170">
        <v>43333</v>
      </c>
      <c r="B906" s="116">
        <v>285.39999999999998</v>
      </c>
      <c r="C906" s="116">
        <v>283.95</v>
      </c>
      <c r="D906" s="116">
        <v>279</v>
      </c>
      <c r="E906" s="116">
        <v>280.7</v>
      </c>
      <c r="F906" s="116">
        <v>283.95</v>
      </c>
      <c r="G906">
        <v>50979</v>
      </c>
      <c r="H906" s="116"/>
      <c r="I906" s="116"/>
      <c r="L906" s="170">
        <v>43333</v>
      </c>
      <c r="M906" s="116">
        <v>284.39999999999998</v>
      </c>
      <c r="N906" s="116">
        <v>287</v>
      </c>
      <c r="O906" s="116">
        <v>279</v>
      </c>
      <c r="P906" s="116">
        <v>280</v>
      </c>
      <c r="Q906" s="116">
        <v>284.39999999999998</v>
      </c>
      <c r="R906">
        <v>669118</v>
      </c>
    </row>
    <row r="907" spans="1:18" x14ac:dyDescent="0.25">
      <c r="A907" s="170">
        <v>43335</v>
      </c>
      <c r="B907" s="116">
        <v>287.85000000000002</v>
      </c>
      <c r="C907" s="116">
        <v>286.10000000000002</v>
      </c>
      <c r="D907" s="116">
        <v>282.10000000000002</v>
      </c>
      <c r="E907" s="116">
        <v>284</v>
      </c>
      <c r="F907" s="116">
        <v>286.10000000000002</v>
      </c>
      <c r="G907">
        <v>44272</v>
      </c>
      <c r="H907" s="116"/>
      <c r="I907" s="116"/>
      <c r="L907" s="170">
        <v>43335</v>
      </c>
      <c r="M907" s="116">
        <v>286.2</v>
      </c>
      <c r="N907" s="116">
        <v>287.85000000000002</v>
      </c>
      <c r="O907" s="116">
        <v>282.2</v>
      </c>
      <c r="P907" s="116">
        <v>284.64999999999998</v>
      </c>
      <c r="Q907" s="116">
        <v>286.2</v>
      </c>
      <c r="R907">
        <v>730469</v>
      </c>
    </row>
    <row r="908" spans="1:18" x14ac:dyDescent="0.25">
      <c r="A908" s="170">
        <v>43336</v>
      </c>
      <c r="B908" s="116">
        <v>294.64999999999998</v>
      </c>
      <c r="C908" s="116">
        <v>293.60000000000002</v>
      </c>
      <c r="D908" s="116">
        <v>284.89999999999998</v>
      </c>
      <c r="E908" s="116">
        <v>288.5</v>
      </c>
      <c r="F908" s="116">
        <v>293.60000000000002</v>
      </c>
      <c r="G908">
        <v>102963</v>
      </c>
      <c r="H908" s="116"/>
      <c r="I908" s="116"/>
      <c r="L908" s="170">
        <v>43336</v>
      </c>
      <c r="M908" s="116">
        <v>292.3</v>
      </c>
      <c r="N908" s="116">
        <v>294</v>
      </c>
      <c r="O908" s="116">
        <v>285.05</v>
      </c>
      <c r="P908" s="116">
        <v>288</v>
      </c>
      <c r="Q908" s="116">
        <v>292.3</v>
      </c>
      <c r="R908">
        <v>1253387</v>
      </c>
    </row>
    <row r="909" spans="1:18" x14ac:dyDescent="0.25">
      <c r="A909" s="170">
        <v>43339</v>
      </c>
      <c r="B909" s="116">
        <v>302</v>
      </c>
      <c r="C909" s="116">
        <v>300.25</v>
      </c>
      <c r="D909" s="116">
        <v>295</v>
      </c>
      <c r="E909" s="116">
        <v>295</v>
      </c>
      <c r="F909" s="116">
        <v>300.25</v>
      </c>
      <c r="G909">
        <v>136397</v>
      </c>
      <c r="H909" s="116"/>
      <c r="I909" s="116"/>
      <c r="L909" s="170">
        <v>43339</v>
      </c>
      <c r="M909" s="116">
        <v>299.39999999999998</v>
      </c>
      <c r="N909" s="116">
        <v>301.35000000000002</v>
      </c>
      <c r="O909" s="116">
        <v>295</v>
      </c>
      <c r="P909" s="116">
        <v>295.7</v>
      </c>
      <c r="Q909" s="116">
        <v>299.39999999999998</v>
      </c>
      <c r="R909">
        <v>1300919</v>
      </c>
    </row>
    <row r="910" spans="1:18" x14ac:dyDescent="0.25">
      <c r="A910" s="170">
        <v>43340</v>
      </c>
      <c r="B910" s="116">
        <v>306</v>
      </c>
      <c r="C910" s="116">
        <v>301.7</v>
      </c>
      <c r="D910" s="116">
        <v>297</v>
      </c>
      <c r="E910" s="116">
        <v>299.89999999999998</v>
      </c>
      <c r="F910" s="116">
        <v>301.7</v>
      </c>
      <c r="G910">
        <v>98027</v>
      </c>
      <c r="H910" s="116"/>
      <c r="I910" s="116"/>
      <c r="L910" s="170">
        <v>43340</v>
      </c>
      <c r="M910" s="116">
        <v>297.89999999999998</v>
      </c>
      <c r="N910" s="116">
        <v>301.55</v>
      </c>
      <c r="O910" s="116">
        <v>296.10000000000002</v>
      </c>
      <c r="P910" s="116">
        <v>300</v>
      </c>
      <c r="Q910" s="116">
        <v>297.89999999999998</v>
      </c>
      <c r="R910">
        <v>828994</v>
      </c>
    </row>
    <row r="911" spans="1:18" x14ac:dyDescent="0.25">
      <c r="A911" s="170">
        <v>43341</v>
      </c>
      <c r="B911" s="116">
        <v>303.5</v>
      </c>
      <c r="C911" s="116">
        <v>299.25</v>
      </c>
      <c r="D911" s="116">
        <v>297.64999999999998</v>
      </c>
      <c r="E911" s="116">
        <v>301.60000000000002</v>
      </c>
      <c r="F911" s="116">
        <v>299.25</v>
      </c>
      <c r="G911">
        <v>50183</v>
      </c>
      <c r="H911" s="116"/>
      <c r="I911" s="116"/>
      <c r="L911" s="170">
        <v>43341</v>
      </c>
      <c r="M911" s="116">
        <v>298.45</v>
      </c>
      <c r="N911" s="116">
        <v>303.3</v>
      </c>
      <c r="O911" s="116">
        <v>297.35000000000002</v>
      </c>
      <c r="P911" s="116">
        <v>298.95</v>
      </c>
      <c r="Q911" s="116">
        <v>298.45</v>
      </c>
      <c r="R911">
        <v>958512</v>
      </c>
    </row>
    <row r="912" spans="1:18" x14ac:dyDescent="0.25">
      <c r="A912" s="170">
        <v>43342</v>
      </c>
      <c r="B912" s="116">
        <v>300.75</v>
      </c>
      <c r="C912" s="116">
        <v>297.5</v>
      </c>
      <c r="D912" s="116">
        <v>295.05</v>
      </c>
      <c r="E912" s="116">
        <v>300</v>
      </c>
      <c r="F912" s="116">
        <v>297.5</v>
      </c>
      <c r="G912">
        <v>42096</v>
      </c>
      <c r="H912" s="116"/>
      <c r="I912" s="116"/>
      <c r="L912" s="170">
        <v>43342</v>
      </c>
      <c r="M912" s="116">
        <v>296.89999999999998</v>
      </c>
      <c r="N912" s="116">
        <v>300.64999999999998</v>
      </c>
      <c r="O912" s="116">
        <v>294.35000000000002</v>
      </c>
      <c r="P912" s="116">
        <v>300</v>
      </c>
      <c r="Q912" s="116">
        <v>296.89999999999998</v>
      </c>
      <c r="R912">
        <v>1773624</v>
      </c>
    </row>
    <row r="913" spans="1:18" x14ac:dyDescent="0.25">
      <c r="A913" s="170">
        <v>43343</v>
      </c>
      <c r="B913" s="116">
        <v>299.89999999999998</v>
      </c>
      <c r="C913" s="116">
        <v>299.14999999999998</v>
      </c>
      <c r="D913" s="116">
        <v>292.25</v>
      </c>
      <c r="E913" s="116">
        <v>295</v>
      </c>
      <c r="F913" s="116">
        <v>299.14999999999998</v>
      </c>
      <c r="G913">
        <v>35268</v>
      </c>
      <c r="H913" s="116"/>
      <c r="I913" s="116"/>
      <c r="L913" s="170">
        <v>43343</v>
      </c>
      <c r="M913" s="116">
        <v>299.55</v>
      </c>
      <c r="N913" s="116">
        <v>300.64999999999998</v>
      </c>
      <c r="O913" s="116">
        <v>293.05</v>
      </c>
      <c r="P913" s="116">
        <v>295.3</v>
      </c>
      <c r="Q913" s="116">
        <v>299.55</v>
      </c>
      <c r="R913">
        <v>637528</v>
      </c>
    </row>
    <row r="914" spans="1:18" x14ac:dyDescent="0.25">
      <c r="A914" s="170">
        <v>43346</v>
      </c>
      <c r="B914" s="116">
        <v>301.55</v>
      </c>
      <c r="C914" s="116">
        <v>299.05</v>
      </c>
      <c r="D914" s="116">
        <v>296.05</v>
      </c>
      <c r="E914" s="116">
        <v>300</v>
      </c>
      <c r="F914" s="116">
        <v>299.05</v>
      </c>
      <c r="G914">
        <v>49710</v>
      </c>
      <c r="H914" s="116"/>
      <c r="I914" s="116"/>
      <c r="L914" s="170">
        <v>43346</v>
      </c>
      <c r="M914" s="116">
        <v>298.7</v>
      </c>
      <c r="N914" s="116">
        <v>302</v>
      </c>
      <c r="O914" s="116">
        <v>295.10000000000002</v>
      </c>
      <c r="P914" s="116">
        <v>300.89999999999998</v>
      </c>
      <c r="Q914" s="116">
        <v>298.7</v>
      </c>
      <c r="R914">
        <v>723431</v>
      </c>
    </row>
    <row r="915" spans="1:18" x14ac:dyDescent="0.25">
      <c r="A915" s="170">
        <v>43347</v>
      </c>
      <c r="B915" s="116">
        <v>305.89999999999998</v>
      </c>
      <c r="C915" s="116">
        <v>292.55</v>
      </c>
      <c r="D915" s="116">
        <v>290</v>
      </c>
      <c r="E915" s="116">
        <v>305.89999999999998</v>
      </c>
      <c r="F915" s="116">
        <v>292.55</v>
      </c>
      <c r="G915">
        <v>238245</v>
      </c>
      <c r="H915" s="116"/>
      <c r="I915" s="116"/>
      <c r="L915" s="170">
        <v>43347</v>
      </c>
      <c r="M915" s="116">
        <v>292.60000000000002</v>
      </c>
      <c r="N915" s="116">
        <v>300.10000000000002</v>
      </c>
      <c r="O915" s="116">
        <v>290.5</v>
      </c>
      <c r="P915" s="116">
        <v>300</v>
      </c>
      <c r="Q915" s="116">
        <v>292.60000000000002</v>
      </c>
      <c r="R915">
        <v>842968</v>
      </c>
    </row>
    <row r="916" spans="1:18" x14ac:dyDescent="0.25">
      <c r="A916" s="170">
        <v>43348</v>
      </c>
      <c r="B916" s="116">
        <v>302.95</v>
      </c>
      <c r="C916" s="116">
        <v>299.55</v>
      </c>
      <c r="D916" s="116">
        <v>288.7</v>
      </c>
      <c r="E916" s="116">
        <v>295</v>
      </c>
      <c r="F916" s="116">
        <v>299.55</v>
      </c>
      <c r="G916">
        <v>111074</v>
      </c>
      <c r="H916" s="116"/>
      <c r="I916" s="116"/>
      <c r="L916" s="170">
        <v>43348</v>
      </c>
      <c r="M916" s="116">
        <v>302.39999999999998</v>
      </c>
      <c r="N916" s="116">
        <v>307.2</v>
      </c>
      <c r="O916" s="116">
        <v>288.55</v>
      </c>
      <c r="P916" s="116">
        <v>290.10000000000002</v>
      </c>
      <c r="Q916" s="116">
        <v>302.39999999999998</v>
      </c>
      <c r="R916">
        <v>1797538</v>
      </c>
    </row>
    <row r="917" spans="1:18" x14ac:dyDescent="0.25">
      <c r="A917" s="170">
        <v>43349</v>
      </c>
      <c r="B917" s="116">
        <v>304.05</v>
      </c>
      <c r="C917" s="116">
        <v>299.7</v>
      </c>
      <c r="D917" s="116">
        <v>295.8</v>
      </c>
      <c r="E917" s="116">
        <v>303.5</v>
      </c>
      <c r="F917" s="116">
        <v>299.7</v>
      </c>
      <c r="G917">
        <v>52018</v>
      </c>
      <c r="H917" s="116"/>
      <c r="I917" s="116"/>
      <c r="L917" s="170">
        <v>43349</v>
      </c>
      <c r="M917" s="116">
        <v>300.75</v>
      </c>
      <c r="N917" s="116">
        <v>304.64999999999998</v>
      </c>
      <c r="O917" s="116">
        <v>290.2</v>
      </c>
      <c r="P917" s="116">
        <v>302.45</v>
      </c>
      <c r="Q917" s="116">
        <v>300.75</v>
      </c>
      <c r="R917">
        <v>1221297</v>
      </c>
    </row>
    <row r="918" spans="1:18" x14ac:dyDescent="0.25">
      <c r="A918" s="170">
        <v>43350</v>
      </c>
      <c r="B918" s="116">
        <v>301.64999999999998</v>
      </c>
      <c r="C918" s="116">
        <v>298.14999999999998</v>
      </c>
      <c r="D918" s="116">
        <v>297.5</v>
      </c>
      <c r="E918" s="116">
        <v>299.8</v>
      </c>
      <c r="F918" s="116">
        <v>298.14999999999998</v>
      </c>
      <c r="G918">
        <v>44709</v>
      </c>
      <c r="H918" s="116"/>
      <c r="I918" s="116"/>
      <c r="L918" s="170">
        <v>43350</v>
      </c>
      <c r="M918" s="116">
        <v>298</v>
      </c>
      <c r="N918" s="116">
        <v>301.7</v>
      </c>
      <c r="O918" s="116">
        <v>296.8</v>
      </c>
      <c r="P918" s="116">
        <v>299.89999999999998</v>
      </c>
      <c r="Q918" s="116">
        <v>298</v>
      </c>
      <c r="R918">
        <v>568322</v>
      </c>
    </row>
    <row r="919" spans="1:18" x14ac:dyDescent="0.25">
      <c r="A919" s="170">
        <v>43353</v>
      </c>
      <c r="B919" s="116">
        <v>300</v>
      </c>
      <c r="C919" s="116">
        <v>296.14999999999998</v>
      </c>
      <c r="D919" s="116">
        <v>293.10000000000002</v>
      </c>
      <c r="E919" s="116">
        <v>300</v>
      </c>
      <c r="F919" s="116">
        <v>296.14999999999998</v>
      </c>
      <c r="G919">
        <v>117822</v>
      </c>
      <c r="H919" s="116"/>
      <c r="I919" s="116"/>
      <c r="L919" s="170">
        <v>43353</v>
      </c>
      <c r="M919" s="116">
        <v>295.45</v>
      </c>
      <c r="N919" s="116">
        <v>298.89999999999998</v>
      </c>
      <c r="O919" s="116">
        <v>292.55</v>
      </c>
      <c r="P919" s="116">
        <v>298.2</v>
      </c>
      <c r="Q919" s="116">
        <v>295.45</v>
      </c>
      <c r="R919">
        <v>1062620</v>
      </c>
    </row>
    <row r="920" spans="1:18" x14ac:dyDescent="0.25">
      <c r="A920" s="170">
        <v>43354</v>
      </c>
      <c r="B920" s="116">
        <v>298.39999999999998</v>
      </c>
      <c r="C920" s="116">
        <v>289.25</v>
      </c>
      <c r="D920" s="116">
        <v>286.45</v>
      </c>
      <c r="E920" s="116">
        <v>294.64999999999998</v>
      </c>
      <c r="F920" s="116">
        <v>289.25</v>
      </c>
      <c r="G920">
        <v>132767</v>
      </c>
      <c r="H920" s="116"/>
      <c r="I920" s="116"/>
      <c r="L920" s="170">
        <v>43354</v>
      </c>
      <c r="M920" s="116">
        <v>288.35000000000002</v>
      </c>
      <c r="N920" s="116">
        <v>298.3</v>
      </c>
      <c r="O920" s="116">
        <v>285.05</v>
      </c>
      <c r="P920" s="116">
        <v>293.89999999999998</v>
      </c>
      <c r="Q920" s="116">
        <v>288.35000000000002</v>
      </c>
      <c r="R920">
        <v>1049252</v>
      </c>
    </row>
    <row r="921" spans="1:18" x14ac:dyDescent="0.25">
      <c r="A921" s="170">
        <v>43355</v>
      </c>
      <c r="B921" s="116">
        <v>289.25</v>
      </c>
      <c r="C921" s="116">
        <v>286.3</v>
      </c>
      <c r="D921" s="116">
        <v>278.60000000000002</v>
      </c>
      <c r="E921" s="116">
        <v>289.25</v>
      </c>
      <c r="F921" s="116">
        <v>286.3</v>
      </c>
      <c r="G921">
        <v>100520</v>
      </c>
      <c r="H921" s="116"/>
      <c r="I921" s="116"/>
      <c r="L921" s="170">
        <v>43355</v>
      </c>
      <c r="M921" s="116">
        <v>286.25</v>
      </c>
      <c r="N921" s="116">
        <v>289.2</v>
      </c>
      <c r="O921" s="116">
        <v>278.7</v>
      </c>
      <c r="P921" s="116">
        <v>287</v>
      </c>
      <c r="Q921" s="116">
        <v>286.25</v>
      </c>
      <c r="R921">
        <v>1381284</v>
      </c>
    </row>
    <row r="922" spans="1:18" x14ac:dyDescent="0.25">
      <c r="A922" s="170">
        <v>43357</v>
      </c>
      <c r="B922" s="116">
        <v>300.39999999999998</v>
      </c>
      <c r="C922" s="116">
        <v>299.55</v>
      </c>
      <c r="D922" s="116">
        <v>286.3</v>
      </c>
      <c r="E922" s="116">
        <v>286.3</v>
      </c>
      <c r="F922" s="116">
        <v>299.55</v>
      </c>
      <c r="G922">
        <v>96646</v>
      </c>
      <c r="H922" s="116"/>
      <c r="I922" s="116"/>
      <c r="L922" s="170">
        <v>43357</v>
      </c>
      <c r="M922" s="116">
        <v>299.3</v>
      </c>
      <c r="N922" s="116">
        <v>300</v>
      </c>
      <c r="O922" s="116">
        <v>287.14999999999998</v>
      </c>
      <c r="P922" s="116">
        <v>289</v>
      </c>
      <c r="Q922" s="116">
        <v>299.3</v>
      </c>
      <c r="R922">
        <v>1254181</v>
      </c>
    </row>
    <row r="923" spans="1:18" x14ac:dyDescent="0.25">
      <c r="A923" s="170">
        <v>43360</v>
      </c>
      <c r="B923" s="116">
        <v>300.85000000000002</v>
      </c>
      <c r="C923" s="116">
        <v>298.60000000000002</v>
      </c>
      <c r="D923" s="116">
        <v>292.85000000000002</v>
      </c>
      <c r="E923" s="116">
        <v>299.7</v>
      </c>
      <c r="F923" s="116">
        <v>298.60000000000002</v>
      </c>
      <c r="G923">
        <v>49308</v>
      </c>
      <c r="H923" s="116"/>
      <c r="I923" s="116"/>
      <c r="L923" s="170">
        <v>43360</v>
      </c>
      <c r="M923" s="116">
        <v>298.10000000000002</v>
      </c>
      <c r="N923" s="116">
        <v>300.89999999999998</v>
      </c>
      <c r="O923" s="116">
        <v>292.2</v>
      </c>
      <c r="P923" s="116">
        <v>297.95</v>
      </c>
      <c r="Q923" s="116">
        <v>298.10000000000002</v>
      </c>
      <c r="R923">
        <v>958355</v>
      </c>
    </row>
    <row r="924" spans="1:18" x14ac:dyDescent="0.25">
      <c r="A924" s="170">
        <v>43361</v>
      </c>
      <c r="B924" s="116">
        <v>306</v>
      </c>
      <c r="C924" s="116">
        <v>297.5</v>
      </c>
      <c r="D924" s="116">
        <v>296.05</v>
      </c>
      <c r="E924" s="116">
        <v>299</v>
      </c>
      <c r="F924" s="116">
        <v>297.5</v>
      </c>
      <c r="G924">
        <v>124566</v>
      </c>
      <c r="H924" s="116"/>
      <c r="I924" s="116"/>
      <c r="L924" s="170">
        <v>43361</v>
      </c>
      <c r="M924" s="116">
        <v>298.7</v>
      </c>
      <c r="N924" s="116">
        <v>306.45</v>
      </c>
      <c r="O924" s="116">
        <v>295.64999999999998</v>
      </c>
      <c r="P924" s="116">
        <v>299</v>
      </c>
      <c r="Q924" s="116">
        <v>298.7</v>
      </c>
      <c r="R924">
        <v>1737213</v>
      </c>
    </row>
    <row r="925" spans="1:18" x14ac:dyDescent="0.25">
      <c r="A925" s="170">
        <v>43362</v>
      </c>
      <c r="B925" s="116">
        <v>302.89999999999998</v>
      </c>
      <c r="C925" s="116">
        <v>296.75</v>
      </c>
      <c r="D925" s="116">
        <v>295.25</v>
      </c>
      <c r="E925" s="116">
        <v>299</v>
      </c>
      <c r="F925" s="116">
        <v>296.75</v>
      </c>
      <c r="G925">
        <v>93064</v>
      </c>
      <c r="H925" s="116"/>
      <c r="I925" s="116"/>
      <c r="L925" s="170">
        <v>43362</v>
      </c>
      <c r="M925" s="116">
        <v>296.7</v>
      </c>
      <c r="N925" s="116">
        <v>303.7</v>
      </c>
      <c r="O925" s="116">
        <v>294.8</v>
      </c>
      <c r="P925" s="116">
        <v>301</v>
      </c>
      <c r="Q925" s="116">
        <v>296.7</v>
      </c>
      <c r="R925">
        <v>1493682</v>
      </c>
    </row>
    <row r="926" spans="1:18" x14ac:dyDescent="0.25">
      <c r="A926" s="170">
        <v>43364</v>
      </c>
      <c r="B926" s="116">
        <v>306.35000000000002</v>
      </c>
      <c r="C926" s="116">
        <v>299.3</v>
      </c>
      <c r="D926" s="116">
        <v>272.85000000000002</v>
      </c>
      <c r="E926" s="116">
        <v>300</v>
      </c>
      <c r="F926" s="116">
        <v>299.3</v>
      </c>
      <c r="G926">
        <v>321272</v>
      </c>
      <c r="H926" s="116"/>
      <c r="I926" s="116"/>
      <c r="L926" s="170">
        <v>43364</v>
      </c>
      <c r="M926" s="116">
        <v>297.05</v>
      </c>
      <c r="N926" s="116">
        <v>306.7</v>
      </c>
      <c r="O926" s="116">
        <v>268.95</v>
      </c>
      <c r="P926" s="116">
        <v>298.5</v>
      </c>
      <c r="Q926" s="116">
        <v>297.05</v>
      </c>
      <c r="R926">
        <v>2686416</v>
      </c>
    </row>
    <row r="927" spans="1:18" x14ac:dyDescent="0.25">
      <c r="A927" s="170">
        <v>43367</v>
      </c>
      <c r="B927" s="116">
        <v>301.5</v>
      </c>
      <c r="C927" s="116">
        <v>297.25</v>
      </c>
      <c r="D927" s="116">
        <v>291.45</v>
      </c>
      <c r="E927" s="116">
        <v>297.39999999999998</v>
      </c>
      <c r="F927" s="116">
        <v>297.25</v>
      </c>
      <c r="G927">
        <v>67829</v>
      </c>
      <c r="H927" s="116"/>
      <c r="I927" s="116"/>
      <c r="L927" s="170">
        <v>43367</v>
      </c>
      <c r="M927" s="116">
        <v>297.35000000000002</v>
      </c>
      <c r="N927" s="116">
        <v>301.7</v>
      </c>
      <c r="O927" s="116">
        <v>293.25</v>
      </c>
      <c r="P927" s="116">
        <v>297.05</v>
      </c>
      <c r="Q927" s="116">
        <v>297.35000000000002</v>
      </c>
      <c r="R927">
        <v>783691</v>
      </c>
    </row>
    <row r="928" spans="1:18" x14ac:dyDescent="0.25">
      <c r="A928" s="170">
        <v>43368</v>
      </c>
      <c r="B928" s="116">
        <v>305.95</v>
      </c>
      <c r="C928" s="116">
        <v>304.3</v>
      </c>
      <c r="D928" s="116">
        <v>292.7</v>
      </c>
      <c r="E928" s="116">
        <v>295.05</v>
      </c>
      <c r="F928" s="116">
        <v>304.3</v>
      </c>
      <c r="G928">
        <v>64513</v>
      </c>
      <c r="H928" s="116"/>
      <c r="I928" s="116"/>
      <c r="L928" s="170">
        <v>43368</v>
      </c>
      <c r="M928" s="116">
        <v>303.8</v>
      </c>
      <c r="N928" s="116">
        <v>305.8</v>
      </c>
      <c r="O928" s="116">
        <v>292.14999999999998</v>
      </c>
      <c r="P928" s="116">
        <v>295.2</v>
      </c>
      <c r="Q928" s="116">
        <v>303.8</v>
      </c>
      <c r="R928">
        <v>1159243</v>
      </c>
    </row>
    <row r="929" spans="1:18" x14ac:dyDescent="0.25">
      <c r="A929" s="170">
        <v>43369</v>
      </c>
      <c r="B929" s="116">
        <v>308.8</v>
      </c>
      <c r="C929" s="116">
        <v>305</v>
      </c>
      <c r="D929" s="116">
        <v>300.5</v>
      </c>
      <c r="E929" s="116">
        <v>306</v>
      </c>
      <c r="F929" s="116">
        <v>305</v>
      </c>
      <c r="G929">
        <v>90421</v>
      </c>
      <c r="H929" s="116"/>
      <c r="I929" s="116"/>
      <c r="L929" s="170">
        <v>43369</v>
      </c>
      <c r="M929" s="116">
        <v>306.8</v>
      </c>
      <c r="N929" s="116">
        <v>309.2</v>
      </c>
      <c r="O929" s="116">
        <v>300.3</v>
      </c>
      <c r="P929" s="116">
        <v>306.5</v>
      </c>
      <c r="Q929" s="116">
        <v>306.8</v>
      </c>
      <c r="R929">
        <v>2147804</v>
      </c>
    </row>
    <row r="930" spans="1:18" x14ac:dyDescent="0.25">
      <c r="A930" s="170">
        <v>43370</v>
      </c>
      <c r="B930" s="116">
        <v>308.89999999999998</v>
      </c>
      <c r="C930" s="116">
        <v>303.85000000000002</v>
      </c>
      <c r="D930" s="116">
        <v>300</v>
      </c>
      <c r="E930" s="116">
        <v>307.64999999999998</v>
      </c>
      <c r="F930" s="116">
        <v>303.85000000000002</v>
      </c>
      <c r="G930">
        <v>76232</v>
      </c>
      <c r="H930" s="116"/>
      <c r="I930" s="116"/>
      <c r="L930" s="170">
        <v>43370</v>
      </c>
      <c r="M930" s="116">
        <v>306.10000000000002</v>
      </c>
      <c r="N930" s="116">
        <v>309.45</v>
      </c>
      <c r="O930" s="116">
        <v>299.7</v>
      </c>
      <c r="P930" s="116">
        <v>306.7</v>
      </c>
      <c r="Q930" s="116">
        <v>306.10000000000002</v>
      </c>
      <c r="R930">
        <v>1632586</v>
      </c>
    </row>
    <row r="931" spans="1:18" x14ac:dyDescent="0.25">
      <c r="A931" s="170">
        <v>43371</v>
      </c>
      <c r="B931" s="116">
        <v>306.3</v>
      </c>
      <c r="C931" s="116">
        <v>290.39999999999998</v>
      </c>
      <c r="D931" s="116">
        <v>286.39999999999998</v>
      </c>
      <c r="E931" s="116">
        <v>305</v>
      </c>
      <c r="F931" s="116">
        <v>290.39999999999998</v>
      </c>
      <c r="G931">
        <v>95232</v>
      </c>
      <c r="H931" s="116"/>
      <c r="I931" s="116"/>
      <c r="L931" s="170">
        <v>43371</v>
      </c>
      <c r="M931" s="116">
        <v>289.3</v>
      </c>
      <c r="N931" s="116">
        <v>305.64999999999998</v>
      </c>
      <c r="O931" s="116">
        <v>284.05</v>
      </c>
      <c r="P931" s="116">
        <v>305.35000000000002</v>
      </c>
      <c r="Q931" s="116">
        <v>289.3</v>
      </c>
      <c r="R931">
        <v>1458360</v>
      </c>
    </row>
    <row r="932" spans="1:18" x14ac:dyDescent="0.25">
      <c r="A932" s="170">
        <v>43374</v>
      </c>
      <c r="B932" s="116">
        <v>290.45</v>
      </c>
      <c r="C932" s="116">
        <v>289.25</v>
      </c>
      <c r="D932" s="116">
        <v>280</v>
      </c>
      <c r="E932" s="116">
        <v>290.39999999999998</v>
      </c>
      <c r="F932" s="116">
        <v>289.25</v>
      </c>
      <c r="G932">
        <v>41654</v>
      </c>
      <c r="H932" s="116"/>
      <c r="I932" s="116"/>
      <c r="L932" s="170">
        <v>43374</v>
      </c>
      <c r="M932" s="116">
        <v>289.85000000000002</v>
      </c>
      <c r="N932" s="116">
        <v>291</v>
      </c>
      <c r="O932" s="116">
        <v>280.55</v>
      </c>
      <c r="P932" s="116">
        <v>288.5</v>
      </c>
      <c r="Q932" s="116">
        <v>289.85000000000002</v>
      </c>
      <c r="R932">
        <v>462530</v>
      </c>
    </row>
    <row r="933" spans="1:18" x14ac:dyDescent="0.25">
      <c r="A933" s="170">
        <v>43376</v>
      </c>
      <c r="B933" s="116">
        <v>298.35000000000002</v>
      </c>
      <c r="C933" s="116">
        <v>293.95</v>
      </c>
      <c r="D933" s="116">
        <v>287.95</v>
      </c>
      <c r="E933" s="116">
        <v>290</v>
      </c>
      <c r="F933" s="116">
        <v>293.95</v>
      </c>
      <c r="G933">
        <v>53913</v>
      </c>
      <c r="H933" s="116"/>
      <c r="I933" s="116"/>
      <c r="L933" s="170">
        <v>43376</v>
      </c>
      <c r="M933" s="116">
        <v>294.3</v>
      </c>
      <c r="N933" s="116">
        <v>298.64999999999998</v>
      </c>
      <c r="O933" s="116">
        <v>287.3</v>
      </c>
      <c r="P933" s="116">
        <v>289.45</v>
      </c>
      <c r="Q933" s="116">
        <v>294.3</v>
      </c>
      <c r="R933">
        <v>690856</v>
      </c>
    </row>
    <row r="934" spans="1:18" x14ac:dyDescent="0.25">
      <c r="A934" s="170">
        <v>43377</v>
      </c>
      <c r="B934" s="116">
        <v>296.45</v>
      </c>
      <c r="C934" s="116">
        <v>288.64999999999998</v>
      </c>
      <c r="D934" s="116">
        <v>286.2</v>
      </c>
      <c r="E934" s="116">
        <v>292</v>
      </c>
      <c r="F934" s="116">
        <v>288.64999999999998</v>
      </c>
      <c r="G934">
        <v>46218</v>
      </c>
      <c r="H934" s="116"/>
      <c r="I934" s="116"/>
      <c r="L934" s="170">
        <v>43377</v>
      </c>
      <c r="M934" s="116">
        <v>288.89999999999998</v>
      </c>
      <c r="N934" s="116">
        <v>296.5</v>
      </c>
      <c r="O934" s="116">
        <v>285.45</v>
      </c>
      <c r="P934" s="116">
        <v>291.8</v>
      </c>
      <c r="Q934" s="116">
        <v>288.89999999999998</v>
      </c>
      <c r="R934">
        <v>1194793</v>
      </c>
    </row>
    <row r="935" spans="1:18" x14ac:dyDescent="0.25">
      <c r="A935" s="170">
        <v>43378</v>
      </c>
      <c r="B935" s="116">
        <v>299</v>
      </c>
      <c r="C935" s="116">
        <v>281.39999999999998</v>
      </c>
      <c r="D935" s="116">
        <v>279.89999999999998</v>
      </c>
      <c r="E935" s="116">
        <v>299</v>
      </c>
      <c r="F935" s="116">
        <v>281.39999999999998</v>
      </c>
      <c r="G935">
        <v>66957</v>
      </c>
      <c r="H935" s="116"/>
      <c r="I935" s="116"/>
      <c r="L935" s="170">
        <v>43378</v>
      </c>
      <c r="M935" s="116">
        <v>280.89999999999998</v>
      </c>
      <c r="N935" s="116">
        <v>290.7</v>
      </c>
      <c r="O935" s="116">
        <v>279</v>
      </c>
      <c r="P935" s="116">
        <v>288.85000000000002</v>
      </c>
      <c r="Q935" s="116">
        <v>280.89999999999998</v>
      </c>
      <c r="R935">
        <v>810505</v>
      </c>
    </row>
    <row r="936" spans="1:18" x14ac:dyDescent="0.25">
      <c r="A936" s="170">
        <v>43381</v>
      </c>
      <c r="B936" s="116">
        <v>279.89999999999998</v>
      </c>
      <c r="C936" s="116">
        <v>271.3</v>
      </c>
      <c r="D936" s="116">
        <v>264.95</v>
      </c>
      <c r="E936" s="116">
        <v>279.89999999999998</v>
      </c>
      <c r="F936" s="116">
        <v>271.3</v>
      </c>
      <c r="G936">
        <v>196640</v>
      </c>
      <c r="H936" s="116"/>
      <c r="I936" s="116"/>
      <c r="L936" s="170">
        <v>43381</v>
      </c>
      <c r="M936" s="116">
        <v>270.64999999999998</v>
      </c>
      <c r="N936" s="116">
        <v>279.95</v>
      </c>
      <c r="O936" s="116">
        <v>264</v>
      </c>
      <c r="P936" s="116">
        <v>278.7</v>
      </c>
      <c r="Q936" s="116">
        <v>270.64999999999998</v>
      </c>
      <c r="R936">
        <v>2484110</v>
      </c>
    </row>
    <row r="937" spans="1:18" x14ac:dyDescent="0.25">
      <c r="A937" s="170">
        <v>43382</v>
      </c>
      <c r="B937" s="116">
        <v>274.60000000000002</v>
      </c>
      <c r="C937" s="116">
        <v>273</v>
      </c>
      <c r="D937" s="116">
        <v>268.2</v>
      </c>
      <c r="E937" s="116">
        <v>270</v>
      </c>
      <c r="F937" s="116">
        <v>273</v>
      </c>
      <c r="G937">
        <v>30327</v>
      </c>
      <c r="H937" s="116"/>
      <c r="I937" s="116"/>
      <c r="L937" s="170">
        <v>43382</v>
      </c>
      <c r="M937" s="116">
        <v>273.45</v>
      </c>
      <c r="N937" s="116">
        <v>275</v>
      </c>
      <c r="O937" s="116">
        <v>268.3</v>
      </c>
      <c r="P937" s="116">
        <v>269</v>
      </c>
      <c r="Q937" s="116">
        <v>273.45</v>
      </c>
      <c r="R937">
        <v>688591</v>
      </c>
    </row>
    <row r="938" spans="1:18" x14ac:dyDescent="0.25">
      <c r="A938" s="170">
        <v>43383</v>
      </c>
      <c r="B938" s="116">
        <v>280</v>
      </c>
      <c r="C938" s="116">
        <v>277.39999999999998</v>
      </c>
      <c r="D938" s="116">
        <v>271.8</v>
      </c>
      <c r="E938" s="116">
        <v>280</v>
      </c>
      <c r="F938" s="116">
        <v>277.39999999999998</v>
      </c>
      <c r="G938">
        <v>63118</v>
      </c>
      <c r="H938" s="116"/>
      <c r="I938" s="116"/>
      <c r="L938" s="170">
        <v>43383</v>
      </c>
      <c r="M938" s="116">
        <v>277.75</v>
      </c>
      <c r="N938" s="116">
        <v>279.64999999999998</v>
      </c>
      <c r="O938" s="116">
        <v>271.55</v>
      </c>
      <c r="P938" s="116">
        <v>274</v>
      </c>
      <c r="Q938" s="116">
        <v>277.75</v>
      </c>
      <c r="R938">
        <v>1344538</v>
      </c>
    </row>
    <row r="939" spans="1:18" x14ac:dyDescent="0.25">
      <c r="A939" s="170">
        <v>43384</v>
      </c>
      <c r="B939" s="116">
        <v>275.89999999999998</v>
      </c>
      <c r="C939" s="116">
        <v>270.55</v>
      </c>
      <c r="D939" s="116">
        <v>269</v>
      </c>
      <c r="E939" s="116">
        <v>274.89999999999998</v>
      </c>
      <c r="F939" s="116">
        <v>270.55</v>
      </c>
      <c r="G939">
        <v>49786</v>
      </c>
      <c r="H939" s="116"/>
      <c r="I939" s="116"/>
      <c r="L939" s="170">
        <v>43384</v>
      </c>
      <c r="M939" s="116">
        <v>270.3</v>
      </c>
      <c r="N939" s="116">
        <v>275.95</v>
      </c>
      <c r="O939" s="116">
        <v>267.2</v>
      </c>
      <c r="P939" s="116">
        <v>272.89999999999998</v>
      </c>
      <c r="Q939" s="116">
        <v>270.3</v>
      </c>
      <c r="R939">
        <v>875691</v>
      </c>
    </row>
    <row r="940" spans="1:18" x14ac:dyDescent="0.25">
      <c r="A940" s="170">
        <v>43385</v>
      </c>
      <c r="B940" s="116">
        <v>278.95</v>
      </c>
      <c r="C940" s="116">
        <v>277.75</v>
      </c>
      <c r="D940" s="116">
        <v>270</v>
      </c>
      <c r="E940" s="116">
        <v>273.5</v>
      </c>
      <c r="F940" s="116">
        <v>277.75</v>
      </c>
      <c r="G940">
        <v>25137</v>
      </c>
      <c r="H940" s="116"/>
      <c r="I940" s="116"/>
      <c r="L940" s="170">
        <v>43385</v>
      </c>
      <c r="M940" s="116">
        <v>277.55</v>
      </c>
      <c r="N940" s="116">
        <v>278.60000000000002</v>
      </c>
      <c r="O940" s="116">
        <v>270.60000000000002</v>
      </c>
      <c r="P940" s="116">
        <v>273.8</v>
      </c>
      <c r="Q940" s="116">
        <v>277.55</v>
      </c>
      <c r="R940">
        <v>1100768</v>
      </c>
    </row>
    <row r="941" spans="1:18" x14ac:dyDescent="0.25">
      <c r="A941" s="170">
        <v>43388</v>
      </c>
      <c r="B941" s="116">
        <v>278.10000000000002</v>
      </c>
      <c r="C941" s="116">
        <v>273.5</v>
      </c>
      <c r="D941" s="116">
        <v>266.95</v>
      </c>
      <c r="E941" s="116">
        <v>278.10000000000002</v>
      </c>
      <c r="F941" s="116">
        <v>273.5</v>
      </c>
      <c r="G941">
        <v>55240</v>
      </c>
      <c r="H941" s="116"/>
      <c r="I941" s="116"/>
      <c r="L941" s="170">
        <v>43388</v>
      </c>
      <c r="M941" s="116">
        <v>273.10000000000002</v>
      </c>
      <c r="N941" s="116">
        <v>280.25</v>
      </c>
      <c r="O941" s="116">
        <v>266.39999999999998</v>
      </c>
      <c r="P941" s="116">
        <v>280.25</v>
      </c>
      <c r="Q941" s="116">
        <v>273.10000000000002</v>
      </c>
      <c r="R941">
        <v>1349827</v>
      </c>
    </row>
    <row r="942" spans="1:18" x14ac:dyDescent="0.25">
      <c r="A942" s="170">
        <v>43389</v>
      </c>
      <c r="B942" s="116">
        <v>278.8</v>
      </c>
      <c r="C942" s="116">
        <v>276.55</v>
      </c>
      <c r="D942" s="116">
        <v>272.5</v>
      </c>
      <c r="E942" s="116">
        <v>273</v>
      </c>
      <c r="F942" s="116">
        <v>276.55</v>
      </c>
      <c r="G942">
        <v>44663</v>
      </c>
      <c r="H942" s="116"/>
      <c r="I942" s="116"/>
      <c r="L942" s="170">
        <v>43389</v>
      </c>
      <c r="M942" s="116">
        <v>276.60000000000002</v>
      </c>
      <c r="N942" s="116">
        <v>279</v>
      </c>
      <c r="O942" s="116">
        <v>272.5</v>
      </c>
      <c r="P942" s="116">
        <v>274.85000000000002</v>
      </c>
      <c r="Q942" s="116">
        <v>276.60000000000002</v>
      </c>
      <c r="R942">
        <v>782707</v>
      </c>
    </row>
    <row r="943" spans="1:18" x14ac:dyDescent="0.25">
      <c r="A943" s="170">
        <v>43390</v>
      </c>
      <c r="B943" s="116">
        <v>279.7</v>
      </c>
      <c r="C943" s="116">
        <v>270.5</v>
      </c>
      <c r="D943" s="116">
        <v>269.45</v>
      </c>
      <c r="E943" s="116">
        <v>278</v>
      </c>
      <c r="F943" s="116">
        <v>270.5</v>
      </c>
      <c r="G943">
        <v>46632</v>
      </c>
      <c r="H943" s="116"/>
      <c r="I943" s="116"/>
      <c r="L943" s="170">
        <v>43390</v>
      </c>
      <c r="M943" s="116">
        <v>270</v>
      </c>
      <c r="N943" s="116">
        <v>280.10000000000002</v>
      </c>
      <c r="O943" s="116">
        <v>269.05</v>
      </c>
      <c r="P943" s="116">
        <v>278</v>
      </c>
      <c r="Q943" s="116">
        <v>270</v>
      </c>
      <c r="R943">
        <v>894914</v>
      </c>
    </row>
    <row r="944" spans="1:18" x14ac:dyDescent="0.25">
      <c r="A944" s="170">
        <v>43392</v>
      </c>
      <c r="B944" s="116">
        <v>291</v>
      </c>
      <c r="C944" s="116">
        <v>285.85000000000002</v>
      </c>
      <c r="D944" s="116">
        <v>270</v>
      </c>
      <c r="E944" s="116">
        <v>274</v>
      </c>
      <c r="F944" s="116">
        <v>285.85000000000002</v>
      </c>
      <c r="G944">
        <v>163954</v>
      </c>
      <c r="H944" s="116"/>
      <c r="I944" s="116"/>
      <c r="L944" s="170">
        <v>43392</v>
      </c>
      <c r="M944" s="116">
        <v>286.45</v>
      </c>
      <c r="N944" s="116">
        <v>292</v>
      </c>
      <c r="O944" s="116">
        <v>270</v>
      </c>
      <c r="P944" s="116">
        <v>272.89999999999998</v>
      </c>
      <c r="Q944" s="116">
        <v>286.45</v>
      </c>
      <c r="R944">
        <v>3230111</v>
      </c>
    </row>
    <row r="945" spans="1:18" x14ac:dyDescent="0.25">
      <c r="A945" s="170">
        <v>43395</v>
      </c>
      <c r="B945" s="116">
        <v>293</v>
      </c>
      <c r="C945" s="116">
        <v>282.60000000000002</v>
      </c>
      <c r="D945" s="116">
        <v>279.60000000000002</v>
      </c>
      <c r="E945" s="116">
        <v>287</v>
      </c>
      <c r="F945" s="116">
        <v>282.60000000000002</v>
      </c>
      <c r="G945">
        <v>330036</v>
      </c>
      <c r="H945" s="116"/>
      <c r="I945" s="116"/>
      <c r="L945" s="170">
        <v>43395</v>
      </c>
      <c r="M945" s="116">
        <v>282.14999999999998</v>
      </c>
      <c r="N945" s="116">
        <v>294.89999999999998</v>
      </c>
      <c r="O945" s="116">
        <v>279.25</v>
      </c>
      <c r="P945" s="116">
        <v>286.3</v>
      </c>
      <c r="Q945" s="116">
        <v>282.14999999999998</v>
      </c>
      <c r="R945">
        <v>5655194</v>
      </c>
    </row>
    <row r="946" spans="1:18" x14ac:dyDescent="0.25">
      <c r="A946" s="170">
        <v>43396</v>
      </c>
      <c r="B946" s="116">
        <v>283.8</v>
      </c>
      <c r="C946" s="116">
        <v>280</v>
      </c>
      <c r="D946" s="116">
        <v>272.45</v>
      </c>
      <c r="E946" s="116">
        <v>282.64999999999998</v>
      </c>
      <c r="F946" s="116">
        <v>280</v>
      </c>
      <c r="G946">
        <v>175238</v>
      </c>
      <c r="H946" s="116"/>
      <c r="I946" s="116"/>
      <c r="L946" s="170">
        <v>43396</v>
      </c>
      <c r="M946" s="116">
        <v>278.85000000000002</v>
      </c>
      <c r="N946" s="116">
        <v>283.45</v>
      </c>
      <c r="O946" s="116">
        <v>272.60000000000002</v>
      </c>
      <c r="P946" s="116">
        <v>282</v>
      </c>
      <c r="Q946" s="116">
        <v>278.85000000000002</v>
      </c>
      <c r="R946">
        <v>2618281</v>
      </c>
    </row>
    <row r="947" spans="1:18" x14ac:dyDescent="0.25">
      <c r="A947" s="170">
        <v>43397</v>
      </c>
      <c r="B947" s="116">
        <v>283.5</v>
      </c>
      <c r="C947" s="116">
        <v>282.05</v>
      </c>
      <c r="D947" s="116">
        <v>277.5</v>
      </c>
      <c r="E947" s="116">
        <v>283.5</v>
      </c>
      <c r="F947" s="116">
        <v>282.05</v>
      </c>
      <c r="G947">
        <v>116822</v>
      </c>
      <c r="H947" s="116"/>
      <c r="I947" s="116"/>
      <c r="L947" s="170">
        <v>43397</v>
      </c>
      <c r="M947" s="116">
        <v>281.5</v>
      </c>
      <c r="N947" s="116">
        <v>282.89999999999998</v>
      </c>
      <c r="O947" s="116">
        <v>277</v>
      </c>
      <c r="P947" s="116">
        <v>280.2</v>
      </c>
      <c r="Q947" s="116">
        <v>281.5</v>
      </c>
      <c r="R947">
        <v>1738324</v>
      </c>
    </row>
    <row r="948" spans="1:18" x14ac:dyDescent="0.25">
      <c r="A948" s="170">
        <v>43398</v>
      </c>
      <c r="B948" s="116">
        <v>283</v>
      </c>
      <c r="C948" s="116">
        <v>279.75</v>
      </c>
      <c r="D948" s="116">
        <v>276</v>
      </c>
      <c r="E948" s="116">
        <v>279</v>
      </c>
      <c r="F948" s="116">
        <v>279.75</v>
      </c>
      <c r="G948">
        <v>100204</v>
      </c>
      <c r="H948" s="116"/>
      <c r="I948" s="116"/>
      <c r="L948" s="170">
        <v>43398</v>
      </c>
      <c r="M948" s="116">
        <v>278.55</v>
      </c>
      <c r="N948" s="116">
        <v>282.60000000000002</v>
      </c>
      <c r="O948" s="116">
        <v>275.10000000000002</v>
      </c>
      <c r="P948" s="116">
        <v>281</v>
      </c>
      <c r="Q948" s="116">
        <v>278.55</v>
      </c>
      <c r="R948">
        <v>2509513</v>
      </c>
    </row>
    <row r="949" spans="1:18" x14ac:dyDescent="0.25">
      <c r="A949" s="170">
        <v>43399</v>
      </c>
      <c r="B949" s="116">
        <v>281.8</v>
      </c>
      <c r="C949" s="116">
        <v>278.05</v>
      </c>
      <c r="D949" s="116">
        <v>276.10000000000002</v>
      </c>
      <c r="E949" s="116">
        <v>280</v>
      </c>
      <c r="F949" s="116">
        <v>278.05</v>
      </c>
      <c r="G949">
        <v>97730</v>
      </c>
      <c r="H949" s="116"/>
      <c r="I949" s="116"/>
      <c r="L949" s="170">
        <v>43399</v>
      </c>
      <c r="M949" s="116">
        <v>277.60000000000002</v>
      </c>
      <c r="N949" s="116">
        <v>281.7</v>
      </c>
      <c r="O949" s="116">
        <v>275.5</v>
      </c>
      <c r="P949" s="116">
        <v>280</v>
      </c>
      <c r="Q949" s="116">
        <v>277.60000000000002</v>
      </c>
      <c r="R949">
        <v>1290347</v>
      </c>
    </row>
    <row r="950" spans="1:18" x14ac:dyDescent="0.25">
      <c r="A950" s="170">
        <v>43402</v>
      </c>
      <c r="B950" s="116">
        <v>287.5</v>
      </c>
      <c r="C950" s="116">
        <v>286.2</v>
      </c>
      <c r="D950" s="116">
        <v>278.60000000000002</v>
      </c>
      <c r="E950" s="116">
        <v>281</v>
      </c>
      <c r="F950" s="116">
        <v>286.2</v>
      </c>
      <c r="G950">
        <v>118972</v>
      </c>
      <c r="H950" s="116"/>
      <c r="I950" s="116"/>
      <c r="L950" s="170">
        <v>43402</v>
      </c>
      <c r="M950" s="116">
        <v>284.64999999999998</v>
      </c>
      <c r="N950" s="116">
        <v>285.55</v>
      </c>
      <c r="O950" s="116">
        <v>278.14999999999998</v>
      </c>
      <c r="P950" s="116">
        <v>281</v>
      </c>
      <c r="Q950" s="116">
        <v>284.64999999999998</v>
      </c>
      <c r="R950">
        <v>1363900</v>
      </c>
    </row>
    <row r="951" spans="1:18" x14ac:dyDescent="0.25">
      <c r="A951" s="170">
        <v>43403</v>
      </c>
      <c r="B951" s="116">
        <v>288.5</v>
      </c>
      <c r="C951" s="116">
        <v>287.05</v>
      </c>
      <c r="D951" s="116">
        <v>283.7</v>
      </c>
      <c r="E951" s="116">
        <v>288</v>
      </c>
      <c r="F951" s="116">
        <v>287.05</v>
      </c>
      <c r="G951">
        <v>117191</v>
      </c>
      <c r="H951" s="116"/>
      <c r="I951" s="116"/>
      <c r="L951" s="170">
        <v>43403</v>
      </c>
      <c r="M951" s="116">
        <v>287.14999999999998</v>
      </c>
      <c r="N951" s="116">
        <v>292</v>
      </c>
      <c r="O951" s="116">
        <v>283.5</v>
      </c>
      <c r="P951" s="116">
        <v>285</v>
      </c>
      <c r="Q951" s="116">
        <v>287.14999999999998</v>
      </c>
      <c r="R951">
        <v>1886558</v>
      </c>
    </row>
    <row r="952" spans="1:18" x14ac:dyDescent="0.25">
      <c r="A952" s="170">
        <v>43404</v>
      </c>
      <c r="B952" s="116">
        <v>270.3</v>
      </c>
      <c r="C952" s="116">
        <v>264.2</v>
      </c>
      <c r="D952" s="116">
        <v>262.39999999999998</v>
      </c>
      <c r="E952" s="116">
        <v>268</v>
      </c>
      <c r="F952" s="116">
        <v>264.2</v>
      </c>
      <c r="G952">
        <v>146965</v>
      </c>
      <c r="H952" s="116"/>
      <c r="I952" s="116"/>
      <c r="L952" s="170">
        <v>43404</v>
      </c>
      <c r="M952" s="116">
        <v>262.39999999999998</v>
      </c>
      <c r="N952" s="116">
        <v>270.45</v>
      </c>
      <c r="O952" s="116">
        <v>261.2</v>
      </c>
      <c r="P952" s="116">
        <v>268</v>
      </c>
      <c r="Q952" s="116">
        <v>262.39999999999998</v>
      </c>
      <c r="R952">
        <v>3184973</v>
      </c>
    </row>
    <row r="953" spans="1:18" x14ac:dyDescent="0.25">
      <c r="A953" s="170">
        <v>43405</v>
      </c>
      <c r="B953" s="116">
        <v>266.45</v>
      </c>
      <c r="C953" s="116">
        <v>263.95</v>
      </c>
      <c r="D953" s="116">
        <v>261.64999999999998</v>
      </c>
      <c r="E953" s="116">
        <v>264.95</v>
      </c>
      <c r="F953" s="116">
        <v>263.95</v>
      </c>
      <c r="G953">
        <v>68841</v>
      </c>
      <c r="H953" s="116"/>
      <c r="I953" s="116"/>
      <c r="L953" s="170">
        <v>43405</v>
      </c>
      <c r="M953" s="116">
        <v>263.60000000000002</v>
      </c>
      <c r="N953" s="116">
        <v>266.5</v>
      </c>
      <c r="O953" s="116">
        <v>261</v>
      </c>
      <c r="P953" s="116">
        <v>263.05</v>
      </c>
      <c r="Q953" s="116">
        <v>263.60000000000002</v>
      </c>
      <c r="R953">
        <v>1959731</v>
      </c>
    </row>
    <row r="954" spans="1:18" x14ac:dyDescent="0.25">
      <c r="A954" s="170">
        <v>43406</v>
      </c>
      <c r="B954" s="116">
        <v>268.5</v>
      </c>
      <c r="C954" s="116">
        <v>264</v>
      </c>
      <c r="D954" s="116">
        <v>262.8</v>
      </c>
      <c r="E954" s="116">
        <v>266.5</v>
      </c>
      <c r="F954" s="116">
        <v>264</v>
      </c>
      <c r="G954">
        <v>75132</v>
      </c>
      <c r="H954" s="116"/>
      <c r="I954" s="116"/>
      <c r="L954" s="170">
        <v>43406</v>
      </c>
      <c r="M954" s="116">
        <v>264.05</v>
      </c>
      <c r="N954" s="116">
        <v>268.7</v>
      </c>
      <c r="O954" s="116">
        <v>262.3</v>
      </c>
      <c r="P954" s="116">
        <v>265.75</v>
      </c>
      <c r="Q954" s="116">
        <v>264.05</v>
      </c>
      <c r="R954">
        <v>1817519</v>
      </c>
    </row>
    <row r="955" spans="1:18" x14ac:dyDescent="0.25">
      <c r="A955" s="170">
        <v>43409</v>
      </c>
      <c r="B955" s="116">
        <v>266.5</v>
      </c>
      <c r="C955" s="116">
        <v>263.3</v>
      </c>
      <c r="D955" s="116">
        <v>262.14999999999998</v>
      </c>
      <c r="E955" s="116">
        <v>266.5</v>
      </c>
      <c r="F955" s="116">
        <v>263.3</v>
      </c>
      <c r="G955">
        <v>31107</v>
      </c>
      <c r="H955" s="116"/>
      <c r="I955" s="116"/>
      <c r="L955" s="170">
        <v>43409</v>
      </c>
      <c r="M955" s="116">
        <v>262.89999999999998</v>
      </c>
      <c r="N955" s="116">
        <v>266</v>
      </c>
      <c r="O955" s="116">
        <v>261.7</v>
      </c>
      <c r="P955" s="116">
        <v>264.95</v>
      </c>
      <c r="Q955" s="116">
        <v>262.89999999999998</v>
      </c>
      <c r="R955">
        <v>892697</v>
      </c>
    </row>
    <row r="956" spans="1:18" x14ac:dyDescent="0.25">
      <c r="A956" s="170">
        <v>43410</v>
      </c>
      <c r="B956" s="116">
        <v>265.5</v>
      </c>
      <c r="C956" s="116">
        <v>264.55</v>
      </c>
      <c r="D956" s="116">
        <v>260</v>
      </c>
      <c r="E956" s="116">
        <v>263</v>
      </c>
      <c r="F956" s="116">
        <v>264.55</v>
      </c>
      <c r="G956">
        <v>80143</v>
      </c>
      <c r="H956" s="116"/>
      <c r="I956" s="116"/>
      <c r="L956" s="170">
        <v>43410</v>
      </c>
      <c r="M956" s="116">
        <v>264.7</v>
      </c>
      <c r="N956" s="116">
        <v>265.39999999999998</v>
      </c>
      <c r="O956" s="116">
        <v>259.75</v>
      </c>
      <c r="P956" s="116">
        <v>262.3</v>
      </c>
      <c r="Q956" s="116">
        <v>264.7</v>
      </c>
      <c r="R956">
        <v>1388900</v>
      </c>
    </row>
    <row r="957" spans="1:18" x14ac:dyDescent="0.25">
      <c r="A957" s="170">
        <v>43411</v>
      </c>
      <c r="B957" s="116">
        <v>268</v>
      </c>
      <c r="C957" s="116">
        <v>263.64999999999998</v>
      </c>
      <c r="D957" s="116">
        <v>261.25</v>
      </c>
      <c r="E957" s="116">
        <v>268</v>
      </c>
      <c r="F957" s="116">
        <v>263.64999999999998</v>
      </c>
      <c r="G957">
        <v>11511</v>
      </c>
      <c r="H957" s="116"/>
      <c r="I957" s="116"/>
      <c r="L957" s="170">
        <v>43411</v>
      </c>
      <c r="M957" s="116">
        <v>262.95</v>
      </c>
      <c r="N957" s="116">
        <v>265.89999999999998</v>
      </c>
      <c r="O957" s="116">
        <v>261</v>
      </c>
      <c r="P957" s="116">
        <v>265.5</v>
      </c>
      <c r="Q957" s="116">
        <v>262.95</v>
      </c>
      <c r="R957">
        <v>147844</v>
      </c>
    </row>
    <row r="958" spans="1:18" x14ac:dyDescent="0.25">
      <c r="A958" s="170">
        <v>43413</v>
      </c>
      <c r="B958" s="116">
        <v>265.3</v>
      </c>
      <c r="C958" s="116">
        <v>264.05</v>
      </c>
      <c r="D958" s="116">
        <v>260.55</v>
      </c>
      <c r="E958" s="116">
        <v>264</v>
      </c>
      <c r="F958" s="116">
        <v>264.05</v>
      </c>
      <c r="G958">
        <v>38939</v>
      </c>
      <c r="H958" s="116"/>
      <c r="I958" s="116"/>
      <c r="L958" s="170">
        <v>43413</v>
      </c>
      <c r="M958" s="116">
        <v>264.25</v>
      </c>
      <c r="N958" s="116">
        <v>265.5</v>
      </c>
      <c r="O958" s="116">
        <v>259.95</v>
      </c>
      <c r="P958" s="116">
        <v>263</v>
      </c>
      <c r="Q958" s="116">
        <v>264.25</v>
      </c>
      <c r="R958">
        <v>792950</v>
      </c>
    </row>
    <row r="959" spans="1:18" x14ac:dyDescent="0.25">
      <c r="A959" s="170">
        <v>43416</v>
      </c>
      <c r="B959" s="116">
        <v>266.60000000000002</v>
      </c>
      <c r="C959" s="116">
        <v>263.55</v>
      </c>
      <c r="D959" s="116">
        <v>262.89999999999998</v>
      </c>
      <c r="E959" s="116">
        <v>266</v>
      </c>
      <c r="F959" s="116">
        <v>263.55</v>
      </c>
      <c r="G959">
        <v>74845</v>
      </c>
      <c r="H959" s="116"/>
      <c r="I959" s="116"/>
      <c r="L959" s="170">
        <v>43416</v>
      </c>
      <c r="M959" s="116">
        <v>263.3</v>
      </c>
      <c r="N959" s="116">
        <v>266.7</v>
      </c>
      <c r="O959" s="116">
        <v>262.85000000000002</v>
      </c>
      <c r="P959" s="116">
        <v>264.8</v>
      </c>
      <c r="Q959" s="116">
        <v>263.3</v>
      </c>
      <c r="R959">
        <v>889701</v>
      </c>
    </row>
    <row r="960" spans="1:18" x14ac:dyDescent="0.25">
      <c r="A960" s="170">
        <v>43417</v>
      </c>
      <c r="B960" s="116">
        <v>266</v>
      </c>
      <c r="C960" s="116">
        <v>264.89999999999998</v>
      </c>
      <c r="D960" s="116">
        <v>261.89999999999998</v>
      </c>
      <c r="E960" s="116">
        <v>261.95</v>
      </c>
      <c r="F960" s="116">
        <v>264.89999999999998</v>
      </c>
      <c r="G960">
        <v>23313</v>
      </c>
      <c r="H960" s="116"/>
      <c r="I960" s="116"/>
      <c r="L960" s="170">
        <v>43417</v>
      </c>
      <c r="M960" s="116">
        <v>265.35000000000002</v>
      </c>
      <c r="N960" s="116">
        <v>266</v>
      </c>
      <c r="O960" s="116">
        <v>261.7</v>
      </c>
      <c r="P960" s="116">
        <v>262</v>
      </c>
      <c r="Q960" s="116">
        <v>265.35000000000002</v>
      </c>
      <c r="R960">
        <v>548990</v>
      </c>
    </row>
    <row r="961" spans="1:18" x14ac:dyDescent="0.25">
      <c r="A961" s="170">
        <v>43418</v>
      </c>
      <c r="B961" s="116">
        <v>266.25</v>
      </c>
      <c r="C961" s="116">
        <v>264.5</v>
      </c>
      <c r="D961" s="116">
        <v>263.45</v>
      </c>
      <c r="E961" s="116">
        <v>266.10000000000002</v>
      </c>
      <c r="F961" s="116">
        <v>264.5</v>
      </c>
      <c r="G961">
        <v>32397</v>
      </c>
      <c r="H961" s="116"/>
      <c r="I961" s="116"/>
      <c r="L961" s="170">
        <v>43418</v>
      </c>
      <c r="M961" s="116">
        <v>264.60000000000002</v>
      </c>
      <c r="N961" s="116">
        <v>266.60000000000002</v>
      </c>
      <c r="O961" s="116">
        <v>262.95</v>
      </c>
      <c r="P961" s="116">
        <v>265.35000000000002</v>
      </c>
      <c r="Q961" s="116">
        <v>264.60000000000002</v>
      </c>
      <c r="R961">
        <v>415526</v>
      </c>
    </row>
    <row r="962" spans="1:18" x14ac:dyDescent="0.25">
      <c r="A962" s="170">
        <v>43419</v>
      </c>
      <c r="B962" s="116">
        <v>267.60000000000002</v>
      </c>
      <c r="C962" s="116">
        <v>266.35000000000002</v>
      </c>
      <c r="D962" s="116">
        <v>263.7</v>
      </c>
      <c r="E962" s="116">
        <v>263.7</v>
      </c>
      <c r="F962" s="116">
        <v>266.35000000000002</v>
      </c>
      <c r="G962">
        <v>37240</v>
      </c>
      <c r="H962" s="116"/>
      <c r="I962" s="116"/>
      <c r="L962" s="170">
        <v>43419</v>
      </c>
      <c r="M962" s="116">
        <v>266.7</v>
      </c>
      <c r="N962" s="116">
        <v>267.7</v>
      </c>
      <c r="O962" s="116">
        <v>262.3</v>
      </c>
      <c r="P962" s="116">
        <v>262.3</v>
      </c>
      <c r="Q962" s="116">
        <v>266.7</v>
      </c>
      <c r="R962">
        <v>506557</v>
      </c>
    </row>
    <row r="963" spans="1:18" x14ac:dyDescent="0.25">
      <c r="A963" s="170">
        <v>43420</v>
      </c>
      <c r="B963" s="116">
        <v>273.2</v>
      </c>
      <c r="C963" s="116">
        <v>267.05</v>
      </c>
      <c r="D963" s="116">
        <v>265.5</v>
      </c>
      <c r="E963" s="116">
        <v>268.2</v>
      </c>
      <c r="F963" s="116">
        <v>267.05</v>
      </c>
      <c r="G963">
        <v>127870</v>
      </c>
      <c r="H963" s="116"/>
      <c r="I963" s="116"/>
      <c r="L963" s="170">
        <v>43420</v>
      </c>
      <c r="M963" s="116">
        <v>266.7</v>
      </c>
      <c r="N963" s="116">
        <v>273.3</v>
      </c>
      <c r="O963" s="116">
        <v>265.10000000000002</v>
      </c>
      <c r="P963" s="116">
        <v>268.45</v>
      </c>
      <c r="Q963" s="116">
        <v>266.7</v>
      </c>
      <c r="R963">
        <v>1594649</v>
      </c>
    </row>
    <row r="964" spans="1:18" x14ac:dyDescent="0.25">
      <c r="A964" s="170">
        <v>43423</v>
      </c>
      <c r="B964" s="116">
        <v>269.89999999999998</v>
      </c>
      <c r="C964" s="116">
        <v>266.7</v>
      </c>
      <c r="D964" s="116">
        <v>264.89999999999998</v>
      </c>
      <c r="E964" s="116">
        <v>269.89999999999998</v>
      </c>
      <c r="F964" s="116">
        <v>266.7</v>
      </c>
      <c r="G964">
        <v>50565</v>
      </c>
      <c r="H964" s="116"/>
      <c r="I964" s="116"/>
      <c r="L964" s="170">
        <v>43423</v>
      </c>
      <c r="M964" s="116">
        <v>266.25</v>
      </c>
      <c r="N964" s="116">
        <v>270.3</v>
      </c>
      <c r="O964" s="116">
        <v>264.55</v>
      </c>
      <c r="P964" s="116">
        <v>269</v>
      </c>
      <c r="Q964" s="116">
        <v>266.25</v>
      </c>
      <c r="R964">
        <v>956590</v>
      </c>
    </row>
    <row r="965" spans="1:18" x14ac:dyDescent="0.25">
      <c r="A965" s="170">
        <v>43424</v>
      </c>
      <c r="B965" s="116">
        <v>268.25</v>
      </c>
      <c r="C965" s="116">
        <v>263.7</v>
      </c>
      <c r="D965" s="116">
        <v>263</v>
      </c>
      <c r="E965" s="116">
        <v>266.7</v>
      </c>
      <c r="F965" s="116">
        <v>263.7</v>
      </c>
      <c r="G965">
        <v>37659</v>
      </c>
      <c r="H965" s="116"/>
      <c r="I965" s="116"/>
      <c r="L965" s="170">
        <v>43424</v>
      </c>
      <c r="M965" s="116">
        <v>263.55</v>
      </c>
      <c r="N965" s="116">
        <v>268.5</v>
      </c>
      <c r="O965" s="116">
        <v>262.89999999999998</v>
      </c>
      <c r="P965" s="116">
        <v>266</v>
      </c>
      <c r="Q965" s="116">
        <v>263.55</v>
      </c>
      <c r="R965">
        <v>465585</v>
      </c>
    </row>
    <row r="966" spans="1:18" x14ac:dyDescent="0.25">
      <c r="A966" s="170">
        <v>43425</v>
      </c>
      <c r="B966" s="116">
        <v>267.10000000000002</v>
      </c>
      <c r="C966" s="116">
        <v>265.45</v>
      </c>
      <c r="D966" s="116">
        <v>263.35000000000002</v>
      </c>
      <c r="E966" s="116">
        <v>264</v>
      </c>
      <c r="F966" s="116">
        <v>265.45</v>
      </c>
      <c r="G966">
        <v>10142</v>
      </c>
      <c r="H966" s="116"/>
      <c r="I966" s="116"/>
      <c r="L966" s="170">
        <v>43425</v>
      </c>
      <c r="M966" s="116">
        <v>265.89999999999998</v>
      </c>
      <c r="N966" s="116">
        <v>267.35000000000002</v>
      </c>
      <c r="O966" s="116">
        <v>263.10000000000002</v>
      </c>
      <c r="P966" s="116">
        <v>264.95</v>
      </c>
      <c r="Q966" s="116">
        <v>265.89999999999998</v>
      </c>
      <c r="R966">
        <v>515979</v>
      </c>
    </row>
    <row r="967" spans="1:18" x14ac:dyDescent="0.25">
      <c r="A967" s="170">
        <v>43426</v>
      </c>
      <c r="B967" s="116">
        <v>268.64999999999998</v>
      </c>
      <c r="C967" s="116">
        <v>262.60000000000002</v>
      </c>
      <c r="D967" s="116">
        <v>262</v>
      </c>
      <c r="E967" s="116">
        <v>266.8</v>
      </c>
      <c r="F967" s="116">
        <v>262.60000000000002</v>
      </c>
      <c r="G967">
        <v>55690</v>
      </c>
      <c r="H967" s="116"/>
      <c r="I967" s="116"/>
      <c r="L967" s="170">
        <v>43426</v>
      </c>
      <c r="M967" s="116">
        <v>263.10000000000002</v>
      </c>
      <c r="N967" s="116">
        <v>269</v>
      </c>
      <c r="O967" s="116">
        <v>262.10000000000002</v>
      </c>
      <c r="P967" s="116">
        <v>266.95</v>
      </c>
      <c r="Q967" s="116">
        <v>263.10000000000002</v>
      </c>
      <c r="R967">
        <v>1074645</v>
      </c>
    </row>
    <row r="968" spans="1:18" x14ac:dyDescent="0.25">
      <c r="A968" s="170">
        <v>43430</v>
      </c>
      <c r="B968" s="116">
        <v>264.25</v>
      </c>
      <c r="C968" s="116">
        <v>262.60000000000002</v>
      </c>
      <c r="D968" s="116">
        <v>260.45</v>
      </c>
      <c r="E968" s="116">
        <v>263</v>
      </c>
      <c r="F968" s="116">
        <v>262.60000000000002</v>
      </c>
      <c r="G968">
        <v>29466</v>
      </c>
      <c r="H968" s="116"/>
      <c r="I968" s="116"/>
      <c r="L968" s="170">
        <v>43430</v>
      </c>
      <c r="M968" s="116">
        <v>262.64999999999998</v>
      </c>
      <c r="N968" s="116">
        <v>264.5</v>
      </c>
      <c r="O968" s="116">
        <v>260.25</v>
      </c>
      <c r="P968" s="116">
        <v>263</v>
      </c>
      <c r="Q968" s="116">
        <v>262.64999999999998</v>
      </c>
      <c r="R968">
        <v>593658</v>
      </c>
    </row>
    <row r="969" spans="1:18" x14ac:dyDescent="0.25">
      <c r="A969" s="170">
        <v>43431</v>
      </c>
      <c r="B969" s="116">
        <v>265.55</v>
      </c>
      <c r="C969" s="116">
        <v>264.85000000000002</v>
      </c>
      <c r="D969" s="116">
        <v>259.8</v>
      </c>
      <c r="E969" s="116">
        <v>261.89999999999998</v>
      </c>
      <c r="F969" s="116">
        <v>264.85000000000002</v>
      </c>
      <c r="G969">
        <v>35801</v>
      </c>
      <c r="H969" s="116"/>
      <c r="I969" s="116"/>
      <c r="L969" s="170">
        <v>43431</v>
      </c>
      <c r="M969" s="116">
        <v>264.35000000000002</v>
      </c>
      <c r="N969" s="116">
        <v>265.5</v>
      </c>
      <c r="O969" s="116">
        <v>259.39999999999998</v>
      </c>
      <c r="P969" s="116">
        <v>263.3</v>
      </c>
      <c r="Q969" s="116">
        <v>264.35000000000002</v>
      </c>
      <c r="R969">
        <v>1027017</v>
      </c>
    </row>
    <row r="970" spans="1:18" x14ac:dyDescent="0.25">
      <c r="A970" s="170">
        <v>43432</v>
      </c>
      <c r="B970" s="116">
        <v>264.39999999999998</v>
      </c>
      <c r="C970" s="116">
        <v>261.14999999999998</v>
      </c>
      <c r="D970" s="116">
        <v>259.5</v>
      </c>
      <c r="E970" s="116">
        <v>264.3</v>
      </c>
      <c r="F970" s="116">
        <v>261.14999999999998</v>
      </c>
      <c r="G970">
        <v>33275</v>
      </c>
      <c r="H970" s="116"/>
      <c r="I970" s="116"/>
      <c r="L970" s="170">
        <v>43432</v>
      </c>
      <c r="M970" s="116">
        <v>261.05</v>
      </c>
      <c r="N970" s="116">
        <v>264.5</v>
      </c>
      <c r="O970" s="116">
        <v>260.05</v>
      </c>
      <c r="P970" s="116">
        <v>263</v>
      </c>
      <c r="Q970" s="116">
        <v>261.05</v>
      </c>
      <c r="R970">
        <v>434661</v>
      </c>
    </row>
    <row r="971" spans="1:18" x14ac:dyDescent="0.25">
      <c r="A971" s="170">
        <v>43433</v>
      </c>
      <c r="B971" s="116">
        <v>265.2</v>
      </c>
      <c r="C971" s="116">
        <v>262.75</v>
      </c>
      <c r="D971" s="116">
        <v>261.75</v>
      </c>
      <c r="E971" s="116">
        <v>263</v>
      </c>
      <c r="F971" s="116">
        <v>262.75</v>
      </c>
      <c r="G971">
        <v>4178482</v>
      </c>
      <c r="H971" s="116"/>
      <c r="I971" s="116"/>
      <c r="L971" s="170">
        <v>43433</v>
      </c>
      <c r="M971" s="116">
        <v>262.5</v>
      </c>
      <c r="N971" s="116">
        <v>265</v>
      </c>
      <c r="O971" s="116">
        <v>261.14999999999998</v>
      </c>
      <c r="P971" s="116">
        <v>262</v>
      </c>
      <c r="Q971" s="116">
        <v>262.5</v>
      </c>
      <c r="R971">
        <v>1235480</v>
      </c>
    </row>
    <row r="972" spans="1:18" x14ac:dyDescent="0.25">
      <c r="A972" s="170">
        <v>43434</v>
      </c>
      <c r="B972" s="116">
        <v>268.45</v>
      </c>
      <c r="C972" s="116">
        <v>266.3</v>
      </c>
      <c r="D972" s="116">
        <v>263.39999999999998</v>
      </c>
      <c r="E972" s="116">
        <v>263.89999999999998</v>
      </c>
      <c r="F972" s="116">
        <v>266.3</v>
      </c>
      <c r="G972">
        <v>4112074</v>
      </c>
      <c r="H972" s="116"/>
      <c r="I972" s="116"/>
      <c r="L972" s="170">
        <v>43434</v>
      </c>
      <c r="M972" s="116">
        <v>266.7</v>
      </c>
      <c r="N972" s="116">
        <v>268.8</v>
      </c>
      <c r="O972" s="116">
        <v>263</v>
      </c>
      <c r="P972" s="116">
        <v>263</v>
      </c>
      <c r="Q972" s="116">
        <v>266.7</v>
      </c>
      <c r="R972">
        <v>614826</v>
      </c>
    </row>
    <row r="973" spans="1:18" x14ac:dyDescent="0.25">
      <c r="A973" s="170">
        <v>43437</v>
      </c>
      <c r="B973" s="116">
        <v>272.7</v>
      </c>
      <c r="C973" s="116">
        <v>272.05</v>
      </c>
      <c r="D973" s="116">
        <v>268.2</v>
      </c>
      <c r="E973" s="116">
        <v>268.8</v>
      </c>
      <c r="F973" s="116">
        <v>272.05</v>
      </c>
      <c r="G973">
        <v>62100</v>
      </c>
      <c r="H973" s="116"/>
      <c r="I973" s="116"/>
      <c r="L973" s="170">
        <v>43437</v>
      </c>
      <c r="M973" s="116">
        <v>272.7</v>
      </c>
      <c r="N973" s="116">
        <v>273.5</v>
      </c>
      <c r="O973" s="116">
        <v>268.25</v>
      </c>
      <c r="P973" s="116">
        <v>270.60000000000002</v>
      </c>
      <c r="Q973" s="116">
        <v>272.7</v>
      </c>
      <c r="R973">
        <v>696075</v>
      </c>
    </row>
    <row r="974" spans="1:18" x14ac:dyDescent="0.25">
      <c r="A974" s="170">
        <v>43438</v>
      </c>
      <c r="B974" s="116">
        <v>274.10000000000002</v>
      </c>
      <c r="C974" s="116">
        <v>273.25</v>
      </c>
      <c r="D974" s="116">
        <v>270</v>
      </c>
      <c r="E974" s="116">
        <v>270</v>
      </c>
      <c r="F974" s="116">
        <v>273.25</v>
      </c>
      <c r="G974">
        <v>36208</v>
      </c>
      <c r="H974" s="116"/>
      <c r="I974" s="116"/>
      <c r="L974" s="170">
        <v>43438</v>
      </c>
      <c r="M974" s="116">
        <v>273.14999999999998</v>
      </c>
      <c r="N974" s="116">
        <v>274.5</v>
      </c>
      <c r="O974" s="116">
        <v>270.55</v>
      </c>
      <c r="P974" s="116">
        <v>274.5</v>
      </c>
      <c r="Q974" s="116">
        <v>273.14999999999998</v>
      </c>
      <c r="R974">
        <v>457683</v>
      </c>
    </row>
    <row r="975" spans="1:18" x14ac:dyDescent="0.25">
      <c r="A975" s="170">
        <v>43439</v>
      </c>
      <c r="B975" s="116">
        <v>273.25</v>
      </c>
      <c r="C975" s="116">
        <v>269.85000000000002</v>
      </c>
      <c r="D975" s="116">
        <v>267.5</v>
      </c>
      <c r="E975" s="116">
        <v>272.2</v>
      </c>
      <c r="F975" s="116">
        <v>269.85000000000002</v>
      </c>
      <c r="G975">
        <v>31124</v>
      </c>
      <c r="H975" s="116"/>
      <c r="I975" s="116"/>
      <c r="L975" s="170">
        <v>43439</v>
      </c>
      <c r="M975" s="116">
        <v>271.05</v>
      </c>
      <c r="N975" s="116">
        <v>273.5</v>
      </c>
      <c r="O975" s="116">
        <v>267.35000000000002</v>
      </c>
      <c r="P975" s="116">
        <v>271.5</v>
      </c>
      <c r="Q975" s="116">
        <v>271.05</v>
      </c>
      <c r="R975">
        <v>497901</v>
      </c>
    </row>
    <row r="976" spans="1:18" x14ac:dyDescent="0.25">
      <c r="A976" s="170">
        <v>43440</v>
      </c>
      <c r="B976" s="116">
        <v>271</v>
      </c>
      <c r="C976" s="116">
        <v>268.60000000000002</v>
      </c>
      <c r="D976" s="116">
        <v>264.8</v>
      </c>
      <c r="E976" s="116">
        <v>269</v>
      </c>
      <c r="F976" s="116">
        <v>268.60000000000002</v>
      </c>
      <c r="G976">
        <v>60134</v>
      </c>
      <c r="H976" s="116"/>
      <c r="I976" s="116"/>
      <c r="L976" s="170">
        <v>43440</v>
      </c>
      <c r="M976" s="116">
        <v>269</v>
      </c>
      <c r="N976" s="116">
        <v>271.89999999999998</v>
      </c>
      <c r="O976" s="116">
        <v>264.2</v>
      </c>
      <c r="P976" s="116">
        <v>269.8</v>
      </c>
      <c r="Q976" s="116">
        <v>269</v>
      </c>
      <c r="R976">
        <v>663836</v>
      </c>
    </row>
    <row r="977" spans="1:18" x14ac:dyDescent="0.25">
      <c r="A977" s="170">
        <v>43441</v>
      </c>
      <c r="B977" s="116">
        <v>273.10000000000002</v>
      </c>
      <c r="C977" s="116">
        <v>272.05</v>
      </c>
      <c r="D977" s="116">
        <v>267.5</v>
      </c>
      <c r="E977" s="116">
        <v>268.8</v>
      </c>
      <c r="F977" s="116">
        <v>272.05</v>
      </c>
      <c r="G977">
        <v>35749</v>
      </c>
      <c r="H977" s="116"/>
      <c r="I977" s="116"/>
      <c r="L977" s="170">
        <v>43441</v>
      </c>
      <c r="M977" s="116">
        <v>272.8</v>
      </c>
      <c r="N977" s="116">
        <v>273.89999999999998</v>
      </c>
      <c r="O977" s="116">
        <v>267.14999999999998</v>
      </c>
      <c r="P977" s="116">
        <v>267.14999999999998</v>
      </c>
      <c r="Q977" s="116">
        <v>272.8</v>
      </c>
      <c r="R977">
        <v>370594</v>
      </c>
    </row>
    <row r="978" spans="1:18" x14ac:dyDescent="0.25">
      <c r="A978" s="170">
        <v>43444</v>
      </c>
      <c r="B978" s="116">
        <v>271</v>
      </c>
      <c r="C978" s="116">
        <v>269.7</v>
      </c>
      <c r="D978" s="116">
        <v>267.05</v>
      </c>
      <c r="E978" s="116">
        <v>271</v>
      </c>
      <c r="F978" s="116">
        <v>269.7</v>
      </c>
      <c r="G978">
        <v>20770</v>
      </c>
      <c r="H978" s="116"/>
      <c r="I978" s="116"/>
      <c r="L978" s="170">
        <v>43444</v>
      </c>
      <c r="M978" s="116">
        <v>270</v>
      </c>
      <c r="N978" s="116">
        <v>271.5</v>
      </c>
      <c r="O978" s="116">
        <v>267.10000000000002</v>
      </c>
      <c r="P978" s="116">
        <v>269.7</v>
      </c>
      <c r="Q978" s="116">
        <v>270</v>
      </c>
      <c r="R978">
        <v>3664374</v>
      </c>
    </row>
    <row r="979" spans="1:18" x14ac:dyDescent="0.25">
      <c r="A979" s="170">
        <v>43445</v>
      </c>
      <c r="B979" s="116">
        <v>274.8</v>
      </c>
      <c r="C979" s="116">
        <v>273.60000000000002</v>
      </c>
      <c r="D979" s="116">
        <v>267</v>
      </c>
      <c r="E979" s="116">
        <v>270.5</v>
      </c>
      <c r="F979" s="116">
        <v>273.60000000000002</v>
      </c>
      <c r="G979">
        <v>29244</v>
      </c>
      <c r="H979" s="116"/>
      <c r="I979" s="116"/>
      <c r="L979" s="170">
        <v>43445</v>
      </c>
      <c r="M979" s="116">
        <v>274.35000000000002</v>
      </c>
      <c r="N979" s="116">
        <v>275</v>
      </c>
      <c r="O979" s="116">
        <v>265.60000000000002</v>
      </c>
      <c r="P979" s="116">
        <v>265.60000000000002</v>
      </c>
      <c r="Q979" s="116">
        <v>274.35000000000002</v>
      </c>
      <c r="R979">
        <v>547711</v>
      </c>
    </row>
    <row r="980" spans="1:18" x14ac:dyDescent="0.25">
      <c r="A980" s="170">
        <v>43446</v>
      </c>
      <c r="B980" s="116">
        <v>277.75</v>
      </c>
      <c r="C980" s="116">
        <v>274.7</v>
      </c>
      <c r="D980" s="116">
        <v>273.8</v>
      </c>
      <c r="E980" s="116">
        <v>274.60000000000002</v>
      </c>
      <c r="F980" s="116">
        <v>274.7</v>
      </c>
      <c r="G980">
        <v>44877</v>
      </c>
      <c r="H980" s="116"/>
      <c r="I980" s="116"/>
      <c r="L980" s="170">
        <v>43446</v>
      </c>
      <c r="M980" s="116">
        <v>274.89999999999998</v>
      </c>
      <c r="N980" s="116">
        <v>278.35000000000002</v>
      </c>
      <c r="O980" s="116">
        <v>273.39999999999998</v>
      </c>
      <c r="P980" s="116">
        <v>274</v>
      </c>
      <c r="Q980" s="116">
        <v>274.89999999999998</v>
      </c>
      <c r="R980">
        <v>503238</v>
      </c>
    </row>
    <row r="981" spans="1:18" x14ac:dyDescent="0.25">
      <c r="A981" s="170">
        <v>43447</v>
      </c>
      <c r="B981" s="116">
        <v>277.89999999999998</v>
      </c>
      <c r="C981" s="116">
        <v>275.35000000000002</v>
      </c>
      <c r="D981" s="116">
        <v>274</v>
      </c>
      <c r="E981" s="116">
        <v>274.75</v>
      </c>
      <c r="F981" s="116">
        <v>275.35000000000002</v>
      </c>
      <c r="G981">
        <v>27724</v>
      </c>
      <c r="H981" s="116"/>
      <c r="I981" s="116"/>
      <c r="L981" s="170">
        <v>43447</v>
      </c>
      <c r="M981" s="116">
        <v>275.64999999999998</v>
      </c>
      <c r="N981" s="116">
        <v>278</v>
      </c>
      <c r="O981" s="116">
        <v>274.05</v>
      </c>
      <c r="P981" s="116">
        <v>274.05</v>
      </c>
      <c r="Q981" s="116">
        <v>275.64999999999998</v>
      </c>
      <c r="R981">
        <v>341136</v>
      </c>
    </row>
    <row r="982" spans="1:18" x14ac:dyDescent="0.25">
      <c r="A982" s="170">
        <v>43448</v>
      </c>
      <c r="B982" s="116">
        <v>277.8</v>
      </c>
      <c r="C982" s="116">
        <v>270.10000000000002</v>
      </c>
      <c r="D982" s="116">
        <v>268.5</v>
      </c>
      <c r="E982" s="116">
        <v>274.89999999999998</v>
      </c>
      <c r="F982" s="116">
        <v>270.10000000000002</v>
      </c>
      <c r="G982">
        <v>52632</v>
      </c>
      <c r="H982" s="116"/>
      <c r="I982" s="116"/>
      <c r="L982" s="170">
        <v>43448</v>
      </c>
      <c r="M982" s="116">
        <v>269.25</v>
      </c>
      <c r="N982" s="116">
        <v>277.8</v>
      </c>
      <c r="O982" s="116">
        <v>267.2</v>
      </c>
      <c r="P982" s="116">
        <v>273.5</v>
      </c>
      <c r="Q982" s="116">
        <v>269.25</v>
      </c>
      <c r="R982">
        <v>1134835</v>
      </c>
    </row>
    <row r="983" spans="1:18" x14ac:dyDescent="0.25">
      <c r="A983" s="170">
        <v>43451</v>
      </c>
      <c r="B983" s="116">
        <v>275.10000000000002</v>
      </c>
      <c r="C983" s="116">
        <v>273.55</v>
      </c>
      <c r="D983" s="116">
        <v>268</v>
      </c>
      <c r="E983" s="116">
        <v>270</v>
      </c>
      <c r="F983" s="116">
        <v>273.55</v>
      </c>
      <c r="G983">
        <v>78908</v>
      </c>
      <c r="H983" s="116"/>
      <c r="I983" s="116"/>
      <c r="L983" s="170">
        <v>43451</v>
      </c>
      <c r="M983" s="116">
        <v>273.35000000000002</v>
      </c>
      <c r="N983" s="116">
        <v>274.8</v>
      </c>
      <c r="O983" s="116">
        <v>268.14999999999998</v>
      </c>
      <c r="P983" s="116">
        <v>270.5</v>
      </c>
      <c r="Q983" s="116">
        <v>273.35000000000002</v>
      </c>
      <c r="R983">
        <v>1251917</v>
      </c>
    </row>
    <row r="984" spans="1:18" x14ac:dyDescent="0.25">
      <c r="A984" s="170">
        <v>43452</v>
      </c>
      <c r="B984" s="116">
        <v>279.7</v>
      </c>
      <c r="C984" s="116">
        <v>277.55</v>
      </c>
      <c r="D984" s="116">
        <v>271</v>
      </c>
      <c r="E984" s="116">
        <v>272.2</v>
      </c>
      <c r="F984" s="116">
        <v>277.55</v>
      </c>
      <c r="G984">
        <v>57067</v>
      </c>
      <c r="H984" s="116"/>
      <c r="I984" s="116"/>
      <c r="L984" s="170">
        <v>43452</v>
      </c>
      <c r="M984" s="116">
        <v>277.8</v>
      </c>
      <c r="N984" s="116">
        <v>279</v>
      </c>
      <c r="O984" s="116">
        <v>271</v>
      </c>
      <c r="P984" s="116">
        <v>273.39999999999998</v>
      </c>
      <c r="Q984" s="116">
        <v>277.8</v>
      </c>
      <c r="R984">
        <v>1108324</v>
      </c>
    </row>
    <row r="985" spans="1:18" x14ac:dyDescent="0.25">
      <c r="A985" s="170">
        <v>43453</v>
      </c>
      <c r="B985" s="116">
        <v>282.60000000000002</v>
      </c>
      <c r="C985" s="116">
        <v>281.60000000000002</v>
      </c>
      <c r="D985" s="116">
        <v>276</v>
      </c>
      <c r="E985" s="116">
        <v>279.60000000000002</v>
      </c>
      <c r="F985" s="116">
        <v>281.60000000000002</v>
      </c>
      <c r="G985">
        <v>58921</v>
      </c>
      <c r="H985" s="116"/>
      <c r="I985" s="116"/>
      <c r="L985" s="170">
        <v>43453</v>
      </c>
      <c r="M985" s="116">
        <v>282.3</v>
      </c>
      <c r="N985" s="116">
        <v>283.5</v>
      </c>
      <c r="O985" s="116">
        <v>276</v>
      </c>
      <c r="P985" s="116">
        <v>279</v>
      </c>
      <c r="Q985" s="116">
        <v>282.3</v>
      </c>
      <c r="R985">
        <v>874546</v>
      </c>
    </row>
    <row r="986" spans="1:18" x14ac:dyDescent="0.25">
      <c r="A986" s="170">
        <v>43454</v>
      </c>
      <c r="B986" s="116">
        <v>283</v>
      </c>
      <c r="C986" s="116">
        <v>278.3</v>
      </c>
      <c r="D986" s="116">
        <v>275.60000000000002</v>
      </c>
      <c r="E986" s="116">
        <v>283</v>
      </c>
      <c r="F986" s="116">
        <v>278.3</v>
      </c>
      <c r="G986">
        <v>57764</v>
      </c>
      <c r="H986" s="116"/>
      <c r="I986" s="116"/>
      <c r="L986" s="170">
        <v>43454</v>
      </c>
      <c r="M986" s="116">
        <v>277.89999999999998</v>
      </c>
      <c r="N986" s="116">
        <v>282.5</v>
      </c>
      <c r="O986" s="116">
        <v>275.10000000000002</v>
      </c>
      <c r="P986" s="116">
        <v>282.5</v>
      </c>
      <c r="Q986" s="116">
        <v>277.89999999999998</v>
      </c>
      <c r="R986">
        <v>1089648</v>
      </c>
    </row>
    <row r="987" spans="1:18" x14ac:dyDescent="0.25">
      <c r="A987" s="170">
        <v>43455</v>
      </c>
      <c r="B987" s="116">
        <v>280.35000000000002</v>
      </c>
      <c r="C987" s="116">
        <v>274.25</v>
      </c>
      <c r="D987" s="116">
        <v>273.14999999999998</v>
      </c>
      <c r="E987" s="116">
        <v>277.95</v>
      </c>
      <c r="F987" s="116">
        <v>274.25</v>
      </c>
      <c r="G987">
        <v>29329</v>
      </c>
      <c r="H987" s="116"/>
      <c r="I987" s="116"/>
      <c r="L987" s="170">
        <v>43455</v>
      </c>
      <c r="M987" s="116">
        <v>274.3</v>
      </c>
      <c r="N987" s="116">
        <v>280.5</v>
      </c>
      <c r="O987" s="116">
        <v>273.25</v>
      </c>
      <c r="P987" s="116">
        <v>280</v>
      </c>
      <c r="Q987" s="116">
        <v>274.3</v>
      </c>
      <c r="R987">
        <v>407678</v>
      </c>
    </row>
    <row r="988" spans="1:18" x14ac:dyDescent="0.25">
      <c r="A988" s="170">
        <v>43458</v>
      </c>
      <c r="B988" s="116">
        <v>276.75</v>
      </c>
      <c r="C988" s="116">
        <v>270</v>
      </c>
      <c r="D988" s="116">
        <v>268.55</v>
      </c>
      <c r="E988" s="116">
        <v>275.8</v>
      </c>
      <c r="F988" s="116">
        <v>270</v>
      </c>
      <c r="G988">
        <v>37402</v>
      </c>
      <c r="H988" s="116"/>
      <c r="I988" s="116"/>
      <c r="L988" s="170">
        <v>43458</v>
      </c>
      <c r="M988" s="116">
        <v>270.05</v>
      </c>
      <c r="N988" s="116">
        <v>276.5</v>
      </c>
      <c r="O988" s="116">
        <v>268.10000000000002</v>
      </c>
      <c r="P988" s="116">
        <v>275</v>
      </c>
      <c r="Q988" s="116">
        <v>270.05</v>
      </c>
      <c r="R988">
        <v>534376</v>
      </c>
    </row>
    <row r="989" spans="1:18" x14ac:dyDescent="0.25">
      <c r="A989" s="170">
        <v>43460</v>
      </c>
      <c r="B989" s="116">
        <v>272.25</v>
      </c>
      <c r="C989" s="116">
        <v>270.5</v>
      </c>
      <c r="D989" s="116">
        <v>267.5</v>
      </c>
      <c r="E989" s="116">
        <v>271</v>
      </c>
      <c r="F989" s="116">
        <v>270.5</v>
      </c>
      <c r="G989">
        <v>21590</v>
      </c>
      <c r="H989" s="116"/>
      <c r="I989" s="116"/>
      <c r="L989" s="170">
        <v>43460</v>
      </c>
      <c r="M989" s="116">
        <v>271.45</v>
      </c>
      <c r="N989" s="116">
        <v>272.25</v>
      </c>
      <c r="O989" s="116">
        <v>267.2</v>
      </c>
      <c r="P989" s="116">
        <v>271.5</v>
      </c>
      <c r="Q989" s="116">
        <v>271.45</v>
      </c>
      <c r="R989">
        <v>480264</v>
      </c>
    </row>
    <row r="990" spans="1:18" x14ac:dyDescent="0.25">
      <c r="A990" s="170">
        <v>43461</v>
      </c>
      <c r="B990" s="116">
        <v>276.35000000000002</v>
      </c>
      <c r="C990" s="116">
        <v>274.3</v>
      </c>
      <c r="D990" s="116">
        <v>269.35000000000002</v>
      </c>
      <c r="E990" s="116">
        <v>272.39999999999998</v>
      </c>
      <c r="F990" s="116">
        <v>274.3</v>
      </c>
      <c r="G990">
        <v>32115</v>
      </c>
      <c r="H990" s="116"/>
      <c r="I990" s="116"/>
      <c r="L990" s="170">
        <v>43461</v>
      </c>
      <c r="M990" s="116">
        <v>275.14999999999998</v>
      </c>
      <c r="N990" s="116">
        <v>277.2</v>
      </c>
      <c r="O990" s="116">
        <v>269.60000000000002</v>
      </c>
      <c r="P990" s="116">
        <v>271.95</v>
      </c>
      <c r="Q990" s="116">
        <v>275.14999999999998</v>
      </c>
      <c r="R990">
        <v>2222952</v>
      </c>
    </row>
    <row r="991" spans="1:18" x14ac:dyDescent="0.25">
      <c r="A991" s="170">
        <v>43462</v>
      </c>
      <c r="B991" s="116">
        <v>277.8</v>
      </c>
      <c r="C991" s="116">
        <v>274.95</v>
      </c>
      <c r="D991" s="116">
        <v>272.5</v>
      </c>
      <c r="E991" s="116">
        <v>276</v>
      </c>
      <c r="F991" s="116">
        <v>274.95</v>
      </c>
      <c r="G991">
        <v>23536</v>
      </c>
      <c r="H991" s="116"/>
      <c r="I991" s="116"/>
      <c r="L991" s="170">
        <v>43462</v>
      </c>
      <c r="M991" s="116">
        <v>275.39999999999998</v>
      </c>
      <c r="N991" s="116">
        <v>277.7</v>
      </c>
      <c r="O991" s="116">
        <v>271.5</v>
      </c>
      <c r="P991" s="116">
        <v>276</v>
      </c>
      <c r="Q991" s="116">
        <v>275.39999999999998</v>
      </c>
      <c r="R991">
        <v>355044</v>
      </c>
    </row>
    <row r="992" spans="1:18" x14ac:dyDescent="0.25">
      <c r="A992" s="170">
        <v>43465</v>
      </c>
      <c r="B992" s="116">
        <v>281.05</v>
      </c>
      <c r="C992" s="116">
        <v>277.8</v>
      </c>
      <c r="D992" s="116">
        <v>271.5</v>
      </c>
      <c r="E992" s="116">
        <v>271.5</v>
      </c>
      <c r="F992" s="116">
        <v>277.8</v>
      </c>
      <c r="G992">
        <v>52878</v>
      </c>
      <c r="H992" s="116"/>
      <c r="I992" s="116"/>
      <c r="L992" s="170">
        <v>43465</v>
      </c>
      <c r="M992" s="116">
        <v>278.64999999999998</v>
      </c>
      <c r="N992" s="116">
        <v>281.60000000000002</v>
      </c>
      <c r="O992" s="116">
        <v>273.25</v>
      </c>
      <c r="P992" s="116">
        <v>273.25</v>
      </c>
      <c r="Q992" s="116">
        <v>278.64999999999998</v>
      </c>
      <c r="R992">
        <v>1085705</v>
      </c>
    </row>
    <row r="993" spans="1:18" x14ac:dyDescent="0.25">
      <c r="A993" s="170">
        <v>43466</v>
      </c>
      <c r="B993" s="116">
        <v>281</v>
      </c>
      <c r="C993" s="116">
        <v>277.95</v>
      </c>
      <c r="D993" s="116">
        <v>276.2</v>
      </c>
      <c r="E993" s="116">
        <v>281</v>
      </c>
      <c r="F993" s="116">
        <v>277.95</v>
      </c>
      <c r="G993">
        <v>13916</v>
      </c>
      <c r="H993" s="116"/>
      <c r="I993" s="116"/>
      <c r="L993" s="170">
        <v>43466</v>
      </c>
      <c r="M993" s="116">
        <v>277.85000000000002</v>
      </c>
      <c r="N993" s="116">
        <v>279.45</v>
      </c>
      <c r="O993" s="116">
        <v>276.10000000000002</v>
      </c>
      <c r="P993" s="116">
        <v>278.64999999999998</v>
      </c>
      <c r="Q993" s="116">
        <v>277.85000000000002</v>
      </c>
      <c r="R993">
        <v>151753</v>
      </c>
    </row>
    <row r="994" spans="1:18" x14ac:dyDescent="0.25">
      <c r="A994" s="170">
        <v>43467</v>
      </c>
      <c r="B994" s="116">
        <v>277.95</v>
      </c>
      <c r="C994" s="116">
        <v>273.5</v>
      </c>
      <c r="D994" s="116">
        <v>272.05</v>
      </c>
      <c r="E994" s="116">
        <v>277.95</v>
      </c>
      <c r="F994" s="116">
        <v>273.5</v>
      </c>
      <c r="G994">
        <v>25843</v>
      </c>
      <c r="H994" s="116"/>
      <c r="I994" s="116"/>
      <c r="L994" s="170">
        <v>43467</v>
      </c>
      <c r="M994" s="116">
        <v>272.75</v>
      </c>
      <c r="N994" s="116">
        <v>277.75</v>
      </c>
      <c r="O994" s="116">
        <v>271.7</v>
      </c>
      <c r="P994" s="116">
        <v>275</v>
      </c>
      <c r="Q994" s="116">
        <v>272.75</v>
      </c>
      <c r="R994">
        <v>336931</v>
      </c>
    </row>
    <row r="995" spans="1:18" x14ac:dyDescent="0.25">
      <c r="A995" s="170">
        <v>43468</v>
      </c>
      <c r="B995" s="116">
        <v>275</v>
      </c>
      <c r="C995" s="116">
        <v>269.10000000000002</v>
      </c>
      <c r="D995" s="116">
        <v>268.05</v>
      </c>
      <c r="E995" s="116">
        <v>275</v>
      </c>
      <c r="F995" s="116">
        <v>269.10000000000002</v>
      </c>
      <c r="G995">
        <v>35821</v>
      </c>
      <c r="H995" s="116"/>
      <c r="I995" s="116"/>
      <c r="L995" s="170">
        <v>43468</v>
      </c>
      <c r="M995" s="116">
        <v>269.5</v>
      </c>
      <c r="N995" s="116">
        <v>274.7</v>
      </c>
      <c r="O995" s="116">
        <v>269</v>
      </c>
      <c r="P995" s="116">
        <v>271.25</v>
      </c>
      <c r="Q995" s="116">
        <v>269.5</v>
      </c>
      <c r="R995">
        <v>338177</v>
      </c>
    </row>
    <row r="996" spans="1:18" x14ac:dyDescent="0.25">
      <c r="A996" s="170">
        <v>43469</v>
      </c>
      <c r="B996" s="116">
        <v>272.14999999999998</v>
      </c>
      <c r="C996" s="116">
        <v>271.45</v>
      </c>
      <c r="D996" s="116">
        <v>268</v>
      </c>
      <c r="E996" s="116">
        <v>270.39999999999998</v>
      </c>
      <c r="F996" s="116">
        <v>271.45</v>
      </c>
      <c r="G996">
        <v>21929</v>
      </c>
      <c r="H996" s="116"/>
      <c r="I996" s="116"/>
      <c r="L996" s="170">
        <v>43469</v>
      </c>
      <c r="M996" s="116">
        <v>271.7</v>
      </c>
      <c r="N996" s="116">
        <v>272.45</v>
      </c>
      <c r="O996" s="116">
        <v>268</v>
      </c>
      <c r="P996" s="116">
        <v>269.3</v>
      </c>
      <c r="Q996" s="116">
        <v>271.7</v>
      </c>
      <c r="R996">
        <v>426003</v>
      </c>
    </row>
    <row r="997" spans="1:18" x14ac:dyDescent="0.25">
      <c r="A997" s="170">
        <v>43472</v>
      </c>
      <c r="B997" s="116">
        <v>275.64999999999998</v>
      </c>
      <c r="C997" s="116">
        <v>274.3</v>
      </c>
      <c r="D997" s="116">
        <v>272.10000000000002</v>
      </c>
      <c r="E997" s="116">
        <v>272.5</v>
      </c>
      <c r="F997" s="116">
        <v>274.3</v>
      </c>
      <c r="G997">
        <v>64117</v>
      </c>
      <c r="H997" s="116"/>
      <c r="I997" s="116"/>
      <c r="L997" s="170">
        <v>43472</v>
      </c>
      <c r="M997" s="116">
        <v>274.55</v>
      </c>
      <c r="N997" s="116">
        <v>276</v>
      </c>
      <c r="O997" s="116">
        <v>272.05</v>
      </c>
      <c r="P997" s="116">
        <v>273.89999999999998</v>
      </c>
      <c r="Q997" s="116">
        <v>274.55</v>
      </c>
      <c r="R997">
        <v>472131</v>
      </c>
    </row>
    <row r="998" spans="1:18" x14ac:dyDescent="0.25">
      <c r="A998" s="170">
        <v>43473</v>
      </c>
      <c r="B998" s="116">
        <v>275.85000000000002</v>
      </c>
      <c r="C998" s="116">
        <v>273.85000000000002</v>
      </c>
      <c r="D998" s="116">
        <v>272.3</v>
      </c>
      <c r="E998" s="116">
        <v>273.89999999999998</v>
      </c>
      <c r="F998" s="116">
        <v>273.85000000000002</v>
      </c>
      <c r="G998">
        <v>14009</v>
      </c>
      <c r="H998" s="116"/>
      <c r="I998" s="116"/>
      <c r="L998" s="170">
        <v>43473</v>
      </c>
      <c r="M998" s="116">
        <v>274.3</v>
      </c>
      <c r="N998" s="116">
        <v>275.85000000000002</v>
      </c>
      <c r="O998" s="116">
        <v>272.10000000000002</v>
      </c>
      <c r="P998" s="116">
        <v>273.05</v>
      </c>
      <c r="Q998" s="116">
        <v>274.3</v>
      </c>
      <c r="R998">
        <v>227088</v>
      </c>
    </row>
    <row r="999" spans="1:18" x14ac:dyDescent="0.25">
      <c r="A999" s="170">
        <v>43474</v>
      </c>
      <c r="B999" s="116">
        <v>276.2</v>
      </c>
      <c r="C999" s="116">
        <v>274.85000000000002</v>
      </c>
      <c r="D999" s="116">
        <v>273.14999999999998</v>
      </c>
      <c r="E999" s="116">
        <v>275</v>
      </c>
      <c r="F999" s="116">
        <v>274.85000000000002</v>
      </c>
      <c r="G999">
        <v>16289</v>
      </c>
      <c r="H999" s="116"/>
      <c r="I999" s="116"/>
      <c r="L999" s="170">
        <v>43474</v>
      </c>
      <c r="M999" s="116">
        <v>275.45</v>
      </c>
      <c r="N999" s="116">
        <v>276.60000000000002</v>
      </c>
      <c r="O999" s="116">
        <v>273.55</v>
      </c>
      <c r="P999" s="116">
        <v>275.89999999999998</v>
      </c>
      <c r="Q999" s="116">
        <v>275.45</v>
      </c>
      <c r="R999">
        <v>251548</v>
      </c>
    </row>
    <row r="1000" spans="1:18" x14ac:dyDescent="0.25">
      <c r="A1000" s="170">
        <v>43475</v>
      </c>
      <c r="B1000" s="116">
        <v>277.14999999999998</v>
      </c>
      <c r="C1000" s="116">
        <v>275.10000000000002</v>
      </c>
      <c r="D1000" s="116">
        <v>270.14999999999998</v>
      </c>
      <c r="E1000" s="116">
        <v>270.14999999999998</v>
      </c>
      <c r="F1000" s="116">
        <v>275.10000000000002</v>
      </c>
      <c r="G1000">
        <v>17334</v>
      </c>
      <c r="H1000" s="116"/>
      <c r="I1000" s="116"/>
      <c r="L1000" s="170">
        <v>43475</v>
      </c>
      <c r="M1000" s="116">
        <v>275.95</v>
      </c>
      <c r="N1000" s="116">
        <v>277.60000000000002</v>
      </c>
      <c r="O1000" s="116">
        <v>272.85000000000002</v>
      </c>
      <c r="P1000" s="116">
        <v>274.95</v>
      </c>
      <c r="Q1000" s="116">
        <v>275.95</v>
      </c>
      <c r="R1000">
        <v>449963</v>
      </c>
    </row>
    <row r="1001" spans="1:18" x14ac:dyDescent="0.25">
      <c r="A1001" s="170">
        <v>43476</v>
      </c>
      <c r="B1001" s="116">
        <v>276.05</v>
      </c>
      <c r="C1001" s="116">
        <v>273.85000000000002</v>
      </c>
      <c r="D1001" s="116">
        <v>272.05</v>
      </c>
      <c r="E1001" s="116">
        <v>276.05</v>
      </c>
      <c r="F1001" s="116">
        <v>273.85000000000002</v>
      </c>
      <c r="G1001">
        <v>10249</v>
      </c>
      <c r="H1001" s="116"/>
      <c r="I1001" s="116"/>
      <c r="L1001" s="170">
        <v>43476</v>
      </c>
      <c r="M1001" s="116">
        <v>273.5</v>
      </c>
      <c r="N1001" s="116">
        <v>275.95</v>
      </c>
      <c r="O1001" s="116">
        <v>272.39999999999998</v>
      </c>
      <c r="P1001" s="116">
        <v>275.89999999999998</v>
      </c>
      <c r="Q1001" s="116">
        <v>273.5</v>
      </c>
      <c r="R1001">
        <v>131281</v>
      </c>
    </row>
    <row r="1002" spans="1:18" x14ac:dyDescent="0.25">
      <c r="A1002" s="170">
        <v>43479</v>
      </c>
      <c r="B1002" s="116">
        <v>274.05</v>
      </c>
      <c r="C1002" s="116">
        <v>272</v>
      </c>
      <c r="D1002" s="116">
        <v>271</v>
      </c>
      <c r="E1002" s="116">
        <v>272.7</v>
      </c>
      <c r="F1002" s="116">
        <v>272</v>
      </c>
      <c r="G1002">
        <v>9500</v>
      </c>
      <c r="H1002" s="116"/>
      <c r="I1002" s="116"/>
      <c r="L1002" s="170">
        <v>43479</v>
      </c>
      <c r="M1002" s="116">
        <v>271.39999999999998</v>
      </c>
      <c r="N1002" s="116">
        <v>274.3</v>
      </c>
      <c r="O1002" s="116">
        <v>270.39999999999998</v>
      </c>
      <c r="P1002" s="116">
        <v>273</v>
      </c>
      <c r="Q1002" s="116">
        <v>271.39999999999998</v>
      </c>
      <c r="R1002">
        <v>141400</v>
      </c>
    </row>
    <row r="1003" spans="1:18" x14ac:dyDescent="0.25">
      <c r="A1003" s="170">
        <v>43480</v>
      </c>
      <c r="B1003" s="116">
        <v>274</v>
      </c>
      <c r="C1003" s="116">
        <v>273.14999999999998</v>
      </c>
      <c r="D1003" s="116">
        <v>270.55</v>
      </c>
      <c r="E1003" s="116">
        <v>272.25</v>
      </c>
      <c r="F1003" s="116">
        <v>273.14999999999998</v>
      </c>
      <c r="G1003">
        <v>21918</v>
      </c>
      <c r="H1003" s="116"/>
      <c r="I1003" s="116"/>
      <c r="L1003" s="170">
        <v>43480</v>
      </c>
      <c r="M1003" s="116">
        <v>273</v>
      </c>
      <c r="N1003" s="116">
        <v>273.95</v>
      </c>
      <c r="O1003" s="116">
        <v>270.2</v>
      </c>
      <c r="P1003" s="116">
        <v>272.55</v>
      </c>
      <c r="Q1003" s="116">
        <v>273</v>
      </c>
      <c r="R1003">
        <v>414885</v>
      </c>
    </row>
    <row r="1004" spans="1:18" x14ac:dyDescent="0.25">
      <c r="A1004" s="170">
        <v>43481</v>
      </c>
      <c r="B1004" s="116">
        <v>274.8</v>
      </c>
      <c r="C1004" s="116">
        <v>273.2</v>
      </c>
      <c r="D1004" s="116">
        <v>272.39999999999998</v>
      </c>
      <c r="E1004" s="116">
        <v>274.8</v>
      </c>
      <c r="F1004" s="116">
        <v>273.2</v>
      </c>
      <c r="G1004">
        <v>8129</v>
      </c>
      <c r="H1004" s="116"/>
      <c r="I1004" s="116"/>
      <c r="L1004" s="170">
        <v>43481</v>
      </c>
      <c r="M1004" s="116">
        <v>272.60000000000002</v>
      </c>
      <c r="N1004" s="116">
        <v>274.2</v>
      </c>
      <c r="O1004" s="116">
        <v>272.10000000000002</v>
      </c>
      <c r="P1004" s="116">
        <v>273.5</v>
      </c>
      <c r="Q1004" s="116">
        <v>272.60000000000002</v>
      </c>
      <c r="R1004">
        <v>118186</v>
      </c>
    </row>
    <row r="1005" spans="1:18" x14ac:dyDescent="0.25">
      <c r="A1005" s="170">
        <v>43482</v>
      </c>
      <c r="B1005" s="116">
        <v>275.7</v>
      </c>
      <c r="C1005" s="116">
        <v>272.7</v>
      </c>
      <c r="D1005" s="116">
        <v>271.39999999999998</v>
      </c>
      <c r="E1005" s="116">
        <v>274</v>
      </c>
      <c r="F1005" s="116">
        <v>272.7</v>
      </c>
      <c r="G1005">
        <v>12491</v>
      </c>
      <c r="H1005" s="116"/>
      <c r="I1005" s="116"/>
      <c r="L1005" s="170">
        <v>43482</v>
      </c>
      <c r="M1005" s="116">
        <v>271.75</v>
      </c>
      <c r="N1005" s="116">
        <v>275.8</v>
      </c>
      <c r="O1005" s="116">
        <v>270.5</v>
      </c>
      <c r="P1005" s="116">
        <v>272.60000000000002</v>
      </c>
      <c r="Q1005" s="116">
        <v>271.75</v>
      </c>
      <c r="R1005">
        <v>571873</v>
      </c>
    </row>
    <row r="1006" spans="1:18" x14ac:dyDescent="0.25">
      <c r="A1006" s="170">
        <v>43483</v>
      </c>
      <c r="B1006" s="116">
        <v>274.89999999999998</v>
      </c>
      <c r="C1006" s="116">
        <v>272.39999999999998</v>
      </c>
      <c r="D1006" s="116">
        <v>271.2</v>
      </c>
      <c r="E1006" s="116">
        <v>273.10000000000002</v>
      </c>
      <c r="F1006" s="116">
        <v>272.39999999999998</v>
      </c>
      <c r="G1006">
        <v>10988</v>
      </c>
      <c r="H1006" s="116"/>
      <c r="I1006" s="116"/>
      <c r="L1006" s="170">
        <v>43483</v>
      </c>
      <c r="M1006" s="116">
        <v>272.39999999999998</v>
      </c>
      <c r="N1006" s="116">
        <v>275.10000000000002</v>
      </c>
      <c r="O1006" s="116">
        <v>271.3</v>
      </c>
      <c r="P1006" s="116">
        <v>273.60000000000002</v>
      </c>
      <c r="Q1006" s="116">
        <v>272.39999999999998</v>
      </c>
      <c r="R1006">
        <v>389477</v>
      </c>
    </row>
    <row r="1007" spans="1:18" x14ac:dyDescent="0.25">
      <c r="A1007" s="170">
        <v>43486</v>
      </c>
      <c r="B1007" s="116">
        <v>274.75</v>
      </c>
      <c r="C1007" s="116">
        <v>268.14999999999998</v>
      </c>
      <c r="D1007" s="116">
        <v>265.10000000000002</v>
      </c>
      <c r="E1007" s="116">
        <v>274</v>
      </c>
      <c r="F1007" s="116">
        <v>268.14999999999998</v>
      </c>
      <c r="G1007">
        <v>124062</v>
      </c>
      <c r="H1007" s="116"/>
      <c r="I1007" s="116"/>
      <c r="L1007" s="170">
        <v>43486</v>
      </c>
      <c r="M1007" s="116">
        <v>267.55</v>
      </c>
      <c r="N1007" s="116">
        <v>274.89999999999998</v>
      </c>
      <c r="O1007" s="116">
        <v>264.45</v>
      </c>
      <c r="P1007" s="116">
        <v>273.2</v>
      </c>
      <c r="Q1007" s="116">
        <v>267.55</v>
      </c>
      <c r="R1007">
        <v>2089372</v>
      </c>
    </row>
    <row r="1008" spans="1:18" x14ac:dyDescent="0.25">
      <c r="A1008" s="170">
        <v>43487</v>
      </c>
      <c r="B1008" s="116">
        <v>270.8</v>
      </c>
      <c r="C1008" s="116">
        <v>260.75</v>
      </c>
      <c r="D1008" s="116">
        <v>257</v>
      </c>
      <c r="E1008" s="116">
        <v>270.8</v>
      </c>
      <c r="F1008" s="116">
        <v>260.75</v>
      </c>
      <c r="G1008">
        <v>95169</v>
      </c>
      <c r="H1008" s="116"/>
      <c r="I1008" s="116"/>
      <c r="L1008" s="170">
        <v>43487</v>
      </c>
      <c r="M1008" s="116">
        <v>260.25</v>
      </c>
      <c r="N1008" s="116">
        <v>266.39999999999998</v>
      </c>
      <c r="O1008" s="116">
        <v>256.35000000000002</v>
      </c>
      <c r="P1008" s="116">
        <v>266</v>
      </c>
      <c r="Q1008" s="116">
        <v>260.25</v>
      </c>
      <c r="R1008">
        <v>2009492</v>
      </c>
    </row>
    <row r="1009" spans="1:18" x14ac:dyDescent="0.25">
      <c r="A1009" s="170">
        <v>43488</v>
      </c>
      <c r="B1009" s="116">
        <v>264</v>
      </c>
      <c r="C1009" s="116">
        <v>259.10000000000002</v>
      </c>
      <c r="D1009" s="116">
        <v>258.2</v>
      </c>
      <c r="E1009" s="116">
        <v>264</v>
      </c>
      <c r="F1009" s="116">
        <v>259.10000000000002</v>
      </c>
      <c r="G1009">
        <v>35238</v>
      </c>
      <c r="H1009" s="116"/>
      <c r="I1009" s="116"/>
      <c r="L1009" s="170">
        <v>43488</v>
      </c>
      <c r="M1009" s="116">
        <v>259.39999999999998</v>
      </c>
      <c r="N1009" s="116">
        <v>262</v>
      </c>
      <c r="O1009" s="116">
        <v>258</v>
      </c>
      <c r="P1009" s="116">
        <v>260.7</v>
      </c>
      <c r="Q1009" s="116">
        <v>259.39999999999998</v>
      </c>
      <c r="R1009">
        <v>537622</v>
      </c>
    </row>
    <row r="1010" spans="1:18" x14ac:dyDescent="0.25">
      <c r="A1010" s="170">
        <v>43489</v>
      </c>
      <c r="B1010" s="116">
        <v>260.3</v>
      </c>
      <c r="C1010" s="116">
        <v>258.45</v>
      </c>
      <c r="D1010" s="116">
        <v>257.64999999999998</v>
      </c>
      <c r="E1010" s="116">
        <v>260</v>
      </c>
      <c r="F1010" s="116">
        <v>258.45</v>
      </c>
      <c r="G1010">
        <v>21528</v>
      </c>
      <c r="H1010" s="116"/>
      <c r="I1010" s="116"/>
      <c r="L1010" s="170">
        <v>43489</v>
      </c>
      <c r="M1010" s="116">
        <v>257.95</v>
      </c>
      <c r="N1010" s="116">
        <v>264.60000000000002</v>
      </c>
      <c r="O1010" s="116">
        <v>257.14999999999998</v>
      </c>
      <c r="P1010" s="116">
        <v>259.5</v>
      </c>
      <c r="Q1010" s="116">
        <v>257.95</v>
      </c>
      <c r="R1010">
        <v>359501</v>
      </c>
    </row>
    <row r="1011" spans="1:18" x14ac:dyDescent="0.25">
      <c r="A1011" s="170">
        <v>43490</v>
      </c>
      <c r="B1011" s="116">
        <v>258.55</v>
      </c>
      <c r="C1011" s="116">
        <v>251.15</v>
      </c>
      <c r="D1011" s="116">
        <v>250</v>
      </c>
      <c r="E1011" s="116">
        <v>258.45</v>
      </c>
      <c r="F1011" s="116">
        <v>251.15</v>
      </c>
      <c r="G1011">
        <v>54912</v>
      </c>
      <c r="H1011" s="116"/>
      <c r="I1011" s="116"/>
      <c r="L1011" s="170">
        <v>43490</v>
      </c>
      <c r="M1011" s="116">
        <v>250.4</v>
      </c>
      <c r="N1011" s="116">
        <v>258.95</v>
      </c>
      <c r="O1011" s="116">
        <v>248.1</v>
      </c>
      <c r="P1011" s="116">
        <v>258.95</v>
      </c>
      <c r="Q1011" s="116">
        <v>250.4</v>
      </c>
      <c r="R1011">
        <v>1090204</v>
      </c>
    </row>
    <row r="1012" spans="1:18" x14ac:dyDescent="0.25">
      <c r="A1012" s="170">
        <v>43493</v>
      </c>
      <c r="B1012" s="116">
        <v>252.2</v>
      </c>
      <c r="C1012" s="116">
        <v>251.45</v>
      </c>
      <c r="D1012" s="116">
        <v>244</v>
      </c>
      <c r="E1012" s="116">
        <v>251.8</v>
      </c>
      <c r="F1012" s="116">
        <v>251.45</v>
      </c>
      <c r="G1012">
        <v>33374</v>
      </c>
      <c r="H1012" s="116"/>
      <c r="I1012" s="116"/>
      <c r="L1012" s="170">
        <v>43493</v>
      </c>
      <c r="M1012" s="116">
        <v>251.1</v>
      </c>
      <c r="N1012" s="116">
        <v>252.1</v>
      </c>
      <c r="O1012" s="116">
        <v>244</v>
      </c>
      <c r="P1012" s="116">
        <v>249.9</v>
      </c>
      <c r="Q1012" s="116">
        <v>251.1</v>
      </c>
      <c r="R1012">
        <v>407107</v>
      </c>
    </row>
    <row r="1013" spans="1:18" x14ac:dyDescent="0.25">
      <c r="A1013" s="170">
        <v>43494</v>
      </c>
      <c r="B1013" s="116">
        <v>259.89999999999998</v>
      </c>
      <c r="C1013" s="116">
        <v>259.3</v>
      </c>
      <c r="D1013" s="116">
        <v>249.5</v>
      </c>
      <c r="E1013" s="116">
        <v>251</v>
      </c>
      <c r="F1013" s="116">
        <v>259.3</v>
      </c>
      <c r="G1013">
        <v>53213</v>
      </c>
      <c r="H1013" s="116"/>
      <c r="I1013" s="116"/>
      <c r="L1013" s="170">
        <v>43494</v>
      </c>
      <c r="M1013" s="116">
        <v>259.60000000000002</v>
      </c>
      <c r="N1013" s="116">
        <v>260.39999999999998</v>
      </c>
      <c r="O1013" s="116">
        <v>250.05</v>
      </c>
      <c r="P1013" s="116">
        <v>252</v>
      </c>
      <c r="Q1013" s="116">
        <v>259.60000000000002</v>
      </c>
      <c r="R1013">
        <v>706900</v>
      </c>
    </row>
    <row r="1014" spans="1:18" x14ac:dyDescent="0.25">
      <c r="A1014" s="170">
        <v>43495</v>
      </c>
      <c r="B1014" s="116">
        <v>263.14999999999998</v>
      </c>
      <c r="C1014" s="116">
        <v>261.85000000000002</v>
      </c>
      <c r="D1014" s="116">
        <v>259.95</v>
      </c>
      <c r="E1014" s="116">
        <v>262</v>
      </c>
      <c r="F1014" s="116">
        <v>261.85000000000002</v>
      </c>
      <c r="G1014">
        <v>28667</v>
      </c>
      <c r="H1014" s="116"/>
      <c r="I1014" s="116"/>
      <c r="L1014" s="170">
        <v>43495</v>
      </c>
      <c r="M1014" s="116">
        <v>261.64999999999998</v>
      </c>
      <c r="N1014" s="116">
        <v>263.3</v>
      </c>
      <c r="O1014" s="116">
        <v>259.5</v>
      </c>
      <c r="P1014" s="116">
        <v>260</v>
      </c>
      <c r="Q1014" s="116">
        <v>261.64999999999998</v>
      </c>
      <c r="R1014">
        <v>597557</v>
      </c>
    </row>
    <row r="1015" spans="1:18" x14ac:dyDescent="0.25">
      <c r="A1015" s="170">
        <v>43496</v>
      </c>
      <c r="B1015" s="116">
        <v>263.05</v>
      </c>
      <c r="C1015" s="116">
        <v>260.55</v>
      </c>
      <c r="D1015" s="116">
        <v>258.64999999999998</v>
      </c>
      <c r="E1015" s="116">
        <v>261.10000000000002</v>
      </c>
      <c r="F1015" s="116">
        <v>260.55</v>
      </c>
      <c r="G1015">
        <v>20441</v>
      </c>
      <c r="H1015" s="116"/>
      <c r="I1015" s="116"/>
      <c r="L1015" s="170">
        <v>43496</v>
      </c>
      <c r="M1015" s="116">
        <v>260.2</v>
      </c>
      <c r="N1015" s="116">
        <v>263.64999999999998</v>
      </c>
      <c r="O1015" s="116">
        <v>258.3</v>
      </c>
      <c r="P1015" s="116">
        <v>262.39999999999998</v>
      </c>
      <c r="Q1015" s="116">
        <v>260.2</v>
      </c>
      <c r="R1015">
        <v>1075156</v>
      </c>
    </row>
    <row r="1016" spans="1:18" x14ac:dyDescent="0.25">
      <c r="A1016" s="170">
        <v>43497</v>
      </c>
      <c r="B1016" s="116">
        <v>260</v>
      </c>
      <c r="C1016" s="116">
        <v>255.15</v>
      </c>
      <c r="D1016" s="116">
        <v>243</v>
      </c>
      <c r="E1016" s="116">
        <v>259.5</v>
      </c>
      <c r="F1016" s="116">
        <v>255.15</v>
      </c>
      <c r="G1016">
        <v>321675</v>
      </c>
      <c r="H1016" s="116"/>
      <c r="I1016" s="116"/>
      <c r="L1016" s="170">
        <v>43497</v>
      </c>
      <c r="M1016" s="116">
        <v>254.7</v>
      </c>
      <c r="N1016" s="116">
        <v>260.2</v>
      </c>
      <c r="O1016" s="116">
        <v>242.85</v>
      </c>
      <c r="P1016" s="116">
        <v>257.85000000000002</v>
      </c>
      <c r="Q1016" s="116">
        <v>254.7</v>
      </c>
      <c r="R1016">
        <v>5094566</v>
      </c>
    </row>
    <row r="1017" spans="1:18" x14ac:dyDescent="0.25">
      <c r="A1017" s="170">
        <v>43500</v>
      </c>
      <c r="B1017" s="116">
        <v>258.64999999999998</v>
      </c>
      <c r="C1017" s="116">
        <v>254.6</v>
      </c>
      <c r="D1017" s="116">
        <v>250.7</v>
      </c>
      <c r="E1017" s="116">
        <v>254.95</v>
      </c>
      <c r="F1017" s="116">
        <v>254.6</v>
      </c>
      <c r="G1017">
        <v>57825</v>
      </c>
      <c r="H1017" s="116"/>
      <c r="I1017" s="116"/>
      <c r="L1017" s="170">
        <v>43500</v>
      </c>
      <c r="M1017" s="116">
        <v>254.7</v>
      </c>
      <c r="N1017" s="116">
        <v>258.55</v>
      </c>
      <c r="O1017" s="116">
        <v>250.45</v>
      </c>
      <c r="P1017" s="116">
        <v>253.25</v>
      </c>
      <c r="Q1017" s="116">
        <v>254.7</v>
      </c>
      <c r="R1017">
        <v>906406</v>
      </c>
    </row>
    <row r="1018" spans="1:18" x14ac:dyDescent="0.25">
      <c r="A1018" s="170">
        <v>43501</v>
      </c>
      <c r="B1018" s="116">
        <v>258.60000000000002</v>
      </c>
      <c r="C1018" s="116">
        <v>255.25</v>
      </c>
      <c r="D1018" s="116">
        <v>253</v>
      </c>
      <c r="E1018" s="116">
        <v>255.55</v>
      </c>
      <c r="F1018" s="116">
        <v>255.25</v>
      </c>
      <c r="G1018">
        <v>58332</v>
      </c>
      <c r="H1018" s="116"/>
      <c r="I1018" s="116"/>
      <c r="L1018" s="170">
        <v>43501</v>
      </c>
      <c r="M1018" s="116">
        <v>254.8</v>
      </c>
      <c r="N1018" s="116">
        <v>258.8</v>
      </c>
      <c r="O1018" s="116">
        <v>253.7</v>
      </c>
      <c r="P1018" s="116">
        <v>256.3</v>
      </c>
      <c r="Q1018" s="116">
        <v>254.8</v>
      </c>
      <c r="R1018">
        <v>612984</v>
      </c>
    </row>
    <row r="1019" spans="1:18" x14ac:dyDescent="0.25">
      <c r="A1019" s="170">
        <v>43502</v>
      </c>
      <c r="B1019" s="116">
        <v>258.39999999999998</v>
      </c>
      <c r="C1019" s="116">
        <v>256.3</v>
      </c>
      <c r="D1019" s="116">
        <v>253.5</v>
      </c>
      <c r="E1019" s="116">
        <v>256</v>
      </c>
      <c r="F1019" s="116">
        <v>256.3</v>
      </c>
      <c r="G1019">
        <v>21168</v>
      </c>
      <c r="H1019" s="116"/>
      <c r="I1019" s="116"/>
      <c r="L1019" s="170">
        <v>43502</v>
      </c>
      <c r="M1019" s="116">
        <v>256.89999999999998</v>
      </c>
      <c r="N1019" s="116">
        <v>259</v>
      </c>
      <c r="O1019" s="116">
        <v>253.25</v>
      </c>
      <c r="P1019" s="116">
        <v>254.25</v>
      </c>
      <c r="Q1019" s="116">
        <v>256.89999999999998</v>
      </c>
      <c r="R1019">
        <v>605504</v>
      </c>
    </row>
    <row r="1020" spans="1:18" x14ac:dyDescent="0.25">
      <c r="A1020" s="170">
        <v>43503</v>
      </c>
      <c r="B1020" s="116">
        <v>258</v>
      </c>
      <c r="C1020" s="116">
        <v>255.2</v>
      </c>
      <c r="D1020" s="116">
        <v>254.65</v>
      </c>
      <c r="E1020" s="116">
        <v>254.65</v>
      </c>
      <c r="F1020" s="116">
        <v>255.2</v>
      </c>
      <c r="G1020">
        <v>20204</v>
      </c>
      <c r="H1020" s="116"/>
      <c r="I1020" s="116"/>
      <c r="L1020" s="170">
        <v>43503</v>
      </c>
      <c r="M1020" s="116">
        <v>255.7</v>
      </c>
      <c r="N1020" s="116">
        <v>258.7</v>
      </c>
      <c r="O1020" s="116">
        <v>255</v>
      </c>
      <c r="P1020" s="116">
        <v>255.5</v>
      </c>
      <c r="Q1020" s="116">
        <v>255.7</v>
      </c>
      <c r="R1020">
        <v>598834</v>
      </c>
    </row>
    <row r="1021" spans="1:18" x14ac:dyDescent="0.25">
      <c r="A1021" s="170">
        <v>43504</v>
      </c>
      <c r="B1021" s="116">
        <v>260</v>
      </c>
      <c r="C1021" s="116">
        <v>250</v>
      </c>
      <c r="D1021" s="116">
        <v>248.1</v>
      </c>
      <c r="E1021" s="116">
        <v>256.95</v>
      </c>
      <c r="F1021" s="116">
        <v>250</v>
      </c>
      <c r="G1021">
        <v>57609</v>
      </c>
      <c r="H1021" s="116"/>
      <c r="I1021" s="116"/>
      <c r="L1021" s="170">
        <v>43504</v>
      </c>
      <c r="M1021" s="116">
        <v>249.25</v>
      </c>
      <c r="N1021" s="116">
        <v>256.5</v>
      </c>
      <c r="O1021" s="116">
        <v>248.25</v>
      </c>
      <c r="P1021" s="116">
        <v>254.35</v>
      </c>
      <c r="Q1021" s="116">
        <v>249.25</v>
      </c>
      <c r="R1021">
        <v>480544</v>
      </c>
    </row>
    <row r="1022" spans="1:18" x14ac:dyDescent="0.25">
      <c r="A1022" s="170">
        <v>43507</v>
      </c>
      <c r="B1022" s="116">
        <v>252.15</v>
      </c>
      <c r="C1022" s="116">
        <v>249.15</v>
      </c>
      <c r="D1022" s="116">
        <v>246.25</v>
      </c>
      <c r="E1022" s="116">
        <v>247.05</v>
      </c>
      <c r="F1022" s="116">
        <v>249.15</v>
      </c>
      <c r="G1022">
        <v>24760</v>
      </c>
      <c r="H1022" s="116"/>
      <c r="I1022" s="116"/>
      <c r="L1022" s="170">
        <v>43507</v>
      </c>
      <c r="M1022" s="116">
        <v>249.45</v>
      </c>
      <c r="N1022" s="116">
        <v>252.25</v>
      </c>
      <c r="O1022" s="116">
        <v>245.75</v>
      </c>
      <c r="P1022" s="116">
        <v>249</v>
      </c>
      <c r="Q1022" s="116">
        <v>249.45</v>
      </c>
      <c r="R1022">
        <v>708056</v>
      </c>
    </row>
    <row r="1023" spans="1:18" x14ac:dyDescent="0.25">
      <c r="A1023" s="170">
        <v>43508</v>
      </c>
      <c r="B1023" s="116">
        <v>253.45</v>
      </c>
      <c r="C1023" s="116">
        <v>250.15</v>
      </c>
      <c r="D1023" s="116">
        <v>247</v>
      </c>
      <c r="E1023" s="116">
        <v>248</v>
      </c>
      <c r="F1023" s="116">
        <v>250.15</v>
      </c>
      <c r="G1023">
        <v>27640</v>
      </c>
      <c r="H1023" s="116"/>
      <c r="I1023" s="116"/>
      <c r="L1023" s="170">
        <v>43508</v>
      </c>
      <c r="M1023" s="116">
        <v>250.05</v>
      </c>
      <c r="N1023" s="116">
        <v>253.5</v>
      </c>
      <c r="O1023" s="116">
        <v>246.2</v>
      </c>
      <c r="P1023" s="116">
        <v>249.9</v>
      </c>
      <c r="Q1023" s="116">
        <v>250.05</v>
      </c>
      <c r="R1023">
        <v>721498</v>
      </c>
    </row>
    <row r="1024" spans="1:18" x14ac:dyDescent="0.25">
      <c r="A1024" s="170">
        <v>43509</v>
      </c>
      <c r="B1024" s="116">
        <v>252.7</v>
      </c>
      <c r="C1024" s="116">
        <v>248.3</v>
      </c>
      <c r="D1024" s="116">
        <v>247</v>
      </c>
      <c r="E1024" s="116">
        <v>250</v>
      </c>
      <c r="F1024" s="116">
        <v>248.3</v>
      </c>
      <c r="G1024">
        <v>21713</v>
      </c>
      <c r="H1024" s="116"/>
      <c r="I1024" s="116"/>
      <c r="L1024" s="170">
        <v>43509</v>
      </c>
      <c r="M1024" s="116">
        <v>249.5</v>
      </c>
      <c r="N1024" s="116">
        <v>253</v>
      </c>
      <c r="O1024" s="116">
        <v>248</v>
      </c>
      <c r="P1024" s="116">
        <v>250.5</v>
      </c>
      <c r="Q1024" s="116">
        <v>249.5</v>
      </c>
      <c r="R1024">
        <v>657412</v>
      </c>
    </row>
    <row r="1025" spans="1:18" x14ac:dyDescent="0.25">
      <c r="A1025" s="170">
        <v>43510</v>
      </c>
      <c r="B1025" s="116">
        <v>250.1</v>
      </c>
      <c r="C1025" s="116">
        <v>247.1</v>
      </c>
      <c r="D1025" s="116">
        <v>245.5</v>
      </c>
      <c r="E1025" s="116">
        <v>248</v>
      </c>
      <c r="F1025" s="116">
        <v>247.1</v>
      </c>
      <c r="G1025">
        <v>29060</v>
      </c>
      <c r="H1025" s="116"/>
      <c r="I1025" s="116"/>
      <c r="L1025" s="170">
        <v>43510</v>
      </c>
      <c r="M1025" s="116">
        <v>247.15</v>
      </c>
      <c r="N1025" s="116">
        <v>250.45</v>
      </c>
      <c r="O1025" s="116">
        <v>245.2</v>
      </c>
      <c r="P1025" s="116">
        <v>249</v>
      </c>
      <c r="Q1025" s="116">
        <v>247.15</v>
      </c>
      <c r="R1025">
        <v>475353</v>
      </c>
    </row>
    <row r="1026" spans="1:18" x14ac:dyDescent="0.25">
      <c r="A1026" s="170">
        <v>43511</v>
      </c>
      <c r="B1026" s="116">
        <v>248.95</v>
      </c>
      <c r="C1026" s="116">
        <v>247.85</v>
      </c>
      <c r="D1026" s="116">
        <v>244.75</v>
      </c>
      <c r="E1026" s="116">
        <v>247.5</v>
      </c>
      <c r="F1026" s="116">
        <v>247.85</v>
      </c>
      <c r="G1026">
        <v>30673</v>
      </c>
      <c r="H1026" s="116"/>
      <c r="I1026" s="116"/>
      <c r="L1026" s="170">
        <v>43511</v>
      </c>
      <c r="M1026" s="116">
        <v>247.85</v>
      </c>
      <c r="N1026" s="116">
        <v>249.6</v>
      </c>
      <c r="O1026" s="116">
        <v>244.3</v>
      </c>
      <c r="P1026" s="116">
        <v>248.8</v>
      </c>
      <c r="Q1026" s="116">
        <v>247.85</v>
      </c>
      <c r="R1026">
        <v>515635</v>
      </c>
    </row>
    <row r="1027" spans="1:18" x14ac:dyDescent="0.25">
      <c r="A1027" s="170">
        <v>43514</v>
      </c>
      <c r="B1027" s="116">
        <v>250.7</v>
      </c>
      <c r="C1027" s="116">
        <v>244.7</v>
      </c>
      <c r="D1027" s="116">
        <v>243.9</v>
      </c>
      <c r="E1027" s="116">
        <v>248.6</v>
      </c>
      <c r="F1027" s="116">
        <v>244.7</v>
      </c>
      <c r="G1027">
        <v>19354</v>
      </c>
      <c r="H1027" s="116"/>
      <c r="I1027" s="116"/>
      <c r="L1027" s="170">
        <v>43514</v>
      </c>
      <c r="M1027" s="116">
        <v>244.3</v>
      </c>
      <c r="N1027" s="116">
        <v>250.95</v>
      </c>
      <c r="O1027" s="116">
        <v>243.2</v>
      </c>
      <c r="P1027" s="116">
        <v>249</v>
      </c>
      <c r="Q1027" s="116">
        <v>244.3</v>
      </c>
      <c r="R1027">
        <v>611102</v>
      </c>
    </row>
    <row r="1028" spans="1:18" x14ac:dyDescent="0.25">
      <c r="A1028" s="170">
        <v>43515</v>
      </c>
      <c r="B1028" s="116">
        <v>250</v>
      </c>
      <c r="C1028" s="116">
        <v>248</v>
      </c>
      <c r="D1028" s="116">
        <v>243.6</v>
      </c>
      <c r="E1028" s="116">
        <v>244.4</v>
      </c>
      <c r="F1028" s="116">
        <v>248</v>
      </c>
      <c r="G1028">
        <v>33847</v>
      </c>
      <c r="H1028" s="116"/>
      <c r="I1028" s="116"/>
      <c r="L1028" s="170">
        <v>43515</v>
      </c>
      <c r="M1028" s="116">
        <v>248.3</v>
      </c>
      <c r="N1028" s="116">
        <v>250.5</v>
      </c>
      <c r="O1028" s="116">
        <v>243.2</v>
      </c>
      <c r="P1028" s="116">
        <v>243.6</v>
      </c>
      <c r="Q1028" s="116">
        <v>248.3</v>
      </c>
      <c r="R1028">
        <v>545554</v>
      </c>
    </row>
    <row r="1029" spans="1:18" x14ac:dyDescent="0.25">
      <c r="A1029" s="170">
        <v>43516</v>
      </c>
      <c r="B1029" s="116">
        <v>254.2</v>
      </c>
      <c r="C1029" s="116">
        <v>253.1</v>
      </c>
      <c r="D1029" s="116">
        <v>249.65</v>
      </c>
      <c r="E1029" s="116">
        <v>251.05</v>
      </c>
      <c r="F1029" s="116">
        <v>253.1</v>
      </c>
      <c r="G1029">
        <v>28322</v>
      </c>
      <c r="H1029" s="116"/>
      <c r="I1029" s="116"/>
      <c r="L1029" s="170">
        <v>43516</v>
      </c>
      <c r="M1029" s="116">
        <v>253.9</v>
      </c>
      <c r="N1029" s="116">
        <v>255.15</v>
      </c>
      <c r="O1029" s="116">
        <v>249.35</v>
      </c>
      <c r="P1029" s="116">
        <v>250.5</v>
      </c>
      <c r="Q1029" s="116">
        <v>253.9</v>
      </c>
      <c r="R1029">
        <v>960908</v>
      </c>
    </row>
    <row r="1030" spans="1:18" x14ac:dyDescent="0.25">
      <c r="A1030" s="170">
        <v>43517</v>
      </c>
      <c r="B1030" s="116">
        <v>256.7</v>
      </c>
      <c r="C1030" s="116">
        <v>255.35</v>
      </c>
      <c r="D1030" s="116">
        <v>253.7</v>
      </c>
      <c r="E1030" s="116">
        <v>254.6</v>
      </c>
      <c r="F1030" s="116">
        <v>255.35</v>
      </c>
      <c r="G1030">
        <v>19264</v>
      </c>
      <c r="H1030" s="116"/>
      <c r="I1030" s="116"/>
      <c r="L1030" s="170">
        <v>43517</v>
      </c>
      <c r="M1030" s="116">
        <v>255.8</v>
      </c>
      <c r="N1030" s="116">
        <v>257.05</v>
      </c>
      <c r="O1030" s="116">
        <v>253.65</v>
      </c>
      <c r="P1030" s="116">
        <v>255.6</v>
      </c>
      <c r="Q1030" s="116">
        <v>255.8</v>
      </c>
      <c r="R1030">
        <v>673649</v>
      </c>
    </row>
    <row r="1031" spans="1:18" x14ac:dyDescent="0.25">
      <c r="A1031" s="170">
        <v>43518</v>
      </c>
      <c r="B1031" s="116">
        <v>261.60000000000002</v>
      </c>
      <c r="C1031" s="116">
        <v>259.75</v>
      </c>
      <c r="D1031" s="116">
        <v>253.5</v>
      </c>
      <c r="E1031" s="116">
        <v>256.8</v>
      </c>
      <c r="F1031" s="116">
        <v>259.75</v>
      </c>
      <c r="G1031">
        <v>34828</v>
      </c>
      <c r="H1031" s="116"/>
      <c r="I1031" s="116"/>
      <c r="L1031" s="170">
        <v>43518</v>
      </c>
      <c r="M1031" s="116">
        <v>260</v>
      </c>
      <c r="N1031" s="116">
        <v>261</v>
      </c>
      <c r="O1031" s="116">
        <v>253.05</v>
      </c>
      <c r="P1031" s="116">
        <v>258.2</v>
      </c>
      <c r="Q1031" s="116">
        <v>260</v>
      </c>
      <c r="R1031">
        <v>821434</v>
      </c>
    </row>
    <row r="1032" spans="1:18" x14ac:dyDescent="0.25">
      <c r="A1032" s="170">
        <v>43521</v>
      </c>
      <c r="B1032" s="116">
        <v>263</v>
      </c>
      <c r="C1032" s="116">
        <v>261.5</v>
      </c>
      <c r="D1032" s="116">
        <v>258.85000000000002</v>
      </c>
      <c r="E1032" s="116">
        <v>262.10000000000002</v>
      </c>
      <c r="F1032" s="116">
        <v>261.5</v>
      </c>
      <c r="G1032">
        <v>45239</v>
      </c>
      <c r="H1032" s="116"/>
      <c r="I1032" s="116"/>
      <c r="L1032" s="170">
        <v>43521</v>
      </c>
      <c r="M1032" s="116">
        <v>262.25</v>
      </c>
      <c r="N1032" s="116">
        <v>263.3</v>
      </c>
      <c r="O1032" s="116">
        <v>259.2</v>
      </c>
      <c r="P1032" s="116">
        <v>259.95</v>
      </c>
      <c r="Q1032" s="116">
        <v>262.25</v>
      </c>
      <c r="R1032">
        <v>631433</v>
      </c>
    </row>
    <row r="1033" spans="1:18" x14ac:dyDescent="0.25">
      <c r="A1033" s="170">
        <v>43522</v>
      </c>
      <c r="B1033" s="116">
        <v>264.45</v>
      </c>
      <c r="C1033" s="116">
        <v>262.55</v>
      </c>
      <c r="D1033" s="116">
        <v>257.64999999999998</v>
      </c>
      <c r="E1033" s="116">
        <v>260</v>
      </c>
      <c r="F1033" s="116">
        <v>262.55</v>
      </c>
      <c r="G1033">
        <v>30190</v>
      </c>
      <c r="H1033" s="116"/>
      <c r="I1033" s="116"/>
      <c r="L1033" s="170">
        <v>43522</v>
      </c>
      <c r="M1033" s="116">
        <v>263.2</v>
      </c>
      <c r="N1033" s="116">
        <v>264.85000000000002</v>
      </c>
      <c r="O1033" s="116">
        <v>257.60000000000002</v>
      </c>
      <c r="P1033" s="116">
        <v>261.3</v>
      </c>
      <c r="Q1033" s="116">
        <v>263.2</v>
      </c>
      <c r="R1033">
        <v>389777</v>
      </c>
    </row>
    <row r="1034" spans="1:18" x14ac:dyDescent="0.25">
      <c r="A1034" s="170">
        <v>43523</v>
      </c>
      <c r="B1034" s="116">
        <v>268.5</v>
      </c>
      <c r="C1034" s="116">
        <v>262.7</v>
      </c>
      <c r="D1034" s="116">
        <v>261.10000000000002</v>
      </c>
      <c r="E1034" s="116">
        <v>264.7</v>
      </c>
      <c r="F1034" s="116">
        <v>262.7</v>
      </c>
      <c r="G1034">
        <v>30018</v>
      </c>
      <c r="H1034" s="116"/>
      <c r="I1034" s="116"/>
      <c r="L1034" s="170">
        <v>43523</v>
      </c>
      <c r="M1034" s="116">
        <v>263.89999999999998</v>
      </c>
      <c r="N1034" s="116">
        <v>269</v>
      </c>
      <c r="O1034" s="116">
        <v>263</v>
      </c>
      <c r="P1034" s="116">
        <v>263</v>
      </c>
      <c r="Q1034" s="116">
        <v>263.89999999999998</v>
      </c>
      <c r="R1034">
        <v>629984</v>
      </c>
    </row>
    <row r="1035" spans="1:18" x14ac:dyDescent="0.25">
      <c r="A1035" s="170">
        <v>43524</v>
      </c>
      <c r="B1035" s="116">
        <v>271.5</v>
      </c>
      <c r="C1035" s="116">
        <v>269.10000000000002</v>
      </c>
      <c r="D1035" s="116">
        <v>261.35000000000002</v>
      </c>
      <c r="E1035" s="116">
        <v>264.8</v>
      </c>
      <c r="F1035" s="116">
        <v>269.10000000000002</v>
      </c>
      <c r="G1035">
        <v>21810</v>
      </c>
      <c r="H1035" s="116"/>
      <c r="I1035" s="116"/>
      <c r="L1035" s="170">
        <v>43524</v>
      </c>
      <c r="M1035" s="116">
        <v>269.45</v>
      </c>
      <c r="N1035" s="116">
        <v>272.39999999999998</v>
      </c>
      <c r="O1035" s="116">
        <v>261.55</v>
      </c>
      <c r="P1035" s="116">
        <v>263.95</v>
      </c>
      <c r="Q1035" s="116">
        <v>269.45</v>
      </c>
      <c r="R1035">
        <v>1142117</v>
      </c>
    </row>
    <row r="1036" spans="1:18" x14ac:dyDescent="0.25">
      <c r="A1036" s="170">
        <v>43525</v>
      </c>
      <c r="B1036" s="116">
        <v>271.5</v>
      </c>
      <c r="C1036" s="116">
        <v>270.05</v>
      </c>
      <c r="D1036" s="116">
        <v>268.10000000000002</v>
      </c>
      <c r="E1036" s="116">
        <v>269.05</v>
      </c>
      <c r="F1036" s="116">
        <v>270.05</v>
      </c>
      <c r="G1036">
        <v>16118</v>
      </c>
      <c r="H1036" s="116"/>
      <c r="I1036" s="116"/>
      <c r="L1036" s="170">
        <v>43525</v>
      </c>
      <c r="M1036" s="116">
        <v>270.85000000000002</v>
      </c>
      <c r="N1036" s="116">
        <v>271.95</v>
      </c>
      <c r="O1036" s="116">
        <v>268.60000000000002</v>
      </c>
      <c r="P1036" s="116">
        <v>269</v>
      </c>
      <c r="Q1036" s="116">
        <v>270.85000000000002</v>
      </c>
      <c r="R1036">
        <v>333569</v>
      </c>
    </row>
    <row r="1037" spans="1:18" x14ac:dyDescent="0.25">
      <c r="A1037" s="170">
        <v>43529</v>
      </c>
      <c r="B1037" s="116">
        <v>274.39999999999998</v>
      </c>
      <c r="C1037" s="116">
        <v>271.55</v>
      </c>
      <c r="D1037" s="116">
        <v>270</v>
      </c>
      <c r="E1037" s="116">
        <v>270.05</v>
      </c>
      <c r="F1037" s="116">
        <v>271.55</v>
      </c>
      <c r="G1037">
        <v>47897</v>
      </c>
      <c r="H1037" s="116"/>
      <c r="I1037" s="116"/>
      <c r="L1037" s="170">
        <v>43529</v>
      </c>
      <c r="M1037" s="116">
        <v>271.35000000000002</v>
      </c>
      <c r="N1037" s="116">
        <v>275.10000000000002</v>
      </c>
      <c r="O1037" s="116">
        <v>270.10000000000002</v>
      </c>
      <c r="P1037" s="116">
        <v>270.85000000000002</v>
      </c>
      <c r="Q1037" s="116">
        <v>271.35000000000002</v>
      </c>
      <c r="R1037">
        <v>582719</v>
      </c>
    </row>
    <row r="1038" spans="1:18" x14ac:dyDescent="0.25">
      <c r="A1038" s="170">
        <v>43530</v>
      </c>
      <c r="B1038" s="116">
        <v>273.8</v>
      </c>
      <c r="C1038" s="116">
        <v>267.10000000000002</v>
      </c>
      <c r="D1038" s="116">
        <v>262.05</v>
      </c>
      <c r="E1038" s="116">
        <v>269.10000000000002</v>
      </c>
      <c r="F1038" s="116">
        <v>267.10000000000002</v>
      </c>
      <c r="G1038">
        <v>80583</v>
      </c>
      <c r="H1038" s="116"/>
      <c r="I1038" s="116"/>
      <c r="L1038" s="170">
        <v>43530</v>
      </c>
      <c r="M1038" s="116">
        <v>268.10000000000002</v>
      </c>
      <c r="N1038" s="116">
        <v>274</v>
      </c>
      <c r="O1038" s="116">
        <v>266.89999999999998</v>
      </c>
      <c r="P1038" s="116">
        <v>272</v>
      </c>
      <c r="Q1038" s="116">
        <v>268.10000000000002</v>
      </c>
      <c r="R1038">
        <v>890999</v>
      </c>
    </row>
    <row r="1039" spans="1:18" x14ac:dyDescent="0.25">
      <c r="A1039" s="170">
        <v>43531</v>
      </c>
      <c r="B1039" s="116">
        <v>270.85000000000002</v>
      </c>
      <c r="C1039" s="116">
        <v>269.89999999999998</v>
      </c>
      <c r="D1039" s="116">
        <v>266.3</v>
      </c>
      <c r="E1039" s="116">
        <v>267.64999999999998</v>
      </c>
      <c r="F1039" s="116">
        <v>269.89999999999998</v>
      </c>
      <c r="G1039">
        <v>37445</v>
      </c>
      <c r="H1039" s="116"/>
      <c r="I1039" s="116"/>
      <c r="L1039" s="170">
        <v>43531</v>
      </c>
      <c r="M1039" s="116">
        <v>269.85000000000002</v>
      </c>
      <c r="N1039" s="116">
        <v>271.2</v>
      </c>
      <c r="O1039" s="116">
        <v>266.5</v>
      </c>
      <c r="P1039" s="116">
        <v>268.14999999999998</v>
      </c>
      <c r="Q1039" s="116">
        <v>269.85000000000002</v>
      </c>
      <c r="R1039">
        <v>540718</v>
      </c>
    </row>
    <row r="1040" spans="1:18" x14ac:dyDescent="0.25">
      <c r="A1040" s="170">
        <v>43532</v>
      </c>
      <c r="B1040" s="116">
        <v>268.8</v>
      </c>
      <c r="C1040" s="116">
        <v>267</v>
      </c>
      <c r="D1040" s="116">
        <v>265.55</v>
      </c>
      <c r="E1040" s="116">
        <v>268.14999999999998</v>
      </c>
      <c r="F1040" s="116">
        <v>267</v>
      </c>
      <c r="G1040">
        <v>20600</v>
      </c>
      <c r="H1040" s="116"/>
      <c r="I1040" s="116"/>
      <c r="L1040" s="170">
        <v>43532</v>
      </c>
      <c r="M1040" s="116">
        <v>267.25</v>
      </c>
      <c r="N1040" s="116">
        <v>269.5</v>
      </c>
      <c r="O1040" s="116">
        <v>265.85000000000002</v>
      </c>
      <c r="P1040" s="116">
        <v>269</v>
      </c>
      <c r="Q1040" s="116">
        <v>267.25</v>
      </c>
      <c r="R1040">
        <v>509873</v>
      </c>
    </row>
    <row r="1041" spans="1:18" x14ac:dyDescent="0.25">
      <c r="A1041" s="170">
        <v>43535</v>
      </c>
      <c r="B1041" s="116">
        <v>272.5</v>
      </c>
      <c r="C1041" s="116">
        <v>271.2</v>
      </c>
      <c r="D1041" s="116">
        <v>268</v>
      </c>
      <c r="E1041" s="116">
        <v>268</v>
      </c>
      <c r="F1041" s="116">
        <v>271.2</v>
      </c>
      <c r="G1041">
        <v>28412</v>
      </c>
      <c r="H1041" s="116"/>
      <c r="I1041" s="116"/>
      <c r="L1041" s="170">
        <v>43535</v>
      </c>
      <c r="M1041" s="116">
        <v>271.25</v>
      </c>
      <c r="N1041" s="116">
        <v>272</v>
      </c>
      <c r="O1041" s="116">
        <v>268.55</v>
      </c>
      <c r="P1041" s="116">
        <v>269</v>
      </c>
      <c r="Q1041" s="116">
        <v>271.25</v>
      </c>
      <c r="R1041">
        <v>734367</v>
      </c>
    </row>
    <row r="1042" spans="1:18" x14ac:dyDescent="0.25">
      <c r="A1042" s="170">
        <v>43536</v>
      </c>
      <c r="B1042" s="116">
        <v>277.25</v>
      </c>
      <c r="C1042" s="116">
        <v>274.35000000000002</v>
      </c>
      <c r="D1042" s="116">
        <v>272.45</v>
      </c>
      <c r="E1042" s="116">
        <v>272.5</v>
      </c>
      <c r="F1042" s="116">
        <v>274.35000000000002</v>
      </c>
      <c r="G1042">
        <v>72210</v>
      </c>
      <c r="H1042" s="116"/>
      <c r="I1042" s="116"/>
      <c r="L1042" s="170">
        <v>43536</v>
      </c>
      <c r="M1042" s="116">
        <v>274.7</v>
      </c>
      <c r="N1042" s="116">
        <v>277.5</v>
      </c>
      <c r="O1042" s="116">
        <v>272.55</v>
      </c>
      <c r="P1042" s="116">
        <v>273</v>
      </c>
      <c r="Q1042" s="116">
        <v>274.7</v>
      </c>
      <c r="R1042">
        <v>1212343</v>
      </c>
    </row>
    <row r="1043" spans="1:18" x14ac:dyDescent="0.25">
      <c r="A1043" s="170">
        <v>43537</v>
      </c>
      <c r="B1043" s="116">
        <v>277.3</v>
      </c>
      <c r="C1043" s="116">
        <v>276</v>
      </c>
      <c r="D1043" s="116">
        <v>274</v>
      </c>
      <c r="E1043" s="116">
        <v>275</v>
      </c>
      <c r="F1043" s="116">
        <v>276</v>
      </c>
      <c r="G1043">
        <v>52491</v>
      </c>
      <c r="H1043" s="116"/>
      <c r="I1043" s="116"/>
      <c r="L1043" s="170">
        <v>43537</v>
      </c>
      <c r="M1043" s="116">
        <v>276.75</v>
      </c>
      <c r="N1043" s="116">
        <v>277.89999999999998</v>
      </c>
      <c r="O1043" s="116">
        <v>274</v>
      </c>
      <c r="P1043" s="116">
        <v>274.95</v>
      </c>
      <c r="Q1043" s="116">
        <v>276.75</v>
      </c>
      <c r="R1043">
        <v>1221413</v>
      </c>
    </row>
    <row r="1044" spans="1:18" x14ac:dyDescent="0.25">
      <c r="A1044" s="170">
        <v>43538</v>
      </c>
      <c r="B1044" s="116">
        <v>277.5</v>
      </c>
      <c r="C1044" s="116">
        <v>274.25</v>
      </c>
      <c r="D1044" s="116">
        <v>272.10000000000002</v>
      </c>
      <c r="E1044" s="116">
        <v>276.7</v>
      </c>
      <c r="F1044" s="116">
        <v>274.25</v>
      </c>
      <c r="G1044">
        <v>34085</v>
      </c>
      <c r="H1044" s="116"/>
      <c r="I1044" s="116"/>
      <c r="L1044" s="170">
        <v>43538</v>
      </c>
      <c r="M1044" s="116">
        <v>273.95</v>
      </c>
      <c r="N1044" s="116">
        <v>277.95</v>
      </c>
      <c r="O1044" s="116">
        <v>272.55</v>
      </c>
      <c r="P1044" s="116">
        <v>277</v>
      </c>
      <c r="Q1044" s="116">
        <v>273.95</v>
      </c>
      <c r="R1044">
        <v>470111</v>
      </c>
    </row>
    <row r="1045" spans="1:18" x14ac:dyDescent="0.25">
      <c r="A1045" s="170">
        <v>43539</v>
      </c>
      <c r="B1045" s="116">
        <v>275.64999999999998</v>
      </c>
      <c r="C1045" s="116">
        <v>274.89999999999998</v>
      </c>
      <c r="D1045" s="116">
        <v>271.45</v>
      </c>
      <c r="E1045" s="116">
        <v>275</v>
      </c>
      <c r="F1045" s="116">
        <v>274.89999999999998</v>
      </c>
      <c r="G1045">
        <v>25069</v>
      </c>
      <c r="H1045" s="116"/>
      <c r="I1045" s="116"/>
      <c r="L1045" s="170">
        <v>43539</v>
      </c>
      <c r="M1045" s="116">
        <v>275.10000000000002</v>
      </c>
      <c r="N1045" s="116">
        <v>276.10000000000002</v>
      </c>
      <c r="O1045" s="116">
        <v>270.5</v>
      </c>
      <c r="P1045" s="116">
        <v>273.10000000000002</v>
      </c>
      <c r="Q1045" s="116">
        <v>275.10000000000002</v>
      </c>
      <c r="R1045">
        <v>617716</v>
      </c>
    </row>
    <row r="1046" spans="1:18" x14ac:dyDescent="0.25">
      <c r="A1046" s="170">
        <v>43542</v>
      </c>
      <c r="B1046" s="116">
        <v>279</v>
      </c>
      <c r="C1046" s="116">
        <v>277.95</v>
      </c>
      <c r="D1046" s="116">
        <v>271.7</v>
      </c>
      <c r="E1046" s="116">
        <v>274.5</v>
      </c>
      <c r="F1046" s="116">
        <v>277.95</v>
      </c>
      <c r="G1046">
        <v>41825</v>
      </c>
      <c r="H1046" s="116"/>
      <c r="I1046" s="116"/>
      <c r="L1046" s="170">
        <v>43542</v>
      </c>
      <c r="M1046" s="116">
        <v>277.55</v>
      </c>
      <c r="N1046" s="116">
        <v>278.7</v>
      </c>
      <c r="O1046" s="116">
        <v>271.39999999999998</v>
      </c>
      <c r="P1046" s="116">
        <v>275</v>
      </c>
      <c r="Q1046" s="116">
        <v>277.55</v>
      </c>
      <c r="R1046">
        <v>637698</v>
      </c>
    </row>
    <row r="1047" spans="1:18" x14ac:dyDescent="0.25">
      <c r="A1047" s="170">
        <v>43543</v>
      </c>
      <c r="B1047" s="116">
        <v>278.89999999999998</v>
      </c>
      <c r="C1047" s="116">
        <v>277.5</v>
      </c>
      <c r="D1047" s="116">
        <v>274.5</v>
      </c>
      <c r="E1047" s="116">
        <v>278.89999999999998</v>
      </c>
      <c r="F1047" s="116">
        <v>277.5</v>
      </c>
      <c r="G1047">
        <v>16797</v>
      </c>
      <c r="H1047" s="116"/>
      <c r="I1047" s="116"/>
      <c r="L1047" s="170">
        <v>43543</v>
      </c>
      <c r="M1047" s="116">
        <v>277.2</v>
      </c>
      <c r="N1047" s="116">
        <v>278.5</v>
      </c>
      <c r="O1047" s="116">
        <v>274.39999999999998</v>
      </c>
      <c r="P1047" s="116">
        <v>278.5</v>
      </c>
      <c r="Q1047" s="116">
        <v>277.2</v>
      </c>
      <c r="R1047">
        <v>446239</v>
      </c>
    </row>
    <row r="1048" spans="1:18" x14ac:dyDescent="0.25">
      <c r="A1048" s="170">
        <v>43544</v>
      </c>
      <c r="B1048" s="116">
        <v>278</v>
      </c>
      <c r="C1048" s="116">
        <v>276.35000000000002</v>
      </c>
      <c r="D1048" s="116">
        <v>275</v>
      </c>
      <c r="E1048" s="116">
        <v>277.05</v>
      </c>
      <c r="F1048" s="116">
        <v>276.35000000000002</v>
      </c>
      <c r="G1048">
        <v>26685</v>
      </c>
      <c r="H1048" s="116"/>
      <c r="I1048" s="116"/>
      <c r="L1048" s="170">
        <v>43544</v>
      </c>
      <c r="M1048" s="116">
        <v>277.05</v>
      </c>
      <c r="N1048" s="116">
        <v>278.35000000000002</v>
      </c>
      <c r="O1048" s="116">
        <v>274.5</v>
      </c>
      <c r="P1048" s="116">
        <v>276.10000000000002</v>
      </c>
      <c r="Q1048" s="116">
        <v>277.05</v>
      </c>
      <c r="R1048">
        <v>430463</v>
      </c>
    </row>
    <row r="1049" spans="1:18" x14ac:dyDescent="0.25">
      <c r="A1049" s="170">
        <v>43546</v>
      </c>
      <c r="B1049" s="116">
        <v>281.45</v>
      </c>
      <c r="C1049" s="116">
        <v>274.85000000000002</v>
      </c>
      <c r="D1049" s="116">
        <v>273.60000000000002</v>
      </c>
      <c r="E1049" s="116">
        <v>276.10000000000002</v>
      </c>
      <c r="F1049" s="116">
        <v>274.85000000000002</v>
      </c>
      <c r="G1049">
        <v>30892</v>
      </c>
      <c r="H1049" s="116"/>
      <c r="I1049" s="116"/>
      <c r="L1049" s="170">
        <v>43546</v>
      </c>
      <c r="M1049" s="116">
        <v>274.5</v>
      </c>
      <c r="N1049" s="116">
        <v>281.75</v>
      </c>
      <c r="O1049" s="116">
        <v>273.14999999999998</v>
      </c>
      <c r="P1049" s="116">
        <v>276</v>
      </c>
      <c r="Q1049" s="116">
        <v>274.5</v>
      </c>
      <c r="R1049">
        <v>917990</v>
      </c>
    </row>
    <row r="1050" spans="1:18" x14ac:dyDescent="0.25">
      <c r="A1050" s="170">
        <v>43549</v>
      </c>
      <c r="B1050" s="116">
        <v>274.95</v>
      </c>
      <c r="C1050" s="116">
        <v>270.7</v>
      </c>
      <c r="D1050" s="116">
        <v>268.60000000000002</v>
      </c>
      <c r="E1050" s="116">
        <v>274.95</v>
      </c>
      <c r="F1050" s="116">
        <v>270.7</v>
      </c>
      <c r="G1050">
        <v>38739</v>
      </c>
      <c r="H1050" s="116"/>
      <c r="I1050" s="116"/>
      <c r="L1050" s="170">
        <v>43549</v>
      </c>
      <c r="M1050" s="116">
        <v>270.85000000000002</v>
      </c>
      <c r="N1050" s="116">
        <v>273</v>
      </c>
      <c r="O1050" s="116">
        <v>268.10000000000002</v>
      </c>
      <c r="P1050" s="116">
        <v>273</v>
      </c>
      <c r="Q1050" s="116">
        <v>270.85000000000002</v>
      </c>
      <c r="R1050">
        <v>419241</v>
      </c>
    </row>
    <row r="1051" spans="1:18" x14ac:dyDescent="0.25">
      <c r="A1051" s="170">
        <v>43550</v>
      </c>
      <c r="B1051" s="116">
        <v>273.64999999999998</v>
      </c>
      <c r="C1051" s="116">
        <v>273</v>
      </c>
      <c r="D1051" s="116">
        <v>270.05</v>
      </c>
      <c r="E1051" s="116">
        <v>272.39999999999998</v>
      </c>
      <c r="F1051" s="116">
        <v>273</v>
      </c>
      <c r="G1051">
        <v>12410</v>
      </c>
      <c r="H1051" s="116"/>
      <c r="I1051" s="116"/>
      <c r="L1051" s="170">
        <v>43550</v>
      </c>
      <c r="M1051" s="116">
        <v>273.2</v>
      </c>
      <c r="N1051" s="116">
        <v>274</v>
      </c>
      <c r="O1051" s="116">
        <v>269.64999999999998</v>
      </c>
      <c r="P1051" s="116">
        <v>272.10000000000002</v>
      </c>
      <c r="Q1051" s="116">
        <v>273.2</v>
      </c>
      <c r="R1051">
        <v>254176</v>
      </c>
    </row>
    <row r="1052" spans="1:18" x14ac:dyDescent="0.25">
      <c r="A1052" s="170">
        <v>43551</v>
      </c>
      <c r="B1052" s="116">
        <v>274.14999999999998</v>
      </c>
      <c r="C1052" s="116">
        <v>271.95</v>
      </c>
      <c r="D1052" s="116">
        <v>271.25</v>
      </c>
      <c r="E1052" s="116">
        <v>274.14999999999998</v>
      </c>
      <c r="F1052" s="116">
        <v>271.95</v>
      </c>
      <c r="G1052">
        <v>37899</v>
      </c>
      <c r="H1052" s="116"/>
      <c r="I1052" s="116"/>
      <c r="L1052" s="170">
        <v>43551</v>
      </c>
      <c r="M1052" s="116">
        <v>271.85000000000002</v>
      </c>
      <c r="N1052" s="116">
        <v>276</v>
      </c>
      <c r="O1052" s="116">
        <v>271</v>
      </c>
      <c r="P1052" s="116">
        <v>273.5</v>
      </c>
      <c r="Q1052" s="116">
        <v>271.85000000000002</v>
      </c>
      <c r="R1052">
        <v>433364</v>
      </c>
    </row>
    <row r="1053" spans="1:18" x14ac:dyDescent="0.25">
      <c r="A1053" s="170">
        <v>43552</v>
      </c>
      <c r="B1053" s="116">
        <v>278</v>
      </c>
      <c r="C1053" s="116">
        <v>275.14999999999998</v>
      </c>
      <c r="D1053" s="116">
        <v>268.39999999999998</v>
      </c>
      <c r="E1053" s="116">
        <v>271.5</v>
      </c>
      <c r="F1053" s="116">
        <v>275.14999999999998</v>
      </c>
      <c r="G1053">
        <v>42342</v>
      </c>
      <c r="H1053" s="116"/>
      <c r="I1053" s="116"/>
      <c r="L1053" s="170">
        <v>43552</v>
      </c>
      <c r="M1053" s="116">
        <v>275.8</v>
      </c>
      <c r="N1053" s="116">
        <v>277.75</v>
      </c>
      <c r="O1053" s="116">
        <v>268.10000000000002</v>
      </c>
      <c r="P1053" s="116">
        <v>271.10000000000002</v>
      </c>
      <c r="Q1053" s="116">
        <v>275.8</v>
      </c>
      <c r="R1053">
        <v>1231637</v>
      </c>
    </row>
    <row r="1054" spans="1:18" x14ac:dyDescent="0.25">
      <c r="A1054" s="170">
        <v>43553</v>
      </c>
      <c r="B1054" s="116">
        <v>278.60000000000002</v>
      </c>
      <c r="C1054" s="116">
        <v>276.39999999999998</v>
      </c>
      <c r="D1054" s="116">
        <v>274.95</v>
      </c>
      <c r="E1054" s="116">
        <v>278.60000000000002</v>
      </c>
      <c r="F1054" s="116">
        <v>276.39999999999998</v>
      </c>
      <c r="G1054">
        <v>69127</v>
      </c>
      <c r="H1054" s="116"/>
      <c r="I1054" s="116"/>
      <c r="L1054" s="170">
        <v>43553</v>
      </c>
      <c r="M1054" s="116">
        <v>276.85000000000002</v>
      </c>
      <c r="N1054" s="116">
        <v>278.89999999999998</v>
      </c>
      <c r="O1054" s="116">
        <v>274.64999999999998</v>
      </c>
      <c r="P1054" s="116">
        <v>278.89999999999998</v>
      </c>
      <c r="Q1054" s="116">
        <v>276.85000000000002</v>
      </c>
      <c r="R1054">
        <v>427935</v>
      </c>
    </row>
    <row r="1055" spans="1:18" x14ac:dyDescent="0.25">
      <c r="A1055" s="170">
        <v>43556</v>
      </c>
      <c r="B1055" s="116">
        <v>289.25</v>
      </c>
      <c r="C1055" s="116">
        <v>283</v>
      </c>
      <c r="D1055" s="116">
        <v>278.7</v>
      </c>
      <c r="E1055" s="116">
        <v>278.7</v>
      </c>
      <c r="F1055" s="116">
        <v>283</v>
      </c>
      <c r="G1055">
        <v>145959</v>
      </c>
      <c r="H1055" s="116"/>
      <c r="I1055" s="116"/>
      <c r="L1055" s="170">
        <v>43556</v>
      </c>
      <c r="M1055" s="116">
        <v>283.89999999999998</v>
      </c>
      <c r="N1055" s="116">
        <v>289.8</v>
      </c>
      <c r="O1055" s="116">
        <v>279.3</v>
      </c>
      <c r="P1055" s="116">
        <v>279.3</v>
      </c>
      <c r="Q1055" s="116">
        <v>283.89999999999998</v>
      </c>
      <c r="R1055">
        <v>1926933</v>
      </c>
    </row>
    <row r="1056" spans="1:18" x14ac:dyDescent="0.25">
      <c r="A1056" s="170">
        <v>43557</v>
      </c>
      <c r="B1056" s="116">
        <v>284.95</v>
      </c>
      <c r="C1056" s="116">
        <v>282.64999999999998</v>
      </c>
      <c r="D1056" s="116">
        <v>279.64999999999998</v>
      </c>
      <c r="E1056" s="116">
        <v>284.95</v>
      </c>
      <c r="F1056" s="116">
        <v>282.64999999999998</v>
      </c>
      <c r="G1056">
        <v>102508</v>
      </c>
      <c r="H1056" s="116"/>
      <c r="I1056" s="116"/>
      <c r="L1056" s="170">
        <v>43557</v>
      </c>
      <c r="M1056" s="116">
        <v>283.7</v>
      </c>
      <c r="N1056" s="116">
        <v>284.89999999999998</v>
      </c>
      <c r="O1056" s="116">
        <v>279.64999999999998</v>
      </c>
      <c r="P1056" s="116">
        <v>283.10000000000002</v>
      </c>
      <c r="Q1056" s="116">
        <v>283.7</v>
      </c>
      <c r="R1056">
        <v>873349</v>
      </c>
    </row>
    <row r="1057" spans="1:18" x14ac:dyDescent="0.25">
      <c r="A1057" s="170">
        <v>43558</v>
      </c>
      <c r="B1057" s="116">
        <v>288.7</v>
      </c>
      <c r="C1057" s="116">
        <v>281.64999999999998</v>
      </c>
      <c r="D1057" s="116">
        <v>281</v>
      </c>
      <c r="E1057" s="116">
        <v>285.10000000000002</v>
      </c>
      <c r="F1057" s="116">
        <v>281.64999999999998</v>
      </c>
      <c r="G1057">
        <v>88627</v>
      </c>
      <c r="H1057" s="116"/>
      <c r="I1057" s="116"/>
      <c r="L1057" s="170">
        <v>43558</v>
      </c>
      <c r="M1057" s="116">
        <v>282.35000000000002</v>
      </c>
      <c r="N1057" s="116">
        <v>289.60000000000002</v>
      </c>
      <c r="O1057" s="116">
        <v>281.55</v>
      </c>
      <c r="P1057" s="116">
        <v>284.89999999999998</v>
      </c>
      <c r="Q1057" s="116">
        <v>282.35000000000002</v>
      </c>
      <c r="R1057">
        <v>998158</v>
      </c>
    </row>
    <row r="1058" spans="1:18" x14ac:dyDescent="0.25">
      <c r="A1058" s="170">
        <v>43559</v>
      </c>
      <c r="B1058" s="116">
        <v>284.89999999999998</v>
      </c>
      <c r="C1058" s="116">
        <v>283.2</v>
      </c>
      <c r="D1058" s="116">
        <v>281</v>
      </c>
      <c r="E1058" s="116">
        <v>281</v>
      </c>
      <c r="F1058" s="116">
        <v>283.2</v>
      </c>
      <c r="G1058">
        <v>22944</v>
      </c>
      <c r="H1058" s="116"/>
      <c r="I1058" s="116"/>
      <c r="L1058" s="170">
        <v>43559</v>
      </c>
      <c r="M1058" s="116">
        <v>283.55</v>
      </c>
      <c r="N1058" s="116">
        <v>285.2</v>
      </c>
      <c r="O1058" s="116">
        <v>281</v>
      </c>
      <c r="P1058" s="116">
        <v>281.55</v>
      </c>
      <c r="Q1058" s="116">
        <v>283.55</v>
      </c>
      <c r="R1058">
        <v>448307</v>
      </c>
    </row>
    <row r="1059" spans="1:18" x14ac:dyDescent="0.25">
      <c r="A1059" s="170">
        <v>43560</v>
      </c>
      <c r="B1059" s="116">
        <v>289.89999999999998</v>
      </c>
      <c r="C1059" s="116">
        <v>288.7</v>
      </c>
      <c r="D1059" s="116">
        <v>283.5</v>
      </c>
      <c r="E1059" s="116">
        <v>285.85000000000002</v>
      </c>
      <c r="F1059" s="116">
        <v>288.7</v>
      </c>
      <c r="G1059">
        <v>42101</v>
      </c>
      <c r="H1059" s="116"/>
      <c r="I1059" s="116"/>
      <c r="L1059" s="170">
        <v>43560</v>
      </c>
      <c r="M1059" s="116">
        <v>288.85000000000002</v>
      </c>
      <c r="N1059" s="116">
        <v>290</v>
      </c>
      <c r="O1059" s="116">
        <v>283.5</v>
      </c>
      <c r="P1059" s="116">
        <v>286.25</v>
      </c>
      <c r="Q1059" s="116">
        <v>288.85000000000002</v>
      </c>
      <c r="R1059">
        <v>946455</v>
      </c>
    </row>
    <row r="1060" spans="1:18" x14ac:dyDescent="0.25">
      <c r="A1060" s="170">
        <v>43563</v>
      </c>
      <c r="B1060" s="116">
        <v>291.8</v>
      </c>
      <c r="C1060" s="116">
        <v>283.8</v>
      </c>
      <c r="D1060" s="116">
        <v>283</v>
      </c>
      <c r="E1060" s="116">
        <v>288.7</v>
      </c>
      <c r="F1060" s="116">
        <v>283.8</v>
      </c>
      <c r="G1060">
        <v>24355</v>
      </c>
      <c r="H1060" s="116"/>
      <c r="I1060" s="116"/>
      <c r="L1060" s="170">
        <v>43563</v>
      </c>
      <c r="M1060" s="116">
        <v>283.95</v>
      </c>
      <c r="N1060" s="116">
        <v>291.64999999999998</v>
      </c>
      <c r="O1060" s="116">
        <v>283.2</v>
      </c>
      <c r="P1060" s="116">
        <v>289.35000000000002</v>
      </c>
      <c r="Q1060" s="116">
        <v>283.95</v>
      </c>
      <c r="R1060">
        <v>599597</v>
      </c>
    </row>
    <row r="1061" spans="1:18" x14ac:dyDescent="0.25">
      <c r="A1061" s="170">
        <v>43564</v>
      </c>
      <c r="B1061" s="116">
        <v>286.10000000000002</v>
      </c>
      <c r="C1061" s="116">
        <v>285.05</v>
      </c>
      <c r="D1061" s="116">
        <v>281</v>
      </c>
      <c r="E1061" s="116">
        <v>284.05</v>
      </c>
      <c r="F1061" s="116">
        <v>285.05</v>
      </c>
      <c r="G1061">
        <v>21165</v>
      </c>
      <c r="H1061" s="116"/>
      <c r="I1061" s="116"/>
      <c r="L1061" s="170">
        <v>43564</v>
      </c>
      <c r="M1061" s="116">
        <v>284.95</v>
      </c>
      <c r="N1061" s="116">
        <v>286.25</v>
      </c>
      <c r="O1061" s="116">
        <v>280.64999999999998</v>
      </c>
      <c r="P1061" s="116">
        <v>284.10000000000002</v>
      </c>
      <c r="Q1061" s="116">
        <v>284.95</v>
      </c>
      <c r="R1061">
        <v>438295</v>
      </c>
    </row>
    <row r="1062" spans="1:18" x14ac:dyDescent="0.25">
      <c r="A1062" s="170">
        <v>43565</v>
      </c>
      <c r="B1062" s="116">
        <v>286.14999999999998</v>
      </c>
      <c r="C1062" s="116">
        <v>282.3</v>
      </c>
      <c r="D1062" s="116">
        <v>281.8</v>
      </c>
      <c r="E1062" s="116">
        <v>283.8</v>
      </c>
      <c r="F1062" s="116">
        <v>282.3</v>
      </c>
      <c r="G1062">
        <v>16769</v>
      </c>
      <c r="H1062" s="116"/>
      <c r="I1062" s="116"/>
      <c r="L1062" s="170">
        <v>43565</v>
      </c>
      <c r="M1062" s="116">
        <v>282.45</v>
      </c>
      <c r="N1062" s="116">
        <v>286.14999999999998</v>
      </c>
      <c r="O1062" s="116">
        <v>281.7</v>
      </c>
      <c r="P1062" s="116">
        <v>284.89999999999998</v>
      </c>
      <c r="Q1062" s="116">
        <v>282.45</v>
      </c>
      <c r="R1062">
        <v>330577</v>
      </c>
    </row>
    <row r="1063" spans="1:18" x14ac:dyDescent="0.25">
      <c r="A1063" s="170">
        <v>43566</v>
      </c>
      <c r="B1063" s="116">
        <v>282.75</v>
      </c>
      <c r="C1063" s="116">
        <v>281.45</v>
      </c>
      <c r="D1063" s="116">
        <v>280</v>
      </c>
      <c r="E1063" s="116">
        <v>281.8</v>
      </c>
      <c r="F1063" s="116">
        <v>281.45</v>
      </c>
      <c r="G1063">
        <v>16558</v>
      </c>
      <c r="H1063" s="116"/>
      <c r="I1063" s="116"/>
      <c r="L1063" s="170">
        <v>43566</v>
      </c>
      <c r="M1063" s="116">
        <v>281.35000000000002</v>
      </c>
      <c r="N1063" s="116">
        <v>282.8</v>
      </c>
      <c r="O1063" s="116">
        <v>279.8</v>
      </c>
      <c r="P1063" s="116">
        <v>280.35000000000002</v>
      </c>
      <c r="Q1063" s="116">
        <v>281.35000000000002</v>
      </c>
      <c r="R1063">
        <v>339540</v>
      </c>
    </row>
    <row r="1064" spans="1:18" x14ac:dyDescent="0.25">
      <c r="A1064" s="170">
        <v>43567</v>
      </c>
      <c r="B1064" s="116">
        <v>282.14999999999998</v>
      </c>
      <c r="C1064" s="116">
        <v>280.39999999999998</v>
      </c>
      <c r="D1064" s="116">
        <v>279.2</v>
      </c>
      <c r="E1064" s="116">
        <v>281.8</v>
      </c>
      <c r="F1064" s="116">
        <v>280.39999999999998</v>
      </c>
      <c r="G1064">
        <v>19812</v>
      </c>
      <c r="H1064" s="116"/>
      <c r="I1064" s="116"/>
      <c r="L1064" s="170">
        <v>43567</v>
      </c>
      <c r="M1064" s="116">
        <v>280.5</v>
      </c>
      <c r="N1064" s="116">
        <v>282.25</v>
      </c>
      <c r="O1064" s="116">
        <v>278.85000000000002</v>
      </c>
      <c r="P1064" s="116">
        <v>281</v>
      </c>
      <c r="Q1064" s="116">
        <v>280.5</v>
      </c>
      <c r="R1064">
        <v>425468</v>
      </c>
    </row>
    <row r="1065" spans="1:18" x14ac:dyDescent="0.25">
      <c r="A1065" s="170">
        <v>43570</v>
      </c>
      <c r="B1065" s="116">
        <v>285.60000000000002</v>
      </c>
      <c r="C1065" s="116">
        <v>283.89999999999998</v>
      </c>
      <c r="D1065" s="116">
        <v>281.05</v>
      </c>
      <c r="E1065" s="116">
        <v>281.05</v>
      </c>
      <c r="F1065" s="116">
        <v>283.89999999999998</v>
      </c>
      <c r="G1065">
        <v>30039</v>
      </c>
      <c r="H1065" s="116"/>
      <c r="I1065" s="116"/>
      <c r="L1065" s="170">
        <v>43570</v>
      </c>
      <c r="M1065" s="116">
        <v>284.45</v>
      </c>
      <c r="N1065" s="116">
        <v>285.8</v>
      </c>
      <c r="O1065" s="116">
        <v>280.5</v>
      </c>
      <c r="P1065" s="116">
        <v>280.5</v>
      </c>
      <c r="Q1065" s="116">
        <v>284.45</v>
      </c>
      <c r="R1065">
        <v>478288</v>
      </c>
    </row>
    <row r="1066" spans="1:18" x14ac:dyDescent="0.25">
      <c r="A1066" s="170">
        <v>43571</v>
      </c>
      <c r="B1066" s="116">
        <v>285.7</v>
      </c>
      <c r="C1066" s="116">
        <v>282.95</v>
      </c>
      <c r="D1066" s="116">
        <v>281.60000000000002</v>
      </c>
      <c r="E1066" s="116">
        <v>284</v>
      </c>
      <c r="F1066" s="116">
        <v>282.95</v>
      </c>
      <c r="G1066">
        <v>32697</v>
      </c>
      <c r="H1066" s="116"/>
      <c r="I1066" s="116"/>
      <c r="L1066" s="170">
        <v>43571</v>
      </c>
      <c r="M1066" s="116">
        <v>282.60000000000002</v>
      </c>
      <c r="N1066" s="116">
        <v>286.5</v>
      </c>
      <c r="O1066" s="116">
        <v>281.10000000000002</v>
      </c>
      <c r="P1066" s="116">
        <v>283.05</v>
      </c>
      <c r="Q1066" s="116">
        <v>282.60000000000002</v>
      </c>
      <c r="R1066">
        <v>559573</v>
      </c>
    </row>
    <row r="1067" spans="1:18" x14ac:dyDescent="0.25">
      <c r="A1067" s="170">
        <v>43573</v>
      </c>
      <c r="B1067" s="116">
        <v>284.95</v>
      </c>
      <c r="C1067" s="116">
        <v>283.7</v>
      </c>
      <c r="D1067" s="116">
        <v>281.60000000000002</v>
      </c>
      <c r="E1067" s="116">
        <v>284</v>
      </c>
      <c r="F1067" s="116">
        <v>283.7</v>
      </c>
      <c r="G1067">
        <v>20071</v>
      </c>
      <c r="H1067" s="116"/>
      <c r="I1067" s="116"/>
      <c r="L1067" s="170">
        <v>43573</v>
      </c>
      <c r="M1067" s="116">
        <v>284.35000000000002</v>
      </c>
      <c r="N1067" s="116">
        <v>284.95</v>
      </c>
      <c r="O1067" s="116">
        <v>281.55</v>
      </c>
      <c r="P1067" s="116">
        <v>282.3</v>
      </c>
      <c r="Q1067" s="116">
        <v>284.35000000000002</v>
      </c>
      <c r="R1067">
        <v>469898</v>
      </c>
    </row>
    <row r="1068" spans="1:18" x14ac:dyDescent="0.25">
      <c r="A1068" s="170">
        <v>43577</v>
      </c>
      <c r="B1068" s="116">
        <v>284.39999999999998</v>
      </c>
      <c r="C1068" s="116">
        <v>276.7</v>
      </c>
      <c r="D1068" s="116">
        <v>275</v>
      </c>
      <c r="E1068" s="116">
        <v>282.3</v>
      </c>
      <c r="F1068" s="116">
        <v>276.7</v>
      </c>
      <c r="G1068">
        <v>25513</v>
      </c>
      <c r="H1068" s="116"/>
      <c r="I1068" s="116"/>
      <c r="L1068" s="170">
        <v>43577</v>
      </c>
      <c r="M1068" s="116">
        <v>276.95</v>
      </c>
      <c r="N1068" s="116">
        <v>284.35000000000002</v>
      </c>
      <c r="O1068" s="116">
        <v>276.05</v>
      </c>
      <c r="P1068" s="116">
        <v>284.35000000000002</v>
      </c>
      <c r="Q1068" s="116">
        <v>276.95</v>
      </c>
      <c r="R1068">
        <v>293483</v>
      </c>
    </row>
    <row r="1069" spans="1:18" x14ac:dyDescent="0.25">
      <c r="A1069" s="170">
        <v>43578</v>
      </c>
      <c r="B1069" s="116">
        <v>279</v>
      </c>
      <c r="C1069" s="116">
        <v>275.25</v>
      </c>
      <c r="D1069" s="116">
        <v>274.55</v>
      </c>
      <c r="E1069" s="116">
        <v>276.14999999999998</v>
      </c>
      <c r="F1069" s="116">
        <v>275.25</v>
      </c>
      <c r="G1069">
        <v>21098</v>
      </c>
      <c r="H1069" s="116"/>
      <c r="I1069" s="116"/>
      <c r="L1069" s="170">
        <v>43578</v>
      </c>
      <c r="M1069" s="116">
        <v>275.5</v>
      </c>
      <c r="N1069" s="116">
        <v>279.3</v>
      </c>
      <c r="O1069" s="116">
        <v>274.7</v>
      </c>
      <c r="P1069" s="116">
        <v>277</v>
      </c>
      <c r="Q1069" s="116">
        <v>275.5</v>
      </c>
      <c r="R1069">
        <v>258567</v>
      </c>
    </row>
    <row r="1070" spans="1:18" x14ac:dyDescent="0.25">
      <c r="A1070" s="170">
        <v>43579</v>
      </c>
      <c r="B1070" s="116">
        <v>276.85000000000002</v>
      </c>
      <c r="C1070" s="116">
        <v>274.60000000000002</v>
      </c>
      <c r="D1070" s="116">
        <v>273</v>
      </c>
      <c r="E1070" s="116">
        <v>276.05</v>
      </c>
      <c r="F1070" s="116">
        <v>274.60000000000002</v>
      </c>
      <c r="G1070">
        <v>17706</v>
      </c>
      <c r="H1070" s="116"/>
      <c r="I1070" s="116"/>
      <c r="L1070" s="170">
        <v>43579</v>
      </c>
      <c r="M1070" s="116">
        <v>275.5</v>
      </c>
      <c r="N1070" s="116">
        <v>276.64999999999998</v>
      </c>
      <c r="O1070" s="116">
        <v>272.89999999999998</v>
      </c>
      <c r="P1070" s="116">
        <v>276</v>
      </c>
      <c r="Q1070" s="116">
        <v>275.5</v>
      </c>
      <c r="R1070">
        <v>185488</v>
      </c>
    </row>
    <row r="1071" spans="1:18" x14ac:dyDescent="0.25">
      <c r="A1071" s="170">
        <v>43580</v>
      </c>
      <c r="B1071" s="116">
        <v>277.35000000000002</v>
      </c>
      <c r="C1071" s="116">
        <v>273.39999999999998</v>
      </c>
      <c r="D1071" s="116">
        <v>271.8</v>
      </c>
      <c r="E1071" s="116">
        <v>275.64999999999998</v>
      </c>
      <c r="F1071" s="116">
        <v>273.39999999999998</v>
      </c>
      <c r="G1071">
        <v>32687</v>
      </c>
      <c r="H1071" s="116"/>
      <c r="I1071" s="116"/>
      <c r="L1071" s="170">
        <v>43580</v>
      </c>
      <c r="M1071" s="116">
        <v>272.95</v>
      </c>
      <c r="N1071" s="116">
        <v>277.64999999999998</v>
      </c>
      <c r="O1071" s="116">
        <v>271.39999999999998</v>
      </c>
      <c r="P1071" s="116">
        <v>274.35000000000002</v>
      </c>
      <c r="Q1071" s="116">
        <v>272.95</v>
      </c>
      <c r="R1071">
        <v>756411</v>
      </c>
    </row>
    <row r="1072" spans="1:18" x14ac:dyDescent="0.25">
      <c r="A1072" s="170">
        <v>43581</v>
      </c>
      <c r="B1072" s="116">
        <v>274.45</v>
      </c>
      <c r="C1072" s="116">
        <v>270.35000000000002</v>
      </c>
      <c r="D1072" s="116">
        <v>270</v>
      </c>
      <c r="E1072" s="116">
        <v>273.39999999999998</v>
      </c>
      <c r="F1072" s="116">
        <v>270.35000000000002</v>
      </c>
      <c r="G1072">
        <v>22572</v>
      </c>
      <c r="H1072" s="116"/>
      <c r="I1072" s="116"/>
      <c r="L1072" s="170">
        <v>43581</v>
      </c>
      <c r="M1072" s="116">
        <v>270.45</v>
      </c>
      <c r="N1072" s="116">
        <v>274.7</v>
      </c>
      <c r="O1072" s="116">
        <v>270</v>
      </c>
      <c r="P1072" s="116">
        <v>274.7</v>
      </c>
      <c r="Q1072" s="116">
        <v>270.45</v>
      </c>
      <c r="R1072">
        <v>521302</v>
      </c>
    </row>
    <row r="1073" spans="1:18" x14ac:dyDescent="0.25">
      <c r="A1073" s="170">
        <v>43585</v>
      </c>
      <c r="B1073" s="116">
        <v>277.89999999999998</v>
      </c>
      <c r="C1073" s="116">
        <v>276.8</v>
      </c>
      <c r="D1073" s="116">
        <v>268.5</v>
      </c>
      <c r="E1073" s="116">
        <v>271.75</v>
      </c>
      <c r="F1073" s="116">
        <v>276.8</v>
      </c>
      <c r="G1073">
        <v>31995</v>
      </c>
      <c r="H1073" s="116"/>
      <c r="I1073" s="116"/>
      <c r="L1073" s="170">
        <v>43585</v>
      </c>
      <c r="M1073" s="116">
        <v>276.85000000000002</v>
      </c>
      <c r="N1073" s="116">
        <v>277.8</v>
      </c>
      <c r="O1073" s="116">
        <v>268.25</v>
      </c>
      <c r="P1073" s="116">
        <v>272.95</v>
      </c>
      <c r="Q1073" s="116">
        <v>276.85000000000002</v>
      </c>
      <c r="R1073">
        <v>671785</v>
      </c>
    </row>
    <row r="1074" spans="1:18" x14ac:dyDescent="0.25">
      <c r="A1074" s="170">
        <v>43587</v>
      </c>
      <c r="B1074" s="116">
        <v>277.8</v>
      </c>
      <c r="C1074" s="116">
        <v>272.14999999999998</v>
      </c>
      <c r="D1074" s="116">
        <v>270.10000000000002</v>
      </c>
      <c r="E1074" s="116">
        <v>277.8</v>
      </c>
      <c r="F1074" s="116">
        <v>272.14999999999998</v>
      </c>
      <c r="G1074">
        <v>54552</v>
      </c>
      <c r="H1074" s="116"/>
      <c r="I1074" s="116"/>
      <c r="L1074" s="170">
        <v>43587</v>
      </c>
      <c r="M1074" s="116">
        <v>271.89999999999998</v>
      </c>
      <c r="N1074" s="116">
        <v>277.60000000000002</v>
      </c>
      <c r="O1074" s="116">
        <v>270</v>
      </c>
      <c r="P1074" s="116">
        <v>276</v>
      </c>
      <c r="Q1074" s="116">
        <v>271.89999999999998</v>
      </c>
      <c r="R1074">
        <v>1391449</v>
      </c>
    </row>
    <row r="1075" spans="1:18" x14ac:dyDescent="0.25">
      <c r="A1075" s="170">
        <v>43588</v>
      </c>
      <c r="B1075" s="116">
        <v>274.89999999999998</v>
      </c>
      <c r="C1075" s="116">
        <v>274.10000000000002</v>
      </c>
      <c r="D1075" s="116">
        <v>268</v>
      </c>
      <c r="E1075" s="116">
        <v>272.14999999999998</v>
      </c>
      <c r="F1075" s="116">
        <v>274.10000000000002</v>
      </c>
      <c r="G1075">
        <v>26142</v>
      </c>
      <c r="H1075" s="116"/>
      <c r="I1075" s="116"/>
      <c r="L1075" s="170">
        <v>43588</v>
      </c>
      <c r="M1075" s="116">
        <v>274.60000000000002</v>
      </c>
      <c r="N1075" s="116">
        <v>275.55</v>
      </c>
      <c r="O1075" s="116">
        <v>266.5</v>
      </c>
      <c r="P1075" s="116">
        <v>266.5</v>
      </c>
      <c r="Q1075" s="116">
        <v>274.60000000000002</v>
      </c>
      <c r="R1075">
        <v>642377</v>
      </c>
    </row>
    <row r="1076" spans="1:18" x14ac:dyDescent="0.25">
      <c r="A1076" s="170">
        <v>43591</v>
      </c>
      <c r="B1076" s="116">
        <v>274.3</v>
      </c>
      <c r="C1076" s="116">
        <v>272.7</v>
      </c>
      <c r="D1076" s="116">
        <v>269.2</v>
      </c>
      <c r="E1076" s="116">
        <v>270</v>
      </c>
      <c r="F1076" s="116">
        <v>272.7</v>
      </c>
      <c r="G1076">
        <v>18192</v>
      </c>
      <c r="H1076" s="116"/>
      <c r="I1076" s="116"/>
      <c r="L1076" s="170">
        <v>43591</v>
      </c>
      <c r="M1076" s="116">
        <v>272.55</v>
      </c>
      <c r="N1076" s="116">
        <v>274.45</v>
      </c>
      <c r="O1076" s="116">
        <v>269.5</v>
      </c>
      <c r="P1076" s="116">
        <v>271.7</v>
      </c>
      <c r="Q1076" s="116">
        <v>272.55</v>
      </c>
      <c r="R1076">
        <v>544359</v>
      </c>
    </row>
    <row r="1077" spans="1:18" x14ac:dyDescent="0.25">
      <c r="A1077" s="170">
        <v>43592</v>
      </c>
      <c r="B1077" s="116">
        <v>274.5</v>
      </c>
      <c r="C1077" s="116">
        <v>267.75</v>
      </c>
      <c r="D1077" s="116">
        <v>267.3</v>
      </c>
      <c r="E1077" s="116">
        <v>273</v>
      </c>
      <c r="F1077" s="116">
        <v>267.75</v>
      </c>
      <c r="G1077">
        <v>28033</v>
      </c>
      <c r="H1077" s="116"/>
      <c r="I1077" s="116"/>
      <c r="L1077" s="170">
        <v>43592</v>
      </c>
      <c r="M1077" s="116">
        <v>268.05</v>
      </c>
      <c r="N1077" s="116">
        <v>274.95</v>
      </c>
      <c r="O1077" s="116">
        <v>267.35000000000002</v>
      </c>
      <c r="P1077" s="116">
        <v>273.7</v>
      </c>
      <c r="Q1077" s="116">
        <v>268.05</v>
      </c>
      <c r="R1077">
        <v>318773</v>
      </c>
    </row>
    <row r="1078" spans="1:18" x14ac:dyDescent="0.25">
      <c r="A1078" s="170">
        <v>43593</v>
      </c>
      <c r="B1078" s="116">
        <v>268.75</v>
      </c>
      <c r="C1078" s="116">
        <v>265.95</v>
      </c>
      <c r="D1078" s="116">
        <v>265</v>
      </c>
      <c r="E1078" s="116">
        <v>268.05</v>
      </c>
      <c r="F1078" s="116">
        <v>265.95</v>
      </c>
      <c r="G1078">
        <v>11085</v>
      </c>
      <c r="H1078" s="116"/>
      <c r="I1078" s="116"/>
      <c r="L1078" s="170">
        <v>43593</v>
      </c>
      <c r="M1078" s="116">
        <v>265.95</v>
      </c>
      <c r="N1078" s="116">
        <v>268.95</v>
      </c>
      <c r="O1078" s="116">
        <v>264</v>
      </c>
      <c r="P1078" s="116">
        <v>268.05</v>
      </c>
      <c r="Q1078" s="116">
        <v>265.95</v>
      </c>
      <c r="R1078">
        <v>233408</v>
      </c>
    </row>
    <row r="1079" spans="1:18" x14ac:dyDescent="0.25">
      <c r="A1079" s="170">
        <v>43594</v>
      </c>
      <c r="B1079" s="116">
        <v>268.75</v>
      </c>
      <c r="C1079" s="116">
        <v>262.25</v>
      </c>
      <c r="D1079" s="116">
        <v>261.05</v>
      </c>
      <c r="E1079" s="116">
        <v>268</v>
      </c>
      <c r="F1079" s="116">
        <v>262.25</v>
      </c>
      <c r="G1079">
        <v>23364</v>
      </c>
      <c r="H1079" s="116"/>
      <c r="I1079" s="116"/>
      <c r="L1079" s="170">
        <v>43594</v>
      </c>
      <c r="M1079" s="116">
        <v>262.14999999999998</v>
      </c>
      <c r="N1079" s="116">
        <v>269.7</v>
      </c>
      <c r="O1079" s="116">
        <v>261.39999999999998</v>
      </c>
      <c r="P1079" s="116">
        <v>265.95</v>
      </c>
      <c r="Q1079" s="116">
        <v>262.14999999999998</v>
      </c>
      <c r="R1079">
        <v>392409</v>
      </c>
    </row>
    <row r="1080" spans="1:18" x14ac:dyDescent="0.25">
      <c r="A1080" s="170">
        <v>43595</v>
      </c>
      <c r="B1080" s="116">
        <v>264.35000000000002</v>
      </c>
      <c r="C1080" s="116">
        <v>260.25</v>
      </c>
      <c r="D1080" s="116">
        <v>259.5</v>
      </c>
      <c r="E1080" s="116">
        <v>264</v>
      </c>
      <c r="F1080" s="116">
        <v>260.25</v>
      </c>
      <c r="G1080">
        <v>10595</v>
      </c>
      <c r="H1080" s="116"/>
      <c r="I1080" s="116"/>
      <c r="L1080" s="170">
        <v>43595</v>
      </c>
      <c r="M1080" s="116">
        <v>260.39999999999998</v>
      </c>
      <c r="N1080" s="116">
        <v>264.60000000000002</v>
      </c>
      <c r="O1080" s="116">
        <v>259</v>
      </c>
      <c r="P1080" s="116">
        <v>263</v>
      </c>
      <c r="Q1080" s="116">
        <v>260.39999999999998</v>
      </c>
      <c r="R1080">
        <v>335568</v>
      </c>
    </row>
    <row r="1081" spans="1:18" x14ac:dyDescent="0.25">
      <c r="A1081" s="170">
        <v>43598</v>
      </c>
      <c r="B1081" s="116">
        <v>260.64999999999998</v>
      </c>
      <c r="C1081" s="116">
        <v>257.3</v>
      </c>
      <c r="D1081" s="116">
        <v>256.3</v>
      </c>
      <c r="E1081" s="116">
        <v>259</v>
      </c>
      <c r="F1081" s="116">
        <v>257.3</v>
      </c>
      <c r="G1081">
        <v>32732</v>
      </c>
      <c r="H1081" s="116"/>
      <c r="I1081" s="116"/>
      <c r="L1081" s="170">
        <v>43598</v>
      </c>
      <c r="M1081" s="116">
        <v>257.25</v>
      </c>
      <c r="N1081" s="116">
        <v>261.3</v>
      </c>
      <c r="O1081" s="116">
        <v>256.2</v>
      </c>
      <c r="P1081" s="116">
        <v>257.5</v>
      </c>
      <c r="Q1081" s="116">
        <v>257.25</v>
      </c>
      <c r="R1081">
        <v>630013</v>
      </c>
    </row>
    <row r="1082" spans="1:18" x14ac:dyDescent="0.25">
      <c r="A1082" s="170">
        <v>43599</v>
      </c>
      <c r="B1082" s="116">
        <v>258</v>
      </c>
      <c r="C1082" s="116">
        <v>256.55</v>
      </c>
      <c r="D1082" s="116">
        <v>254</v>
      </c>
      <c r="E1082" s="116">
        <v>257.05</v>
      </c>
      <c r="F1082" s="116">
        <v>256.55</v>
      </c>
      <c r="G1082">
        <v>29662</v>
      </c>
      <c r="H1082" s="116"/>
      <c r="I1082" s="116"/>
      <c r="L1082" s="170">
        <v>43599</v>
      </c>
      <c r="M1082" s="116">
        <v>256.55</v>
      </c>
      <c r="N1082" s="116">
        <v>258.45</v>
      </c>
      <c r="O1082" s="116">
        <v>254.15</v>
      </c>
      <c r="P1082" s="116">
        <v>256.39999999999998</v>
      </c>
      <c r="Q1082" s="116">
        <v>256.55</v>
      </c>
      <c r="R1082">
        <v>605817</v>
      </c>
    </row>
    <row r="1083" spans="1:18" x14ac:dyDescent="0.25">
      <c r="A1083" s="170">
        <v>43600</v>
      </c>
      <c r="B1083" s="116">
        <v>258</v>
      </c>
      <c r="C1083" s="116">
        <v>253.65</v>
      </c>
      <c r="D1083" s="116">
        <v>251.05</v>
      </c>
      <c r="E1083" s="116">
        <v>256.45</v>
      </c>
      <c r="F1083" s="116">
        <v>253.65</v>
      </c>
      <c r="G1083">
        <v>33496</v>
      </c>
      <c r="H1083" s="116"/>
      <c r="I1083" s="116"/>
      <c r="L1083" s="170">
        <v>43600</v>
      </c>
      <c r="M1083" s="116">
        <v>253.8</v>
      </c>
      <c r="N1083" s="116">
        <v>258.10000000000002</v>
      </c>
      <c r="O1083" s="116">
        <v>253.15</v>
      </c>
      <c r="P1083" s="116">
        <v>257</v>
      </c>
      <c r="Q1083" s="116">
        <v>253.8</v>
      </c>
      <c r="R1083">
        <v>556069</v>
      </c>
    </row>
    <row r="1084" spans="1:18" x14ac:dyDescent="0.25">
      <c r="A1084" s="170">
        <v>43601</v>
      </c>
      <c r="B1084" s="116">
        <v>255.95</v>
      </c>
      <c r="C1084" s="116">
        <v>254.9</v>
      </c>
      <c r="D1084" s="116">
        <v>253.3</v>
      </c>
      <c r="E1084" s="116">
        <v>253.5</v>
      </c>
      <c r="F1084" s="116">
        <v>254.9</v>
      </c>
      <c r="G1084">
        <v>17672</v>
      </c>
      <c r="H1084" s="116"/>
      <c r="I1084" s="116"/>
      <c r="L1084" s="170">
        <v>43601</v>
      </c>
      <c r="M1084" s="116">
        <v>254.55</v>
      </c>
      <c r="N1084" s="116">
        <v>255.85</v>
      </c>
      <c r="O1084" s="116">
        <v>253.25</v>
      </c>
      <c r="P1084" s="116">
        <v>253.8</v>
      </c>
      <c r="Q1084" s="116">
        <v>254.55</v>
      </c>
      <c r="R1084">
        <v>300715</v>
      </c>
    </row>
    <row r="1085" spans="1:18" x14ac:dyDescent="0.25">
      <c r="A1085" s="170">
        <v>43602</v>
      </c>
      <c r="B1085" s="116">
        <v>255.2</v>
      </c>
      <c r="C1085" s="116">
        <v>253.2</v>
      </c>
      <c r="D1085" s="116">
        <v>252</v>
      </c>
      <c r="E1085" s="116">
        <v>254</v>
      </c>
      <c r="F1085" s="116">
        <v>253.2</v>
      </c>
      <c r="G1085">
        <v>23772</v>
      </c>
      <c r="H1085" s="116"/>
      <c r="I1085" s="116"/>
      <c r="L1085" s="170">
        <v>43602</v>
      </c>
      <c r="M1085" s="116">
        <v>253.45</v>
      </c>
      <c r="N1085" s="116">
        <v>255.85</v>
      </c>
      <c r="O1085" s="116">
        <v>251.9</v>
      </c>
      <c r="P1085" s="116">
        <v>252.6</v>
      </c>
      <c r="Q1085" s="116">
        <v>253.45</v>
      </c>
      <c r="R1085">
        <v>523709</v>
      </c>
    </row>
    <row r="1086" spans="1:18" x14ac:dyDescent="0.25">
      <c r="A1086" s="170">
        <v>43605</v>
      </c>
      <c r="B1086" s="116">
        <v>263.2</v>
      </c>
      <c r="C1086" s="116">
        <v>260.85000000000002</v>
      </c>
      <c r="D1086" s="116">
        <v>256</v>
      </c>
      <c r="E1086" s="116">
        <v>261</v>
      </c>
      <c r="F1086" s="116">
        <v>260.85000000000002</v>
      </c>
      <c r="G1086">
        <v>39516</v>
      </c>
      <c r="H1086" s="116"/>
      <c r="I1086" s="116"/>
      <c r="L1086" s="170">
        <v>43605</v>
      </c>
      <c r="M1086" s="116">
        <v>261.10000000000002</v>
      </c>
      <c r="N1086" s="116">
        <v>263.35000000000002</v>
      </c>
      <c r="O1086" s="116">
        <v>255.6</v>
      </c>
      <c r="P1086" s="116">
        <v>259</v>
      </c>
      <c r="Q1086" s="116">
        <v>261.10000000000002</v>
      </c>
      <c r="R1086">
        <v>772524</v>
      </c>
    </row>
    <row r="1087" spans="1:18" x14ac:dyDescent="0.25">
      <c r="A1087" s="170">
        <v>43606</v>
      </c>
      <c r="B1087" s="116">
        <v>264.89999999999998</v>
      </c>
      <c r="C1087" s="116">
        <v>255.1</v>
      </c>
      <c r="D1087" s="116">
        <v>254.15</v>
      </c>
      <c r="E1087" s="116">
        <v>264.89999999999998</v>
      </c>
      <c r="F1087" s="116">
        <v>255.1</v>
      </c>
      <c r="G1087">
        <v>25332</v>
      </c>
      <c r="H1087" s="116"/>
      <c r="I1087" s="116"/>
      <c r="L1087" s="170">
        <v>43606</v>
      </c>
      <c r="M1087" s="116">
        <v>255.25</v>
      </c>
      <c r="N1087" s="116">
        <v>262.5</v>
      </c>
      <c r="O1087" s="116">
        <v>254.2</v>
      </c>
      <c r="P1087" s="116">
        <v>262</v>
      </c>
      <c r="Q1087" s="116">
        <v>255.25</v>
      </c>
      <c r="R1087">
        <v>608867</v>
      </c>
    </row>
    <row r="1088" spans="1:18" x14ac:dyDescent="0.25">
      <c r="A1088" s="170">
        <v>43607</v>
      </c>
      <c r="B1088" s="116">
        <v>255.1</v>
      </c>
      <c r="C1088" s="116">
        <v>251.25</v>
      </c>
      <c r="D1088" s="116">
        <v>249.75</v>
      </c>
      <c r="E1088" s="116">
        <v>255.1</v>
      </c>
      <c r="F1088" s="116">
        <v>251.25</v>
      </c>
      <c r="G1088">
        <v>35319</v>
      </c>
      <c r="H1088" s="116"/>
      <c r="I1088" s="116"/>
      <c r="L1088" s="170">
        <v>43607</v>
      </c>
      <c r="M1088" s="116">
        <v>250.45</v>
      </c>
      <c r="N1088" s="116">
        <v>254.95</v>
      </c>
      <c r="O1088" s="116">
        <v>249.5</v>
      </c>
      <c r="P1088" s="116">
        <v>254.4</v>
      </c>
      <c r="Q1088" s="116">
        <v>250.45</v>
      </c>
      <c r="R1088">
        <v>1343725</v>
      </c>
    </row>
    <row r="1089" spans="1:18" x14ac:dyDescent="0.25">
      <c r="A1089" s="170">
        <v>43608</v>
      </c>
      <c r="B1089" s="116">
        <v>259</v>
      </c>
      <c r="C1089" s="116">
        <v>248.55</v>
      </c>
      <c r="D1089" s="116">
        <v>247.35</v>
      </c>
      <c r="E1089" s="116">
        <v>259</v>
      </c>
      <c r="F1089" s="116">
        <v>248.55</v>
      </c>
      <c r="G1089">
        <v>47353</v>
      </c>
      <c r="H1089" s="116"/>
      <c r="I1089" s="116"/>
      <c r="L1089" s="170">
        <v>43608</v>
      </c>
      <c r="M1089" s="116">
        <v>248.6</v>
      </c>
      <c r="N1089" s="116">
        <v>254.7</v>
      </c>
      <c r="O1089" s="116">
        <v>248</v>
      </c>
      <c r="P1089" s="116">
        <v>254.7</v>
      </c>
      <c r="Q1089" s="116">
        <v>248.6</v>
      </c>
      <c r="R1089">
        <v>784800</v>
      </c>
    </row>
    <row r="1090" spans="1:18" x14ac:dyDescent="0.25">
      <c r="A1090" s="170">
        <v>43609</v>
      </c>
      <c r="B1090" s="116">
        <v>253.55</v>
      </c>
      <c r="C1090" s="116">
        <v>252.9</v>
      </c>
      <c r="D1090" s="116">
        <v>245</v>
      </c>
      <c r="E1090" s="116">
        <v>247.35</v>
      </c>
      <c r="F1090" s="116">
        <v>252.9</v>
      </c>
      <c r="G1090">
        <v>37879</v>
      </c>
      <c r="H1090" s="116"/>
      <c r="I1090" s="116"/>
      <c r="L1090" s="170">
        <v>43609</v>
      </c>
      <c r="M1090" s="116">
        <v>252.8</v>
      </c>
      <c r="N1090" s="116">
        <v>253.75</v>
      </c>
      <c r="O1090" s="116">
        <v>245</v>
      </c>
      <c r="P1090" s="116">
        <v>248.5</v>
      </c>
      <c r="Q1090" s="116">
        <v>252.8</v>
      </c>
      <c r="R1090">
        <v>918932</v>
      </c>
    </row>
    <row r="1091" spans="1:18" x14ac:dyDescent="0.25">
      <c r="A1091" s="170">
        <v>43612</v>
      </c>
      <c r="B1091" s="116">
        <v>255.5</v>
      </c>
      <c r="C1091" s="116">
        <v>254.75</v>
      </c>
      <c r="D1091" s="116">
        <v>252.55</v>
      </c>
      <c r="E1091" s="116">
        <v>254.6</v>
      </c>
      <c r="F1091" s="116">
        <v>254.75</v>
      </c>
      <c r="G1091">
        <v>22493</v>
      </c>
      <c r="H1091" s="116"/>
      <c r="I1091" s="116"/>
      <c r="L1091" s="170">
        <v>43612</v>
      </c>
      <c r="M1091" s="116">
        <v>254.15</v>
      </c>
      <c r="N1091" s="116">
        <v>255.75</v>
      </c>
      <c r="O1091" s="116">
        <v>252.3</v>
      </c>
      <c r="P1091" s="116">
        <v>253.2</v>
      </c>
      <c r="Q1091" s="116">
        <v>254.15</v>
      </c>
      <c r="R1091">
        <v>723141</v>
      </c>
    </row>
    <row r="1092" spans="1:18" x14ac:dyDescent="0.25">
      <c r="A1092" s="170">
        <v>43613</v>
      </c>
      <c r="B1092" s="116">
        <v>255</v>
      </c>
      <c r="C1092" s="116">
        <v>251.3</v>
      </c>
      <c r="D1092" s="116">
        <v>250.65</v>
      </c>
      <c r="E1092" s="116">
        <v>255</v>
      </c>
      <c r="F1092" s="116">
        <v>251.3</v>
      </c>
      <c r="G1092">
        <v>25379</v>
      </c>
      <c r="H1092" s="116"/>
      <c r="I1092" s="116"/>
      <c r="L1092" s="170">
        <v>43613</v>
      </c>
      <c r="M1092" s="116">
        <v>251.4</v>
      </c>
      <c r="N1092" s="116">
        <v>254.9</v>
      </c>
      <c r="O1092" s="116">
        <v>250.6</v>
      </c>
      <c r="P1092" s="116">
        <v>254.15</v>
      </c>
      <c r="Q1092" s="116">
        <v>251.4</v>
      </c>
      <c r="R1092">
        <v>1121681</v>
      </c>
    </row>
    <row r="1093" spans="1:18" x14ac:dyDescent="0.25">
      <c r="A1093" s="170">
        <v>43614</v>
      </c>
      <c r="B1093" s="116">
        <v>251.55</v>
      </c>
      <c r="C1093" s="116">
        <v>248.8</v>
      </c>
      <c r="D1093" s="116">
        <v>248.5</v>
      </c>
      <c r="E1093" s="116">
        <v>251.05</v>
      </c>
      <c r="F1093" s="116">
        <v>248.8</v>
      </c>
      <c r="G1093">
        <v>27355</v>
      </c>
      <c r="H1093" s="116"/>
      <c r="I1093" s="116"/>
      <c r="L1093" s="170">
        <v>43614</v>
      </c>
      <c r="M1093" s="116">
        <v>248.95</v>
      </c>
      <c r="N1093" s="116">
        <v>251.4</v>
      </c>
      <c r="O1093" s="116">
        <v>248.2</v>
      </c>
      <c r="P1093" s="116">
        <v>251</v>
      </c>
      <c r="Q1093" s="116">
        <v>248.95</v>
      </c>
      <c r="R1093">
        <v>494774</v>
      </c>
    </row>
    <row r="1094" spans="1:18" x14ac:dyDescent="0.25">
      <c r="A1094" s="170">
        <v>43615</v>
      </c>
      <c r="B1094" s="116">
        <v>254</v>
      </c>
      <c r="C1094" s="116">
        <v>250.05</v>
      </c>
      <c r="D1094" s="116">
        <v>246.9</v>
      </c>
      <c r="E1094" s="116">
        <v>254</v>
      </c>
      <c r="F1094" s="116">
        <v>250.05</v>
      </c>
      <c r="G1094">
        <v>46025</v>
      </c>
      <c r="H1094" s="116"/>
      <c r="I1094" s="116"/>
      <c r="L1094" s="170">
        <v>43615</v>
      </c>
      <c r="M1094" s="116">
        <v>249.85</v>
      </c>
      <c r="N1094" s="116">
        <v>250.9</v>
      </c>
      <c r="O1094" s="116">
        <v>246.25</v>
      </c>
      <c r="P1094" s="116">
        <v>248.95</v>
      </c>
      <c r="Q1094" s="116">
        <v>249.85</v>
      </c>
      <c r="R1094">
        <v>1106908</v>
      </c>
    </row>
    <row r="1095" spans="1:18" x14ac:dyDescent="0.25">
      <c r="A1095" s="170">
        <v>43616</v>
      </c>
      <c r="B1095" s="116">
        <v>250.45</v>
      </c>
      <c r="C1095" s="116">
        <v>245.85</v>
      </c>
      <c r="D1095" s="116">
        <v>245</v>
      </c>
      <c r="E1095" s="116">
        <v>249.6</v>
      </c>
      <c r="F1095" s="116">
        <v>245.85</v>
      </c>
      <c r="G1095">
        <v>39338</v>
      </c>
      <c r="H1095" s="116"/>
      <c r="I1095" s="116"/>
      <c r="L1095" s="170">
        <v>43616</v>
      </c>
      <c r="M1095" s="116">
        <v>245.8</v>
      </c>
      <c r="N1095" s="116">
        <v>250.85</v>
      </c>
      <c r="O1095" s="116">
        <v>244.55</v>
      </c>
      <c r="P1095" s="116">
        <v>250.8</v>
      </c>
      <c r="Q1095" s="116">
        <v>245.8</v>
      </c>
      <c r="R1095">
        <v>880270</v>
      </c>
    </row>
    <row r="1096" spans="1:18" x14ac:dyDescent="0.25">
      <c r="A1096" s="170">
        <v>43619</v>
      </c>
      <c r="B1096" s="116">
        <v>249.35</v>
      </c>
      <c r="C1096" s="116">
        <v>248.65</v>
      </c>
      <c r="D1096" s="116">
        <v>245.1</v>
      </c>
      <c r="E1096" s="116">
        <v>245.1</v>
      </c>
      <c r="F1096" s="116">
        <v>248.65</v>
      </c>
      <c r="G1096">
        <v>43824</v>
      </c>
      <c r="H1096" s="116"/>
      <c r="I1096" s="116"/>
      <c r="L1096" s="170">
        <v>43619</v>
      </c>
      <c r="M1096" s="116">
        <v>248.55</v>
      </c>
      <c r="N1096" s="116">
        <v>249.4</v>
      </c>
      <c r="O1096" s="116">
        <v>245.05</v>
      </c>
      <c r="P1096" s="116">
        <v>246</v>
      </c>
      <c r="Q1096" s="116">
        <v>248.55</v>
      </c>
      <c r="R1096">
        <v>577466</v>
      </c>
    </row>
    <row r="1097" spans="1:18" x14ac:dyDescent="0.25">
      <c r="A1097" s="170">
        <v>43620</v>
      </c>
      <c r="B1097" s="116">
        <v>251.8</v>
      </c>
      <c r="C1097" s="116">
        <v>246.55</v>
      </c>
      <c r="D1097" s="116">
        <v>246</v>
      </c>
      <c r="E1097" s="116">
        <v>248.75</v>
      </c>
      <c r="F1097" s="116">
        <v>246.55</v>
      </c>
      <c r="G1097">
        <v>26803</v>
      </c>
      <c r="H1097" s="116"/>
      <c r="I1097" s="116"/>
      <c r="L1097" s="170">
        <v>43620</v>
      </c>
      <c r="M1097" s="116">
        <v>246.65</v>
      </c>
      <c r="N1097" s="116">
        <v>251.7</v>
      </c>
      <c r="O1097" s="116">
        <v>246</v>
      </c>
      <c r="P1097" s="116">
        <v>248.6</v>
      </c>
      <c r="Q1097" s="116">
        <v>246.65</v>
      </c>
      <c r="R1097">
        <v>891462</v>
      </c>
    </row>
    <row r="1098" spans="1:18" x14ac:dyDescent="0.25">
      <c r="A1098" s="170">
        <v>43622</v>
      </c>
      <c r="B1098" s="116">
        <v>248.1</v>
      </c>
      <c r="C1098" s="116">
        <v>243.7</v>
      </c>
      <c r="D1098" s="116">
        <v>243</v>
      </c>
      <c r="E1098" s="116">
        <v>247.1</v>
      </c>
      <c r="F1098" s="116">
        <v>243.7</v>
      </c>
      <c r="G1098">
        <v>31238</v>
      </c>
      <c r="H1098" s="116"/>
      <c r="I1098" s="116"/>
      <c r="L1098" s="170">
        <v>43622</v>
      </c>
      <c r="M1098" s="116">
        <v>243.4</v>
      </c>
      <c r="N1098" s="116">
        <v>248.4</v>
      </c>
      <c r="O1098" s="116">
        <v>243</v>
      </c>
      <c r="P1098" s="116">
        <v>248.4</v>
      </c>
      <c r="Q1098" s="116">
        <v>243.4</v>
      </c>
      <c r="R1098">
        <v>424365</v>
      </c>
    </row>
    <row r="1099" spans="1:18" x14ac:dyDescent="0.25">
      <c r="A1099" s="170">
        <v>43623</v>
      </c>
      <c r="B1099" s="116">
        <v>244.65</v>
      </c>
      <c r="C1099" s="116">
        <v>239.65</v>
      </c>
      <c r="D1099" s="116">
        <v>238.6</v>
      </c>
      <c r="E1099" s="116">
        <v>243.7</v>
      </c>
      <c r="F1099" s="116">
        <v>239.65</v>
      </c>
      <c r="G1099">
        <v>37187</v>
      </c>
      <c r="H1099" s="116"/>
      <c r="I1099" s="116"/>
      <c r="L1099" s="170">
        <v>43623</v>
      </c>
      <c r="M1099" s="116">
        <v>239</v>
      </c>
      <c r="N1099" s="116">
        <v>245.4</v>
      </c>
      <c r="O1099" s="116">
        <v>238.2</v>
      </c>
      <c r="P1099" s="116">
        <v>243.4</v>
      </c>
      <c r="Q1099" s="116">
        <v>239</v>
      </c>
      <c r="R1099">
        <v>960416</v>
      </c>
    </row>
    <row r="1100" spans="1:18" x14ac:dyDescent="0.25">
      <c r="A1100" s="170">
        <v>43626</v>
      </c>
      <c r="B1100" s="116">
        <v>242.4</v>
      </c>
      <c r="C1100" s="116">
        <v>241.6</v>
      </c>
      <c r="D1100" s="116">
        <v>237.6</v>
      </c>
      <c r="E1100" s="116">
        <v>239.65</v>
      </c>
      <c r="F1100" s="116">
        <v>241.6</v>
      </c>
      <c r="G1100">
        <v>31498</v>
      </c>
      <c r="H1100" s="116"/>
      <c r="I1100" s="116"/>
      <c r="L1100" s="170">
        <v>43626</v>
      </c>
      <c r="M1100" s="116">
        <v>241.8</v>
      </c>
      <c r="N1100" s="116">
        <v>243</v>
      </c>
      <c r="O1100" s="116">
        <v>237.5</v>
      </c>
      <c r="P1100" s="116">
        <v>239.95</v>
      </c>
      <c r="Q1100" s="116">
        <v>241.8</v>
      </c>
      <c r="R1100">
        <v>862372</v>
      </c>
    </row>
    <row r="1101" spans="1:18" x14ac:dyDescent="0.25">
      <c r="A1101" s="170">
        <v>43627</v>
      </c>
      <c r="B1101" s="116">
        <v>244</v>
      </c>
      <c r="C1101" s="116">
        <v>241.6</v>
      </c>
      <c r="D1101" s="116">
        <v>240.3</v>
      </c>
      <c r="E1101" s="116">
        <v>244</v>
      </c>
      <c r="F1101" s="116">
        <v>241.6</v>
      </c>
      <c r="G1101">
        <v>28060</v>
      </c>
      <c r="H1101" s="116"/>
      <c r="I1101" s="116"/>
      <c r="L1101" s="170">
        <v>43627</v>
      </c>
      <c r="M1101" s="116">
        <v>241.85</v>
      </c>
      <c r="N1101" s="116">
        <v>243.95</v>
      </c>
      <c r="O1101" s="116">
        <v>240.1</v>
      </c>
      <c r="P1101" s="116">
        <v>242.95</v>
      </c>
      <c r="Q1101" s="116">
        <v>241.85</v>
      </c>
      <c r="R1101">
        <v>716771</v>
      </c>
    </row>
    <row r="1102" spans="1:18" x14ac:dyDescent="0.25">
      <c r="A1102" s="170">
        <v>43628</v>
      </c>
      <c r="B1102" s="116">
        <v>243.9</v>
      </c>
      <c r="C1102" s="116">
        <v>241.7</v>
      </c>
      <c r="D1102" s="116">
        <v>241.25</v>
      </c>
      <c r="E1102" s="116">
        <v>241.35</v>
      </c>
      <c r="F1102" s="116">
        <v>241.7</v>
      </c>
      <c r="G1102">
        <v>29873</v>
      </c>
      <c r="H1102" s="116"/>
      <c r="I1102" s="116"/>
      <c r="L1102" s="170">
        <v>43628</v>
      </c>
      <c r="M1102" s="116">
        <v>241.85</v>
      </c>
      <c r="N1102" s="116">
        <v>243.8</v>
      </c>
      <c r="O1102" s="116">
        <v>241.2</v>
      </c>
      <c r="P1102" s="116">
        <v>241.5</v>
      </c>
      <c r="Q1102" s="116">
        <v>241.85</v>
      </c>
      <c r="R1102">
        <v>414262</v>
      </c>
    </row>
    <row r="1103" spans="1:18" x14ac:dyDescent="0.25">
      <c r="A1103" s="170">
        <v>43629</v>
      </c>
      <c r="B1103" s="116">
        <v>241.65</v>
      </c>
      <c r="C1103" s="116">
        <v>240.35</v>
      </c>
      <c r="D1103" s="116">
        <v>239.2</v>
      </c>
      <c r="E1103" s="116">
        <v>241.45</v>
      </c>
      <c r="F1103" s="116">
        <v>240.35</v>
      </c>
      <c r="G1103">
        <v>16014</v>
      </c>
      <c r="H1103" s="116"/>
      <c r="I1103" s="116"/>
      <c r="L1103" s="170">
        <v>43629</v>
      </c>
      <c r="M1103" s="116">
        <v>239.85</v>
      </c>
      <c r="N1103" s="116">
        <v>243.75</v>
      </c>
      <c r="O1103" s="116">
        <v>238.8</v>
      </c>
      <c r="P1103" s="116">
        <v>243.75</v>
      </c>
      <c r="Q1103" s="116">
        <v>239.85</v>
      </c>
      <c r="R1103">
        <v>438434</v>
      </c>
    </row>
    <row r="1104" spans="1:18" x14ac:dyDescent="0.25">
      <c r="A1104" s="170">
        <v>43630</v>
      </c>
      <c r="B1104" s="116">
        <v>241.2</v>
      </c>
      <c r="C1104" s="116">
        <v>237.25</v>
      </c>
      <c r="D1104" s="116">
        <v>236.6</v>
      </c>
      <c r="E1104" s="116">
        <v>239.45</v>
      </c>
      <c r="F1104" s="116">
        <v>237.25</v>
      </c>
      <c r="G1104">
        <v>35712</v>
      </c>
      <c r="H1104" s="116"/>
      <c r="I1104" s="116"/>
      <c r="L1104" s="170">
        <v>43630</v>
      </c>
      <c r="M1104" s="116">
        <v>236.75</v>
      </c>
      <c r="N1104" s="116">
        <v>241.2</v>
      </c>
      <c r="O1104" s="116">
        <v>236.1</v>
      </c>
      <c r="P1104" s="116">
        <v>240.8</v>
      </c>
      <c r="Q1104" s="116">
        <v>236.75</v>
      </c>
      <c r="R1104">
        <v>784216</v>
      </c>
    </row>
    <row r="1105" spans="1:18" x14ac:dyDescent="0.25">
      <c r="A1105" s="170">
        <v>43633</v>
      </c>
      <c r="B1105" s="116">
        <v>237.5</v>
      </c>
      <c r="C1105" s="116">
        <v>234.6</v>
      </c>
      <c r="D1105" s="116">
        <v>233.95</v>
      </c>
      <c r="E1105" s="116">
        <v>237.5</v>
      </c>
      <c r="F1105" s="116">
        <v>234.6</v>
      </c>
      <c r="G1105">
        <v>20973</v>
      </c>
      <c r="H1105" s="116"/>
      <c r="I1105" s="116"/>
      <c r="L1105" s="170">
        <v>43633</v>
      </c>
      <c r="M1105" s="116">
        <v>234.75</v>
      </c>
      <c r="N1105" s="116">
        <v>236.8</v>
      </c>
      <c r="O1105" s="116">
        <v>233.5</v>
      </c>
      <c r="P1105" s="116">
        <v>235.35</v>
      </c>
      <c r="Q1105" s="116">
        <v>234.75</v>
      </c>
      <c r="R1105">
        <v>462733</v>
      </c>
    </row>
    <row r="1106" spans="1:18" x14ac:dyDescent="0.25">
      <c r="A1106" s="170">
        <v>43634</v>
      </c>
      <c r="B1106" s="116">
        <v>234.85</v>
      </c>
      <c r="C1106" s="116">
        <v>231.75</v>
      </c>
      <c r="D1106" s="116">
        <v>230.35</v>
      </c>
      <c r="E1106" s="116">
        <v>234.85</v>
      </c>
      <c r="F1106" s="116">
        <v>231.75</v>
      </c>
      <c r="G1106">
        <v>52843</v>
      </c>
      <c r="H1106" s="116"/>
      <c r="I1106" s="116"/>
      <c r="L1106" s="170">
        <v>43634</v>
      </c>
      <c r="M1106" s="116">
        <v>231.6</v>
      </c>
      <c r="N1106" s="116">
        <v>234.25</v>
      </c>
      <c r="O1106" s="116">
        <v>230.15</v>
      </c>
      <c r="P1106" s="116">
        <v>233.55</v>
      </c>
      <c r="Q1106" s="116">
        <v>231.6</v>
      </c>
      <c r="R1106">
        <v>1228433</v>
      </c>
    </row>
    <row r="1107" spans="1:18" x14ac:dyDescent="0.25">
      <c r="A1107" s="170">
        <v>43635</v>
      </c>
      <c r="B1107" s="116">
        <v>235.15</v>
      </c>
      <c r="C1107" s="116">
        <v>231.9</v>
      </c>
      <c r="D1107" s="116">
        <v>230.25</v>
      </c>
      <c r="E1107" s="116">
        <v>234.55</v>
      </c>
      <c r="F1107" s="116">
        <v>231.9</v>
      </c>
      <c r="G1107">
        <v>19607</v>
      </c>
      <c r="H1107" s="116"/>
      <c r="I1107" s="116"/>
      <c r="L1107" s="170">
        <v>43635</v>
      </c>
      <c r="M1107" s="116">
        <v>231.9</v>
      </c>
      <c r="N1107" s="116">
        <v>235.35</v>
      </c>
      <c r="O1107" s="116">
        <v>230.1</v>
      </c>
      <c r="P1107" s="116">
        <v>232.8</v>
      </c>
      <c r="Q1107" s="116">
        <v>231.9</v>
      </c>
      <c r="R1107">
        <v>569082</v>
      </c>
    </row>
    <row r="1108" spans="1:18" x14ac:dyDescent="0.25">
      <c r="A1108" s="170">
        <v>43636</v>
      </c>
      <c r="B1108" s="116">
        <v>235</v>
      </c>
      <c r="C1108" s="116">
        <v>233.9</v>
      </c>
      <c r="D1108" s="116">
        <v>228.75</v>
      </c>
      <c r="E1108" s="116">
        <v>235</v>
      </c>
      <c r="F1108" s="116">
        <v>233.9</v>
      </c>
      <c r="G1108">
        <v>37609</v>
      </c>
      <c r="H1108" s="116"/>
      <c r="I1108" s="116"/>
      <c r="L1108" s="170">
        <v>43636</v>
      </c>
      <c r="M1108" s="116">
        <v>233.85</v>
      </c>
      <c r="N1108" s="116">
        <v>234.4</v>
      </c>
      <c r="O1108" s="116">
        <v>228.45</v>
      </c>
      <c r="P1108" s="116">
        <v>231</v>
      </c>
      <c r="Q1108" s="116">
        <v>233.85</v>
      </c>
      <c r="R1108">
        <v>963687</v>
      </c>
    </row>
    <row r="1109" spans="1:18" x14ac:dyDescent="0.25">
      <c r="A1109" s="170">
        <v>43637</v>
      </c>
      <c r="B1109" s="116">
        <v>233.95</v>
      </c>
      <c r="C1109" s="116">
        <v>230.9</v>
      </c>
      <c r="D1109" s="116">
        <v>229.55</v>
      </c>
      <c r="E1109" s="116">
        <v>233.95</v>
      </c>
      <c r="F1109" s="116">
        <v>230.9</v>
      </c>
      <c r="G1109">
        <v>22706</v>
      </c>
      <c r="H1109" s="116"/>
      <c r="I1109" s="116"/>
      <c r="L1109" s="170">
        <v>43637</v>
      </c>
      <c r="M1109" s="116">
        <v>230.75</v>
      </c>
      <c r="N1109" s="116">
        <v>233.8</v>
      </c>
      <c r="O1109" s="116">
        <v>229.45</v>
      </c>
      <c r="P1109" s="116">
        <v>233.8</v>
      </c>
      <c r="Q1109" s="116">
        <v>230.75</v>
      </c>
      <c r="R1109">
        <v>1616854</v>
      </c>
    </row>
    <row r="1110" spans="1:18" x14ac:dyDescent="0.25">
      <c r="A1110" s="170">
        <v>43640</v>
      </c>
      <c r="B1110" s="116">
        <v>231.95</v>
      </c>
      <c r="C1110" s="116">
        <v>228.1</v>
      </c>
      <c r="D1110" s="116">
        <v>226.7</v>
      </c>
      <c r="E1110" s="116">
        <v>230.5</v>
      </c>
      <c r="F1110" s="116">
        <v>228.1</v>
      </c>
      <c r="G1110">
        <v>21718</v>
      </c>
      <c r="H1110" s="116"/>
      <c r="I1110" s="116"/>
      <c r="L1110" s="170">
        <v>43640</v>
      </c>
      <c r="M1110" s="116">
        <v>227.95</v>
      </c>
      <c r="N1110" s="116">
        <v>231.85</v>
      </c>
      <c r="O1110" s="116">
        <v>226.6</v>
      </c>
      <c r="P1110" s="116">
        <v>230.75</v>
      </c>
      <c r="Q1110" s="116">
        <v>227.95</v>
      </c>
      <c r="R1110">
        <v>441784</v>
      </c>
    </row>
    <row r="1111" spans="1:18" x14ac:dyDescent="0.25">
      <c r="A1111" s="170">
        <v>43641</v>
      </c>
      <c r="B1111" s="116">
        <v>231</v>
      </c>
      <c r="C1111" s="116">
        <v>230.6</v>
      </c>
      <c r="D1111" s="116">
        <v>225.7</v>
      </c>
      <c r="E1111" s="116">
        <v>226</v>
      </c>
      <c r="F1111" s="116">
        <v>230.6</v>
      </c>
      <c r="G1111">
        <v>20764</v>
      </c>
      <c r="H1111" s="116"/>
      <c r="I1111" s="116"/>
      <c r="L1111" s="170">
        <v>43641</v>
      </c>
      <c r="M1111" s="116">
        <v>230.6</v>
      </c>
      <c r="N1111" s="116">
        <v>231.1</v>
      </c>
      <c r="O1111" s="116">
        <v>225.85</v>
      </c>
      <c r="P1111" s="116">
        <v>227.25</v>
      </c>
      <c r="Q1111" s="116">
        <v>230.6</v>
      </c>
      <c r="R1111">
        <v>789840</v>
      </c>
    </row>
    <row r="1112" spans="1:18" x14ac:dyDescent="0.25">
      <c r="A1112" s="170">
        <v>43642</v>
      </c>
      <c r="B1112" s="116">
        <v>241.8</v>
      </c>
      <c r="C1112" s="116">
        <v>240.45</v>
      </c>
      <c r="D1112" s="116">
        <v>230</v>
      </c>
      <c r="E1112" s="116">
        <v>235.8</v>
      </c>
      <c r="F1112" s="116">
        <v>240.45</v>
      </c>
      <c r="G1112">
        <v>56755</v>
      </c>
      <c r="H1112" s="116"/>
      <c r="I1112" s="116"/>
      <c r="L1112" s="170">
        <v>43642</v>
      </c>
      <c r="M1112" s="116">
        <v>240.9</v>
      </c>
      <c r="N1112" s="116">
        <v>242.1</v>
      </c>
      <c r="O1112" s="116">
        <v>229.9</v>
      </c>
      <c r="P1112" s="116">
        <v>230.6</v>
      </c>
      <c r="Q1112" s="116">
        <v>240.9</v>
      </c>
      <c r="R1112">
        <v>1220507</v>
      </c>
    </row>
    <row r="1113" spans="1:18" x14ac:dyDescent="0.25">
      <c r="A1113" s="170">
        <v>43643</v>
      </c>
      <c r="B1113" s="116">
        <v>246</v>
      </c>
      <c r="C1113" s="116">
        <v>244.85</v>
      </c>
      <c r="D1113" s="116">
        <v>239.55</v>
      </c>
      <c r="E1113" s="116">
        <v>243.5</v>
      </c>
      <c r="F1113" s="116">
        <v>244.85</v>
      </c>
      <c r="G1113">
        <v>59910</v>
      </c>
      <c r="H1113" s="116"/>
      <c r="I1113" s="116"/>
      <c r="L1113" s="170">
        <v>43643</v>
      </c>
      <c r="M1113" s="116">
        <v>244.6</v>
      </c>
      <c r="N1113" s="116">
        <v>246.3</v>
      </c>
      <c r="O1113" s="116">
        <v>239.35</v>
      </c>
      <c r="P1113" s="116">
        <v>243</v>
      </c>
      <c r="Q1113" s="116">
        <v>244.6</v>
      </c>
      <c r="R1113">
        <v>2362554</v>
      </c>
    </row>
    <row r="1114" spans="1:18" x14ac:dyDescent="0.25">
      <c r="A1114" s="170">
        <v>43644</v>
      </c>
      <c r="B1114" s="116">
        <v>244.5</v>
      </c>
      <c r="C1114" s="116">
        <v>244</v>
      </c>
      <c r="D1114" s="116">
        <v>242.2</v>
      </c>
      <c r="E1114" s="116">
        <v>244.5</v>
      </c>
      <c r="F1114" s="116">
        <v>244</v>
      </c>
      <c r="G1114">
        <v>14019</v>
      </c>
      <c r="H1114" s="116"/>
      <c r="I1114" s="116"/>
      <c r="L1114" s="170">
        <v>43644</v>
      </c>
      <c r="M1114" s="116">
        <v>244.1</v>
      </c>
      <c r="N1114" s="116">
        <v>244.6</v>
      </c>
      <c r="O1114" s="116">
        <v>241.1</v>
      </c>
      <c r="P1114" s="116">
        <v>243.95</v>
      </c>
      <c r="Q1114" s="116">
        <v>244.1</v>
      </c>
      <c r="R1114">
        <v>576134</v>
      </c>
    </row>
    <row r="1115" spans="1:18" x14ac:dyDescent="0.25">
      <c r="A1115" s="170">
        <v>43647</v>
      </c>
      <c r="B1115" s="116">
        <v>248.45</v>
      </c>
      <c r="C1115" s="116">
        <v>245</v>
      </c>
      <c r="D1115" s="116">
        <v>242.4</v>
      </c>
      <c r="E1115" s="116">
        <v>244.85</v>
      </c>
      <c r="F1115" s="116">
        <v>245</v>
      </c>
      <c r="G1115">
        <v>50293</v>
      </c>
      <c r="H1115" s="116"/>
      <c r="I1115" s="116"/>
      <c r="L1115" s="170">
        <v>43647</v>
      </c>
      <c r="M1115" s="116">
        <v>244.55</v>
      </c>
      <c r="N1115" s="116">
        <v>248.55</v>
      </c>
      <c r="O1115" s="116">
        <v>242</v>
      </c>
      <c r="P1115" s="116">
        <v>244.05</v>
      </c>
      <c r="Q1115" s="116">
        <v>244.55</v>
      </c>
      <c r="R1115">
        <v>1489925</v>
      </c>
    </row>
    <row r="1116" spans="1:18" x14ac:dyDescent="0.25">
      <c r="A1116" s="170">
        <v>43648</v>
      </c>
      <c r="B1116" s="116">
        <v>246.25</v>
      </c>
      <c r="C1116" s="116">
        <v>242.25</v>
      </c>
      <c r="D1116" s="116">
        <v>241.95</v>
      </c>
      <c r="E1116" s="116">
        <v>246.25</v>
      </c>
      <c r="F1116" s="116">
        <v>242.25</v>
      </c>
      <c r="G1116">
        <v>18234</v>
      </c>
      <c r="H1116" s="116"/>
      <c r="I1116" s="116"/>
      <c r="L1116" s="170">
        <v>43648</v>
      </c>
      <c r="M1116" s="116">
        <v>242.2</v>
      </c>
      <c r="N1116" s="116">
        <v>246.45</v>
      </c>
      <c r="O1116" s="116">
        <v>241.25</v>
      </c>
      <c r="P1116" s="116">
        <v>246</v>
      </c>
      <c r="Q1116" s="116">
        <v>242.2</v>
      </c>
      <c r="R1116">
        <v>372125</v>
      </c>
    </row>
    <row r="1117" spans="1:18" x14ac:dyDescent="0.25">
      <c r="A1117" s="170">
        <v>43649</v>
      </c>
      <c r="B1117" s="116">
        <v>243</v>
      </c>
      <c r="C1117" s="116">
        <v>240.8</v>
      </c>
      <c r="D1117" s="116">
        <v>238.8</v>
      </c>
      <c r="E1117" s="116">
        <v>243</v>
      </c>
      <c r="F1117" s="116">
        <v>240.8</v>
      </c>
      <c r="G1117">
        <v>18569</v>
      </c>
      <c r="H1117" s="116"/>
      <c r="I1117" s="116"/>
      <c r="L1117" s="170">
        <v>43649</v>
      </c>
      <c r="M1117" s="116">
        <v>240.85</v>
      </c>
      <c r="N1117" s="116">
        <v>244.6</v>
      </c>
      <c r="O1117" s="116">
        <v>238.8</v>
      </c>
      <c r="P1117" s="116">
        <v>243</v>
      </c>
      <c r="Q1117" s="116">
        <v>240.85</v>
      </c>
      <c r="R1117">
        <v>618706</v>
      </c>
    </row>
    <row r="1118" spans="1:18" x14ac:dyDescent="0.25">
      <c r="A1118" s="170">
        <v>43650</v>
      </c>
      <c r="B1118" s="116">
        <v>241.1</v>
      </c>
      <c r="C1118" s="116">
        <v>239.7</v>
      </c>
      <c r="D1118" s="116">
        <v>237</v>
      </c>
      <c r="E1118" s="116">
        <v>240.8</v>
      </c>
      <c r="F1118" s="116">
        <v>239.7</v>
      </c>
      <c r="G1118">
        <v>22865</v>
      </c>
      <c r="H1118" s="116"/>
      <c r="I1118" s="116"/>
      <c r="L1118" s="170">
        <v>43650</v>
      </c>
      <c r="M1118" s="116">
        <v>239.85</v>
      </c>
      <c r="N1118" s="116">
        <v>241.75</v>
      </c>
      <c r="O1118" s="116">
        <v>236.8</v>
      </c>
      <c r="P1118" s="116">
        <v>241</v>
      </c>
      <c r="Q1118" s="116">
        <v>239.85</v>
      </c>
      <c r="R1118">
        <v>894430</v>
      </c>
    </row>
    <row r="1119" spans="1:18" x14ac:dyDescent="0.25">
      <c r="A1119" s="170">
        <v>43651</v>
      </c>
      <c r="B1119" s="116">
        <v>240.5</v>
      </c>
      <c r="C1119" s="116">
        <v>234.7</v>
      </c>
      <c r="D1119" s="116">
        <v>233.6</v>
      </c>
      <c r="E1119" s="116">
        <v>240.45</v>
      </c>
      <c r="F1119" s="116">
        <v>234.7</v>
      </c>
      <c r="G1119">
        <v>18725</v>
      </c>
      <c r="H1119" s="116"/>
      <c r="I1119" s="116"/>
      <c r="L1119" s="170">
        <v>43651</v>
      </c>
      <c r="M1119" s="116">
        <v>234.65</v>
      </c>
      <c r="N1119" s="116">
        <v>241.5</v>
      </c>
      <c r="O1119" s="116">
        <v>233.35</v>
      </c>
      <c r="P1119" s="116">
        <v>240.55</v>
      </c>
      <c r="Q1119" s="116">
        <v>234.65</v>
      </c>
      <c r="R1119">
        <v>315981</v>
      </c>
    </row>
    <row r="1120" spans="1:18" x14ac:dyDescent="0.25">
      <c r="A1120" s="170">
        <v>43654</v>
      </c>
      <c r="B1120" s="116">
        <v>234.7</v>
      </c>
      <c r="C1120" s="116">
        <v>229.3</v>
      </c>
      <c r="D1120" s="116">
        <v>228.7</v>
      </c>
      <c r="E1120" s="116">
        <v>234.7</v>
      </c>
      <c r="F1120" s="116">
        <v>229.3</v>
      </c>
      <c r="G1120">
        <v>20373</v>
      </c>
      <c r="H1120" s="116"/>
      <c r="I1120" s="116"/>
      <c r="L1120" s="170">
        <v>43654</v>
      </c>
      <c r="M1120" s="116">
        <v>229.25</v>
      </c>
      <c r="N1120" s="116">
        <v>233.5</v>
      </c>
      <c r="O1120" s="116">
        <v>228.55</v>
      </c>
      <c r="P1120" s="116">
        <v>233.5</v>
      </c>
      <c r="Q1120" s="116">
        <v>229.25</v>
      </c>
      <c r="R1120">
        <v>395577</v>
      </c>
    </row>
    <row r="1121" spans="1:18" x14ac:dyDescent="0.25">
      <c r="A1121" s="170">
        <v>43655</v>
      </c>
      <c r="B1121" s="116">
        <v>235</v>
      </c>
      <c r="C1121" s="116">
        <v>230.7</v>
      </c>
      <c r="D1121" s="116">
        <v>226.25</v>
      </c>
      <c r="E1121" s="116">
        <v>235</v>
      </c>
      <c r="F1121" s="116">
        <v>230.7</v>
      </c>
      <c r="G1121">
        <v>21713</v>
      </c>
      <c r="H1121" s="116"/>
      <c r="I1121" s="116"/>
      <c r="L1121" s="170">
        <v>43655</v>
      </c>
      <c r="M1121" s="116">
        <v>230.45</v>
      </c>
      <c r="N1121" s="116">
        <v>231</v>
      </c>
      <c r="O1121" s="116">
        <v>226</v>
      </c>
      <c r="P1121" s="116">
        <v>228.95</v>
      </c>
      <c r="Q1121" s="116">
        <v>230.45</v>
      </c>
      <c r="R1121">
        <v>494281</v>
      </c>
    </row>
    <row r="1122" spans="1:18" x14ac:dyDescent="0.25">
      <c r="A1122" s="170">
        <v>43656</v>
      </c>
      <c r="B1122" s="116">
        <v>234.9</v>
      </c>
      <c r="C1122" s="116">
        <v>223.2</v>
      </c>
      <c r="D1122" s="116">
        <v>222.35</v>
      </c>
      <c r="E1122" s="116">
        <v>234.9</v>
      </c>
      <c r="F1122" s="116">
        <v>223.2</v>
      </c>
      <c r="G1122">
        <v>39660</v>
      </c>
      <c r="H1122" s="116"/>
      <c r="I1122" s="116"/>
      <c r="L1122" s="170">
        <v>43656</v>
      </c>
      <c r="M1122" s="116">
        <v>223.1</v>
      </c>
      <c r="N1122" s="116">
        <v>231.6</v>
      </c>
      <c r="O1122" s="116">
        <v>222.3</v>
      </c>
      <c r="P1122" s="116">
        <v>230.95</v>
      </c>
      <c r="Q1122" s="116">
        <v>223.1</v>
      </c>
      <c r="R1122">
        <v>1232438</v>
      </c>
    </row>
    <row r="1123" spans="1:18" x14ac:dyDescent="0.25">
      <c r="A1123" s="170">
        <v>43657</v>
      </c>
      <c r="B1123" s="116">
        <v>228.75</v>
      </c>
      <c r="C1123" s="116">
        <v>228.1</v>
      </c>
      <c r="D1123" s="116">
        <v>222.6</v>
      </c>
      <c r="E1123" s="116">
        <v>225</v>
      </c>
      <c r="F1123" s="116">
        <v>228.1</v>
      </c>
      <c r="G1123">
        <v>19956</v>
      </c>
      <c r="H1123" s="116"/>
      <c r="I1123" s="116"/>
      <c r="L1123" s="170">
        <v>43657</v>
      </c>
      <c r="M1123" s="116">
        <v>228.05</v>
      </c>
      <c r="N1123" s="116">
        <v>228.75</v>
      </c>
      <c r="O1123" s="116">
        <v>222.15</v>
      </c>
      <c r="P1123" s="116">
        <v>225</v>
      </c>
      <c r="Q1123" s="116">
        <v>228.05</v>
      </c>
      <c r="R1123">
        <v>511563</v>
      </c>
    </row>
    <row r="1124" spans="1:18" x14ac:dyDescent="0.25">
      <c r="A1124" s="170">
        <v>43658</v>
      </c>
      <c r="B1124" s="116">
        <v>230</v>
      </c>
      <c r="C1124" s="116">
        <v>227.65</v>
      </c>
      <c r="D1124" s="116">
        <v>224.7</v>
      </c>
      <c r="E1124" s="116">
        <v>229.5</v>
      </c>
      <c r="F1124" s="116">
        <v>227.65</v>
      </c>
      <c r="G1124">
        <v>43378</v>
      </c>
      <c r="H1124" s="116"/>
      <c r="I1124" s="116"/>
      <c r="L1124" s="170">
        <v>43658</v>
      </c>
      <c r="M1124" s="116">
        <v>227.85</v>
      </c>
      <c r="N1124" s="116">
        <v>229.95</v>
      </c>
      <c r="O1124" s="116">
        <v>224.3</v>
      </c>
      <c r="P1124" s="116">
        <v>227.95</v>
      </c>
      <c r="Q1124" s="116">
        <v>227.85</v>
      </c>
      <c r="R1124">
        <v>632290</v>
      </c>
    </row>
    <row r="1125" spans="1:18" x14ac:dyDescent="0.25">
      <c r="A1125" s="170">
        <v>43661</v>
      </c>
      <c r="B1125" s="116">
        <v>228.6</v>
      </c>
      <c r="C1125" s="116">
        <v>228.1</v>
      </c>
      <c r="D1125" s="116">
        <v>224.8</v>
      </c>
      <c r="E1125" s="116">
        <v>227</v>
      </c>
      <c r="F1125" s="116">
        <v>228.1</v>
      </c>
      <c r="G1125">
        <v>21578</v>
      </c>
      <c r="H1125" s="116"/>
      <c r="I1125" s="116"/>
      <c r="L1125" s="170">
        <v>43661</v>
      </c>
      <c r="M1125" s="116">
        <v>228.35</v>
      </c>
      <c r="N1125" s="116">
        <v>229.2</v>
      </c>
      <c r="O1125" s="116">
        <v>224.75</v>
      </c>
      <c r="P1125" s="116">
        <v>228.5</v>
      </c>
      <c r="Q1125" s="116">
        <v>228.35</v>
      </c>
      <c r="R1125">
        <v>369400</v>
      </c>
    </row>
    <row r="1126" spans="1:18" x14ac:dyDescent="0.25">
      <c r="A1126" s="170">
        <v>43662</v>
      </c>
      <c r="B1126" s="116">
        <v>232</v>
      </c>
      <c r="C1126" s="116">
        <v>229.15</v>
      </c>
      <c r="D1126" s="116">
        <v>227.65</v>
      </c>
      <c r="E1126" s="116">
        <v>231.8</v>
      </c>
      <c r="F1126" s="116">
        <v>229.15</v>
      </c>
      <c r="G1126">
        <v>33640</v>
      </c>
      <c r="H1126" s="116"/>
      <c r="I1126" s="116"/>
      <c r="L1126" s="170">
        <v>43662</v>
      </c>
      <c r="M1126" s="116">
        <v>229.05</v>
      </c>
      <c r="N1126" s="116">
        <v>232</v>
      </c>
      <c r="O1126" s="116">
        <v>227.65</v>
      </c>
      <c r="P1126" s="116">
        <v>228.25</v>
      </c>
      <c r="Q1126" s="116">
        <v>229.05</v>
      </c>
      <c r="R1126">
        <v>899006</v>
      </c>
    </row>
    <row r="1127" spans="1:18" x14ac:dyDescent="0.25">
      <c r="A1127" s="170">
        <v>43663</v>
      </c>
      <c r="B1127" s="116">
        <v>231.75</v>
      </c>
      <c r="C1127" s="116">
        <v>230.55</v>
      </c>
      <c r="D1127" s="116">
        <v>227.8</v>
      </c>
      <c r="E1127" s="116">
        <v>229.15</v>
      </c>
      <c r="F1127" s="116">
        <v>230.55</v>
      </c>
      <c r="G1127">
        <v>33093</v>
      </c>
      <c r="H1127" s="116"/>
      <c r="I1127" s="116"/>
      <c r="L1127" s="170">
        <v>43663</v>
      </c>
      <c r="M1127" s="116">
        <v>230.5</v>
      </c>
      <c r="N1127" s="116">
        <v>231.75</v>
      </c>
      <c r="O1127" s="116">
        <v>227.7</v>
      </c>
      <c r="P1127" s="116">
        <v>229</v>
      </c>
      <c r="Q1127" s="116">
        <v>230.5</v>
      </c>
      <c r="R1127">
        <v>388621</v>
      </c>
    </row>
    <row r="1128" spans="1:18" x14ac:dyDescent="0.25">
      <c r="A1128" s="170">
        <v>43664</v>
      </c>
      <c r="B1128" s="116">
        <v>230.5</v>
      </c>
      <c r="C1128" s="116">
        <v>225</v>
      </c>
      <c r="D1128" s="116">
        <v>224.5</v>
      </c>
      <c r="E1128" s="116">
        <v>230.5</v>
      </c>
      <c r="F1128" s="116">
        <v>225</v>
      </c>
      <c r="G1128">
        <v>20117</v>
      </c>
      <c r="H1128" s="116"/>
      <c r="I1128" s="116"/>
      <c r="L1128" s="170">
        <v>43664</v>
      </c>
      <c r="M1128" s="116">
        <v>225.1</v>
      </c>
      <c r="N1128" s="116">
        <v>230.55</v>
      </c>
      <c r="O1128" s="116">
        <v>224.4</v>
      </c>
      <c r="P1128" s="116">
        <v>230.25</v>
      </c>
      <c r="Q1128" s="116">
        <v>225.1</v>
      </c>
      <c r="R1128">
        <v>490840</v>
      </c>
    </row>
    <row r="1129" spans="1:18" x14ac:dyDescent="0.25">
      <c r="A1129" s="170">
        <v>43665</v>
      </c>
      <c r="B1129" s="116">
        <v>229.8</v>
      </c>
      <c r="C1129" s="116">
        <v>219.75</v>
      </c>
      <c r="D1129" s="116">
        <v>217.95</v>
      </c>
      <c r="E1129" s="116">
        <v>229.8</v>
      </c>
      <c r="F1129" s="116">
        <v>219.75</v>
      </c>
      <c r="G1129">
        <v>90742</v>
      </c>
      <c r="H1129" s="116"/>
      <c r="I1129" s="116"/>
      <c r="L1129" s="170">
        <v>43665</v>
      </c>
      <c r="M1129" s="116">
        <v>220.05</v>
      </c>
      <c r="N1129" s="116">
        <v>228.8</v>
      </c>
      <c r="O1129" s="116">
        <v>217.55</v>
      </c>
      <c r="P1129" s="116">
        <v>225.1</v>
      </c>
      <c r="Q1129" s="116">
        <v>220.05</v>
      </c>
      <c r="R1129">
        <v>1470948</v>
      </c>
    </row>
    <row r="1130" spans="1:18" x14ac:dyDescent="0.25">
      <c r="A1130" s="170">
        <v>43668</v>
      </c>
      <c r="B1130" s="116">
        <v>228.95</v>
      </c>
      <c r="C1130" s="116">
        <v>224.7</v>
      </c>
      <c r="D1130" s="116">
        <v>218</v>
      </c>
      <c r="E1130" s="116">
        <v>219.5</v>
      </c>
      <c r="F1130" s="116">
        <v>224.7</v>
      </c>
      <c r="G1130">
        <v>56577</v>
      </c>
      <c r="H1130" s="116"/>
      <c r="I1130" s="116"/>
      <c r="L1130" s="170">
        <v>43668</v>
      </c>
      <c r="M1130" s="116">
        <v>224.6</v>
      </c>
      <c r="N1130" s="116">
        <v>228.9</v>
      </c>
      <c r="O1130" s="116">
        <v>217.1</v>
      </c>
      <c r="P1130" s="116">
        <v>217.1</v>
      </c>
      <c r="Q1130" s="116">
        <v>224.6</v>
      </c>
      <c r="R1130">
        <v>1250238</v>
      </c>
    </row>
    <row r="1131" spans="1:18" x14ac:dyDescent="0.25">
      <c r="A1131" s="170">
        <v>43669</v>
      </c>
      <c r="B1131" s="116">
        <v>225.65</v>
      </c>
      <c r="C1131" s="116">
        <v>222.85</v>
      </c>
      <c r="D1131" s="116">
        <v>222.1</v>
      </c>
      <c r="E1131" s="116">
        <v>225</v>
      </c>
      <c r="F1131" s="116">
        <v>222.85</v>
      </c>
      <c r="G1131">
        <v>13251</v>
      </c>
      <c r="H1131" s="116"/>
      <c r="I1131" s="116"/>
      <c r="L1131" s="170">
        <v>43669</v>
      </c>
      <c r="M1131" s="116">
        <v>222.95</v>
      </c>
      <c r="N1131" s="116">
        <v>225.9</v>
      </c>
      <c r="O1131" s="116">
        <v>221.95</v>
      </c>
      <c r="P1131" s="116">
        <v>222.65</v>
      </c>
      <c r="Q1131" s="116">
        <v>222.95</v>
      </c>
      <c r="R1131">
        <v>714424</v>
      </c>
    </row>
    <row r="1132" spans="1:18" x14ac:dyDescent="0.25">
      <c r="A1132" s="170">
        <v>43670</v>
      </c>
      <c r="B1132" s="116">
        <v>223.3</v>
      </c>
      <c r="C1132" s="116">
        <v>218.7</v>
      </c>
      <c r="D1132" s="116">
        <v>217.6</v>
      </c>
      <c r="E1132" s="116">
        <v>222.9</v>
      </c>
      <c r="F1132" s="116">
        <v>218.7</v>
      </c>
      <c r="G1132">
        <v>26069</v>
      </c>
      <c r="H1132" s="116"/>
      <c r="I1132" s="116"/>
      <c r="L1132" s="170">
        <v>43670</v>
      </c>
      <c r="M1132" s="116">
        <v>218.75</v>
      </c>
      <c r="N1132" s="116">
        <v>223.35</v>
      </c>
      <c r="O1132" s="116">
        <v>217.65</v>
      </c>
      <c r="P1132" s="116">
        <v>222.1</v>
      </c>
      <c r="Q1132" s="116">
        <v>218.75</v>
      </c>
      <c r="R1132">
        <v>561493</v>
      </c>
    </row>
    <row r="1133" spans="1:18" x14ac:dyDescent="0.25">
      <c r="A1133" s="170">
        <v>43671</v>
      </c>
      <c r="B1133" s="116">
        <v>221.8</v>
      </c>
      <c r="C1133" s="116">
        <v>217.45</v>
      </c>
      <c r="D1133" s="116">
        <v>216.3</v>
      </c>
      <c r="E1133" s="116">
        <v>218.75</v>
      </c>
      <c r="F1133" s="116">
        <v>217.45</v>
      </c>
      <c r="G1133">
        <v>33441</v>
      </c>
      <c r="H1133" s="116"/>
      <c r="I1133" s="116"/>
      <c r="L1133" s="170">
        <v>43671</v>
      </c>
      <c r="M1133" s="116">
        <v>217.1</v>
      </c>
      <c r="N1133" s="116">
        <v>221.85</v>
      </c>
      <c r="O1133" s="116">
        <v>215.8</v>
      </c>
      <c r="P1133" s="116">
        <v>219.4</v>
      </c>
      <c r="Q1133" s="116">
        <v>217.1</v>
      </c>
      <c r="R1133">
        <v>1495203</v>
      </c>
    </row>
    <row r="1134" spans="1:18" x14ac:dyDescent="0.25">
      <c r="A1134" s="170">
        <v>43672</v>
      </c>
      <c r="B1134" s="116">
        <v>226.15</v>
      </c>
      <c r="C1134" s="116">
        <v>225.3</v>
      </c>
      <c r="D1134" s="116">
        <v>216</v>
      </c>
      <c r="E1134" s="116">
        <v>219.95</v>
      </c>
      <c r="F1134" s="116">
        <v>225.3</v>
      </c>
      <c r="G1134">
        <v>42098</v>
      </c>
      <c r="H1134" s="116"/>
      <c r="I1134" s="116"/>
      <c r="L1134" s="170">
        <v>43672</v>
      </c>
      <c r="M1134" s="116">
        <v>225.5</v>
      </c>
      <c r="N1134" s="116">
        <v>226.2</v>
      </c>
      <c r="O1134" s="116">
        <v>214.3</v>
      </c>
      <c r="P1134" s="116">
        <v>218.2</v>
      </c>
      <c r="Q1134" s="116">
        <v>225.5</v>
      </c>
      <c r="R1134">
        <v>807673</v>
      </c>
    </row>
    <row r="1135" spans="1:18" x14ac:dyDescent="0.25">
      <c r="A1135" s="170">
        <v>43675</v>
      </c>
      <c r="B1135" s="116">
        <v>224.4</v>
      </c>
      <c r="C1135" s="116">
        <v>215.75</v>
      </c>
      <c r="D1135" s="116">
        <v>214.75</v>
      </c>
      <c r="E1135" s="116">
        <v>224</v>
      </c>
      <c r="F1135" s="116">
        <v>215.75</v>
      </c>
      <c r="G1135">
        <v>38883</v>
      </c>
      <c r="H1135" s="116"/>
      <c r="I1135" s="116"/>
      <c r="L1135" s="170">
        <v>43675</v>
      </c>
      <c r="M1135" s="116">
        <v>215.75</v>
      </c>
      <c r="N1135" s="116">
        <v>225</v>
      </c>
      <c r="O1135" s="116">
        <v>214.35</v>
      </c>
      <c r="P1135" s="116">
        <v>225</v>
      </c>
      <c r="Q1135" s="116">
        <v>215.75</v>
      </c>
      <c r="R1135">
        <v>1527410</v>
      </c>
    </row>
    <row r="1136" spans="1:18" x14ac:dyDescent="0.25">
      <c r="A1136" s="170">
        <v>43676</v>
      </c>
      <c r="B1136" s="116">
        <v>220.5</v>
      </c>
      <c r="C1136" s="116">
        <v>214.3</v>
      </c>
      <c r="D1136" s="116">
        <v>213.2</v>
      </c>
      <c r="E1136" s="116">
        <v>216.15</v>
      </c>
      <c r="F1136" s="116">
        <v>214.3</v>
      </c>
      <c r="G1136">
        <v>32576</v>
      </c>
      <c r="H1136" s="116"/>
      <c r="I1136" s="116"/>
      <c r="L1136" s="170">
        <v>43676</v>
      </c>
      <c r="M1136" s="116">
        <v>214.1</v>
      </c>
      <c r="N1136" s="116">
        <v>220.8</v>
      </c>
      <c r="O1136" s="116">
        <v>213.1</v>
      </c>
      <c r="P1136" s="116">
        <v>215.8</v>
      </c>
      <c r="Q1136" s="116">
        <v>214.1</v>
      </c>
      <c r="R1136">
        <v>1102600</v>
      </c>
    </row>
    <row r="1137" spans="1:18" x14ac:dyDescent="0.25">
      <c r="A1137" s="170">
        <v>43677</v>
      </c>
      <c r="B1137" s="116">
        <v>217.5</v>
      </c>
      <c r="C1137" s="116">
        <v>216.8</v>
      </c>
      <c r="D1137" s="116">
        <v>211.4</v>
      </c>
      <c r="E1137" s="116">
        <v>213</v>
      </c>
      <c r="F1137" s="116">
        <v>216.8</v>
      </c>
      <c r="G1137">
        <v>29701</v>
      </c>
      <c r="H1137" s="116"/>
      <c r="I1137" s="116"/>
      <c r="L1137" s="170">
        <v>43677</v>
      </c>
      <c r="M1137" s="116">
        <v>216.95</v>
      </c>
      <c r="N1137" s="116">
        <v>217.75</v>
      </c>
      <c r="O1137" s="116">
        <v>211.05</v>
      </c>
      <c r="P1137" s="116">
        <v>212.05</v>
      </c>
      <c r="Q1137" s="116">
        <v>216.95</v>
      </c>
      <c r="R1137">
        <v>510463</v>
      </c>
    </row>
    <row r="1138" spans="1:18" x14ac:dyDescent="0.25">
      <c r="A1138" s="170">
        <v>43678</v>
      </c>
      <c r="B1138" s="116">
        <v>216.75</v>
      </c>
      <c r="C1138" s="116">
        <v>211.4</v>
      </c>
      <c r="D1138" s="116">
        <v>209.6</v>
      </c>
      <c r="E1138" s="116">
        <v>216.75</v>
      </c>
      <c r="F1138" s="116">
        <v>211.4</v>
      </c>
      <c r="G1138">
        <v>36231</v>
      </c>
      <c r="H1138" s="116"/>
      <c r="I1138" s="116"/>
      <c r="L1138" s="170">
        <v>43678</v>
      </c>
      <c r="M1138" s="116">
        <v>211.5</v>
      </c>
      <c r="N1138" s="116">
        <v>216.4</v>
      </c>
      <c r="O1138" s="116">
        <v>209.5</v>
      </c>
      <c r="P1138" s="116">
        <v>214.35</v>
      </c>
      <c r="Q1138" s="116">
        <v>211.5</v>
      </c>
      <c r="R1138">
        <v>567145</v>
      </c>
    </row>
    <row r="1139" spans="1:18" x14ac:dyDescent="0.25">
      <c r="A1139" s="170">
        <v>43679</v>
      </c>
      <c r="B1139" s="116">
        <v>214.35</v>
      </c>
      <c r="C1139" s="116">
        <v>211</v>
      </c>
      <c r="D1139" s="116">
        <v>208.15</v>
      </c>
      <c r="E1139" s="116">
        <v>209.3</v>
      </c>
      <c r="F1139" s="116">
        <v>211</v>
      </c>
      <c r="G1139">
        <v>29447</v>
      </c>
      <c r="H1139" s="116"/>
      <c r="I1139" s="116"/>
      <c r="L1139" s="170">
        <v>43679</v>
      </c>
      <c r="M1139" s="116">
        <v>211.6</v>
      </c>
      <c r="N1139" s="116">
        <v>214.25</v>
      </c>
      <c r="O1139" s="116">
        <v>207.9</v>
      </c>
      <c r="P1139" s="116">
        <v>208.95</v>
      </c>
      <c r="Q1139" s="116">
        <v>211.6</v>
      </c>
      <c r="R1139">
        <v>566703</v>
      </c>
    </row>
    <row r="1140" spans="1:18" x14ac:dyDescent="0.25">
      <c r="A1140" s="170">
        <v>43682</v>
      </c>
      <c r="B1140" s="116">
        <v>210.6</v>
      </c>
      <c r="C1140" s="116">
        <v>203.1</v>
      </c>
      <c r="D1140" s="116">
        <v>202.85</v>
      </c>
      <c r="E1140" s="116">
        <v>210</v>
      </c>
      <c r="F1140" s="116">
        <v>203.1</v>
      </c>
      <c r="G1140">
        <v>341578</v>
      </c>
      <c r="H1140" s="116"/>
      <c r="I1140" s="116"/>
      <c r="L1140" s="170">
        <v>43682</v>
      </c>
      <c r="M1140" s="116">
        <v>203.75</v>
      </c>
      <c r="N1140" s="116">
        <v>210.65</v>
      </c>
      <c r="O1140" s="116">
        <v>202.6</v>
      </c>
      <c r="P1140" s="116">
        <v>210</v>
      </c>
      <c r="Q1140" s="116">
        <v>203.75</v>
      </c>
      <c r="R1140">
        <v>820853</v>
      </c>
    </row>
    <row r="1141" spans="1:18" x14ac:dyDescent="0.25">
      <c r="A1141" s="170">
        <v>43683</v>
      </c>
      <c r="B1141" s="116">
        <v>208.9</v>
      </c>
      <c r="C1141" s="116">
        <v>205.3</v>
      </c>
      <c r="D1141" s="116">
        <v>201.6</v>
      </c>
      <c r="E1141" s="116">
        <v>202.8</v>
      </c>
      <c r="F1141" s="116">
        <v>205.3</v>
      </c>
      <c r="G1141">
        <v>33111</v>
      </c>
      <c r="H1141" s="116"/>
      <c r="I1141" s="116"/>
      <c r="L1141" s="170">
        <v>43683</v>
      </c>
      <c r="M1141" s="116">
        <v>205.25</v>
      </c>
      <c r="N1141" s="116">
        <v>209.1</v>
      </c>
      <c r="O1141" s="116">
        <v>202</v>
      </c>
      <c r="P1141" s="116">
        <v>203</v>
      </c>
      <c r="Q1141" s="116">
        <v>205.25</v>
      </c>
      <c r="R1141">
        <v>968334</v>
      </c>
    </row>
    <row r="1142" spans="1:18" x14ac:dyDescent="0.25">
      <c r="A1142" s="170">
        <v>43684</v>
      </c>
      <c r="B1142" s="116">
        <v>209.4</v>
      </c>
      <c r="C1142" s="116">
        <v>208.35</v>
      </c>
      <c r="D1142" s="116">
        <v>203.1</v>
      </c>
      <c r="E1142" s="116">
        <v>206</v>
      </c>
      <c r="F1142" s="116">
        <v>208.35</v>
      </c>
      <c r="G1142">
        <v>19976</v>
      </c>
      <c r="H1142" s="116"/>
      <c r="I1142" s="116"/>
      <c r="L1142" s="170">
        <v>43684</v>
      </c>
      <c r="M1142" s="116">
        <v>208.3</v>
      </c>
      <c r="N1142" s="116">
        <v>209.7</v>
      </c>
      <c r="O1142" s="116">
        <v>203.4</v>
      </c>
      <c r="P1142" s="116">
        <v>207</v>
      </c>
      <c r="Q1142" s="116">
        <v>208.3</v>
      </c>
      <c r="R1142">
        <v>513567</v>
      </c>
    </row>
    <row r="1143" spans="1:18" x14ac:dyDescent="0.25">
      <c r="A1143" s="170">
        <v>43685</v>
      </c>
      <c r="B1143" s="116">
        <v>212.7</v>
      </c>
      <c r="C1143" s="116">
        <v>212.35</v>
      </c>
      <c r="D1143" s="116">
        <v>205</v>
      </c>
      <c r="E1143" s="116">
        <v>205</v>
      </c>
      <c r="F1143" s="116">
        <v>212.35</v>
      </c>
      <c r="G1143">
        <v>18721</v>
      </c>
      <c r="H1143" s="116"/>
      <c r="I1143" s="116"/>
      <c r="L1143" s="170">
        <v>43685</v>
      </c>
      <c r="M1143" s="116">
        <v>212.2</v>
      </c>
      <c r="N1143" s="116">
        <v>212.95</v>
      </c>
      <c r="O1143" s="116">
        <v>206.35</v>
      </c>
      <c r="P1143" s="116">
        <v>208.3</v>
      </c>
      <c r="Q1143" s="116">
        <v>212.2</v>
      </c>
      <c r="R1143">
        <v>741347</v>
      </c>
    </row>
    <row r="1144" spans="1:18" x14ac:dyDescent="0.25">
      <c r="A1144" s="170">
        <v>43686</v>
      </c>
      <c r="B1144" s="116">
        <v>214.75</v>
      </c>
      <c r="C1144" s="116">
        <v>212.25</v>
      </c>
      <c r="D1144" s="116">
        <v>210</v>
      </c>
      <c r="E1144" s="116">
        <v>210</v>
      </c>
      <c r="F1144" s="116">
        <v>212.25</v>
      </c>
      <c r="G1144">
        <v>32042</v>
      </c>
      <c r="H1144" s="116"/>
      <c r="I1144" s="116"/>
      <c r="L1144" s="170">
        <v>43686</v>
      </c>
      <c r="M1144" s="116">
        <v>212.15</v>
      </c>
      <c r="N1144" s="116">
        <v>214.9</v>
      </c>
      <c r="O1144" s="116">
        <v>210.4</v>
      </c>
      <c r="P1144" s="116">
        <v>212</v>
      </c>
      <c r="Q1144" s="116">
        <v>212.15</v>
      </c>
      <c r="R1144">
        <v>598259</v>
      </c>
    </row>
    <row r="1145" spans="1:18" x14ac:dyDescent="0.25">
      <c r="A1145" s="170">
        <v>43690</v>
      </c>
      <c r="B1145" s="116">
        <v>215</v>
      </c>
      <c r="C1145" s="116">
        <v>205.25</v>
      </c>
      <c r="D1145" s="116">
        <v>204.1</v>
      </c>
      <c r="E1145" s="116">
        <v>215</v>
      </c>
      <c r="F1145" s="116">
        <v>205.25</v>
      </c>
      <c r="G1145">
        <v>28970</v>
      </c>
      <c r="H1145" s="116"/>
      <c r="I1145" s="116"/>
      <c r="L1145" s="170">
        <v>43690</v>
      </c>
      <c r="M1145" s="116">
        <v>205.25</v>
      </c>
      <c r="N1145" s="116">
        <v>213</v>
      </c>
      <c r="O1145" s="116">
        <v>204.3</v>
      </c>
      <c r="P1145" s="116">
        <v>212</v>
      </c>
      <c r="Q1145" s="116">
        <v>205.25</v>
      </c>
      <c r="R1145">
        <v>1088197</v>
      </c>
    </row>
    <row r="1146" spans="1:18" x14ac:dyDescent="0.25">
      <c r="A1146" s="170">
        <v>43691</v>
      </c>
      <c r="B1146" s="116">
        <v>208.5</v>
      </c>
      <c r="C1146" s="116">
        <v>205.1</v>
      </c>
      <c r="D1146" s="116">
        <v>204.05</v>
      </c>
      <c r="E1146" s="116">
        <v>204.9</v>
      </c>
      <c r="F1146" s="116">
        <v>205.1</v>
      </c>
      <c r="G1146">
        <v>23717</v>
      </c>
      <c r="H1146" s="116"/>
      <c r="I1146" s="116"/>
      <c r="L1146" s="170">
        <v>43691</v>
      </c>
      <c r="M1146" s="116">
        <v>204.95</v>
      </c>
      <c r="N1146" s="116">
        <v>208.75</v>
      </c>
      <c r="O1146" s="116">
        <v>203.8</v>
      </c>
      <c r="P1146" s="116">
        <v>205</v>
      </c>
      <c r="Q1146" s="116">
        <v>204.95</v>
      </c>
      <c r="R1146">
        <v>957094</v>
      </c>
    </row>
    <row r="1147" spans="1:18" x14ac:dyDescent="0.25">
      <c r="A1147" s="170">
        <v>43693</v>
      </c>
      <c r="B1147" s="116">
        <v>210.65</v>
      </c>
      <c r="C1147" s="116">
        <v>207.9</v>
      </c>
      <c r="D1147" s="116">
        <v>199.05</v>
      </c>
      <c r="E1147" s="116">
        <v>206.3</v>
      </c>
      <c r="F1147" s="116">
        <v>207.9</v>
      </c>
      <c r="G1147">
        <v>85604</v>
      </c>
      <c r="H1147" s="116"/>
      <c r="I1147" s="116"/>
      <c r="L1147" s="170">
        <v>43693</v>
      </c>
      <c r="M1147" s="116">
        <v>206.85</v>
      </c>
      <c r="N1147" s="116">
        <v>208</v>
      </c>
      <c r="O1147" s="116">
        <v>199.25</v>
      </c>
      <c r="P1147" s="116">
        <v>204.95</v>
      </c>
      <c r="Q1147" s="116">
        <v>206.85</v>
      </c>
      <c r="R1147">
        <v>2070527</v>
      </c>
    </row>
    <row r="1148" spans="1:18" x14ac:dyDescent="0.25">
      <c r="A1148" s="170">
        <v>43696</v>
      </c>
      <c r="B1148" s="116">
        <v>211.4</v>
      </c>
      <c r="C1148" s="116">
        <v>209.5</v>
      </c>
      <c r="D1148" s="116">
        <v>208.05</v>
      </c>
      <c r="E1148" s="116">
        <v>209</v>
      </c>
      <c r="F1148" s="116">
        <v>209.5</v>
      </c>
      <c r="G1148">
        <v>212461</v>
      </c>
      <c r="H1148" s="116"/>
      <c r="I1148" s="116"/>
      <c r="L1148" s="170">
        <v>43696</v>
      </c>
      <c r="M1148" s="116">
        <v>209.2</v>
      </c>
      <c r="N1148" s="116">
        <v>211.5</v>
      </c>
      <c r="O1148" s="116">
        <v>207.1</v>
      </c>
      <c r="P1148" s="116">
        <v>207.1</v>
      </c>
      <c r="Q1148" s="116">
        <v>209.2</v>
      </c>
      <c r="R1148">
        <v>1312119</v>
      </c>
    </row>
    <row r="1149" spans="1:18" x14ac:dyDescent="0.25">
      <c r="A1149" s="170">
        <v>43697</v>
      </c>
      <c r="B1149" s="116">
        <v>209.6</v>
      </c>
      <c r="C1149" s="116">
        <v>206.35</v>
      </c>
      <c r="D1149" s="116">
        <v>204</v>
      </c>
      <c r="E1149" s="116">
        <v>209.6</v>
      </c>
      <c r="F1149" s="116">
        <v>206.35</v>
      </c>
      <c r="G1149">
        <v>19262</v>
      </c>
      <c r="H1149" s="116"/>
      <c r="I1149" s="116"/>
      <c r="L1149" s="170">
        <v>43697</v>
      </c>
      <c r="M1149" s="116">
        <v>206.25</v>
      </c>
      <c r="N1149" s="116">
        <v>209.3</v>
      </c>
      <c r="O1149" s="116">
        <v>203.8</v>
      </c>
      <c r="P1149" s="116">
        <v>209.3</v>
      </c>
      <c r="Q1149" s="116">
        <v>206.25</v>
      </c>
      <c r="R1149">
        <v>668288</v>
      </c>
    </row>
    <row r="1150" spans="1:18" x14ac:dyDescent="0.25">
      <c r="A1150" s="170">
        <v>43698</v>
      </c>
      <c r="B1150" s="116">
        <v>205.55</v>
      </c>
      <c r="C1150" s="116">
        <v>202.15</v>
      </c>
      <c r="D1150" s="116">
        <v>201.3</v>
      </c>
      <c r="E1150" s="116">
        <v>205</v>
      </c>
      <c r="F1150" s="116">
        <v>202.15</v>
      </c>
      <c r="G1150">
        <v>28005</v>
      </c>
      <c r="H1150" s="116"/>
      <c r="I1150" s="116"/>
      <c r="L1150" s="170">
        <v>43698</v>
      </c>
      <c r="M1150" s="116">
        <v>202.5</v>
      </c>
      <c r="N1150" s="116">
        <v>206.1</v>
      </c>
      <c r="O1150" s="116">
        <v>201.65</v>
      </c>
      <c r="P1150" s="116">
        <v>205.1</v>
      </c>
      <c r="Q1150" s="116">
        <v>202.5</v>
      </c>
      <c r="R1150">
        <v>647762</v>
      </c>
    </row>
    <row r="1151" spans="1:18" x14ac:dyDescent="0.25">
      <c r="A1151" s="170">
        <v>43699</v>
      </c>
      <c r="B1151" s="116">
        <v>202.5</v>
      </c>
      <c r="C1151" s="116">
        <v>199.55</v>
      </c>
      <c r="D1151" s="116">
        <v>198.35</v>
      </c>
      <c r="E1151" s="116">
        <v>202.35</v>
      </c>
      <c r="F1151" s="116">
        <v>199.55</v>
      </c>
      <c r="G1151">
        <v>28620</v>
      </c>
      <c r="H1151" s="116"/>
      <c r="I1151" s="116"/>
      <c r="L1151" s="170">
        <v>43699</v>
      </c>
      <c r="M1151" s="116">
        <v>199.4</v>
      </c>
      <c r="N1151" s="116">
        <v>202.9</v>
      </c>
      <c r="O1151" s="116">
        <v>198.05</v>
      </c>
      <c r="P1151" s="116">
        <v>201</v>
      </c>
      <c r="Q1151" s="116">
        <v>199.4</v>
      </c>
      <c r="R1151">
        <v>648688</v>
      </c>
    </row>
    <row r="1152" spans="1:18" x14ac:dyDescent="0.25">
      <c r="A1152" s="170">
        <v>43700</v>
      </c>
      <c r="B1152" s="116">
        <v>203.55</v>
      </c>
      <c r="C1152" s="116">
        <v>202.45</v>
      </c>
      <c r="D1152" s="116">
        <v>193</v>
      </c>
      <c r="E1152" s="116">
        <v>200</v>
      </c>
      <c r="F1152" s="116">
        <v>202.45</v>
      </c>
      <c r="G1152">
        <v>28131</v>
      </c>
      <c r="H1152" s="116"/>
      <c r="I1152" s="116"/>
      <c r="L1152" s="170">
        <v>43700</v>
      </c>
      <c r="M1152" s="116">
        <v>202.45</v>
      </c>
      <c r="N1152" s="116">
        <v>203.55</v>
      </c>
      <c r="O1152" s="116">
        <v>193.05</v>
      </c>
      <c r="P1152" s="116">
        <v>198.55</v>
      </c>
      <c r="Q1152" s="116">
        <v>202.45</v>
      </c>
      <c r="R1152">
        <v>541997</v>
      </c>
    </row>
    <row r="1153" spans="1:18" x14ac:dyDescent="0.25">
      <c r="A1153" s="170">
        <v>43703</v>
      </c>
      <c r="B1153" s="116">
        <v>210</v>
      </c>
      <c r="C1153" s="116">
        <v>206.6</v>
      </c>
      <c r="D1153" s="116">
        <v>197.7</v>
      </c>
      <c r="E1153" s="116">
        <v>210</v>
      </c>
      <c r="F1153" s="116">
        <v>206.6</v>
      </c>
      <c r="G1153">
        <v>47233</v>
      </c>
      <c r="H1153" s="116"/>
      <c r="I1153" s="116"/>
      <c r="L1153" s="170">
        <v>43703</v>
      </c>
      <c r="M1153" s="116">
        <v>206.05</v>
      </c>
      <c r="N1153" s="116">
        <v>208.95</v>
      </c>
      <c r="O1153" s="116">
        <v>197.35</v>
      </c>
      <c r="P1153" s="116">
        <v>204.5</v>
      </c>
      <c r="Q1153" s="116">
        <v>206.05</v>
      </c>
      <c r="R1153">
        <v>769269</v>
      </c>
    </row>
    <row r="1154" spans="1:18" x14ac:dyDescent="0.25">
      <c r="A1154" s="170">
        <v>43704</v>
      </c>
      <c r="B1154" s="116">
        <v>214</v>
      </c>
      <c r="C1154" s="116">
        <v>213.35</v>
      </c>
      <c r="D1154" s="116">
        <v>205.1</v>
      </c>
      <c r="E1154" s="116">
        <v>205.1</v>
      </c>
      <c r="F1154" s="116">
        <v>213.35</v>
      </c>
      <c r="G1154">
        <v>37376</v>
      </c>
      <c r="H1154" s="116"/>
      <c r="I1154" s="116"/>
      <c r="L1154" s="170">
        <v>43704</v>
      </c>
      <c r="M1154" s="116">
        <v>213.15</v>
      </c>
      <c r="N1154" s="116">
        <v>214.9</v>
      </c>
      <c r="O1154" s="116">
        <v>205</v>
      </c>
      <c r="P1154" s="116">
        <v>206</v>
      </c>
      <c r="Q1154" s="116">
        <v>213.15</v>
      </c>
      <c r="R1154">
        <v>980632</v>
      </c>
    </row>
    <row r="1155" spans="1:18" x14ac:dyDescent="0.25">
      <c r="A1155" s="170">
        <v>43705</v>
      </c>
      <c r="B1155" s="116">
        <v>215.25</v>
      </c>
      <c r="C1155" s="116">
        <v>210.55</v>
      </c>
      <c r="D1155" s="116">
        <v>209.1</v>
      </c>
      <c r="E1155" s="116">
        <v>213.35</v>
      </c>
      <c r="F1155" s="116">
        <v>210.55</v>
      </c>
      <c r="G1155">
        <v>31887</v>
      </c>
      <c r="H1155" s="116"/>
      <c r="I1155" s="116"/>
      <c r="L1155" s="170">
        <v>43705</v>
      </c>
      <c r="M1155" s="116">
        <v>210.85</v>
      </c>
      <c r="N1155" s="116">
        <v>215.4</v>
      </c>
      <c r="O1155" s="116">
        <v>208.7</v>
      </c>
      <c r="P1155" s="116">
        <v>213.15</v>
      </c>
      <c r="Q1155" s="116">
        <v>210.85</v>
      </c>
      <c r="R1155">
        <v>923453</v>
      </c>
    </row>
    <row r="1156" spans="1:18" x14ac:dyDescent="0.25">
      <c r="A1156" s="170">
        <v>43706</v>
      </c>
      <c r="B1156" s="116">
        <v>214.7</v>
      </c>
      <c r="C1156" s="116">
        <v>212.95</v>
      </c>
      <c r="D1156" s="116">
        <v>209.3</v>
      </c>
      <c r="E1156" s="116">
        <v>210.85</v>
      </c>
      <c r="F1156" s="116">
        <v>212.95</v>
      </c>
      <c r="G1156">
        <v>59743</v>
      </c>
      <c r="H1156" s="116"/>
      <c r="I1156" s="116"/>
      <c r="L1156" s="170">
        <v>43706</v>
      </c>
      <c r="M1156" s="116">
        <v>213</v>
      </c>
      <c r="N1156" s="116">
        <v>214.8</v>
      </c>
      <c r="O1156" s="116">
        <v>209.1</v>
      </c>
      <c r="P1156" s="116">
        <v>212</v>
      </c>
      <c r="Q1156" s="116">
        <v>213</v>
      </c>
      <c r="R1156">
        <v>1385997</v>
      </c>
    </row>
    <row r="1157" spans="1:18" x14ac:dyDescent="0.25">
      <c r="A1157" s="170">
        <v>43707</v>
      </c>
      <c r="B1157" s="116">
        <v>222.15</v>
      </c>
      <c r="C1157" s="116">
        <v>216.6</v>
      </c>
      <c r="D1157" s="116">
        <v>214.4</v>
      </c>
      <c r="E1157" s="116">
        <v>219.9</v>
      </c>
      <c r="F1157" s="116">
        <v>216.6</v>
      </c>
      <c r="G1157">
        <v>160449</v>
      </c>
      <c r="H1157" s="116"/>
      <c r="I1157" s="116"/>
      <c r="L1157" s="170">
        <v>43707</v>
      </c>
      <c r="M1157" s="116">
        <v>216.65</v>
      </c>
      <c r="N1157" s="116">
        <v>222.3</v>
      </c>
      <c r="O1157" s="116">
        <v>214</v>
      </c>
      <c r="P1157" s="116">
        <v>215.95</v>
      </c>
      <c r="Q1157" s="116">
        <v>216.65</v>
      </c>
      <c r="R1157">
        <v>3405843</v>
      </c>
    </row>
    <row r="1158" spans="1:18" x14ac:dyDescent="0.25">
      <c r="A1158" s="170">
        <v>43711</v>
      </c>
      <c r="B1158" s="116">
        <v>216</v>
      </c>
      <c r="C1158" s="116">
        <v>212.85</v>
      </c>
      <c r="D1158" s="116">
        <v>210.65</v>
      </c>
      <c r="E1158" s="116">
        <v>216</v>
      </c>
      <c r="F1158" s="116">
        <v>212.85</v>
      </c>
      <c r="G1158">
        <v>32209</v>
      </c>
      <c r="H1158" s="116"/>
      <c r="I1158" s="116"/>
      <c r="L1158" s="170">
        <v>43711</v>
      </c>
      <c r="M1158" s="116">
        <v>213.25</v>
      </c>
      <c r="N1158" s="116">
        <v>216.5</v>
      </c>
      <c r="O1158" s="116">
        <v>210.3</v>
      </c>
      <c r="P1158" s="116">
        <v>216.1</v>
      </c>
      <c r="Q1158" s="116">
        <v>213.25</v>
      </c>
      <c r="R1158">
        <v>655491</v>
      </c>
    </row>
    <row r="1159" spans="1:18" x14ac:dyDescent="0.25">
      <c r="A1159" s="170">
        <v>43712</v>
      </c>
      <c r="B1159" s="116">
        <v>215.8</v>
      </c>
      <c r="C1159" s="116">
        <v>214.65</v>
      </c>
      <c r="D1159" s="116">
        <v>210.7</v>
      </c>
      <c r="E1159" s="116">
        <v>215.05</v>
      </c>
      <c r="F1159" s="116">
        <v>214.65</v>
      </c>
      <c r="G1159">
        <v>32372</v>
      </c>
      <c r="H1159" s="116"/>
      <c r="I1159" s="116"/>
      <c r="L1159" s="170">
        <v>43712</v>
      </c>
      <c r="M1159" s="116">
        <v>214.8</v>
      </c>
      <c r="N1159" s="116">
        <v>215.85</v>
      </c>
      <c r="O1159" s="116">
        <v>210.6</v>
      </c>
      <c r="P1159" s="116">
        <v>212.95</v>
      </c>
      <c r="Q1159" s="116">
        <v>214.8</v>
      </c>
      <c r="R1159">
        <v>473680</v>
      </c>
    </row>
    <row r="1160" spans="1:18" x14ac:dyDescent="0.25">
      <c r="A1160" s="170">
        <v>43713</v>
      </c>
      <c r="B1160" s="116">
        <v>219.65</v>
      </c>
      <c r="C1160" s="116">
        <v>215.15</v>
      </c>
      <c r="D1160" s="116">
        <v>214.75</v>
      </c>
      <c r="E1160" s="116">
        <v>216.9</v>
      </c>
      <c r="F1160" s="116">
        <v>215.15</v>
      </c>
      <c r="G1160">
        <v>27946</v>
      </c>
      <c r="H1160" s="116"/>
      <c r="I1160" s="116"/>
      <c r="L1160" s="170">
        <v>43713</v>
      </c>
      <c r="M1160" s="116">
        <v>215.2</v>
      </c>
      <c r="N1160" s="116">
        <v>219.5</v>
      </c>
      <c r="O1160" s="116">
        <v>214.65</v>
      </c>
      <c r="P1160" s="116">
        <v>217.8</v>
      </c>
      <c r="Q1160" s="116">
        <v>215.2</v>
      </c>
      <c r="R1160">
        <v>873111</v>
      </c>
    </row>
    <row r="1161" spans="1:18" x14ac:dyDescent="0.25">
      <c r="A1161" s="170">
        <v>43714</v>
      </c>
      <c r="B1161" s="116">
        <v>217.9</v>
      </c>
      <c r="C1161" s="116">
        <v>216.85</v>
      </c>
      <c r="D1161" s="116">
        <v>212.65</v>
      </c>
      <c r="E1161" s="116">
        <v>215.2</v>
      </c>
      <c r="F1161" s="116">
        <v>216.85</v>
      </c>
      <c r="G1161">
        <v>33978</v>
      </c>
      <c r="H1161" s="116"/>
      <c r="I1161" s="116"/>
      <c r="L1161" s="170">
        <v>43714</v>
      </c>
      <c r="M1161" s="116">
        <v>217.05</v>
      </c>
      <c r="N1161" s="116">
        <v>218.1</v>
      </c>
      <c r="O1161" s="116">
        <v>212.45</v>
      </c>
      <c r="P1161" s="116">
        <v>214.6</v>
      </c>
      <c r="Q1161" s="116">
        <v>217.05</v>
      </c>
      <c r="R1161">
        <v>465144</v>
      </c>
    </row>
    <row r="1162" spans="1:18" x14ac:dyDescent="0.25">
      <c r="A1162" s="170">
        <v>43717</v>
      </c>
      <c r="B1162" s="116">
        <v>219</v>
      </c>
      <c r="C1162" s="116">
        <v>215.15</v>
      </c>
      <c r="D1162" s="116">
        <v>213.7</v>
      </c>
      <c r="E1162" s="116">
        <v>219</v>
      </c>
      <c r="F1162" s="116">
        <v>215.15</v>
      </c>
      <c r="G1162">
        <v>38174</v>
      </c>
      <c r="H1162" s="116"/>
      <c r="I1162" s="116"/>
      <c r="L1162" s="170">
        <v>43717</v>
      </c>
      <c r="M1162" s="116">
        <v>215.4</v>
      </c>
      <c r="N1162" s="116">
        <v>218.5</v>
      </c>
      <c r="O1162" s="116">
        <v>213.8</v>
      </c>
      <c r="P1162" s="116">
        <v>217.2</v>
      </c>
      <c r="Q1162" s="116">
        <v>215.4</v>
      </c>
      <c r="R1162">
        <v>601017</v>
      </c>
    </row>
    <row r="1163" spans="1:18" x14ac:dyDescent="0.25">
      <c r="A1163" s="170">
        <v>43719</v>
      </c>
      <c r="B1163" s="116">
        <v>218.8</v>
      </c>
      <c r="C1163" s="116">
        <v>214.6</v>
      </c>
      <c r="D1163" s="116">
        <v>213.7</v>
      </c>
      <c r="E1163" s="116">
        <v>216.5</v>
      </c>
      <c r="F1163" s="116">
        <v>214.6</v>
      </c>
      <c r="G1163">
        <v>30828</v>
      </c>
      <c r="H1163" s="116"/>
      <c r="I1163" s="116"/>
      <c r="L1163" s="170">
        <v>43720</v>
      </c>
      <c r="M1163" s="116">
        <v>214.45</v>
      </c>
      <c r="N1163" s="116">
        <v>217.4</v>
      </c>
      <c r="O1163" s="116">
        <v>213.15</v>
      </c>
      <c r="P1163" s="116">
        <v>215.8</v>
      </c>
      <c r="Q1163" s="116">
        <v>214.45</v>
      </c>
      <c r="R1163">
        <v>530826</v>
      </c>
    </row>
    <row r="1164" spans="1:18" x14ac:dyDescent="0.25">
      <c r="A1164" s="170">
        <v>43720</v>
      </c>
      <c r="B1164" s="116">
        <v>217.5</v>
      </c>
      <c r="C1164" s="116">
        <v>214.3</v>
      </c>
      <c r="D1164" s="116">
        <v>213.65</v>
      </c>
      <c r="E1164" s="116">
        <v>216.05</v>
      </c>
      <c r="F1164" s="116">
        <v>214.3</v>
      </c>
      <c r="G1164">
        <v>26437</v>
      </c>
      <c r="H1164" s="116"/>
      <c r="I1164" s="116"/>
      <c r="L1164" s="170">
        <v>43721</v>
      </c>
      <c r="M1164" s="116">
        <v>217.8</v>
      </c>
      <c r="N1164" s="116">
        <v>219</v>
      </c>
      <c r="O1164" s="116">
        <v>212.2</v>
      </c>
      <c r="P1164" s="116">
        <v>215.1</v>
      </c>
      <c r="Q1164" s="116">
        <v>217.8</v>
      </c>
      <c r="R1164">
        <v>470486</v>
      </c>
    </row>
    <row r="1165" spans="1:18" x14ac:dyDescent="0.25">
      <c r="A1165" s="170">
        <v>43721</v>
      </c>
      <c r="B1165" s="116">
        <v>218.85</v>
      </c>
      <c r="C1165" s="116">
        <v>218.05</v>
      </c>
      <c r="D1165" s="116">
        <v>212.1</v>
      </c>
      <c r="E1165" s="116">
        <v>214</v>
      </c>
      <c r="F1165" s="116">
        <v>218.05</v>
      </c>
      <c r="G1165">
        <v>32474</v>
      </c>
      <c r="H1165" s="116"/>
      <c r="I1165" s="116"/>
      <c r="L1165" s="170">
        <v>43724</v>
      </c>
      <c r="M1165" s="116">
        <v>219.65</v>
      </c>
      <c r="N1165" s="116">
        <v>220.65</v>
      </c>
      <c r="O1165" s="116">
        <v>215.7</v>
      </c>
      <c r="P1165" s="116">
        <v>217</v>
      </c>
      <c r="Q1165" s="116">
        <v>219.65</v>
      </c>
      <c r="R1165">
        <v>1030129</v>
      </c>
    </row>
    <row r="1166" spans="1:18" x14ac:dyDescent="0.25">
      <c r="A1166" s="170">
        <v>43724</v>
      </c>
      <c r="B1166" s="116">
        <v>220.3</v>
      </c>
      <c r="C1166" s="116">
        <v>219.5</v>
      </c>
      <c r="D1166" s="116">
        <v>216.15</v>
      </c>
      <c r="E1166" s="116">
        <v>217</v>
      </c>
      <c r="F1166" s="116">
        <v>219.5</v>
      </c>
      <c r="G1166">
        <v>30957</v>
      </c>
      <c r="H1166" s="116"/>
      <c r="I1166" s="116"/>
      <c r="L1166" s="170">
        <v>43725</v>
      </c>
      <c r="M1166" s="116">
        <v>210.5</v>
      </c>
      <c r="N1166" s="116">
        <v>221.45</v>
      </c>
      <c r="O1166" s="116">
        <v>208.75</v>
      </c>
      <c r="P1166" s="116">
        <v>218</v>
      </c>
      <c r="Q1166" s="116">
        <v>210.5</v>
      </c>
      <c r="R1166">
        <v>1264568</v>
      </c>
    </row>
    <row r="1167" spans="1:18" x14ac:dyDescent="0.25">
      <c r="A1167" s="170">
        <v>43725</v>
      </c>
      <c r="B1167" s="116">
        <v>221.55</v>
      </c>
      <c r="C1167" s="116">
        <v>210.6</v>
      </c>
      <c r="D1167" s="116">
        <v>209</v>
      </c>
      <c r="E1167" s="116">
        <v>218.8</v>
      </c>
      <c r="F1167" s="116">
        <v>210.6</v>
      </c>
      <c r="G1167">
        <v>92453</v>
      </c>
      <c r="H1167" s="116"/>
      <c r="I1167" s="116"/>
      <c r="L1167" s="170">
        <v>43726</v>
      </c>
      <c r="M1167" s="116">
        <v>213.45</v>
      </c>
      <c r="N1167" s="116">
        <v>217.15</v>
      </c>
      <c r="O1167" s="116">
        <v>208.7</v>
      </c>
      <c r="P1167" s="116">
        <v>211.2</v>
      </c>
      <c r="Q1167" s="116">
        <v>213.45</v>
      </c>
      <c r="R1167">
        <v>1124857</v>
      </c>
    </row>
    <row r="1168" spans="1:18" x14ac:dyDescent="0.25">
      <c r="A1168" s="170">
        <v>43726</v>
      </c>
      <c r="B1168" s="116">
        <v>217.15</v>
      </c>
      <c r="C1168" s="116">
        <v>213.55</v>
      </c>
      <c r="D1168" s="116">
        <v>208.6</v>
      </c>
      <c r="E1168" s="116">
        <v>212</v>
      </c>
      <c r="F1168" s="116">
        <v>213.55</v>
      </c>
      <c r="G1168">
        <v>62073</v>
      </c>
      <c r="H1168" s="116"/>
      <c r="I1168" s="116"/>
      <c r="L1168" s="170">
        <v>43727</v>
      </c>
      <c r="M1168" s="116">
        <v>210.1</v>
      </c>
      <c r="N1168" s="116">
        <v>214.1</v>
      </c>
      <c r="O1168" s="116">
        <v>208.45</v>
      </c>
      <c r="P1168" s="116">
        <v>213.5</v>
      </c>
      <c r="Q1168" s="116">
        <v>210.1</v>
      </c>
      <c r="R1168">
        <v>411214</v>
      </c>
    </row>
    <row r="1169" spans="1:18" x14ac:dyDescent="0.25">
      <c r="A1169" s="170">
        <v>43727</v>
      </c>
      <c r="B1169" s="116">
        <v>214.55</v>
      </c>
      <c r="C1169" s="116">
        <v>210.05</v>
      </c>
      <c r="D1169" s="116">
        <v>208.55</v>
      </c>
      <c r="E1169" s="116">
        <v>214.55</v>
      </c>
      <c r="F1169" s="116">
        <v>210.05</v>
      </c>
      <c r="G1169">
        <v>25233</v>
      </c>
      <c r="H1169" s="116"/>
      <c r="I1169" s="116"/>
      <c r="L1169" s="170">
        <v>43728</v>
      </c>
      <c r="M1169" s="116">
        <v>217.55</v>
      </c>
      <c r="N1169" s="116">
        <v>220.85</v>
      </c>
      <c r="O1169" s="116">
        <v>201.3</v>
      </c>
      <c r="P1169" s="116">
        <v>211</v>
      </c>
      <c r="Q1169" s="116">
        <v>217.55</v>
      </c>
      <c r="R1169">
        <v>2375579</v>
      </c>
    </row>
    <row r="1170" spans="1:18" x14ac:dyDescent="0.25">
      <c r="A1170" s="170">
        <v>43728</v>
      </c>
      <c r="B1170" s="116">
        <v>220.2</v>
      </c>
      <c r="C1170" s="116">
        <v>217.4</v>
      </c>
      <c r="D1170" s="116">
        <v>201.5</v>
      </c>
      <c r="E1170" s="116">
        <v>211.25</v>
      </c>
      <c r="F1170" s="116">
        <v>217.4</v>
      </c>
      <c r="G1170">
        <v>135752</v>
      </c>
      <c r="H1170" s="116"/>
      <c r="I1170" s="116"/>
      <c r="L1170" s="170">
        <v>43731</v>
      </c>
      <c r="M1170" s="116">
        <v>215.9</v>
      </c>
      <c r="N1170" s="116">
        <v>224</v>
      </c>
      <c r="O1170" s="116">
        <v>214</v>
      </c>
      <c r="P1170" s="116">
        <v>222.1</v>
      </c>
      <c r="Q1170" s="116">
        <v>215.9</v>
      </c>
      <c r="R1170">
        <v>616189</v>
      </c>
    </row>
    <row r="1171" spans="1:18" x14ac:dyDescent="0.25">
      <c r="A1171" s="170">
        <v>43731</v>
      </c>
      <c r="B1171" s="116">
        <v>224.1</v>
      </c>
      <c r="C1171" s="116">
        <v>216.4</v>
      </c>
      <c r="D1171" s="116">
        <v>214.9</v>
      </c>
      <c r="E1171" s="116">
        <v>219.7</v>
      </c>
      <c r="F1171" s="116">
        <v>216.4</v>
      </c>
      <c r="G1171">
        <v>78623</v>
      </c>
      <c r="H1171" s="116"/>
      <c r="I1171" s="116"/>
      <c r="L1171" s="170">
        <v>43732</v>
      </c>
      <c r="M1171" s="116">
        <v>210.5</v>
      </c>
      <c r="N1171" s="116">
        <v>216.65</v>
      </c>
      <c r="O1171" s="116">
        <v>209.35</v>
      </c>
      <c r="P1171" s="116">
        <v>216</v>
      </c>
      <c r="Q1171" s="116">
        <v>210.5</v>
      </c>
      <c r="R1171">
        <v>722057</v>
      </c>
    </row>
    <row r="1172" spans="1:18" x14ac:dyDescent="0.25">
      <c r="A1172" s="170">
        <v>43732</v>
      </c>
      <c r="B1172" s="116">
        <v>219</v>
      </c>
      <c r="C1172" s="116">
        <v>210.95</v>
      </c>
      <c r="D1172" s="116">
        <v>209.5</v>
      </c>
      <c r="E1172" s="116">
        <v>219</v>
      </c>
      <c r="F1172" s="116">
        <v>210.95</v>
      </c>
      <c r="G1172">
        <v>31286</v>
      </c>
      <c r="H1172" s="116"/>
      <c r="I1172" s="116"/>
      <c r="L1172" s="170">
        <v>43733</v>
      </c>
      <c r="M1172" s="116">
        <v>201.65</v>
      </c>
      <c r="N1172" s="116">
        <v>210.5</v>
      </c>
      <c r="O1172" s="116">
        <v>201</v>
      </c>
      <c r="P1172" s="116">
        <v>210.5</v>
      </c>
      <c r="Q1172" s="116">
        <v>201.65</v>
      </c>
      <c r="R1172">
        <v>921011</v>
      </c>
    </row>
    <row r="1173" spans="1:18" x14ac:dyDescent="0.25">
      <c r="A1173" s="170">
        <v>43733</v>
      </c>
      <c r="B1173" s="116">
        <v>210.5</v>
      </c>
      <c r="C1173" s="116">
        <v>201.8</v>
      </c>
      <c r="D1173" s="116">
        <v>201.1</v>
      </c>
      <c r="E1173" s="116">
        <v>210.5</v>
      </c>
      <c r="F1173" s="116">
        <v>201.8</v>
      </c>
      <c r="G1173">
        <v>69994</v>
      </c>
      <c r="H1173" s="116"/>
      <c r="I1173" s="116"/>
      <c r="L1173" s="170">
        <v>43734</v>
      </c>
      <c r="M1173" s="116">
        <v>212.9</v>
      </c>
      <c r="N1173" s="116">
        <v>216.8</v>
      </c>
      <c r="O1173" s="116">
        <v>197.25</v>
      </c>
      <c r="P1173" s="116">
        <v>202.25</v>
      </c>
      <c r="Q1173" s="116">
        <v>212.9</v>
      </c>
      <c r="R1173">
        <v>10225486</v>
      </c>
    </row>
    <row r="1174" spans="1:18" x14ac:dyDescent="0.25">
      <c r="A1174" s="170">
        <v>43734</v>
      </c>
      <c r="B1174" s="116">
        <v>217</v>
      </c>
      <c r="C1174" s="116">
        <v>213.15</v>
      </c>
      <c r="D1174" s="116">
        <v>197.3</v>
      </c>
      <c r="E1174" s="116">
        <v>202.9</v>
      </c>
      <c r="F1174" s="116">
        <v>213.15</v>
      </c>
      <c r="G1174">
        <v>508404</v>
      </c>
      <c r="H1174" s="116"/>
      <c r="I1174" s="116"/>
      <c r="L1174" s="170">
        <v>43735</v>
      </c>
      <c r="M1174" s="116">
        <v>216.6</v>
      </c>
      <c r="N1174" s="116">
        <v>218.2</v>
      </c>
      <c r="O1174" s="116">
        <v>211.1</v>
      </c>
      <c r="P1174" s="116">
        <v>212.9</v>
      </c>
      <c r="Q1174" s="116">
        <v>216.6</v>
      </c>
      <c r="R1174">
        <v>1557188</v>
      </c>
    </row>
    <row r="1175" spans="1:18" x14ac:dyDescent="0.25">
      <c r="A1175" s="170">
        <v>43735</v>
      </c>
      <c r="B1175" s="116">
        <v>219</v>
      </c>
      <c r="C1175" s="116">
        <v>217.1</v>
      </c>
      <c r="D1175" s="116">
        <v>211</v>
      </c>
      <c r="E1175" s="116">
        <v>212.5</v>
      </c>
      <c r="F1175" s="116">
        <v>217.1</v>
      </c>
      <c r="G1175">
        <v>157180</v>
      </c>
      <c r="H1175" s="116"/>
      <c r="I1175" s="116"/>
      <c r="L1175" s="170">
        <v>43738</v>
      </c>
      <c r="M1175" s="116">
        <v>213.45</v>
      </c>
      <c r="N1175" s="116">
        <v>218.4</v>
      </c>
      <c r="O1175" s="116">
        <v>211.8</v>
      </c>
      <c r="P1175" s="116">
        <v>217.1</v>
      </c>
      <c r="Q1175" s="116">
        <v>213.45</v>
      </c>
      <c r="R1175">
        <v>843381</v>
      </c>
    </row>
    <row r="1176" spans="1:18" x14ac:dyDescent="0.25">
      <c r="A1176" s="170">
        <v>43738</v>
      </c>
      <c r="B1176" s="116">
        <v>218</v>
      </c>
      <c r="C1176" s="116">
        <v>213.5</v>
      </c>
      <c r="D1176" s="116">
        <v>212</v>
      </c>
      <c r="E1176" s="116">
        <v>217</v>
      </c>
      <c r="F1176" s="116">
        <v>213.5</v>
      </c>
      <c r="G1176">
        <v>44044</v>
      </c>
      <c r="H1176" s="116"/>
      <c r="I1176" s="116"/>
      <c r="L1176" s="170">
        <v>43739</v>
      </c>
      <c r="M1176" s="116">
        <v>213.95</v>
      </c>
      <c r="N1176" s="116">
        <v>216.9</v>
      </c>
      <c r="O1176" s="116">
        <v>210.1</v>
      </c>
      <c r="P1176" s="116">
        <v>213.4</v>
      </c>
      <c r="Q1176" s="116">
        <v>213.95</v>
      </c>
      <c r="R1176">
        <v>794580</v>
      </c>
    </row>
    <row r="1177" spans="1:18" x14ac:dyDescent="0.25">
      <c r="A1177" s="170">
        <v>43739</v>
      </c>
      <c r="B1177" s="116">
        <v>216.65</v>
      </c>
      <c r="C1177" s="116">
        <v>213.75</v>
      </c>
      <c r="D1177" s="116">
        <v>210.15</v>
      </c>
      <c r="E1177" s="116">
        <v>214</v>
      </c>
      <c r="F1177" s="116">
        <v>213.75</v>
      </c>
      <c r="G1177">
        <v>203796</v>
      </c>
      <c r="H1177" s="116"/>
      <c r="I1177" s="116"/>
      <c r="L1177" s="170">
        <v>43741</v>
      </c>
      <c r="M1177" s="116">
        <v>209.45</v>
      </c>
      <c r="N1177" s="116">
        <v>213.3</v>
      </c>
      <c r="O1177" s="116">
        <v>207.7</v>
      </c>
      <c r="P1177" s="116">
        <v>211</v>
      </c>
      <c r="Q1177" s="116">
        <v>209.45</v>
      </c>
      <c r="R1177">
        <v>899805</v>
      </c>
    </row>
    <row r="1178" spans="1:18" x14ac:dyDescent="0.25">
      <c r="A1178" s="170">
        <v>43741</v>
      </c>
      <c r="B1178" s="116">
        <v>214</v>
      </c>
      <c r="C1178" s="116">
        <v>210.1</v>
      </c>
      <c r="D1178" s="116">
        <v>208</v>
      </c>
      <c r="E1178" s="116">
        <v>212.1</v>
      </c>
      <c r="F1178" s="116">
        <v>210.1</v>
      </c>
      <c r="G1178">
        <v>98939</v>
      </c>
      <c r="H1178" s="116"/>
      <c r="I1178" s="116"/>
      <c r="L1178" s="170">
        <v>43742</v>
      </c>
      <c r="M1178" s="116">
        <v>207.85</v>
      </c>
      <c r="N1178" s="116">
        <v>211.45</v>
      </c>
      <c r="O1178" s="116">
        <v>207</v>
      </c>
      <c r="P1178" s="116">
        <v>209.75</v>
      </c>
      <c r="Q1178" s="116">
        <v>207.85</v>
      </c>
      <c r="R1178">
        <v>414673</v>
      </c>
    </row>
    <row r="1179" spans="1:18" x14ac:dyDescent="0.25">
      <c r="A1179" s="170">
        <v>43742</v>
      </c>
      <c r="B1179" s="116">
        <v>211.5</v>
      </c>
      <c r="C1179" s="116">
        <v>207.75</v>
      </c>
      <c r="D1179" s="116">
        <v>207.1</v>
      </c>
      <c r="E1179" s="116">
        <v>210.2</v>
      </c>
      <c r="F1179" s="116">
        <v>207.75</v>
      </c>
      <c r="G1179">
        <v>26321</v>
      </c>
      <c r="H1179" s="116"/>
      <c r="I1179" s="116"/>
      <c r="L1179" s="170">
        <v>43745</v>
      </c>
      <c r="M1179" s="116">
        <v>205.45</v>
      </c>
      <c r="N1179" s="116">
        <v>209.35</v>
      </c>
      <c r="O1179" s="116">
        <v>204.45</v>
      </c>
      <c r="P1179" s="116">
        <v>208</v>
      </c>
      <c r="Q1179" s="116">
        <v>205.45</v>
      </c>
      <c r="R1179">
        <v>250265</v>
      </c>
    </row>
    <row r="1180" spans="1:18" x14ac:dyDescent="0.25">
      <c r="A1180" s="170">
        <v>43745</v>
      </c>
      <c r="B1180" s="116">
        <v>208.85</v>
      </c>
      <c r="C1180" s="116">
        <v>205.55</v>
      </c>
      <c r="D1180" s="116">
        <v>205</v>
      </c>
      <c r="E1180" s="116">
        <v>208.3</v>
      </c>
      <c r="F1180" s="116">
        <v>205.55</v>
      </c>
      <c r="G1180">
        <v>18741</v>
      </c>
      <c r="H1180" s="116"/>
      <c r="I1180" s="116"/>
      <c r="L1180" s="170">
        <v>43747</v>
      </c>
      <c r="M1180" s="116">
        <v>206.9</v>
      </c>
      <c r="N1180" s="116">
        <v>208.4</v>
      </c>
      <c r="O1180" s="116">
        <v>203</v>
      </c>
      <c r="P1180" s="116">
        <v>205.45</v>
      </c>
      <c r="Q1180" s="116">
        <v>206.9</v>
      </c>
      <c r="R1180">
        <v>272415</v>
      </c>
    </row>
    <row r="1181" spans="1:18" x14ac:dyDescent="0.25">
      <c r="A1181" s="170">
        <v>43747</v>
      </c>
      <c r="B1181" s="116">
        <v>210</v>
      </c>
      <c r="C1181" s="116">
        <v>206.85</v>
      </c>
      <c r="D1181" s="116">
        <v>203.15</v>
      </c>
      <c r="E1181" s="116">
        <v>210</v>
      </c>
      <c r="F1181" s="116">
        <v>206.85</v>
      </c>
      <c r="G1181">
        <v>37461</v>
      </c>
      <c r="H1181" s="116"/>
      <c r="I1181" s="116"/>
      <c r="L1181" s="170">
        <v>43748</v>
      </c>
      <c r="M1181" s="116">
        <v>204.35</v>
      </c>
      <c r="N1181" s="116">
        <v>208</v>
      </c>
      <c r="O1181" s="116">
        <v>204</v>
      </c>
      <c r="P1181" s="116">
        <v>206.85</v>
      </c>
      <c r="Q1181" s="116">
        <v>204.35</v>
      </c>
      <c r="R1181">
        <v>207122</v>
      </c>
    </row>
    <row r="1182" spans="1:18" x14ac:dyDescent="0.25">
      <c r="A1182" s="170">
        <v>43748</v>
      </c>
      <c r="B1182" s="116">
        <v>207.3</v>
      </c>
      <c r="C1182" s="116">
        <v>204.25</v>
      </c>
      <c r="D1182" s="116">
        <v>204</v>
      </c>
      <c r="E1182" s="116">
        <v>206.05</v>
      </c>
      <c r="F1182" s="116">
        <v>204.25</v>
      </c>
      <c r="G1182">
        <v>8612</v>
      </c>
      <c r="H1182" s="116"/>
      <c r="I1182" s="116"/>
      <c r="L1182" s="170">
        <v>43749</v>
      </c>
      <c r="M1182" s="116">
        <v>207.25</v>
      </c>
      <c r="N1182" s="116">
        <v>209.5</v>
      </c>
      <c r="O1182" s="116">
        <v>204.5</v>
      </c>
      <c r="P1182" s="116">
        <v>205.75</v>
      </c>
      <c r="Q1182" s="116">
        <v>207.25</v>
      </c>
      <c r="R1182">
        <v>327027</v>
      </c>
    </row>
    <row r="1183" spans="1:18" x14ac:dyDescent="0.25">
      <c r="A1183" s="170">
        <v>43749</v>
      </c>
      <c r="B1183" s="116">
        <v>209.2</v>
      </c>
      <c r="C1183" s="116">
        <v>207.3</v>
      </c>
      <c r="D1183" s="116">
        <v>205.5</v>
      </c>
      <c r="E1183" s="116">
        <v>206.15</v>
      </c>
      <c r="F1183" s="116">
        <v>207.3</v>
      </c>
      <c r="G1183">
        <v>29182</v>
      </c>
      <c r="H1183" s="116"/>
      <c r="I1183" s="116"/>
      <c r="L1183" s="170">
        <v>43752</v>
      </c>
      <c r="M1183" s="116">
        <v>207.9</v>
      </c>
      <c r="N1183" s="116">
        <v>210</v>
      </c>
      <c r="O1183" s="116">
        <v>205.55</v>
      </c>
      <c r="P1183" s="116">
        <v>209</v>
      </c>
      <c r="Q1183" s="116">
        <v>207.9</v>
      </c>
      <c r="R1183">
        <v>676808</v>
      </c>
    </row>
    <row r="1184" spans="1:18" x14ac:dyDescent="0.25">
      <c r="A1184" s="170">
        <v>43752</v>
      </c>
      <c r="B1184" s="116">
        <v>209</v>
      </c>
      <c r="C1184" s="116">
        <v>207.95</v>
      </c>
      <c r="D1184" s="116">
        <v>206</v>
      </c>
      <c r="E1184" s="116">
        <v>208</v>
      </c>
      <c r="F1184" s="116">
        <v>207.95</v>
      </c>
      <c r="G1184">
        <v>22823</v>
      </c>
      <c r="H1184" s="116"/>
      <c r="I1184" s="116"/>
      <c r="L1184" s="170">
        <v>43753</v>
      </c>
      <c r="M1184" s="116">
        <v>208.75</v>
      </c>
      <c r="N1184" s="116">
        <v>212</v>
      </c>
      <c r="O1184" s="116">
        <v>207.1</v>
      </c>
      <c r="P1184" s="116">
        <v>209.4</v>
      </c>
      <c r="Q1184" s="116">
        <v>208.75</v>
      </c>
      <c r="R1184">
        <v>370311</v>
      </c>
    </row>
    <row r="1185" spans="1:18" x14ac:dyDescent="0.25">
      <c r="A1185" s="170">
        <v>43753</v>
      </c>
      <c r="B1185" s="116">
        <v>212</v>
      </c>
      <c r="C1185" s="116">
        <v>209</v>
      </c>
      <c r="D1185" s="116">
        <v>199</v>
      </c>
      <c r="E1185" s="116">
        <v>207.95</v>
      </c>
      <c r="F1185" s="116">
        <v>209</v>
      </c>
      <c r="G1185">
        <v>35571</v>
      </c>
      <c r="H1185" s="116"/>
      <c r="I1185" s="116"/>
      <c r="L1185" s="170">
        <v>43754</v>
      </c>
      <c r="M1185" s="116">
        <v>210.6</v>
      </c>
      <c r="N1185" s="116">
        <v>213.9</v>
      </c>
      <c r="O1185" s="116">
        <v>209.05</v>
      </c>
      <c r="P1185" s="116">
        <v>213</v>
      </c>
      <c r="Q1185" s="116">
        <v>210.6</v>
      </c>
      <c r="R1185">
        <v>974034</v>
      </c>
    </row>
    <row r="1186" spans="1:18" x14ac:dyDescent="0.25">
      <c r="A1186" s="170">
        <v>43754</v>
      </c>
      <c r="B1186" s="116">
        <v>213.9</v>
      </c>
      <c r="C1186" s="116">
        <v>210.65</v>
      </c>
      <c r="D1186" s="116">
        <v>209.3</v>
      </c>
      <c r="E1186" s="116">
        <v>212.35</v>
      </c>
      <c r="F1186" s="116">
        <v>210.65</v>
      </c>
      <c r="G1186">
        <v>60195</v>
      </c>
      <c r="H1186" s="116"/>
      <c r="I1186" s="116"/>
      <c r="L1186" s="170">
        <v>43755</v>
      </c>
      <c r="M1186" s="116">
        <v>211.55</v>
      </c>
      <c r="N1186" s="116">
        <v>213.75</v>
      </c>
      <c r="O1186" s="116">
        <v>209.6</v>
      </c>
      <c r="P1186" s="116">
        <v>211.45</v>
      </c>
      <c r="Q1186" s="116">
        <v>211.55</v>
      </c>
      <c r="R1186">
        <v>686109</v>
      </c>
    </row>
    <row r="1187" spans="1:18" x14ac:dyDescent="0.25">
      <c r="A1187" s="170">
        <v>43755</v>
      </c>
      <c r="B1187" s="116">
        <v>213.9</v>
      </c>
      <c r="C1187" s="116">
        <v>211.55</v>
      </c>
      <c r="D1187" s="116">
        <v>210</v>
      </c>
      <c r="E1187" s="116">
        <v>211</v>
      </c>
      <c r="F1187" s="116">
        <v>211.55</v>
      </c>
      <c r="G1187">
        <v>35081</v>
      </c>
      <c r="H1187" s="116"/>
      <c r="I1187" s="116"/>
      <c r="L1187" s="170">
        <v>43756</v>
      </c>
      <c r="M1187" s="116">
        <v>216.4</v>
      </c>
      <c r="N1187" s="116">
        <v>218.9</v>
      </c>
      <c r="O1187" s="116">
        <v>212</v>
      </c>
      <c r="P1187" s="116">
        <v>213.1</v>
      </c>
      <c r="Q1187" s="116">
        <v>216.4</v>
      </c>
      <c r="R1187">
        <v>988749</v>
      </c>
    </row>
    <row r="1188" spans="1:18" x14ac:dyDescent="0.25">
      <c r="A1188" s="170">
        <v>43756</v>
      </c>
      <c r="B1188" s="116">
        <v>218.85</v>
      </c>
      <c r="C1188" s="116">
        <v>216.5</v>
      </c>
      <c r="D1188" s="116">
        <v>211.9</v>
      </c>
      <c r="E1188" s="116">
        <v>216.85</v>
      </c>
      <c r="F1188" s="116">
        <v>216.5</v>
      </c>
      <c r="G1188">
        <v>89578</v>
      </c>
      <c r="H1188" s="116"/>
      <c r="I1188" s="116"/>
      <c r="L1188" s="170">
        <v>43760</v>
      </c>
      <c r="M1188" s="116">
        <v>209.9</v>
      </c>
      <c r="N1188" s="116">
        <v>219.7</v>
      </c>
      <c r="O1188" s="116">
        <v>209.2</v>
      </c>
      <c r="P1188" s="116">
        <v>216.5</v>
      </c>
      <c r="Q1188" s="116">
        <v>209.9</v>
      </c>
      <c r="R1188">
        <v>946692</v>
      </c>
    </row>
    <row r="1189" spans="1:18" x14ac:dyDescent="0.25">
      <c r="A1189" s="170">
        <v>43760</v>
      </c>
      <c r="B1189" s="116">
        <v>219.6</v>
      </c>
      <c r="C1189" s="116">
        <v>209.95</v>
      </c>
      <c r="D1189" s="116">
        <v>209.1</v>
      </c>
      <c r="E1189" s="116">
        <v>218.3</v>
      </c>
      <c r="F1189" s="116">
        <v>209.95</v>
      </c>
      <c r="G1189">
        <v>49654</v>
      </c>
      <c r="H1189" s="116"/>
      <c r="I1189" s="116"/>
      <c r="L1189" s="170">
        <v>43761</v>
      </c>
      <c r="M1189" s="116">
        <v>210</v>
      </c>
      <c r="N1189" s="116">
        <v>211.9</v>
      </c>
      <c r="O1189" s="116">
        <v>208.4</v>
      </c>
      <c r="P1189" s="116">
        <v>208.7</v>
      </c>
      <c r="Q1189" s="116">
        <v>210</v>
      </c>
      <c r="R1189">
        <v>995251</v>
      </c>
    </row>
    <row r="1190" spans="1:18" x14ac:dyDescent="0.25">
      <c r="A1190" s="170">
        <v>43761</v>
      </c>
      <c r="B1190" s="116">
        <v>211.6</v>
      </c>
      <c r="C1190" s="116">
        <v>210.05</v>
      </c>
      <c r="D1190" s="116">
        <v>208</v>
      </c>
      <c r="E1190" s="116">
        <v>209.3</v>
      </c>
      <c r="F1190" s="116">
        <v>210.05</v>
      </c>
      <c r="G1190">
        <v>87710</v>
      </c>
      <c r="H1190" s="116"/>
      <c r="I1190" s="116"/>
      <c r="L1190" s="170">
        <v>43762</v>
      </c>
      <c r="M1190" s="116">
        <v>211.55</v>
      </c>
      <c r="N1190" s="116">
        <v>214.9</v>
      </c>
      <c r="O1190" s="116">
        <v>210</v>
      </c>
      <c r="P1190" s="116">
        <v>210</v>
      </c>
      <c r="Q1190" s="116">
        <v>211.55</v>
      </c>
      <c r="R1190">
        <v>630417</v>
      </c>
    </row>
    <row r="1191" spans="1:18" x14ac:dyDescent="0.25">
      <c r="A1191" s="170">
        <v>43762</v>
      </c>
      <c r="B1191" s="116">
        <v>214.55</v>
      </c>
      <c r="C1191" s="116">
        <v>211.4</v>
      </c>
      <c r="D1191" s="116">
        <v>210.05</v>
      </c>
      <c r="E1191" s="116">
        <v>210.05</v>
      </c>
      <c r="F1191" s="116">
        <v>211.4</v>
      </c>
      <c r="G1191">
        <v>27063</v>
      </c>
      <c r="H1191" s="116"/>
      <c r="I1191" s="116"/>
      <c r="L1191" s="170">
        <v>43763</v>
      </c>
      <c r="M1191" s="116">
        <v>211.1</v>
      </c>
      <c r="N1191" s="116">
        <v>214.2</v>
      </c>
      <c r="O1191" s="116">
        <v>210.15</v>
      </c>
      <c r="P1191" s="116">
        <v>212.9</v>
      </c>
      <c r="Q1191" s="116">
        <v>211.1</v>
      </c>
      <c r="R1191">
        <v>294829</v>
      </c>
    </row>
    <row r="1192" spans="1:18" x14ac:dyDescent="0.25">
      <c r="A1192" s="170">
        <v>43763</v>
      </c>
      <c r="B1192" s="116">
        <v>214.15</v>
      </c>
      <c r="C1192" s="116">
        <v>211.2</v>
      </c>
      <c r="D1192" s="116">
        <v>210.2</v>
      </c>
      <c r="E1192" s="116">
        <v>214</v>
      </c>
      <c r="F1192" s="116">
        <v>211.2</v>
      </c>
      <c r="G1192">
        <v>48559</v>
      </c>
      <c r="H1192" s="116"/>
      <c r="I1192" s="116"/>
      <c r="L1192" s="170">
        <v>43765</v>
      </c>
      <c r="M1192" s="116">
        <v>216.95</v>
      </c>
      <c r="N1192" s="116">
        <v>218.7</v>
      </c>
      <c r="O1192" s="116">
        <v>212.25</v>
      </c>
      <c r="P1192" s="116">
        <v>214.5</v>
      </c>
      <c r="Q1192" s="116">
        <v>216.95</v>
      </c>
      <c r="R1192">
        <v>444722</v>
      </c>
    </row>
    <row r="1193" spans="1:18" x14ac:dyDescent="0.25">
      <c r="A1193" s="170">
        <v>43765</v>
      </c>
      <c r="B1193" s="116">
        <v>218.8</v>
      </c>
      <c r="C1193" s="116">
        <v>217</v>
      </c>
      <c r="D1193" s="116">
        <v>214.35</v>
      </c>
      <c r="E1193" s="116">
        <v>216.9</v>
      </c>
      <c r="F1193" s="116">
        <v>217</v>
      </c>
      <c r="G1193">
        <v>36322</v>
      </c>
      <c r="H1193" s="116"/>
      <c r="I1193" s="116"/>
      <c r="L1193" s="170">
        <v>43767</v>
      </c>
      <c r="M1193" s="116">
        <v>220.25</v>
      </c>
      <c r="N1193" s="116">
        <v>224.8</v>
      </c>
      <c r="O1193" s="116">
        <v>212.7</v>
      </c>
      <c r="P1193" s="116">
        <v>214</v>
      </c>
      <c r="Q1193" s="116">
        <v>220.25</v>
      </c>
      <c r="R1193">
        <v>3269262</v>
      </c>
    </row>
    <row r="1194" spans="1:18" x14ac:dyDescent="0.25">
      <c r="A1194" s="170">
        <v>43767</v>
      </c>
      <c r="B1194" s="116">
        <v>225</v>
      </c>
      <c r="C1194" s="116">
        <v>220.55</v>
      </c>
      <c r="D1194" s="116">
        <v>212</v>
      </c>
      <c r="E1194" s="116">
        <v>212</v>
      </c>
      <c r="F1194" s="116">
        <v>220.55</v>
      </c>
      <c r="G1194">
        <v>151706</v>
      </c>
      <c r="H1194" s="116"/>
      <c r="I1194" s="116"/>
      <c r="L1194" s="170">
        <v>43768</v>
      </c>
      <c r="M1194" s="116">
        <v>212.5</v>
      </c>
      <c r="N1194" s="116">
        <v>216</v>
      </c>
      <c r="O1194" s="116">
        <v>211.5</v>
      </c>
      <c r="P1194" s="116">
        <v>216</v>
      </c>
      <c r="Q1194" s="116">
        <v>212.5</v>
      </c>
      <c r="R1194">
        <v>1077318</v>
      </c>
    </row>
    <row r="1195" spans="1:18" x14ac:dyDescent="0.25">
      <c r="A1195" s="170">
        <v>43768</v>
      </c>
      <c r="B1195" s="116">
        <v>216.5</v>
      </c>
      <c r="C1195" s="116">
        <v>212.6</v>
      </c>
      <c r="D1195" s="116">
        <v>211.6</v>
      </c>
      <c r="E1195" s="116">
        <v>216.5</v>
      </c>
      <c r="F1195" s="116">
        <v>212.6</v>
      </c>
      <c r="G1195">
        <v>75568</v>
      </c>
      <c r="H1195" s="116"/>
      <c r="I1195" s="116"/>
      <c r="L1195" s="170">
        <v>43769</v>
      </c>
      <c r="M1195" s="116">
        <v>212.65</v>
      </c>
      <c r="N1195" s="116">
        <v>215.65</v>
      </c>
      <c r="O1195" s="116">
        <v>212</v>
      </c>
      <c r="P1195" s="116">
        <v>212.5</v>
      </c>
      <c r="Q1195" s="116">
        <v>212.65</v>
      </c>
      <c r="R1195">
        <v>662745</v>
      </c>
    </row>
    <row r="1196" spans="1:18" x14ac:dyDescent="0.25">
      <c r="A1196" s="170">
        <v>43769</v>
      </c>
      <c r="B1196" s="116">
        <v>216</v>
      </c>
      <c r="C1196" s="116">
        <v>212.5</v>
      </c>
      <c r="D1196" s="116">
        <v>212</v>
      </c>
      <c r="E1196" s="116">
        <v>214.95</v>
      </c>
      <c r="F1196" s="116">
        <v>212.5</v>
      </c>
      <c r="G1196">
        <v>56487</v>
      </c>
      <c r="H1196" s="116"/>
      <c r="I1196" s="116"/>
      <c r="L1196" s="170">
        <v>43770</v>
      </c>
      <c r="M1196" s="116">
        <v>207</v>
      </c>
      <c r="N1196" s="116">
        <v>213</v>
      </c>
      <c r="O1196" s="116">
        <v>205.05</v>
      </c>
      <c r="P1196" s="116">
        <v>213</v>
      </c>
      <c r="Q1196" s="116">
        <v>207</v>
      </c>
      <c r="R1196">
        <v>1774160</v>
      </c>
    </row>
    <row r="1197" spans="1:18" x14ac:dyDescent="0.25">
      <c r="A1197" s="170">
        <v>43770</v>
      </c>
      <c r="B1197" s="116">
        <v>212.6</v>
      </c>
      <c r="C1197" s="116">
        <v>207</v>
      </c>
      <c r="D1197" s="116">
        <v>205.55</v>
      </c>
      <c r="E1197" s="116">
        <v>212.6</v>
      </c>
      <c r="F1197" s="116">
        <v>207</v>
      </c>
      <c r="G1197">
        <v>90518</v>
      </c>
      <c r="H1197" s="116"/>
      <c r="I1197" s="116"/>
      <c r="L1197" s="170">
        <v>43773</v>
      </c>
      <c r="M1197" s="116">
        <v>210.5</v>
      </c>
      <c r="N1197" s="116">
        <v>215.95</v>
      </c>
      <c r="O1197" s="116">
        <v>209</v>
      </c>
      <c r="P1197" s="116">
        <v>209</v>
      </c>
      <c r="Q1197" s="116">
        <v>210.5</v>
      </c>
      <c r="R1197">
        <v>2258686</v>
      </c>
    </row>
    <row r="1198" spans="1:18" x14ac:dyDescent="0.25">
      <c r="A1198" s="170">
        <v>43773</v>
      </c>
      <c r="B1198" s="116">
        <v>215.95</v>
      </c>
      <c r="C1198" s="116">
        <v>210.5</v>
      </c>
      <c r="D1198" s="116">
        <v>209.4</v>
      </c>
      <c r="E1198" s="116">
        <v>212.45</v>
      </c>
      <c r="F1198" s="116">
        <v>210.5</v>
      </c>
      <c r="G1198">
        <v>89192</v>
      </c>
      <c r="H1198" s="116"/>
      <c r="I1198" s="116"/>
      <c r="L1198" s="170">
        <v>43774</v>
      </c>
      <c r="M1198" s="116">
        <v>207</v>
      </c>
      <c r="N1198" s="116">
        <v>214.5</v>
      </c>
      <c r="O1198" s="116">
        <v>206.8</v>
      </c>
      <c r="P1198" s="116">
        <v>213.15</v>
      </c>
      <c r="Q1198" s="116">
        <v>207</v>
      </c>
      <c r="R1198">
        <v>1287977</v>
      </c>
    </row>
    <row r="1199" spans="1:18" x14ac:dyDescent="0.25">
      <c r="A1199" s="170">
        <v>43774</v>
      </c>
      <c r="B1199" s="116">
        <v>214.5</v>
      </c>
      <c r="C1199" s="116">
        <v>206.95</v>
      </c>
      <c r="D1199" s="116">
        <v>206.65</v>
      </c>
      <c r="E1199" s="116">
        <v>214</v>
      </c>
      <c r="F1199" s="116">
        <v>206.95</v>
      </c>
      <c r="G1199">
        <v>125199</v>
      </c>
      <c r="H1199" s="116"/>
      <c r="I1199" s="116"/>
      <c r="L1199" s="170">
        <v>43775</v>
      </c>
      <c r="M1199" s="116">
        <v>208.2</v>
      </c>
      <c r="N1199" s="116">
        <v>209.2</v>
      </c>
      <c r="O1199" s="116">
        <v>205.8</v>
      </c>
      <c r="P1199" s="116">
        <v>208.25</v>
      </c>
      <c r="Q1199" s="116">
        <v>208.2</v>
      </c>
      <c r="R1199">
        <v>1292053</v>
      </c>
    </row>
    <row r="1200" spans="1:18" x14ac:dyDescent="0.25">
      <c r="A1200" s="170">
        <v>43775</v>
      </c>
      <c r="B1200" s="116">
        <v>209.1</v>
      </c>
      <c r="C1200" s="116">
        <v>208.05</v>
      </c>
      <c r="D1200" s="116">
        <v>206</v>
      </c>
      <c r="E1200" s="116">
        <v>208.35</v>
      </c>
      <c r="F1200" s="116">
        <v>208.05</v>
      </c>
      <c r="G1200">
        <v>43777</v>
      </c>
      <c r="H1200" s="116"/>
      <c r="I1200" s="116"/>
      <c r="L1200" s="170">
        <v>43776</v>
      </c>
      <c r="M1200" s="116">
        <v>213.2</v>
      </c>
      <c r="N1200" s="116">
        <v>214</v>
      </c>
      <c r="O1200" s="116">
        <v>206.7</v>
      </c>
      <c r="P1200" s="116">
        <v>209.2</v>
      </c>
      <c r="Q1200" s="116">
        <v>213.2</v>
      </c>
      <c r="R1200">
        <v>845059</v>
      </c>
    </row>
    <row r="1201" spans="1:18" x14ac:dyDescent="0.25">
      <c r="A1201" s="170">
        <v>43776</v>
      </c>
      <c r="B1201" s="116">
        <v>214</v>
      </c>
      <c r="C1201" s="116">
        <v>213.1</v>
      </c>
      <c r="D1201" s="116">
        <v>206.9</v>
      </c>
      <c r="E1201" s="116">
        <v>208.8</v>
      </c>
      <c r="F1201" s="116">
        <v>213.1</v>
      </c>
      <c r="G1201">
        <v>66719</v>
      </c>
      <c r="H1201" s="116"/>
      <c r="I1201" s="116"/>
      <c r="L1201" s="170">
        <v>43777</v>
      </c>
      <c r="M1201" s="116">
        <v>210.8</v>
      </c>
      <c r="N1201" s="116">
        <v>214.35</v>
      </c>
      <c r="O1201" s="116">
        <v>209.2</v>
      </c>
      <c r="P1201" s="116">
        <v>212</v>
      </c>
      <c r="Q1201" s="116">
        <v>210.8</v>
      </c>
      <c r="R1201">
        <v>583212</v>
      </c>
    </row>
    <row r="1202" spans="1:18" x14ac:dyDescent="0.25">
      <c r="A1202" s="170">
        <v>43777</v>
      </c>
      <c r="B1202" s="116">
        <v>213.9</v>
      </c>
      <c r="C1202" s="116">
        <v>210.85</v>
      </c>
      <c r="D1202" s="116">
        <v>209.35</v>
      </c>
      <c r="E1202" s="116">
        <v>213.9</v>
      </c>
      <c r="F1202" s="116">
        <v>210.85</v>
      </c>
      <c r="G1202">
        <v>35008</v>
      </c>
      <c r="H1202" s="116"/>
      <c r="I1202" s="116"/>
      <c r="L1202" s="170">
        <v>43780</v>
      </c>
      <c r="M1202" s="116">
        <v>210.3</v>
      </c>
      <c r="N1202" s="116">
        <v>211.5</v>
      </c>
      <c r="O1202" s="116">
        <v>208</v>
      </c>
      <c r="P1202" s="116">
        <v>211.5</v>
      </c>
      <c r="Q1202" s="116">
        <v>210.3</v>
      </c>
      <c r="R1202">
        <v>346673</v>
      </c>
    </row>
    <row r="1203" spans="1:18" x14ac:dyDescent="0.25">
      <c r="A1203" s="170">
        <v>43780</v>
      </c>
      <c r="B1203" s="116">
        <v>211.25</v>
      </c>
      <c r="C1203" s="116">
        <v>210.3</v>
      </c>
      <c r="D1203" s="116">
        <v>208.25</v>
      </c>
      <c r="E1203" s="116">
        <v>209.2</v>
      </c>
      <c r="F1203" s="116">
        <v>210.3</v>
      </c>
      <c r="G1203">
        <v>16795</v>
      </c>
      <c r="H1203" s="116"/>
      <c r="I1203" s="116"/>
      <c r="L1203" s="170">
        <v>43782</v>
      </c>
      <c r="M1203" s="116">
        <v>208.6</v>
      </c>
      <c r="N1203" s="116">
        <v>210.9</v>
      </c>
      <c r="O1203" s="116">
        <v>208</v>
      </c>
      <c r="P1203" s="116">
        <v>210.3</v>
      </c>
      <c r="Q1203" s="116">
        <v>208.6</v>
      </c>
      <c r="R1203">
        <v>378032</v>
      </c>
    </row>
    <row r="1204" spans="1:18" x14ac:dyDescent="0.25">
      <c r="A1204" s="170">
        <v>43782</v>
      </c>
      <c r="B1204" s="116">
        <v>211.8</v>
      </c>
      <c r="C1204" s="116">
        <v>208.65</v>
      </c>
      <c r="D1204" s="116">
        <v>208</v>
      </c>
      <c r="E1204" s="116">
        <v>211.8</v>
      </c>
      <c r="F1204" s="116">
        <v>208.65</v>
      </c>
      <c r="G1204">
        <v>26653</v>
      </c>
      <c r="H1204" s="116"/>
      <c r="I1204" s="116"/>
      <c r="L1204" s="170">
        <v>43783</v>
      </c>
      <c r="M1204" s="116">
        <v>210.05</v>
      </c>
      <c r="N1204" s="116">
        <v>210.95</v>
      </c>
      <c r="O1204" s="116">
        <v>206.25</v>
      </c>
      <c r="P1204" s="116">
        <v>208.5</v>
      </c>
      <c r="Q1204" s="116">
        <v>210.05</v>
      </c>
      <c r="R1204">
        <v>508466</v>
      </c>
    </row>
    <row r="1205" spans="1:18" x14ac:dyDescent="0.25">
      <c r="A1205" s="170">
        <v>43783</v>
      </c>
      <c r="B1205" s="116">
        <v>210.8</v>
      </c>
      <c r="C1205" s="116">
        <v>210</v>
      </c>
      <c r="D1205" s="116">
        <v>206.3</v>
      </c>
      <c r="E1205" s="116">
        <v>210.8</v>
      </c>
      <c r="F1205" s="116">
        <v>210</v>
      </c>
      <c r="G1205">
        <v>26501</v>
      </c>
      <c r="H1205" s="116"/>
      <c r="I1205" s="116"/>
      <c r="L1205" s="170">
        <v>43784</v>
      </c>
      <c r="M1205" s="116">
        <v>208.3</v>
      </c>
      <c r="N1205" s="116">
        <v>211.25</v>
      </c>
      <c r="O1205" s="116">
        <v>208</v>
      </c>
      <c r="P1205" s="116">
        <v>209.2</v>
      </c>
      <c r="Q1205" s="116">
        <v>208.3</v>
      </c>
      <c r="R1205">
        <v>350743</v>
      </c>
    </row>
    <row r="1206" spans="1:18" x14ac:dyDescent="0.25">
      <c r="A1206" s="170">
        <v>43784</v>
      </c>
      <c r="B1206" s="116">
        <v>211.05</v>
      </c>
      <c r="C1206" s="116">
        <v>208.2</v>
      </c>
      <c r="D1206" s="116">
        <v>207.95</v>
      </c>
      <c r="E1206" s="116">
        <v>210</v>
      </c>
      <c r="F1206" s="116">
        <v>208.2</v>
      </c>
      <c r="G1206">
        <v>22462</v>
      </c>
      <c r="H1206" s="116"/>
      <c r="I1206" s="116"/>
      <c r="L1206" s="170">
        <v>43787</v>
      </c>
      <c r="M1206" s="116">
        <v>210.75</v>
      </c>
      <c r="N1206" s="116">
        <v>213</v>
      </c>
      <c r="O1206" s="116">
        <v>207.8</v>
      </c>
      <c r="P1206" s="116">
        <v>209.9</v>
      </c>
      <c r="Q1206" s="116">
        <v>210.75</v>
      </c>
      <c r="R1206">
        <v>509636</v>
      </c>
    </row>
    <row r="1207" spans="1:18" x14ac:dyDescent="0.25">
      <c r="A1207" s="170">
        <v>43787</v>
      </c>
      <c r="B1207" s="116">
        <v>212.95</v>
      </c>
      <c r="C1207" s="116">
        <v>210.65</v>
      </c>
      <c r="D1207" s="116">
        <v>207.35</v>
      </c>
      <c r="E1207" s="116">
        <v>210</v>
      </c>
      <c r="F1207" s="116">
        <v>210.65</v>
      </c>
      <c r="G1207">
        <v>29471</v>
      </c>
      <c r="H1207" s="116"/>
      <c r="I1207" s="116"/>
      <c r="L1207" s="170">
        <v>43788</v>
      </c>
      <c r="M1207" s="116">
        <v>215.7</v>
      </c>
      <c r="N1207" s="116">
        <v>216.5</v>
      </c>
      <c r="O1207" s="116">
        <v>208.75</v>
      </c>
      <c r="P1207" s="116">
        <v>211</v>
      </c>
      <c r="Q1207" s="116">
        <v>215.7</v>
      </c>
      <c r="R1207">
        <v>936387</v>
      </c>
    </row>
    <row r="1208" spans="1:18" x14ac:dyDescent="0.25">
      <c r="A1208" s="170">
        <v>43788</v>
      </c>
      <c r="B1208" s="116">
        <v>216.5</v>
      </c>
      <c r="C1208" s="116">
        <v>215.6</v>
      </c>
      <c r="D1208" s="116">
        <v>208.7</v>
      </c>
      <c r="E1208" s="116">
        <v>211.2</v>
      </c>
      <c r="F1208" s="116">
        <v>215.6</v>
      </c>
      <c r="G1208">
        <v>82153</v>
      </c>
      <c r="H1208" s="116"/>
      <c r="I1208" s="116"/>
      <c r="L1208" s="170">
        <v>43789</v>
      </c>
      <c r="M1208" s="116">
        <v>213.6</v>
      </c>
      <c r="N1208" s="116">
        <v>216.95</v>
      </c>
      <c r="O1208" s="116">
        <v>213</v>
      </c>
      <c r="P1208" s="116">
        <v>215.7</v>
      </c>
      <c r="Q1208" s="116">
        <v>213.6</v>
      </c>
      <c r="R1208">
        <v>382508</v>
      </c>
    </row>
    <row r="1209" spans="1:18" x14ac:dyDescent="0.25">
      <c r="A1209" s="170">
        <v>43789</v>
      </c>
      <c r="B1209" s="116">
        <v>219</v>
      </c>
      <c r="C1209" s="116">
        <v>213.55</v>
      </c>
      <c r="D1209" s="116">
        <v>213.2</v>
      </c>
      <c r="E1209" s="116">
        <v>219</v>
      </c>
      <c r="F1209" s="116">
        <v>213.55</v>
      </c>
      <c r="G1209">
        <v>15335</v>
      </c>
      <c r="H1209" s="116"/>
      <c r="I1209" s="116"/>
      <c r="L1209" s="170">
        <v>43790</v>
      </c>
      <c r="M1209" s="116">
        <v>214.7</v>
      </c>
      <c r="N1209" s="116">
        <v>215.8</v>
      </c>
      <c r="O1209" s="116">
        <v>210</v>
      </c>
      <c r="P1209" s="116">
        <v>214.25</v>
      </c>
      <c r="Q1209" s="116">
        <v>214.7</v>
      </c>
      <c r="R1209">
        <v>464816</v>
      </c>
    </row>
    <row r="1210" spans="1:18" x14ac:dyDescent="0.25">
      <c r="A1210" s="170">
        <v>43790</v>
      </c>
      <c r="B1210" s="116">
        <v>215.65</v>
      </c>
      <c r="C1210" s="116">
        <v>214.6</v>
      </c>
      <c r="D1210" s="116">
        <v>210.25</v>
      </c>
      <c r="E1210" s="116">
        <v>213</v>
      </c>
      <c r="F1210" s="116">
        <v>214.6</v>
      </c>
      <c r="G1210">
        <v>31446</v>
      </c>
      <c r="H1210" s="116"/>
      <c r="I1210" s="116"/>
      <c r="L1210" s="170">
        <v>43791</v>
      </c>
      <c r="M1210" s="116">
        <v>212.55</v>
      </c>
      <c r="N1210" s="116">
        <v>217.5</v>
      </c>
      <c r="O1210" s="116">
        <v>210</v>
      </c>
      <c r="P1210" s="116">
        <v>214.7</v>
      </c>
      <c r="Q1210" s="116">
        <v>212.55</v>
      </c>
      <c r="R1210">
        <v>762140</v>
      </c>
    </row>
    <row r="1211" spans="1:18" x14ac:dyDescent="0.25">
      <c r="A1211" s="170">
        <v>43791</v>
      </c>
      <c r="B1211" s="116">
        <v>217.45</v>
      </c>
      <c r="C1211" s="116">
        <v>212.55</v>
      </c>
      <c r="D1211" s="116">
        <v>210.15</v>
      </c>
      <c r="E1211" s="116">
        <v>214.75</v>
      </c>
      <c r="F1211" s="116">
        <v>212.55</v>
      </c>
      <c r="G1211">
        <v>43297</v>
      </c>
      <c r="H1211" s="116"/>
      <c r="I1211" s="116"/>
      <c r="L1211" s="170">
        <v>43794</v>
      </c>
      <c r="M1211" s="116">
        <v>215</v>
      </c>
      <c r="N1211" s="116">
        <v>216.5</v>
      </c>
      <c r="O1211" s="116">
        <v>213</v>
      </c>
      <c r="P1211" s="116">
        <v>213</v>
      </c>
      <c r="Q1211" s="116">
        <v>215</v>
      </c>
      <c r="R1211">
        <v>613006</v>
      </c>
    </row>
    <row r="1212" spans="1:18" x14ac:dyDescent="0.25">
      <c r="A1212" s="170">
        <v>43794</v>
      </c>
      <c r="B1212" s="116">
        <v>218.45</v>
      </c>
      <c r="C1212" s="116">
        <v>214.85</v>
      </c>
      <c r="D1212" s="116">
        <v>213.75</v>
      </c>
      <c r="E1212" s="116">
        <v>218.45</v>
      </c>
      <c r="F1212" s="116">
        <v>214.85</v>
      </c>
      <c r="G1212">
        <v>22060</v>
      </c>
      <c r="H1212" s="116"/>
      <c r="I1212" s="116"/>
      <c r="L1212" s="170">
        <v>43795</v>
      </c>
      <c r="M1212" s="116">
        <v>209.9</v>
      </c>
      <c r="N1212" s="116">
        <v>215.9</v>
      </c>
      <c r="O1212" s="116">
        <v>209</v>
      </c>
      <c r="P1212" s="116">
        <v>215</v>
      </c>
      <c r="Q1212" s="116">
        <v>209.9</v>
      </c>
      <c r="R1212">
        <v>347447</v>
      </c>
    </row>
    <row r="1213" spans="1:18" x14ac:dyDescent="0.25">
      <c r="A1213" s="170">
        <v>43795</v>
      </c>
      <c r="B1213" s="116">
        <v>217</v>
      </c>
      <c r="C1213" s="116">
        <v>210.05</v>
      </c>
      <c r="D1213" s="116">
        <v>209.25</v>
      </c>
      <c r="E1213" s="116">
        <v>217</v>
      </c>
      <c r="F1213" s="116">
        <v>210.05</v>
      </c>
      <c r="G1213">
        <v>32013</v>
      </c>
      <c r="H1213" s="116"/>
      <c r="I1213" s="116"/>
      <c r="L1213" s="170">
        <v>43796</v>
      </c>
      <c r="M1213" s="116">
        <v>212.7</v>
      </c>
      <c r="N1213" s="116">
        <v>215.1</v>
      </c>
      <c r="O1213" s="116">
        <v>210.6</v>
      </c>
      <c r="P1213" s="116">
        <v>211</v>
      </c>
      <c r="Q1213" s="116">
        <v>212.7</v>
      </c>
      <c r="R1213">
        <v>504454</v>
      </c>
    </row>
    <row r="1214" spans="1:18" x14ac:dyDescent="0.25">
      <c r="A1214" s="170">
        <v>43796</v>
      </c>
      <c r="B1214" s="116">
        <v>215.1</v>
      </c>
      <c r="C1214" s="116">
        <v>212.6</v>
      </c>
      <c r="D1214" s="116">
        <v>210.8</v>
      </c>
      <c r="E1214" s="116">
        <v>210.8</v>
      </c>
      <c r="F1214" s="116">
        <v>212.6</v>
      </c>
      <c r="G1214">
        <v>48715</v>
      </c>
      <c r="H1214" s="116"/>
      <c r="I1214" s="116"/>
      <c r="L1214" s="170">
        <v>43797</v>
      </c>
      <c r="M1214" s="116">
        <v>215.1</v>
      </c>
      <c r="N1214" s="116">
        <v>215.95</v>
      </c>
      <c r="O1214" s="116">
        <v>212.1</v>
      </c>
      <c r="P1214" s="116">
        <v>212.1</v>
      </c>
      <c r="Q1214" s="116">
        <v>215.1</v>
      </c>
      <c r="R1214">
        <v>643776</v>
      </c>
    </row>
    <row r="1215" spans="1:18" x14ac:dyDescent="0.25">
      <c r="A1215" s="170">
        <v>43797</v>
      </c>
      <c r="B1215" s="116">
        <v>216</v>
      </c>
      <c r="C1215" s="116">
        <v>215.05</v>
      </c>
      <c r="D1215" s="116">
        <v>212.8</v>
      </c>
      <c r="E1215" s="116">
        <v>212.85</v>
      </c>
      <c r="F1215" s="116">
        <v>215.05</v>
      </c>
      <c r="G1215">
        <v>33787</v>
      </c>
      <c r="H1215" s="116"/>
      <c r="I1215" s="116"/>
      <c r="L1215" s="170">
        <v>43798</v>
      </c>
      <c r="M1215" s="116">
        <v>215.35</v>
      </c>
      <c r="N1215" s="116">
        <v>220.65</v>
      </c>
      <c r="O1215" s="116">
        <v>213.8</v>
      </c>
      <c r="P1215" s="116">
        <v>215.8</v>
      </c>
      <c r="Q1215" s="116">
        <v>215.35</v>
      </c>
      <c r="R1215">
        <v>1068144</v>
      </c>
    </row>
    <row r="1216" spans="1:18" x14ac:dyDescent="0.25">
      <c r="A1216" s="170">
        <v>43798</v>
      </c>
      <c r="B1216" s="116">
        <v>220.85</v>
      </c>
      <c r="C1216" s="116">
        <v>215.3</v>
      </c>
      <c r="D1216" s="116">
        <v>214.25</v>
      </c>
      <c r="E1216" s="116">
        <v>217.4</v>
      </c>
      <c r="F1216" s="116">
        <v>215.3</v>
      </c>
      <c r="G1216">
        <v>65116</v>
      </c>
      <c r="H1216" s="116"/>
      <c r="I1216" s="116"/>
      <c r="L1216" s="170">
        <v>43801</v>
      </c>
      <c r="M1216" s="116">
        <v>213.5</v>
      </c>
      <c r="N1216" s="116">
        <v>217.95</v>
      </c>
      <c r="O1216" s="116">
        <v>213</v>
      </c>
      <c r="P1216" s="116">
        <v>216</v>
      </c>
      <c r="Q1216" s="116">
        <v>213.5</v>
      </c>
      <c r="R1216">
        <v>279233</v>
      </c>
    </row>
    <row r="1217" spans="1:18" x14ac:dyDescent="0.25">
      <c r="A1217" s="170">
        <v>43801</v>
      </c>
      <c r="B1217" s="116">
        <v>217.8</v>
      </c>
      <c r="C1217" s="116">
        <v>213.55</v>
      </c>
      <c r="D1217" s="116">
        <v>212.9</v>
      </c>
      <c r="E1217" s="116">
        <v>216</v>
      </c>
      <c r="F1217" s="116">
        <v>213.55</v>
      </c>
      <c r="G1217">
        <v>30412</v>
      </c>
      <c r="H1217" s="116"/>
      <c r="I1217" s="116"/>
      <c r="L1217" s="170">
        <v>43802</v>
      </c>
      <c r="M1217" s="116">
        <v>210.8</v>
      </c>
      <c r="N1217" s="116">
        <v>216.8</v>
      </c>
      <c r="O1217" s="116">
        <v>210.25</v>
      </c>
      <c r="P1217" s="116">
        <v>213.5</v>
      </c>
      <c r="Q1217" s="116">
        <v>210.8</v>
      </c>
      <c r="R1217">
        <v>266103</v>
      </c>
    </row>
    <row r="1218" spans="1:18" x14ac:dyDescent="0.25">
      <c r="A1218" s="170">
        <v>43802</v>
      </c>
      <c r="B1218" s="116">
        <v>215.7</v>
      </c>
      <c r="C1218" s="116">
        <v>210.9</v>
      </c>
      <c r="D1218" s="116">
        <v>210.6</v>
      </c>
      <c r="E1218" s="116">
        <v>213.85</v>
      </c>
      <c r="F1218" s="116">
        <v>210.9</v>
      </c>
      <c r="G1218">
        <v>25531</v>
      </c>
      <c r="H1218" s="116"/>
      <c r="I1218" s="116"/>
      <c r="L1218" s="170">
        <v>43803</v>
      </c>
      <c r="M1218" s="116">
        <v>211.5</v>
      </c>
      <c r="N1218" s="116">
        <v>213.5</v>
      </c>
      <c r="O1218" s="116">
        <v>209.5</v>
      </c>
      <c r="P1218" s="116">
        <v>211</v>
      </c>
      <c r="Q1218" s="116">
        <v>211.5</v>
      </c>
      <c r="R1218">
        <v>266441</v>
      </c>
    </row>
    <row r="1219" spans="1:18" x14ac:dyDescent="0.25">
      <c r="A1219" s="170">
        <v>43803</v>
      </c>
      <c r="B1219" s="116">
        <v>213.5</v>
      </c>
      <c r="C1219" s="116">
        <v>211.55</v>
      </c>
      <c r="D1219" s="116">
        <v>210</v>
      </c>
      <c r="E1219" s="116">
        <v>211</v>
      </c>
      <c r="F1219" s="116">
        <v>211.55</v>
      </c>
      <c r="G1219">
        <v>18291</v>
      </c>
      <c r="H1219" s="116"/>
      <c r="I1219" s="116"/>
      <c r="L1219" s="170">
        <v>43804</v>
      </c>
      <c r="M1219" s="116">
        <v>211.85</v>
      </c>
      <c r="N1219" s="116">
        <v>213.95</v>
      </c>
      <c r="O1219" s="116">
        <v>211</v>
      </c>
      <c r="P1219" s="116">
        <v>213</v>
      </c>
      <c r="Q1219" s="116">
        <v>211.85</v>
      </c>
      <c r="R1219">
        <v>119097</v>
      </c>
    </row>
    <row r="1220" spans="1:18" x14ac:dyDescent="0.25">
      <c r="A1220" s="170">
        <v>43804</v>
      </c>
      <c r="B1220" s="116">
        <v>214.1</v>
      </c>
      <c r="C1220" s="116">
        <v>212.2</v>
      </c>
      <c r="D1220" s="116">
        <v>211.05</v>
      </c>
      <c r="E1220" s="116">
        <v>213.6</v>
      </c>
      <c r="F1220" s="116">
        <v>212.2</v>
      </c>
      <c r="G1220">
        <v>13630</v>
      </c>
      <c r="H1220" s="116"/>
      <c r="I1220" s="116"/>
      <c r="L1220" s="170">
        <v>43805</v>
      </c>
      <c r="M1220" s="116">
        <v>210.9</v>
      </c>
      <c r="N1220" s="116">
        <v>213.95</v>
      </c>
      <c r="O1220" s="116">
        <v>210</v>
      </c>
      <c r="P1220" s="116">
        <v>211.5</v>
      </c>
      <c r="Q1220" s="116">
        <v>210.9</v>
      </c>
      <c r="R1220">
        <v>275881</v>
      </c>
    </row>
    <row r="1221" spans="1:18" x14ac:dyDescent="0.25">
      <c r="A1221" s="170">
        <v>43805</v>
      </c>
      <c r="B1221" s="116">
        <v>213.85</v>
      </c>
      <c r="C1221" s="116">
        <v>210.85</v>
      </c>
      <c r="D1221" s="116">
        <v>210.05</v>
      </c>
      <c r="E1221" s="116">
        <v>211.8</v>
      </c>
      <c r="F1221" s="116">
        <v>210.85</v>
      </c>
      <c r="G1221">
        <v>18085</v>
      </c>
      <c r="H1221" s="116"/>
      <c r="I1221" s="116"/>
      <c r="L1221" s="170">
        <v>43808</v>
      </c>
      <c r="M1221" s="116">
        <v>209.05</v>
      </c>
      <c r="N1221" s="116">
        <v>212.15</v>
      </c>
      <c r="O1221" s="116">
        <v>208.8</v>
      </c>
      <c r="P1221" s="116">
        <v>210.9</v>
      </c>
      <c r="Q1221" s="116">
        <v>209.05</v>
      </c>
      <c r="R1221">
        <v>201139</v>
      </c>
    </row>
    <row r="1222" spans="1:18" x14ac:dyDescent="0.25">
      <c r="A1222" s="170">
        <v>43808</v>
      </c>
      <c r="B1222" s="116">
        <v>212.15</v>
      </c>
      <c r="C1222" s="116">
        <v>209.15</v>
      </c>
      <c r="D1222" s="116">
        <v>209</v>
      </c>
      <c r="E1222" s="116">
        <v>212</v>
      </c>
      <c r="F1222" s="116">
        <v>209.15</v>
      </c>
      <c r="G1222">
        <v>25300</v>
      </c>
      <c r="H1222" s="116"/>
      <c r="I1222" s="116"/>
      <c r="L1222" s="170">
        <v>43809</v>
      </c>
      <c r="M1222" s="116">
        <v>206.35</v>
      </c>
      <c r="N1222" s="116">
        <v>210.45</v>
      </c>
      <c r="O1222" s="116">
        <v>206</v>
      </c>
      <c r="P1222" s="116">
        <v>209.65</v>
      </c>
      <c r="Q1222" s="116">
        <v>206.35</v>
      </c>
      <c r="R1222">
        <v>280791</v>
      </c>
    </row>
    <row r="1223" spans="1:18" x14ac:dyDescent="0.25">
      <c r="A1223" s="170">
        <v>43809</v>
      </c>
      <c r="B1223" s="116">
        <v>210.1</v>
      </c>
      <c r="C1223" s="116">
        <v>206.4</v>
      </c>
      <c r="D1223" s="116">
        <v>206.05</v>
      </c>
      <c r="E1223" s="116">
        <v>209</v>
      </c>
      <c r="F1223" s="116">
        <v>206.4</v>
      </c>
      <c r="G1223">
        <v>16341</v>
      </c>
      <c r="H1223" s="116"/>
      <c r="I1223" s="116"/>
      <c r="L1223" s="170">
        <v>43810</v>
      </c>
      <c r="M1223" s="116">
        <v>205.45</v>
      </c>
      <c r="N1223" s="116">
        <v>208.85</v>
      </c>
      <c r="O1223" s="116">
        <v>204.5</v>
      </c>
      <c r="P1223" s="116">
        <v>207.6</v>
      </c>
      <c r="Q1223" s="116">
        <v>205.45</v>
      </c>
      <c r="R1223">
        <v>464915</v>
      </c>
    </row>
    <row r="1224" spans="1:18" x14ac:dyDescent="0.25">
      <c r="A1224" s="170">
        <v>43810</v>
      </c>
      <c r="B1224" s="116">
        <v>208.6</v>
      </c>
      <c r="C1224" s="116">
        <v>205.45</v>
      </c>
      <c r="D1224" s="116">
        <v>204.8</v>
      </c>
      <c r="E1224" s="116">
        <v>207.3</v>
      </c>
      <c r="F1224" s="116">
        <v>205.45</v>
      </c>
      <c r="G1224">
        <v>14464</v>
      </c>
      <c r="H1224" s="116"/>
      <c r="I1224" s="116"/>
      <c r="L1224" s="170">
        <v>43811</v>
      </c>
      <c r="M1224" s="116">
        <v>205.5</v>
      </c>
      <c r="N1224" s="116">
        <v>209</v>
      </c>
      <c r="O1224" s="116">
        <v>205.3</v>
      </c>
      <c r="P1224" s="116">
        <v>207</v>
      </c>
      <c r="Q1224" s="116">
        <v>205.5</v>
      </c>
      <c r="R1224">
        <v>285440</v>
      </c>
    </row>
    <row r="1225" spans="1:18" x14ac:dyDescent="0.25">
      <c r="A1225" s="170">
        <v>43811</v>
      </c>
      <c r="B1225" s="116">
        <v>208.8</v>
      </c>
      <c r="C1225" s="116">
        <v>205.55</v>
      </c>
      <c r="D1225" s="116">
        <v>205.25</v>
      </c>
      <c r="E1225" s="116">
        <v>207.35</v>
      </c>
      <c r="F1225" s="116">
        <v>205.55</v>
      </c>
      <c r="G1225">
        <v>14011</v>
      </c>
      <c r="H1225" s="116"/>
      <c r="I1225" s="116"/>
      <c r="L1225" s="170">
        <v>43812</v>
      </c>
      <c r="M1225" s="116">
        <v>206</v>
      </c>
      <c r="N1225" s="116">
        <v>209.4</v>
      </c>
      <c r="O1225" s="116">
        <v>205.5</v>
      </c>
      <c r="P1225" s="116">
        <v>207.35</v>
      </c>
      <c r="Q1225" s="116">
        <v>206</v>
      </c>
      <c r="R1225">
        <v>612881</v>
      </c>
    </row>
    <row r="1226" spans="1:18" x14ac:dyDescent="0.25">
      <c r="A1226" s="170">
        <v>43812</v>
      </c>
      <c r="B1226" s="116">
        <v>209.4</v>
      </c>
      <c r="C1226" s="116">
        <v>206</v>
      </c>
      <c r="D1226" s="116">
        <v>204.25</v>
      </c>
      <c r="E1226" s="116">
        <v>208</v>
      </c>
      <c r="F1226" s="116">
        <v>206</v>
      </c>
      <c r="G1226">
        <v>42356</v>
      </c>
      <c r="H1226" s="116"/>
      <c r="I1226" s="116"/>
      <c r="L1226" s="170">
        <v>43815</v>
      </c>
      <c r="M1226" s="116">
        <v>206.25</v>
      </c>
      <c r="N1226" s="116">
        <v>207.7</v>
      </c>
      <c r="O1226" s="116">
        <v>206</v>
      </c>
      <c r="P1226" s="116">
        <v>207.2</v>
      </c>
      <c r="Q1226" s="116">
        <v>206.25</v>
      </c>
      <c r="R1226">
        <v>130261</v>
      </c>
    </row>
    <row r="1227" spans="1:18" x14ac:dyDescent="0.25">
      <c r="A1227" s="170">
        <v>43815</v>
      </c>
      <c r="B1227" s="116">
        <v>207.75</v>
      </c>
      <c r="C1227" s="116">
        <v>206.25</v>
      </c>
      <c r="D1227" s="116">
        <v>206</v>
      </c>
      <c r="E1227" s="116">
        <v>207.55</v>
      </c>
      <c r="F1227" s="116">
        <v>206.25</v>
      </c>
      <c r="G1227">
        <v>6034</v>
      </c>
      <c r="H1227" s="116"/>
      <c r="I1227" s="116"/>
      <c r="L1227" s="170">
        <v>43816</v>
      </c>
      <c r="M1227" s="116">
        <v>208</v>
      </c>
      <c r="N1227" s="116">
        <v>208.6</v>
      </c>
      <c r="O1227" s="116">
        <v>206.25</v>
      </c>
      <c r="P1227" s="116">
        <v>206.25</v>
      </c>
      <c r="Q1227" s="116">
        <v>208</v>
      </c>
      <c r="R1227">
        <v>473024</v>
      </c>
    </row>
    <row r="1228" spans="1:18" x14ac:dyDescent="0.25">
      <c r="A1228" s="170">
        <v>43816</v>
      </c>
      <c r="B1228" s="116">
        <v>208.5</v>
      </c>
      <c r="C1228" s="116">
        <v>208.2</v>
      </c>
      <c r="D1228" s="116">
        <v>206.95</v>
      </c>
      <c r="E1228" s="116">
        <v>207.5</v>
      </c>
      <c r="F1228" s="116">
        <v>208.2</v>
      </c>
      <c r="G1228">
        <v>22514</v>
      </c>
      <c r="H1228" s="116"/>
      <c r="I1228" s="116"/>
      <c r="L1228" s="170">
        <v>43817</v>
      </c>
      <c r="M1228" s="116">
        <v>207.3</v>
      </c>
      <c r="N1228" s="116">
        <v>210.25</v>
      </c>
      <c r="O1228" s="116">
        <v>207.1</v>
      </c>
      <c r="P1228" s="116">
        <v>208.7</v>
      </c>
      <c r="Q1228" s="116">
        <v>207.3</v>
      </c>
      <c r="R1228">
        <v>666319</v>
      </c>
    </row>
    <row r="1229" spans="1:18" x14ac:dyDescent="0.25">
      <c r="A1229" s="170">
        <v>43817</v>
      </c>
      <c r="B1229" s="116">
        <v>210.25</v>
      </c>
      <c r="C1229" s="116">
        <v>207.6</v>
      </c>
      <c r="D1229" s="116">
        <v>207.35</v>
      </c>
      <c r="E1229" s="116">
        <v>208.65</v>
      </c>
      <c r="F1229" s="116">
        <v>207.6</v>
      </c>
      <c r="G1229">
        <v>12334</v>
      </c>
      <c r="H1229" s="116"/>
      <c r="I1229" s="116"/>
      <c r="L1229" s="170">
        <v>43818</v>
      </c>
      <c r="M1229" s="116">
        <v>207.25</v>
      </c>
      <c r="N1229" s="116">
        <v>209.05</v>
      </c>
      <c r="O1229" s="116">
        <v>207</v>
      </c>
      <c r="P1229" s="116">
        <v>207.4</v>
      </c>
      <c r="Q1229" s="116">
        <v>207.25</v>
      </c>
      <c r="R1229">
        <v>162390</v>
      </c>
    </row>
    <row r="1230" spans="1:18" x14ac:dyDescent="0.25">
      <c r="A1230" s="170">
        <v>43818</v>
      </c>
      <c r="B1230" s="116">
        <v>210.75</v>
      </c>
      <c r="C1230" s="116">
        <v>207.35</v>
      </c>
      <c r="D1230" s="116">
        <v>206.9</v>
      </c>
      <c r="E1230" s="116">
        <v>210.75</v>
      </c>
      <c r="F1230" s="116">
        <v>207.35</v>
      </c>
      <c r="G1230">
        <v>12496</v>
      </c>
      <c r="H1230" s="116"/>
      <c r="I1230" s="116"/>
      <c r="L1230" s="170">
        <v>43819</v>
      </c>
      <c r="M1230" s="116">
        <v>208.4</v>
      </c>
      <c r="N1230" s="116">
        <v>210.6</v>
      </c>
      <c r="O1230" s="116">
        <v>206.15</v>
      </c>
      <c r="P1230" s="116">
        <v>209</v>
      </c>
      <c r="Q1230" s="116">
        <v>208.4</v>
      </c>
      <c r="R1230">
        <v>968923</v>
      </c>
    </row>
    <row r="1231" spans="1:18" x14ac:dyDescent="0.25">
      <c r="A1231" s="170">
        <v>43819</v>
      </c>
      <c r="B1231" s="116">
        <v>211.1</v>
      </c>
      <c r="C1231" s="116">
        <v>208.3</v>
      </c>
      <c r="D1231" s="116">
        <v>206.45</v>
      </c>
      <c r="E1231" s="116">
        <v>209.35</v>
      </c>
      <c r="F1231" s="116">
        <v>208.3</v>
      </c>
      <c r="G1231">
        <v>29107</v>
      </c>
      <c r="H1231" s="116"/>
      <c r="I1231" s="116"/>
      <c r="L1231" s="170">
        <v>43822</v>
      </c>
      <c r="M1231" s="116">
        <v>211.5</v>
      </c>
      <c r="N1231" s="116">
        <v>212</v>
      </c>
      <c r="O1231" s="116">
        <v>208</v>
      </c>
      <c r="P1231" s="116">
        <v>208.4</v>
      </c>
      <c r="Q1231" s="116">
        <v>211.5</v>
      </c>
      <c r="R1231">
        <v>361029</v>
      </c>
    </row>
    <row r="1232" spans="1:18" x14ac:dyDescent="0.25">
      <c r="A1232" s="170">
        <v>43822</v>
      </c>
      <c r="B1232" s="116">
        <v>212</v>
      </c>
      <c r="C1232" s="116">
        <v>211.35</v>
      </c>
      <c r="D1232" s="116">
        <v>208.55</v>
      </c>
      <c r="E1232" s="116">
        <v>208.55</v>
      </c>
      <c r="F1232" s="116">
        <v>211.35</v>
      </c>
      <c r="G1232">
        <v>28771</v>
      </c>
      <c r="H1232" s="116"/>
      <c r="I1232" s="116"/>
      <c r="L1232" s="170">
        <v>43823</v>
      </c>
      <c r="M1232" s="116">
        <v>211.45</v>
      </c>
      <c r="N1232" s="116">
        <v>213.7</v>
      </c>
      <c r="O1232" s="116">
        <v>211</v>
      </c>
      <c r="P1232" s="116">
        <v>211.75</v>
      </c>
      <c r="Q1232" s="116">
        <v>211.45</v>
      </c>
      <c r="R1232">
        <v>275074</v>
      </c>
    </row>
    <row r="1233" spans="1:18" x14ac:dyDescent="0.25">
      <c r="A1233" s="170">
        <v>43823</v>
      </c>
      <c r="B1233" s="116">
        <v>213.6</v>
      </c>
      <c r="C1233" s="116">
        <v>211.35</v>
      </c>
      <c r="D1233" s="116">
        <v>211</v>
      </c>
      <c r="E1233" s="116">
        <v>212</v>
      </c>
      <c r="F1233" s="116">
        <v>211.35</v>
      </c>
      <c r="G1233">
        <v>16252</v>
      </c>
      <c r="H1233" s="116"/>
      <c r="I1233" s="116"/>
      <c r="L1233" s="170">
        <v>43825</v>
      </c>
      <c r="M1233" s="116">
        <v>212</v>
      </c>
      <c r="N1233" s="116">
        <v>214.5</v>
      </c>
      <c r="O1233" s="116">
        <v>211.9</v>
      </c>
      <c r="P1233" s="116">
        <v>212</v>
      </c>
      <c r="Q1233" s="116">
        <v>212</v>
      </c>
      <c r="R1233">
        <v>354046</v>
      </c>
    </row>
    <row r="1234" spans="1:18" x14ac:dyDescent="0.25">
      <c r="A1234" s="170">
        <v>43825</v>
      </c>
      <c r="B1234" s="116">
        <v>214.45</v>
      </c>
      <c r="C1234" s="116">
        <v>211.9</v>
      </c>
      <c r="D1234" s="116">
        <v>211.85</v>
      </c>
      <c r="E1234" s="116">
        <v>212</v>
      </c>
      <c r="F1234" s="116">
        <v>211.9</v>
      </c>
      <c r="G1234">
        <v>26458</v>
      </c>
      <c r="H1234" s="116"/>
      <c r="I1234" s="116"/>
      <c r="L1234" s="170">
        <v>43826</v>
      </c>
      <c r="M1234" s="116">
        <v>210.35</v>
      </c>
      <c r="N1234" s="116">
        <v>214.85</v>
      </c>
      <c r="O1234" s="116">
        <v>205.8</v>
      </c>
      <c r="P1234" s="116">
        <v>213</v>
      </c>
      <c r="Q1234" s="116">
        <v>210.35</v>
      </c>
      <c r="R1234">
        <v>988739</v>
      </c>
    </row>
    <row r="1235" spans="1:18" x14ac:dyDescent="0.25">
      <c r="A1235" s="170">
        <v>43826</v>
      </c>
      <c r="B1235" s="116">
        <v>214.7</v>
      </c>
      <c r="C1235" s="116">
        <v>210.25</v>
      </c>
      <c r="D1235" s="116">
        <v>206.15</v>
      </c>
      <c r="E1235" s="116">
        <v>213.15</v>
      </c>
      <c r="F1235" s="116">
        <v>210.25</v>
      </c>
      <c r="G1235">
        <v>51581</v>
      </c>
      <c r="H1235" s="116"/>
      <c r="I1235" s="116"/>
      <c r="L1235" s="170">
        <v>43829</v>
      </c>
      <c r="M1235" s="116">
        <v>208.85</v>
      </c>
      <c r="N1235" s="116">
        <v>211.7</v>
      </c>
      <c r="O1235" s="116">
        <v>208.2</v>
      </c>
      <c r="P1235" s="116">
        <v>210.4</v>
      </c>
      <c r="Q1235" s="116">
        <v>208.85</v>
      </c>
      <c r="R1235">
        <v>279469</v>
      </c>
    </row>
    <row r="1236" spans="1:18" x14ac:dyDescent="0.25">
      <c r="A1236" s="170">
        <v>43829</v>
      </c>
      <c r="B1236" s="116">
        <v>211.5</v>
      </c>
      <c r="C1236" s="116">
        <v>209.05</v>
      </c>
      <c r="D1236" s="116">
        <v>208.45</v>
      </c>
      <c r="E1236" s="116">
        <v>210.35</v>
      </c>
      <c r="F1236" s="116">
        <v>209.05</v>
      </c>
      <c r="G1236">
        <v>14216</v>
      </c>
      <c r="H1236" s="116"/>
      <c r="I1236" s="116"/>
      <c r="L1236" s="170">
        <v>43830</v>
      </c>
      <c r="M1236" s="116">
        <v>209.65</v>
      </c>
      <c r="N1236" s="116">
        <v>211.95</v>
      </c>
      <c r="O1236" s="116">
        <v>209.15</v>
      </c>
      <c r="P1236" s="116">
        <v>209.8</v>
      </c>
      <c r="Q1236" s="116">
        <v>209.65</v>
      </c>
      <c r="R1236">
        <v>189212</v>
      </c>
    </row>
    <row r="1237" spans="1:18" x14ac:dyDescent="0.25">
      <c r="A1237" s="170">
        <v>43830</v>
      </c>
      <c r="B1237" s="116">
        <v>211.85</v>
      </c>
      <c r="C1237" s="116">
        <v>209.7</v>
      </c>
      <c r="D1237" s="116">
        <v>209.4</v>
      </c>
      <c r="E1237" s="116">
        <v>209.95</v>
      </c>
      <c r="F1237" s="116">
        <v>209.7</v>
      </c>
      <c r="G1237">
        <v>9320</v>
      </c>
      <c r="H1237" s="116"/>
      <c r="I1237" s="116"/>
      <c r="L1237" s="170">
        <v>43831</v>
      </c>
      <c r="M1237" s="116">
        <v>210.1</v>
      </c>
      <c r="N1237" s="116">
        <v>211.5</v>
      </c>
      <c r="O1237" s="116">
        <v>209.6</v>
      </c>
      <c r="P1237" s="116">
        <v>210.8</v>
      </c>
      <c r="Q1237" s="116">
        <v>210.1</v>
      </c>
      <c r="R1237">
        <v>88791</v>
      </c>
    </row>
    <row r="1238" spans="1:18" x14ac:dyDescent="0.25">
      <c r="A1238" s="170">
        <v>43831</v>
      </c>
      <c r="B1238" s="116">
        <v>211.4</v>
      </c>
      <c r="C1238" s="116">
        <v>210.05</v>
      </c>
      <c r="D1238" s="116">
        <v>209.6</v>
      </c>
      <c r="E1238" s="116">
        <v>210.1</v>
      </c>
      <c r="F1238" s="116">
        <v>210.05</v>
      </c>
      <c r="G1238">
        <v>4982</v>
      </c>
      <c r="H1238" s="116"/>
      <c r="I1238" s="116"/>
      <c r="L1238" s="170">
        <v>43832</v>
      </c>
      <c r="M1238" s="116">
        <v>214.15</v>
      </c>
      <c r="N1238" s="116">
        <v>214.95</v>
      </c>
      <c r="O1238" s="116">
        <v>210.55</v>
      </c>
      <c r="P1238" s="116">
        <v>211.4</v>
      </c>
      <c r="Q1238" s="116">
        <v>214.15</v>
      </c>
      <c r="R1238">
        <v>549833</v>
      </c>
    </row>
    <row r="1239" spans="1:18" x14ac:dyDescent="0.25">
      <c r="A1239" s="170">
        <v>43832</v>
      </c>
      <c r="B1239" s="116">
        <v>214.9</v>
      </c>
      <c r="C1239" s="116">
        <v>214.15</v>
      </c>
      <c r="D1239" s="116">
        <v>210.85</v>
      </c>
      <c r="E1239" s="116">
        <v>212.4</v>
      </c>
      <c r="F1239" s="116">
        <v>214.15</v>
      </c>
      <c r="G1239">
        <v>32035</v>
      </c>
      <c r="H1239" s="116"/>
      <c r="I1239" s="116"/>
      <c r="L1239" s="170">
        <v>43833</v>
      </c>
      <c r="M1239" s="116">
        <v>215.25</v>
      </c>
      <c r="N1239" s="116">
        <v>216.9</v>
      </c>
      <c r="O1239" s="116">
        <v>213.1</v>
      </c>
      <c r="P1239" s="116">
        <v>214</v>
      </c>
      <c r="Q1239" s="116">
        <v>215.25</v>
      </c>
      <c r="R1239">
        <v>816967</v>
      </c>
    </row>
    <row r="1240" spans="1:18" x14ac:dyDescent="0.25">
      <c r="A1240" s="170">
        <v>43833</v>
      </c>
      <c r="B1240" s="116">
        <v>216.7</v>
      </c>
      <c r="C1240" s="116">
        <v>215.05</v>
      </c>
      <c r="D1240" s="116">
        <v>213.1</v>
      </c>
      <c r="E1240" s="116">
        <v>214.8</v>
      </c>
      <c r="F1240" s="116">
        <v>215.05</v>
      </c>
      <c r="G1240">
        <v>26586</v>
      </c>
      <c r="H1240" s="116"/>
      <c r="I1240" s="116"/>
      <c r="L1240" s="170">
        <v>43836</v>
      </c>
      <c r="M1240" s="116">
        <v>211.85</v>
      </c>
      <c r="N1240" s="116">
        <v>216.4</v>
      </c>
      <c r="O1240" s="116">
        <v>210</v>
      </c>
      <c r="P1240" s="116">
        <v>216.4</v>
      </c>
      <c r="Q1240" s="116">
        <v>211.85</v>
      </c>
      <c r="R1240">
        <v>322036</v>
      </c>
    </row>
    <row r="1241" spans="1:18" x14ac:dyDescent="0.25">
      <c r="A1241" s="170">
        <v>43836</v>
      </c>
      <c r="B1241" s="116">
        <v>215.8</v>
      </c>
      <c r="C1241" s="116">
        <v>211.75</v>
      </c>
      <c r="D1241" s="116">
        <v>210.05</v>
      </c>
      <c r="E1241" s="116">
        <v>215.6</v>
      </c>
      <c r="F1241" s="116">
        <v>211.75</v>
      </c>
      <c r="G1241">
        <v>18410</v>
      </c>
      <c r="H1241" s="116"/>
      <c r="I1241" s="116"/>
      <c r="L1241" s="170">
        <v>43837</v>
      </c>
      <c r="M1241" s="116">
        <v>213.05</v>
      </c>
      <c r="N1241" s="116">
        <v>215.6</v>
      </c>
      <c r="O1241" s="116">
        <v>210.2</v>
      </c>
      <c r="P1241" s="116">
        <v>212.6</v>
      </c>
      <c r="Q1241" s="116">
        <v>213.05</v>
      </c>
      <c r="R1241">
        <v>259266</v>
      </c>
    </row>
    <row r="1242" spans="1:18" x14ac:dyDescent="0.25">
      <c r="A1242" s="170">
        <v>43837</v>
      </c>
      <c r="B1242" s="116">
        <v>215.5</v>
      </c>
      <c r="C1242" s="116">
        <v>213.05</v>
      </c>
      <c r="D1242" s="116">
        <v>211</v>
      </c>
      <c r="E1242" s="116">
        <v>213.45</v>
      </c>
      <c r="F1242" s="116">
        <v>213.05</v>
      </c>
      <c r="G1242">
        <v>28369</v>
      </c>
      <c r="H1242" s="116"/>
      <c r="I1242" s="116"/>
      <c r="L1242" s="170">
        <v>43838</v>
      </c>
      <c r="M1242" s="116">
        <v>211</v>
      </c>
      <c r="N1242" s="116">
        <v>212.2</v>
      </c>
      <c r="O1242" s="116">
        <v>209.5</v>
      </c>
      <c r="P1242" s="116">
        <v>211</v>
      </c>
      <c r="Q1242" s="116">
        <v>211</v>
      </c>
      <c r="R1242">
        <v>362093</v>
      </c>
    </row>
    <row r="1243" spans="1:18" x14ac:dyDescent="0.25">
      <c r="A1243" s="170">
        <v>43838</v>
      </c>
      <c r="B1243" s="116">
        <v>212</v>
      </c>
      <c r="C1243" s="116">
        <v>210.9</v>
      </c>
      <c r="D1243" s="116">
        <v>208.2</v>
      </c>
      <c r="E1243" s="116">
        <v>211.05</v>
      </c>
      <c r="F1243" s="116">
        <v>210.9</v>
      </c>
      <c r="G1243">
        <v>22627</v>
      </c>
      <c r="H1243" s="116"/>
      <c r="I1243" s="116"/>
      <c r="L1243" s="170">
        <v>43839</v>
      </c>
      <c r="M1243" s="116">
        <v>213.25</v>
      </c>
      <c r="N1243" s="116">
        <v>215.3</v>
      </c>
      <c r="O1243" s="116">
        <v>211.35</v>
      </c>
      <c r="P1243" s="116">
        <v>215.3</v>
      </c>
      <c r="Q1243" s="116">
        <v>213.25</v>
      </c>
      <c r="R1243">
        <v>380062</v>
      </c>
    </row>
    <row r="1244" spans="1:18" x14ac:dyDescent="0.25">
      <c r="A1244" s="170">
        <v>43839</v>
      </c>
      <c r="B1244" s="116">
        <v>219</v>
      </c>
      <c r="C1244" s="116">
        <v>213.35</v>
      </c>
      <c r="D1244" s="116">
        <v>211.6</v>
      </c>
      <c r="E1244" s="116">
        <v>211.9</v>
      </c>
      <c r="F1244" s="116">
        <v>213.35</v>
      </c>
      <c r="G1244">
        <v>28449</v>
      </c>
      <c r="H1244" s="116"/>
      <c r="I1244" s="116"/>
      <c r="L1244" s="170">
        <v>43840</v>
      </c>
      <c r="M1244" s="116">
        <v>219.1</v>
      </c>
      <c r="N1244" s="116">
        <v>224.45</v>
      </c>
      <c r="O1244" s="116">
        <v>213</v>
      </c>
      <c r="P1244" s="116">
        <v>215</v>
      </c>
      <c r="Q1244" s="116">
        <v>219.1</v>
      </c>
      <c r="R1244">
        <v>2207069</v>
      </c>
    </row>
    <row r="1245" spans="1:18" x14ac:dyDescent="0.25">
      <c r="A1245" s="170">
        <v>43840</v>
      </c>
      <c r="B1245" s="116">
        <v>224.6</v>
      </c>
      <c r="C1245" s="116">
        <v>219.05</v>
      </c>
      <c r="D1245" s="116">
        <v>213.2</v>
      </c>
      <c r="E1245" s="116">
        <v>215.95</v>
      </c>
      <c r="F1245" s="116">
        <v>219.05</v>
      </c>
      <c r="G1245">
        <v>119643</v>
      </c>
      <c r="H1245" s="116"/>
      <c r="I1245" s="116"/>
      <c r="L1245" s="170">
        <v>43843</v>
      </c>
      <c r="M1245" s="116">
        <v>215.8</v>
      </c>
      <c r="N1245" s="116">
        <v>222</v>
      </c>
      <c r="O1245" s="116">
        <v>214.2</v>
      </c>
      <c r="P1245" s="116">
        <v>219.65</v>
      </c>
      <c r="Q1245" s="116">
        <v>215.8</v>
      </c>
      <c r="R1245">
        <v>547822</v>
      </c>
    </row>
    <row r="1246" spans="1:18" x14ac:dyDescent="0.25">
      <c r="A1246" s="170">
        <v>43843</v>
      </c>
      <c r="B1246" s="116">
        <v>223.7</v>
      </c>
      <c r="C1246" s="116">
        <v>215.75</v>
      </c>
      <c r="D1246" s="116">
        <v>214.5</v>
      </c>
      <c r="E1246" s="116">
        <v>223.7</v>
      </c>
      <c r="F1246" s="116">
        <v>215.75</v>
      </c>
      <c r="G1246">
        <v>28050</v>
      </c>
      <c r="H1246" s="116"/>
      <c r="I1246" s="116"/>
      <c r="L1246" s="170">
        <v>43844</v>
      </c>
      <c r="M1246" s="116">
        <v>214.05</v>
      </c>
      <c r="N1246" s="116">
        <v>218.7</v>
      </c>
      <c r="O1246" s="116">
        <v>213.25</v>
      </c>
      <c r="P1246" s="116">
        <v>216</v>
      </c>
      <c r="Q1246" s="116">
        <v>214.05</v>
      </c>
      <c r="R1246">
        <v>2079225</v>
      </c>
    </row>
    <row r="1247" spans="1:18" x14ac:dyDescent="0.25">
      <c r="A1247" s="170">
        <v>43844</v>
      </c>
      <c r="B1247" s="116">
        <v>218.6</v>
      </c>
      <c r="C1247" s="116">
        <v>213.95</v>
      </c>
      <c r="D1247" s="116">
        <v>213.5</v>
      </c>
      <c r="E1247" s="116">
        <v>215</v>
      </c>
      <c r="F1247" s="116">
        <v>213.95</v>
      </c>
      <c r="G1247">
        <v>41529</v>
      </c>
      <c r="H1247" s="116"/>
      <c r="I1247" s="116"/>
      <c r="L1247" s="170">
        <v>43845</v>
      </c>
      <c r="M1247" s="116">
        <v>215.35</v>
      </c>
      <c r="N1247" s="116">
        <v>218.9</v>
      </c>
      <c r="O1247" s="116">
        <v>213.5</v>
      </c>
      <c r="P1247" s="116">
        <v>214</v>
      </c>
      <c r="Q1247" s="116">
        <v>215.35</v>
      </c>
      <c r="R1247">
        <v>679989</v>
      </c>
    </row>
    <row r="1248" spans="1:18" x14ac:dyDescent="0.25">
      <c r="A1248" s="170">
        <v>43845</v>
      </c>
      <c r="B1248" s="116">
        <v>218.75</v>
      </c>
      <c r="C1248" s="116">
        <v>215.4</v>
      </c>
      <c r="D1248" s="116">
        <v>213.95</v>
      </c>
      <c r="E1248" s="116">
        <v>215.3</v>
      </c>
      <c r="F1248" s="116">
        <v>215.4</v>
      </c>
      <c r="G1248">
        <v>50424</v>
      </c>
      <c r="H1248" s="116"/>
      <c r="I1248" s="116"/>
      <c r="L1248" s="170">
        <v>43846</v>
      </c>
      <c r="M1248" s="116">
        <v>215.75</v>
      </c>
      <c r="N1248" s="116">
        <v>218.5</v>
      </c>
      <c r="O1248" s="116">
        <v>215.15</v>
      </c>
      <c r="P1248" s="116">
        <v>217</v>
      </c>
      <c r="Q1248" s="116">
        <v>215.75</v>
      </c>
      <c r="R1248">
        <v>417479</v>
      </c>
    </row>
    <row r="1249" spans="1:18" x14ac:dyDescent="0.25">
      <c r="A1249" s="170">
        <v>43846</v>
      </c>
      <c r="B1249" s="116">
        <v>218.25</v>
      </c>
      <c r="C1249" s="116">
        <v>215.9</v>
      </c>
      <c r="D1249" s="116">
        <v>215.3</v>
      </c>
      <c r="E1249" s="116">
        <v>217.45</v>
      </c>
      <c r="F1249" s="116">
        <v>215.9</v>
      </c>
      <c r="G1249">
        <v>25049</v>
      </c>
      <c r="H1249" s="116"/>
      <c r="I1249" s="116"/>
      <c r="L1249" s="170">
        <v>43847</v>
      </c>
      <c r="M1249" s="116">
        <v>216.95</v>
      </c>
      <c r="N1249" s="116">
        <v>219.6</v>
      </c>
      <c r="O1249" s="116">
        <v>216.35</v>
      </c>
      <c r="P1249" s="116">
        <v>217</v>
      </c>
      <c r="Q1249" s="116">
        <v>216.95</v>
      </c>
      <c r="R1249">
        <v>1274504</v>
      </c>
    </row>
    <row r="1250" spans="1:18" x14ac:dyDescent="0.25">
      <c r="A1250" s="170">
        <v>43847</v>
      </c>
      <c r="B1250" s="116">
        <v>219.7</v>
      </c>
      <c r="C1250" s="116">
        <v>217</v>
      </c>
      <c r="D1250" s="116">
        <v>216.25</v>
      </c>
      <c r="E1250" s="116">
        <v>217.9</v>
      </c>
      <c r="F1250" s="116">
        <v>217</v>
      </c>
      <c r="G1250">
        <v>42683</v>
      </c>
      <c r="H1250" s="116"/>
      <c r="I1250" s="116"/>
      <c r="L1250" s="170">
        <v>43850</v>
      </c>
      <c r="M1250" s="116">
        <v>216.35</v>
      </c>
      <c r="N1250" s="116">
        <v>224</v>
      </c>
      <c r="O1250" s="116">
        <v>214.55</v>
      </c>
      <c r="P1250" s="116">
        <v>218.75</v>
      </c>
      <c r="Q1250" s="116">
        <v>216.35</v>
      </c>
      <c r="R1250">
        <v>1694116</v>
      </c>
    </row>
    <row r="1251" spans="1:18" x14ac:dyDescent="0.25">
      <c r="A1251" s="170">
        <v>43850</v>
      </c>
      <c r="B1251" s="116">
        <v>223.75</v>
      </c>
      <c r="C1251" s="116">
        <v>216.5</v>
      </c>
      <c r="D1251" s="116">
        <v>215</v>
      </c>
      <c r="E1251" s="116">
        <v>220</v>
      </c>
      <c r="F1251" s="116">
        <v>216.5</v>
      </c>
      <c r="G1251">
        <v>103212</v>
      </c>
      <c r="H1251" s="116"/>
      <c r="I1251" s="116"/>
      <c r="L1251" s="170">
        <v>43851</v>
      </c>
      <c r="M1251" s="116">
        <v>212.4</v>
      </c>
      <c r="N1251" s="116">
        <v>216.8</v>
      </c>
      <c r="O1251" s="116">
        <v>211.65</v>
      </c>
      <c r="P1251" s="116">
        <v>214</v>
      </c>
      <c r="Q1251" s="116">
        <v>212.4</v>
      </c>
      <c r="R1251">
        <v>549280</v>
      </c>
    </row>
    <row r="1252" spans="1:18" x14ac:dyDescent="0.25">
      <c r="A1252" s="170">
        <v>43851</v>
      </c>
      <c r="B1252" s="116">
        <v>215.9</v>
      </c>
      <c r="C1252" s="116">
        <v>212.3</v>
      </c>
      <c r="D1252" s="116">
        <v>211.75</v>
      </c>
      <c r="E1252" s="116">
        <v>214</v>
      </c>
      <c r="F1252" s="116">
        <v>212.3</v>
      </c>
      <c r="G1252">
        <v>41853</v>
      </c>
      <c r="H1252" s="116"/>
      <c r="I1252" s="116"/>
      <c r="L1252" s="170">
        <v>43852</v>
      </c>
      <c r="M1252" s="116">
        <v>209.2</v>
      </c>
      <c r="N1252" s="116">
        <v>214.7</v>
      </c>
      <c r="O1252" s="116">
        <v>207.7</v>
      </c>
      <c r="P1252" s="116">
        <v>213</v>
      </c>
      <c r="Q1252" s="116">
        <v>209.2</v>
      </c>
      <c r="R1252">
        <v>576149</v>
      </c>
    </row>
    <row r="1253" spans="1:18" x14ac:dyDescent="0.25">
      <c r="A1253" s="170">
        <v>43852</v>
      </c>
      <c r="B1253" s="116">
        <v>216.1</v>
      </c>
      <c r="C1253" s="116">
        <v>209.25</v>
      </c>
      <c r="D1253" s="116">
        <v>207.55</v>
      </c>
      <c r="E1253" s="116">
        <v>215.15</v>
      </c>
      <c r="F1253" s="116">
        <v>209.25</v>
      </c>
      <c r="G1253">
        <v>53738</v>
      </c>
      <c r="H1253" s="116"/>
      <c r="I1253" s="116"/>
      <c r="L1253" s="170">
        <v>43853</v>
      </c>
      <c r="M1253" s="116">
        <v>208.65</v>
      </c>
      <c r="N1253" s="116">
        <v>210.7</v>
      </c>
      <c r="O1253" s="116">
        <v>207.5</v>
      </c>
      <c r="P1253" s="116">
        <v>210.25</v>
      </c>
      <c r="Q1253" s="116">
        <v>208.65</v>
      </c>
      <c r="R1253">
        <v>472035</v>
      </c>
    </row>
    <row r="1254" spans="1:18" x14ac:dyDescent="0.25">
      <c r="A1254" s="170">
        <v>43853</v>
      </c>
      <c r="B1254" s="116">
        <v>210.6</v>
      </c>
      <c r="C1254" s="116">
        <v>208.65</v>
      </c>
      <c r="D1254" s="116">
        <v>207.55</v>
      </c>
      <c r="E1254" s="116">
        <v>210.6</v>
      </c>
      <c r="F1254" s="116">
        <v>208.65</v>
      </c>
      <c r="G1254">
        <v>31240</v>
      </c>
      <c r="H1254" s="116"/>
      <c r="I1254" s="116"/>
      <c r="L1254" s="170">
        <v>43854</v>
      </c>
      <c r="M1254" s="116">
        <v>207.85</v>
      </c>
      <c r="N1254" s="116">
        <v>209.9</v>
      </c>
      <c r="O1254" s="116">
        <v>207.5</v>
      </c>
      <c r="P1254" s="116">
        <v>209.9</v>
      </c>
      <c r="Q1254" s="116">
        <v>207.85</v>
      </c>
      <c r="R1254">
        <v>558023</v>
      </c>
    </row>
    <row r="1255" spans="1:18" x14ac:dyDescent="0.25">
      <c r="A1255" s="170">
        <v>43854</v>
      </c>
      <c r="B1255" s="116">
        <v>209.55</v>
      </c>
      <c r="C1255" s="116">
        <v>207.75</v>
      </c>
      <c r="D1255" s="116">
        <v>207.3</v>
      </c>
      <c r="E1255" s="116">
        <v>209.15</v>
      </c>
      <c r="F1255" s="116">
        <v>207.75</v>
      </c>
      <c r="G1255">
        <v>27044</v>
      </c>
      <c r="H1255" s="116"/>
      <c r="I1255" s="116"/>
      <c r="L1255" s="170">
        <v>43857</v>
      </c>
      <c r="M1255" s="116">
        <v>201</v>
      </c>
      <c r="N1255" s="116">
        <v>208.1</v>
      </c>
      <c r="O1255" s="116">
        <v>200</v>
      </c>
      <c r="P1255" s="116">
        <v>207.95</v>
      </c>
      <c r="Q1255" s="116">
        <v>201</v>
      </c>
      <c r="R1255">
        <v>922817</v>
      </c>
    </row>
    <row r="1256" spans="1:18" x14ac:dyDescent="0.25">
      <c r="A1256" s="170">
        <v>43857</v>
      </c>
      <c r="B1256" s="116">
        <v>208.2</v>
      </c>
      <c r="C1256" s="116">
        <v>201.1</v>
      </c>
      <c r="D1256" s="116">
        <v>200</v>
      </c>
      <c r="E1256" s="116">
        <v>207.8</v>
      </c>
      <c r="F1256" s="116">
        <v>201.1</v>
      </c>
      <c r="G1256">
        <v>62506</v>
      </c>
      <c r="H1256" s="116"/>
      <c r="I1256" s="116"/>
      <c r="L1256" s="170">
        <v>43858</v>
      </c>
      <c r="M1256" s="116">
        <v>198.75</v>
      </c>
      <c r="N1256" s="116">
        <v>203.4</v>
      </c>
      <c r="O1256" s="116">
        <v>197.25</v>
      </c>
      <c r="P1256" s="116">
        <v>201.15</v>
      </c>
      <c r="Q1256" s="116">
        <v>198.75</v>
      </c>
      <c r="R1256">
        <v>612033</v>
      </c>
    </row>
    <row r="1257" spans="1:18" x14ac:dyDescent="0.25">
      <c r="A1257" s="170">
        <v>43858</v>
      </c>
      <c r="B1257" s="116">
        <v>203.1</v>
      </c>
      <c r="C1257" s="116">
        <v>198.8</v>
      </c>
      <c r="D1257" s="116">
        <v>197.35</v>
      </c>
      <c r="E1257" s="116">
        <v>203.05</v>
      </c>
      <c r="F1257" s="116">
        <v>198.8</v>
      </c>
      <c r="G1257">
        <v>50941</v>
      </c>
      <c r="H1257" s="116"/>
      <c r="I1257" s="116"/>
      <c r="L1257" s="170">
        <v>43859</v>
      </c>
      <c r="M1257" s="116">
        <v>198.55</v>
      </c>
      <c r="N1257" s="116">
        <v>202.75</v>
      </c>
      <c r="O1257" s="116">
        <v>198</v>
      </c>
      <c r="P1257" s="116">
        <v>200</v>
      </c>
      <c r="Q1257" s="116">
        <v>198.55</v>
      </c>
      <c r="R1257">
        <v>591901</v>
      </c>
    </row>
    <row r="1258" spans="1:18" x14ac:dyDescent="0.25">
      <c r="A1258" s="170">
        <v>43859</v>
      </c>
      <c r="B1258" s="116">
        <v>202.8</v>
      </c>
      <c r="C1258" s="116">
        <v>198.6</v>
      </c>
      <c r="D1258" s="116">
        <v>198.25</v>
      </c>
      <c r="E1258" s="116">
        <v>201.25</v>
      </c>
      <c r="F1258" s="116">
        <v>198.6</v>
      </c>
      <c r="G1258">
        <v>36257</v>
      </c>
      <c r="H1258" s="116"/>
      <c r="I1258" s="116"/>
      <c r="L1258" s="170">
        <v>43860</v>
      </c>
      <c r="M1258" s="116">
        <v>194.7</v>
      </c>
      <c r="N1258" s="116">
        <v>199.75</v>
      </c>
      <c r="O1258" s="116">
        <v>193.5</v>
      </c>
      <c r="P1258" s="116">
        <v>199.75</v>
      </c>
      <c r="Q1258" s="116">
        <v>194.7</v>
      </c>
      <c r="R1258">
        <v>689175</v>
      </c>
    </row>
    <row r="1259" spans="1:18" x14ac:dyDescent="0.25">
      <c r="A1259" s="170">
        <v>43860</v>
      </c>
      <c r="B1259" s="116">
        <v>199.45</v>
      </c>
      <c r="C1259" s="116">
        <v>194.7</v>
      </c>
      <c r="D1259" s="116">
        <v>193.35</v>
      </c>
      <c r="E1259" s="116">
        <v>199.1</v>
      </c>
      <c r="F1259" s="116">
        <v>194.7</v>
      </c>
      <c r="G1259">
        <v>57595</v>
      </c>
      <c r="H1259" s="116"/>
      <c r="I1259" s="116"/>
      <c r="L1259" s="170">
        <v>43861</v>
      </c>
      <c r="M1259" s="116">
        <v>194.1</v>
      </c>
      <c r="N1259" s="116">
        <v>196.7</v>
      </c>
      <c r="O1259" s="116">
        <v>193.65</v>
      </c>
      <c r="P1259" s="116">
        <v>195.15</v>
      </c>
      <c r="Q1259" s="116">
        <v>194.1</v>
      </c>
      <c r="R1259">
        <v>724986</v>
      </c>
    </row>
    <row r="1260" spans="1:18" x14ac:dyDescent="0.25">
      <c r="A1260" s="170">
        <v>43861</v>
      </c>
      <c r="B1260" s="116">
        <v>196.75</v>
      </c>
      <c r="C1260" s="116">
        <v>194.1</v>
      </c>
      <c r="D1260" s="116">
        <v>193.6</v>
      </c>
      <c r="E1260" s="116">
        <v>196.1</v>
      </c>
      <c r="F1260" s="116">
        <v>194.1</v>
      </c>
      <c r="G1260">
        <v>35915</v>
      </c>
      <c r="H1260" s="116"/>
      <c r="I1260" s="116"/>
      <c r="L1260" s="170">
        <v>43862</v>
      </c>
      <c r="M1260" s="116">
        <v>191.8</v>
      </c>
      <c r="N1260" s="116">
        <v>196.95</v>
      </c>
      <c r="O1260" s="116">
        <v>190.6</v>
      </c>
      <c r="P1260" s="116">
        <v>195.3</v>
      </c>
      <c r="Q1260" s="116">
        <v>191.8</v>
      </c>
      <c r="R1260">
        <v>615586</v>
      </c>
    </row>
    <row r="1261" spans="1:18" x14ac:dyDescent="0.25">
      <c r="A1261" s="170">
        <v>43862</v>
      </c>
      <c r="B1261" s="116">
        <v>196.9</v>
      </c>
      <c r="C1261" s="116">
        <v>191.95</v>
      </c>
      <c r="D1261" s="116">
        <v>190.8</v>
      </c>
      <c r="E1261" s="116">
        <v>195.05</v>
      </c>
      <c r="F1261" s="116">
        <v>191.95</v>
      </c>
      <c r="G1261">
        <v>64371</v>
      </c>
      <c r="H1261" s="116"/>
      <c r="I1261" s="116"/>
      <c r="L1261" s="170">
        <v>43864</v>
      </c>
      <c r="M1261" s="116">
        <v>189.4</v>
      </c>
      <c r="N1261" s="116">
        <v>192.75</v>
      </c>
      <c r="O1261" s="116">
        <v>188.15</v>
      </c>
      <c r="P1261" s="116">
        <v>191.6</v>
      </c>
      <c r="Q1261" s="116">
        <v>189.4</v>
      </c>
      <c r="R1261">
        <v>327572</v>
      </c>
    </row>
    <row r="1262" spans="1:18" x14ac:dyDescent="0.25">
      <c r="A1262" s="170">
        <v>43864</v>
      </c>
      <c r="B1262" s="116">
        <v>197.95</v>
      </c>
      <c r="C1262" s="116">
        <v>189.35</v>
      </c>
      <c r="D1262" s="116">
        <v>188.1</v>
      </c>
      <c r="E1262" s="116">
        <v>197.95</v>
      </c>
      <c r="F1262" s="116">
        <v>189.35</v>
      </c>
      <c r="G1262">
        <v>29854</v>
      </c>
      <c r="H1262" s="116"/>
      <c r="I1262" s="116"/>
      <c r="L1262" s="170">
        <v>43865</v>
      </c>
      <c r="M1262" s="116">
        <v>192.95</v>
      </c>
      <c r="N1262" s="116">
        <v>194.9</v>
      </c>
      <c r="O1262" s="116">
        <v>190</v>
      </c>
      <c r="P1262" s="116">
        <v>191.7</v>
      </c>
      <c r="Q1262" s="116">
        <v>192.95</v>
      </c>
      <c r="R1262">
        <v>475656</v>
      </c>
    </row>
    <row r="1263" spans="1:18" x14ac:dyDescent="0.25">
      <c r="A1263" s="170">
        <v>43865</v>
      </c>
      <c r="B1263" s="116">
        <v>194.75</v>
      </c>
      <c r="C1263" s="116">
        <v>192.8</v>
      </c>
      <c r="D1263" s="116">
        <v>190.15</v>
      </c>
      <c r="E1263" s="116">
        <v>191.25</v>
      </c>
      <c r="F1263" s="116">
        <v>192.8</v>
      </c>
      <c r="G1263">
        <v>39153</v>
      </c>
      <c r="H1263" s="116"/>
      <c r="I1263" s="116"/>
      <c r="L1263" s="170">
        <v>43866</v>
      </c>
      <c r="M1263" s="116">
        <v>190.75</v>
      </c>
      <c r="N1263" s="116">
        <v>194.95</v>
      </c>
      <c r="O1263" s="116">
        <v>189.5</v>
      </c>
      <c r="P1263" s="116">
        <v>193.2</v>
      </c>
      <c r="Q1263" s="116">
        <v>190.75</v>
      </c>
      <c r="R1263">
        <v>682799</v>
      </c>
    </row>
    <row r="1264" spans="1:18" x14ac:dyDescent="0.25">
      <c r="A1264" s="170">
        <v>43866</v>
      </c>
      <c r="B1264" s="116">
        <v>195.3</v>
      </c>
      <c r="C1264" s="116">
        <v>191</v>
      </c>
      <c r="D1264" s="116">
        <v>189.55</v>
      </c>
      <c r="E1264" s="116">
        <v>195.3</v>
      </c>
      <c r="F1264" s="116">
        <v>191</v>
      </c>
      <c r="G1264">
        <v>55550</v>
      </c>
      <c r="H1264" s="116"/>
      <c r="I1264" s="116"/>
      <c r="L1264" s="170">
        <v>43867</v>
      </c>
      <c r="M1264" s="116">
        <v>192.75</v>
      </c>
      <c r="N1264" s="116">
        <v>198.7</v>
      </c>
      <c r="O1264" s="116">
        <v>191.9</v>
      </c>
      <c r="P1264" s="116">
        <v>193.7</v>
      </c>
      <c r="Q1264" s="116">
        <v>192.75</v>
      </c>
      <c r="R1264">
        <v>867168</v>
      </c>
    </row>
    <row r="1265" spans="1:18" x14ac:dyDescent="0.25">
      <c r="A1265" s="170">
        <v>43867</v>
      </c>
      <c r="B1265" s="116">
        <v>198.4</v>
      </c>
      <c r="C1265" s="116">
        <v>192.95</v>
      </c>
      <c r="D1265" s="116">
        <v>192</v>
      </c>
      <c r="E1265" s="116">
        <v>193.9</v>
      </c>
      <c r="F1265" s="116">
        <v>192.95</v>
      </c>
      <c r="G1265">
        <v>53537</v>
      </c>
      <c r="H1265" s="116"/>
      <c r="I1265" s="116"/>
      <c r="L1265" s="170">
        <v>43868</v>
      </c>
      <c r="M1265" s="116">
        <v>195.05</v>
      </c>
      <c r="N1265" s="116">
        <v>195.6</v>
      </c>
      <c r="O1265" s="116">
        <v>192.7</v>
      </c>
      <c r="P1265" s="116">
        <v>193.75</v>
      </c>
      <c r="Q1265" s="116">
        <v>195.05</v>
      </c>
      <c r="R1265">
        <v>337789</v>
      </c>
    </row>
    <row r="1266" spans="1:18" x14ac:dyDescent="0.25">
      <c r="A1266" s="170">
        <v>43868</v>
      </c>
      <c r="B1266" s="116">
        <v>195.75</v>
      </c>
      <c r="C1266" s="116">
        <v>195.05</v>
      </c>
      <c r="D1266" s="116">
        <v>192.95</v>
      </c>
      <c r="E1266" s="116">
        <v>193.5</v>
      </c>
      <c r="F1266" s="116">
        <v>195.05</v>
      </c>
      <c r="G1266">
        <v>38415</v>
      </c>
      <c r="H1266" s="116"/>
      <c r="I1266" s="116"/>
      <c r="L1266" s="170">
        <v>43871</v>
      </c>
      <c r="M1266" s="116">
        <v>193.75</v>
      </c>
      <c r="N1266" s="116">
        <v>196.75</v>
      </c>
      <c r="O1266" s="116">
        <v>191.65</v>
      </c>
      <c r="P1266" s="116">
        <v>196.2</v>
      </c>
      <c r="Q1266" s="116">
        <v>193.75</v>
      </c>
      <c r="R1266">
        <v>296480</v>
      </c>
    </row>
    <row r="1267" spans="1:18" x14ac:dyDescent="0.25">
      <c r="A1267" s="170">
        <v>43871</v>
      </c>
      <c r="B1267" s="116">
        <v>196.15</v>
      </c>
      <c r="C1267" s="116">
        <v>193.75</v>
      </c>
      <c r="D1267" s="116">
        <v>191.75</v>
      </c>
      <c r="E1267" s="116">
        <v>195.65</v>
      </c>
      <c r="F1267" s="116">
        <v>193.75</v>
      </c>
      <c r="G1267">
        <v>13821</v>
      </c>
      <c r="H1267" s="116"/>
      <c r="I1267" s="116"/>
      <c r="L1267" s="170">
        <v>43872</v>
      </c>
      <c r="M1267" s="116">
        <v>194.8</v>
      </c>
      <c r="N1267" s="116">
        <v>195.9</v>
      </c>
      <c r="O1267" s="116">
        <v>192.5</v>
      </c>
      <c r="P1267" s="116">
        <v>194.4</v>
      </c>
      <c r="Q1267" s="116">
        <v>194.8</v>
      </c>
      <c r="R1267">
        <v>207883</v>
      </c>
    </row>
    <row r="1268" spans="1:18" x14ac:dyDescent="0.25">
      <c r="A1268" s="170">
        <v>43872</v>
      </c>
      <c r="B1268" s="116">
        <v>196</v>
      </c>
      <c r="C1268" s="116">
        <v>195</v>
      </c>
      <c r="D1268" s="116">
        <v>192.4</v>
      </c>
      <c r="E1268" s="116">
        <v>194.95</v>
      </c>
      <c r="F1268" s="116">
        <v>195</v>
      </c>
      <c r="G1268">
        <v>17294</v>
      </c>
      <c r="H1268" s="116"/>
      <c r="I1268" s="116"/>
      <c r="L1268" s="170">
        <v>43873</v>
      </c>
      <c r="M1268" s="116">
        <v>192.25</v>
      </c>
      <c r="N1268" s="116">
        <v>195.15</v>
      </c>
      <c r="O1268" s="116">
        <v>191.6</v>
      </c>
      <c r="P1268" s="116">
        <v>195</v>
      </c>
      <c r="Q1268" s="116">
        <v>192.25</v>
      </c>
      <c r="R1268">
        <v>155810</v>
      </c>
    </row>
    <row r="1269" spans="1:18" x14ac:dyDescent="0.25">
      <c r="A1269" s="170">
        <v>43873</v>
      </c>
      <c r="B1269" s="116">
        <v>195.1</v>
      </c>
      <c r="C1269" s="116">
        <v>192.25</v>
      </c>
      <c r="D1269" s="116">
        <v>191.75</v>
      </c>
      <c r="E1269" s="116">
        <v>194.35</v>
      </c>
      <c r="F1269" s="116">
        <v>192.25</v>
      </c>
      <c r="G1269">
        <v>12274</v>
      </c>
      <c r="H1269" s="116"/>
      <c r="I1269" s="116"/>
      <c r="L1269" s="170">
        <v>43874</v>
      </c>
      <c r="M1269" s="116">
        <v>190.75</v>
      </c>
      <c r="N1269" s="116">
        <v>193.7</v>
      </c>
      <c r="O1269" s="116">
        <v>190.25</v>
      </c>
      <c r="P1269" s="116">
        <v>192.5</v>
      </c>
      <c r="Q1269" s="116">
        <v>190.75</v>
      </c>
      <c r="R1269">
        <v>149432</v>
      </c>
    </row>
    <row r="1270" spans="1:18" x14ac:dyDescent="0.25">
      <c r="A1270" s="170">
        <v>43874</v>
      </c>
      <c r="B1270" s="116">
        <v>193.2</v>
      </c>
      <c r="C1270" s="116">
        <v>190.95</v>
      </c>
      <c r="D1270" s="116">
        <v>190.25</v>
      </c>
      <c r="E1270" s="116">
        <v>192.3</v>
      </c>
      <c r="F1270" s="116">
        <v>190.95</v>
      </c>
      <c r="G1270">
        <v>23298</v>
      </c>
      <c r="H1270" s="116"/>
      <c r="I1270" s="116"/>
      <c r="L1270" s="170">
        <v>43875</v>
      </c>
      <c r="M1270" s="116">
        <v>190.65</v>
      </c>
      <c r="N1270" s="116">
        <v>192</v>
      </c>
      <c r="O1270" s="116">
        <v>190.2</v>
      </c>
      <c r="P1270" s="116">
        <v>191</v>
      </c>
      <c r="Q1270" s="116">
        <v>190.65</v>
      </c>
      <c r="R1270">
        <v>138592</v>
      </c>
    </row>
    <row r="1271" spans="1:18" x14ac:dyDescent="0.25">
      <c r="A1271" s="170">
        <v>43875</v>
      </c>
      <c r="B1271" s="116">
        <v>192.1</v>
      </c>
      <c r="C1271" s="116">
        <v>190.75</v>
      </c>
      <c r="D1271" s="116">
        <v>190.3</v>
      </c>
      <c r="E1271" s="116">
        <v>191.3</v>
      </c>
      <c r="F1271" s="116">
        <v>190.75</v>
      </c>
      <c r="G1271">
        <v>7199</v>
      </c>
      <c r="H1271" s="116"/>
      <c r="I1271" s="116"/>
      <c r="L1271" s="170">
        <v>43878</v>
      </c>
      <c r="M1271" s="116">
        <v>189.15</v>
      </c>
      <c r="N1271" s="116">
        <v>190.65</v>
      </c>
      <c r="O1271" s="116">
        <v>188.3</v>
      </c>
      <c r="P1271" s="116">
        <v>190.65</v>
      </c>
      <c r="Q1271" s="116">
        <v>189.15</v>
      </c>
      <c r="R1271">
        <v>135016</v>
      </c>
    </row>
    <row r="1272" spans="1:18" x14ac:dyDescent="0.25">
      <c r="A1272" s="170">
        <v>43878</v>
      </c>
      <c r="B1272" s="116">
        <v>191</v>
      </c>
      <c r="C1272" s="116">
        <v>189.1</v>
      </c>
      <c r="D1272" s="116">
        <v>188.55</v>
      </c>
      <c r="E1272" s="116">
        <v>191</v>
      </c>
      <c r="F1272" s="116">
        <v>189.1</v>
      </c>
      <c r="G1272">
        <v>13491</v>
      </c>
      <c r="H1272" s="116"/>
      <c r="I1272" s="116"/>
      <c r="L1272" s="170">
        <v>43879</v>
      </c>
      <c r="M1272" s="116">
        <v>185.55</v>
      </c>
      <c r="N1272" s="116">
        <v>190</v>
      </c>
      <c r="O1272" s="116">
        <v>184.1</v>
      </c>
      <c r="P1272" s="116">
        <v>190</v>
      </c>
      <c r="Q1272" s="116">
        <v>185.55</v>
      </c>
      <c r="R1272">
        <v>324413</v>
      </c>
    </row>
    <row r="1273" spans="1:18" x14ac:dyDescent="0.25">
      <c r="A1273" s="170">
        <v>43879</v>
      </c>
      <c r="B1273" s="116">
        <v>189.1</v>
      </c>
      <c r="C1273" s="116">
        <v>185.6</v>
      </c>
      <c r="D1273" s="116">
        <v>184.65</v>
      </c>
      <c r="E1273" s="116">
        <v>189</v>
      </c>
      <c r="F1273" s="116">
        <v>185.6</v>
      </c>
      <c r="G1273">
        <v>31017</v>
      </c>
      <c r="H1273" s="116"/>
      <c r="I1273" s="116"/>
      <c r="L1273" s="170">
        <v>43880</v>
      </c>
      <c r="M1273" s="116">
        <v>184.8</v>
      </c>
      <c r="N1273" s="116">
        <v>189.6</v>
      </c>
      <c r="O1273" s="116">
        <v>184.5</v>
      </c>
      <c r="P1273" s="116">
        <v>185.7</v>
      </c>
      <c r="Q1273" s="116">
        <v>184.8</v>
      </c>
      <c r="R1273">
        <v>279253</v>
      </c>
    </row>
    <row r="1274" spans="1:18" x14ac:dyDescent="0.25">
      <c r="A1274" s="170">
        <v>43880</v>
      </c>
      <c r="B1274" s="116">
        <v>189.5</v>
      </c>
      <c r="C1274" s="116">
        <v>184.95</v>
      </c>
      <c r="D1274" s="116">
        <v>184.65</v>
      </c>
      <c r="E1274" s="116">
        <v>186</v>
      </c>
      <c r="F1274" s="116">
        <v>184.95</v>
      </c>
      <c r="G1274">
        <v>14779</v>
      </c>
      <c r="H1274" s="116"/>
      <c r="I1274" s="116"/>
      <c r="L1274" s="170">
        <v>43881</v>
      </c>
      <c r="M1274" s="116">
        <v>182.35</v>
      </c>
      <c r="N1274" s="116">
        <v>187.7</v>
      </c>
      <c r="O1274" s="116">
        <v>181.5</v>
      </c>
      <c r="P1274" s="116">
        <v>185</v>
      </c>
      <c r="Q1274" s="116">
        <v>182.35</v>
      </c>
      <c r="R1274">
        <v>390434</v>
      </c>
    </row>
    <row r="1275" spans="1:18" x14ac:dyDescent="0.25">
      <c r="A1275" s="170">
        <v>43881</v>
      </c>
      <c r="B1275" s="116">
        <v>187.65</v>
      </c>
      <c r="C1275" s="116">
        <v>182.5</v>
      </c>
      <c r="D1275" s="116">
        <v>181.7</v>
      </c>
      <c r="E1275" s="116">
        <v>185</v>
      </c>
      <c r="F1275" s="116">
        <v>182.5</v>
      </c>
      <c r="G1275">
        <v>25154</v>
      </c>
      <c r="H1275" s="116"/>
      <c r="I1275" s="116"/>
      <c r="L1275" s="170">
        <v>43885</v>
      </c>
      <c r="M1275" s="116">
        <v>180.15</v>
      </c>
      <c r="N1275" s="116">
        <v>183.2</v>
      </c>
      <c r="O1275" s="116">
        <v>179.5</v>
      </c>
      <c r="P1275" s="116">
        <v>181.5</v>
      </c>
      <c r="Q1275" s="116">
        <v>180.15</v>
      </c>
      <c r="R1275">
        <v>705058</v>
      </c>
    </row>
    <row r="1276" spans="1:18" x14ac:dyDescent="0.25">
      <c r="A1276" s="170">
        <v>43885</v>
      </c>
      <c r="B1276" s="116">
        <v>183</v>
      </c>
      <c r="C1276" s="116">
        <v>180.1</v>
      </c>
      <c r="D1276" s="116">
        <v>179.65</v>
      </c>
      <c r="E1276" s="116">
        <v>182.5</v>
      </c>
      <c r="F1276" s="116">
        <v>180.1</v>
      </c>
      <c r="G1276">
        <v>23428</v>
      </c>
      <c r="H1276" s="116"/>
      <c r="I1276" s="116"/>
      <c r="L1276" s="170">
        <v>43886</v>
      </c>
      <c r="M1276" s="116">
        <v>177.6</v>
      </c>
      <c r="N1276" s="116">
        <v>181.5</v>
      </c>
      <c r="O1276" s="116">
        <v>175</v>
      </c>
      <c r="P1276" s="116">
        <v>180</v>
      </c>
      <c r="Q1276" s="116">
        <v>177.6</v>
      </c>
      <c r="R1276">
        <v>366180</v>
      </c>
    </row>
    <row r="1277" spans="1:18" x14ac:dyDescent="0.25">
      <c r="A1277" s="170">
        <v>43886</v>
      </c>
      <c r="B1277" s="116">
        <v>181</v>
      </c>
      <c r="C1277" s="116">
        <v>177.7</v>
      </c>
      <c r="D1277" s="116">
        <v>175.85</v>
      </c>
      <c r="E1277" s="116">
        <v>180.4</v>
      </c>
      <c r="F1277" s="116">
        <v>177.7</v>
      </c>
      <c r="G1277">
        <v>33773</v>
      </c>
      <c r="H1277" s="116"/>
      <c r="I1277" s="116"/>
      <c r="L1277" s="170">
        <v>43887</v>
      </c>
      <c r="M1277" s="116">
        <v>172.8</v>
      </c>
      <c r="N1277" s="116">
        <v>177.95</v>
      </c>
      <c r="O1277" s="116">
        <v>170.85</v>
      </c>
      <c r="P1277" s="116">
        <v>175.1</v>
      </c>
      <c r="Q1277" s="116">
        <v>172.8</v>
      </c>
      <c r="R1277">
        <v>542335</v>
      </c>
    </row>
    <row r="1278" spans="1:18" x14ac:dyDescent="0.25">
      <c r="A1278" s="170">
        <v>43887</v>
      </c>
      <c r="B1278" s="116">
        <v>177.85</v>
      </c>
      <c r="C1278" s="116">
        <v>172.65</v>
      </c>
      <c r="D1278" s="116">
        <v>171.1</v>
      </c>
      <c r="E1278" s="116">
        <v>177</v>
      </c>
      <c r="F1278" s="116">
        <v>172.65</v>
      </c>
      <c r="G1278">
        <v>24562</v>
      </c>
      <c r="H1278" s="116"/>
      <c r="I1278" s="116"/>
      <c r="L1278" s="170">
        <v>43888</v>
      </c>
      <c r="M1278" s="116">
        <v>182.4</v>
      </c>
      <c r="N1278" s="116">
        <v>187.65</v>
      </c>
      <c r="O1278" s="116">
        <v>170</v>
      </c>
      <c r="P1278" s="116">
        <v>170.1</v>
      </c>
      <c r="Q1278" s="116">
        <v>182.4</v>
      </c>
      <c r="R1278">
        <v>1352291</v>
      </c>
    </row>
    <row r="1279" spans="1:18" x14ac:dyDescent="0.25">
      <c r="A1279" s="170">
        <v>43888</v>
      </c>
      <c r="B1279" s="116">
        <v>187.5</v>
      </c>
      <c r="C1279" s="116">
        <v>182.5</v>
      </c>
      <c r="D1279" s="116">
        <v>170</v>
      </c>
      <c r="E1279" s="116">
        <v>171</v>
      </c>
      <c r="F1279" s="116">
        <v>182.5</v>
      </c>
      <c r="G1279">
        <v>125093</v>
      </c>
      <c r="H1279" s="116"/>
      <c r="I1279" s="116"/>
      <c r="L1279" s="170">
        <v>43889</v>
      </c>
      <c r="M1279" s="116">
        <v>172.25</v>
      </c>
      <c r="N1279" s="116">
        <v>177.75</v>
      </c>
      <c r="O1279" s="116">
        <v>170.3</v>
      </c>
      <c r="P1279" s="116">
        <v>170.3</v>
      </c>
      <c r="Q1279" s="116">
        <v>172.25</v>
      </c>
      <c r="R1279">
        <v>640027</v>
      </c>
    </row>
    <row r="1280" spans="1:18" x14ac:dyDescent="0.25">
      <c r="A1280" s="170">
        <v>43889</v>
      </c>
      <c r="B1280" s="116">
        <v>177.55</v>
      </c>
      <c r="C1280" s="116">
        <v>172.25</v>
      </c>
      <c r="D1280" s="116">
        <v>171.05</v>
      </c>
      <c r="E1280" s="116">
        <v>176.9</v>
      </c>
      <c r="F1280" s="116">
        <v>172.25</v>
      </c>
      <c r="G1280">
        <v>51874</v>
      </c>
      <c r="H1280" s="116"/>
      <c r="I1280" s="116"/>
      <c r="L1280" s="170">
        <v>43892</v>
      </c>
      <c r="M1280" s="116">
        <v>167.7</v>
      </c>
      <c r="N1280" s="116">
        <v>177.15</v>
      </c>
      <c r="O1280" s="116">
        <v>164</v>
      </c>
      <c r="P1280" s="116">
        <v>173.3</v>
      </c>
      <c r="Q1280" s="116">
        <v>167.7</v>
      </c>
      <c r="R1280">
        <v>290865</v>
      </c>
    </row>
    <row r="1281" spans="1:18" x14ac:dyDescent="0.25">
      <c r="A1281" s="170">
        <v>43892</v>
      </c>
      <c r="B1281" s="116">
        <v>177</v>
      </c>
      <c r="C1281" s="116">
        <v>166.4</v>
      </c>
      <c r="D1281" s="116">
        <v>163.95</v>
      </c>
      <c r="E1281" s="116">
        <v>173.75</v>
      </c>
      <c r="F1281" s="116">
        <v>166.4</v>
      </c>
      <c r="G1281">
        <v>71173</v>
      </c>
      <c r="H1281" s="116"/>
      <c r="I1281" s="116"/>
      <c r="L1281" s="170">
        <v>43893</v>
      </c>
      <c r="M1281" s="116">
        <v>172.9</v>
      </c>
      <c r="N1281" s="116">
        <v>174</v>
      </c>
      <c r="O1281" s="116">
        <v>167.8</v>
      </c>
      <c r="P1281" s="116">
        <v>170</v>
      </c>
      <c r="Q1281" s="116">
        <v>172.9</v>
      </c>
      <c r="R1281">
        <v>321602</v>
      </c>
    </row>
    <row r="1282" spans="1:18" x14ac:dyDescent="0.25">
      <c r="A1282" s="170">
        <v>43893</v>
      </c>
      <c r="B1282" s="116">
        <v>173.8</v>
      </c>
      <c r="C1282" s="116">
        <v>172.5</v>
      </c>
      <c r="D1282" s="116">
        <v>168</v>
      </c>
      <c r="E1282" s="116">
        <v>173.8</v>
      </c>
      <c r="F1282" s="116">
        <v>172.5</v>
      </c>
      <c r="G1282">
        <v>34208</v>
      </c>
      <c r="H1282" s="116"/>
      <c r="I1282" s="116"/>
      <c r="L1282" s="170">
        <v>43894</v>
      </c>
      <c r="M1282" s="116">
        <v>169.45</v>
      </c>
      <c r="N1282" s="116">
        <v>172.9</v>
      </c>
      <c r="O1282" s="116">
        <v>167.2</v>
      </c>
      <c r="P1282" s="116">
        <v>172.35</v>
      </c>
      <c r="Q1282" s="116">
        <v>169.45</v>
      </c>
      <c r="R1282">
        <v>302832</v>
      </c>
    </row>
    <row r="1283" spans="1:18" x14ac:dyDescent="0.25">
      <c r="A1283" s="170">
        <v>43894</v>
      </c>
      <c r="B1283" s="116">
        <v>175</v>
      </c>
      <c r="C1283" s="116">
        <v>169.35</v>
      </c>
      <c r="D1283" s="116">
        <v>167.85</v>
      </c>
      <c r="E1283" s="116">
        <v>175</v>
      </c>
      <c r="F1283" s="116">
        <v>169.35</v>
      </c>
      <c r="G1283">
        <v>26916</v>
      </c>
      <c r="H1283" s="116"/>
      <c r="I1283" s="116"/>
      <c r="L1283" s="170">
        <v>43895</v>
      </c>
      <c r="M1283" s="116">
        <v>169.35</v>
      </c>
      <c r="N1283" s="116">
        <v>174.35</v>
      </c>
      <c r="O1283" s="116">
        <v>169</v>
      </c>
      <c r="P1283" s="116">
        <v>172</v>
      </c>
      <c r="Q1283" s="116">
        <v>169.35</v>
      </c>
      <c r="R1283">
        <v>228864</v>
      </c>
    </row>
    <row r="1284" spans="1:18" x14ac:dyDescent="0.25">
      <c r="A1284" s="170">
        <v>43895</v>
      </c>
      <c r="B1284" s="116">
        <v>174</v>
      </c>
      <c r="C1284" s="116">
        <v>169.4</v>
      </c>
      <c r="D1284" s="116">
        <v>169.05</v>
      </c>
      <c r="E1284" s="116">
        <v>170</v>
      </c>
      <c r="F1284" s="116">
        <v>169.4</v>
      </c>
      <c r="G1284">
        <v>40463</v>
      </c>
      <c r="H1284" s="116"/>
      <c r="I1284" s="116"/>
      <c r="L1284" s="170">
        <v>43896</v>
      </c>
      <c r="M1284" s="116">
        <v>163.80000000000001</v>
      </c>
      <c r="N1284" s="116">
        <v>170.5</v>
      </c>
      <c r="O1284" s="116">
        <v>161.9</v>
      </c>
      <c r="P1284" s="116">
        <v>167</v>
      </c>
      <c r="Q1284" s="116">
        <v>163.80000000000001</v>
      </c>
      <c r="R1284">
        <v>558994</v>
      </c>
    </row>
    <row r="1285" spans="1:18" x14ac:dyDescent="0.25">
      <c r="A1285" s="170">
        <v>43896</v>
      </c>
      <c r="B1285" s="116">
        <v>170.4</v>
      </c>
      <c r="C1285" s="116">
        <v>163.44999999999999</v>
      </c>
      <c r="D1285" s="116">
        <v>161.9</v>
      </c>
      <c r="E1285" s="116">
        <v>168</v>
      </c>
      <c r="F1285" s="116">
        <v>163.44999999999999</v>
      </c>
      <c r="G1285">
        <v>62292</v>
      </c>
      <c r="H1285" s="116"/>
      <c r="I1285" s="116"/>
      <c r="L1285" s="170">
        <v>43899</v>
      </c>
      <c r="M1285" s="116">
        <v>159.30000000000001</v>
      </c>
      <c r="N1285" s="116">
        <v>161.44999999999999</v>
      </c>
      <c r="O1285" s="116">
        <v>154.4</v>
      </c>
      <c r="P1285" s="116">
        <v>161.44999999999999</v>
      </c>
      <c r="Q1285" s="116">
        <v>159.30000000000001</v>
      </c>
      <c r="R1285">
        <v>882419</v>
      </c>
    </row>
    <row r="1286" spans="1:18" x14ac:dyDescent="0.25">
      <c r="A1286" s="170">
        <v>43899</v>
      </c>
      <c r="B1286" s="116">
        <v>163.55000000000001</v>
      </c>
      <c r="C1286" s="116">
        <v>159.25</v>
      </c>
      <c r="D1286" s="116">
        <v>154.80000000000001</v>
      </c>
      <c r="E1286" s="116">
        <v>163.55000000000001</v>
      </c>
      <c r="F1286" s="116">
        <v>159.25</v>
      </c>
      <c r="G1286">
        <v>69527</v>
      </c>
      <c r="H1286" s="116"/>
      <c r="I1286" s="116"/>
      <c r="L1286" s="170">
        <v>43901</v>
      </c>
      <c r="M1286" s="116">
        <v>160</v>
      </c>
      <c r="N1286" s="116">
        <v>168.55</v>
      </c>
      <c r="O1286" s="116">
        <v>158.19999999999999</v>
      </c>
      <c r="P1286" s="116">
        <v>168.55</v>
      </c>
      <c r="Q1286" s="116">
        <v>160</v>
      </c>
      <c r="R1286">
        <v>642043</v>
      </c>
    </row>
    <row r="1287" spans="1:18" x14ac:dyDescent="0.25">
      <c r="A1287" s="170">
        <v>43901</v>
      </c>
      <c r="B1287" s="116">
        <v>169.7</v>
      </c>
      <c r="C1287" s="116">
        <v>161.44999999999999</v>
      </c>
      <c r="D1287" s="116">
        <v>158.05000000000001</v>
      </c>
      <c r="E1287" s="116">
        <v>164</v>
      </c>
      <c r="F1287" s="116">
        <v>161.44999999999999</v>
      </c>
      <c r="G1287">
        <v>77057</v>
      </c>
      <c r="H1287" s="116"/>
      <c r="I1287" s="116"/>
      <c r="L1287" s="170">
        <v>43902</v>
      </c>
      <c r="M1287" s="116">
        <v>145.05000000000001</v>
      </c>
      <c r="N1287" s="116">
        <v>155</v>
      </c>
      <c r="O1287" s="116">
        <v>140.15</v>
      </c>
      <c r="P1287" s="116">
        <v>153</v>
      </c>
      <c r="Q1287" s="116">
        <v>145.05000000000001</v>
      </c>
      <c r="R1287">
        <v>1359057</v>
      </c>
    </row>
    <row r="1288" spans="1:18" x14ac:dyDescent="0.25">
      <c r="A1288" s="170">
        <v>43902</v>
      </c>
      <c r="B1288" s="116">
        <v>158</v>
      </c>
      <c r="C1288" s="116">
        <v>145</v>
      </c>
      <c r="D1288" s="116">
        <v>140.55000000000001</v>
      </c>
      <c r="E1288" s="116">
        <v>158</v>
      </c>
      <c r="F1288" s="116">
        <v>145</v>
      </c>
      <c r="G1288">
        <v>99580</v>
      </c>
      <c r="H1288" s="116"/>
      <c r="I1288" s="116"/>
      <c r="L1288" s="170">
        <v>43903</v>
      </c>
      <c r="M1288" s="116">
        <v>141.15</v>
      </c>
      <c r="N1288" s="116">
        <v>150.19999999999999</v>
      </c>
      <c r="O1288" s="116">
        <v>116.05</v>
      </c>
      <c r="P1288" s="116">
        <v>129.85</v>
      </c>
      <c r="Q1288" s="116">
        <v>141.15</v>
      </c>
      <c r="R1288">
        <v>1802421</v>
      </c>
    </row>
    <row r="1289" spans="1:18" x14ac:dyDescent="0.25">
      <c r="A1289" s="170">
        <v>43903</v>
      </c>
      <c r="B1289" s="116">
        <v>150</v>
      </c>
      <c r="C1289" s="116">
        <v>141.30000000000001</v>
      </c>
      <c r="D1289" s="116">
        <v>122</v>
      </c>
      <c r="E1289" s="116">
        <v>140</v>
      </c>
      <c r="F1289" s="116">
        <v>141.30000000000001</v>
      </c>
      <c r="G1289">
        <v>143167</v>
      </c>
      <c r="H1289" s="116"/>
      <c r="I1289" s="116"/>
      <c r="L1289" s="170">
        <v>43906</v>
      </c>
      <c r="M1289" s="116">
        <v>138.25</v>
      </c>
      <c r="N1289" s="116">
        <v>148</v>
      </c>
      <c r="O1289" s="116">
        <v>133.19999999999999</v>
      </c>
      <c r="P1289" s="116">
        <v>136</v>
      </c>
      <c r="Q1289" s="116">
        <v>138.25</v>
      </c>
      <c r="R1289">
        <v>1040430</v>
      </c>
    </row>
    <row r="1290" spans="1:18" x14ac:dyDescent="0.25">
      <c r="A1290" s="170">
        <v>43906</v>
      </c>
      <c r="B1290" s="116">
        <v>147.1</v>
      </c>
      <c r="C1290" s="116">
        <v>137.4</v>
      </c>
      <c r="D1290" s="116">
        <v>133.19999999999999</v>
      </c>
      <c r="E1290" s="116">
        <v>140</v>
      </c>
      <c r="F1290" s="116">
        <v>137.4</v>
      </c>
      <c r="G1290">
        <v>89352</v>
      </c>
      <c r="H1290" s="116"/>
      <c r="I1290" s="116"/>
      <c r="L1290" s="170">
        <v>43907</v>
      </c>
      <c r="M1290" s="116">
        <v>134.1</v>
      </c>
      <c r="N1290" s="116">
        <v>142</v>
      </c>
      <c r="O1290" s="116">
        <v>130</v>
      </c>
      <c r="P1290" s="116">
        <v>138</v>
      </c>
      <c r="Q1290" s="116">
        <v>134.1</v>
      </c>
      <c r="R1290">
        <v>804404</v>
      </c>
    </row>
    <row r="1291" spans="1:18" x14ac:dyDescent="0.25">
      <c r="A1291" s="170">
        <v>43907</v>
      </c>
      <c r="B1291" s="116">
        <v>142.05000000000001</v>
      </c>
      <c r="C1291" s="116">
        <v>134.05000000000001</v>
      </c>
      <c r="D1291" s="116">
        <v>130.05000000000001</v>
      </c>
      <c r="E1291" s="116">
        <v>138</v>
      </c>
      <c r="F1291" s="116">
        <v>134.05000000000001</v>
      </c>
      <c r="G1291">
        <v>63207</v>
      </c>
      <c r="H1291" s="116"/>
      <c r="I1291" s="116"/>
      <c r="L1291" s="170">
        <v>43908</v>
      </c>
      <c r="M1291" s="116">
        <v>135.75</v>
      </c>
      <c r="N1291" s="116">
        <v>145.4</v>
      </c>
      <c r="O1291" s="116">
        <v>126.5</v>
      </c>
      <c r="P1291" s="116">
        <v>137</v>
      </c>
      <c r="Q1291" s="116">
        <v>135.75</v>
      </c>
      <c r="R1291">
        <v>829517</v>
      </c>
    </row>
    <row r="1292" spans="1:18" x14ac:dyDescent="0.25">
      <c r="A1292" s="170">
        <v>43908</v>
      </c>
      <c r="B1292" s="116">
        <v>145</v>
      </c>
      <c r="C1292" s="116">
        <v>136.30000000000001</v>
      </c>
      <c r="D1292" s="116">
        <v>126.6</v>
      </c>
      <c r="E1292" s="116">
        <v>139.9</v>
      </c>
      <c r="F1292" s="116">
        <v>136.30000000000001</v>
      </c>
      <c r="G1292">
        <v>81147</v>
      </c>
      <c r="H1292" s="116"/>
      <c r="I1292" s="116"/>
      <c r="L1292" s="170">
        <v>43909</v>
      </c>
      <c r="M1292" s="116">
        <v>127.25</v>
      </c>
      <c r="N1292" s="116">
        <v>135</v>
      </c>
      <c r="O1292" s="116">
        <v>125.25</v>
      </c>
      <c r="P1292" s="116">
        <v>132.9</v>
      </c>
      <c r="Q1292" s="116">
        <v>127.25</v>
      </c>
      <c r="R1292">
        <v>834272</v>
      </c>
    </row>
    <row r="1293" spans="1:18" x14ac:dyDescent="0.25">
      <c r="A1293" s="170">
        <v>43909</v>
      </c>
      <c r="B1293" s="116">
        <v>134.80000000000001</v>
      </c>
      <c r="C1293" s="116">
        <v>126.75</v>
      </c>
      <c r="D1293" s="116">
        <v>125.35</v>
      </c>
      <c r="E1293" s="116">
        <v>134.69999999999999</v>
      </c>
      <c r="F1293" s="116">
        <v>126.75</v>
      </c>
      <c r="G1293">
        <v>87760</v>
      </c>
      <c r="H1293" s="116"/>
      <c r="I1293" s="116"/>
      <c r="L1293" s="170">
        <v>43910</v>
      </c>
      <c r="M1293" s="116">
        <v>136.25</v>
      </c>
      <c r="N1293" s="116">
        <v>142.5</v>
      </c>
      <c r="O1293" s="116">
        <v>127.3</v>
      </c>
      <c r="P1293" s="116">
        <v>130</v>
      </c>
      <c r="Q1293" s="116">
        <v>136.25</v>
      </c>
      <c r="R1293">
        <v>772708</v>
      </c>
    </row>
    <row r="1294" spans="1:18" x14ac:dyDescent="0.25">
      <c r="A1294" s="170">
        <v>43910</v>
      </c>
      <c r="B1294" s="116">
        <v>142.65</v>
      </c>
      <c r="C1294" s="116">
        <v>135.94999999999999</v>
      </c>
      <c r="D1294" s="116">
        <v>127.25</v>
      </c>
      <c r="E1294" s="116">
        <v>130</v>
      </c>
      <c r="F1294" s="116">
        <v>135.94999999999999</v>
      </c>
      <c r="G1294">
        <v>49669</v>
      </c>
      <c r="H1294" s="116"/>
      <c r="I1294" s="116"/>
      <c r="L1294" s="170">
        <v>43913</v>
      </c>
      <c r="M1294" s="116">
        <v>125.55</v>
      </c>
      <c r="N1294" s="116">
        <v>135</v>
      </c>
      <c r="O1294" s="116">
        <v>123</v>
      </c>
      <c r="P1294" s="116">
        <v>125</v>
      </c>
      <c r="Q1294" s="116">
        <v>125.55</v>
      </c>
      <c r="R1294">
        <v>683556</v>
      </c>
    </row>
    <row r="1295" spans="1:18" x14ac:dyDescent="0.25">
      <c r="A1295" s="170">
        <v>43913</v>
      </c>
      <c r="B1295" s="116">
        <v>135</v>
      </c>
      <c r="C1295" s="116">
        <v>125.45</v>
      </c>
      <c r="D1295" s="116">
        <v>123</v>
      </c>
      <c r="E1295" s="116">
        <v>135</v>
      </c>
      <c r="F1295" s="116">
        <v>125.45</v>
      </c>
      <c r="G1295">
        <v>70463</v>
      </c>
      <c r="H1295" s="116"/>
      <c r="I1295" s="116"/>
      <c r="L1295" s="170">
        <v>43914</v>
      </c>
      <c r="M1295" s="116">
        <v>126.2</v>
      </c>
      <c r="N1295" s="116">
        <v>130</v>
      </c>
      <c r="O1295" s="116">
        <v>125</v>
      </c>
      <c r="P1295" s="116">
        <v>126</v>
      </c>
      <c r="Q1295" s="116">
        <v>126.2</v>
      </c>
      <c r="R1295">
        <v>778018</v>
      </c>
    </row>
    <row r="1296" spans="1:18" x14ac:dyDescent="0.25">
      <c r="A1296" s="170">
        <v>43914</v>
      </c>
      <c r="B1296" s="116">
        <v>137</v>
      </c>
      <c r="C1296" s="116">
        <v>126.35</v>
      </c>
      <c r="D1296" s="116">
        <v>125.65</v>
      </c>
      <c r="E1296" s="116">
        <v>137</v>
      </c>
      <c r="F1296" s="116">
        <v>126.35</v>
      </c>
      <c r="G1296">
        <v>66470</v>
      </c>
      <c r="H1296" s="116"/>
      <c r="I1296" s="116"/>
      <c r="L1296" s="170">
        <v>43915</v>
      </c>
      <c r="M1296" s="116">
        <v>137.94999999999999</v>
      </c>
      <c r="N1296" s="116">
        <v>139.15</v>
      </c>
      <c r="O1296" s="116">
        <v>123.45</v>
      </c>
      <c r="P1296" s="116">
        <v>125</v>
      </c>
      <c r="Q1296" s="116">
        <v>137.94999999999999</v>
      </c>
      <c r="R1296">
        <v>823353</v>
      </c>
    </row>
    <row r="1297" spans="1:18" x14ac:dyDescent="0.25">
      <c r="A1297" s="170">
        <v>43915</v>
      </c>
      <c r="B1297" s="116">
        <v>139</v>
      </c>
      <c r="C1297" s="116">
        <v>137.80000000000001</v>
      </c>
      <c r="D1297" s="116">
        <v>125.55</v>
      </c>
      <c r="E1297" s="116">
        <v>126.55</v>
      </c>
      <c r="F1297" s="116">
        <v>137.80000000000001</v>
      </c>
      <c r="G1297">
        <v>44877</v>
      </c>
      <c r="H1297" s="116"/>
      <c r="I1297" s="116"/>
      <c r="L1297" s="170">
        <v>43916</v>
      </c>
      <c r="M1297" s="116">
        <v>139.25</v>
      </c>
      <c r="N1297" s="116">
        <v>145</v>
      </c>
      <c r="O1297" s="116">
        <v>138.1</v>
      </c>
      <c r="P1297" s="116">
        <v>142</v>
      </c>
      <c r="Q1297" s="116">
        <v>139.25</v>
      </c>
      <c r="R1297">
        <v>494113</v>
      </c>
    </row>
    <row r="1298" spans="1:18" x14ac:dyDescent="0.25">
      <c r="A1298" s="170">
        <v>43916</v>
      </c>
      <c r="B1298" s="116">
        <v>144.80000000000001</v>
      </c>
      <c r="C1298" s="116">
        <v>139.69999999999999</v>
      </c>
      <c r="D1298" s="116">
        <v>138.15</v>
      </c>
      <c r="E1298" s="116">
        <v>140.94999999999999</v>
      </c>
      <c r="F1298" s="116">
        <v>139.69999999999999</v>
      </c>
      <c r="G1298">
        <v>55393</v>
      </c>
      <c r="H1298" s="116"/>
      <c r="I1298" s="116"/>
      <c r="L1298" s="170">
        <v>43917</v>
      </c>
      <c r="M1298" s="116">
        <v>143.94999999999999</v>
      </c>
      <c r="N1298" s="116">
        <v>154</v>
      </c>
      <c r="O1298" s="116">
        <v>141.94999999999999</v>
      </c>
      <c r="P1298" s="116">
        <v>141.94999999999999</v>
      </c>
      <c r="Q1298" s="116">
        <v>143.94999999999999</v>
      </c>
      <c r="R1298">
        <v>701050</v>
      </c>
    </row>
    <row r="1299" spans="1:18" x14ac:dyDescent="0.25">
      <c r="A1299" s="170">
        <v>43917</v>
      </c>
      <c r="B1299" s="116">
        <v>153.80000000000001</v>
      </c>
      <c r="C1299" s="116">
        <v>143.94999999999999</v>
      </c>
      <c r="D1299" s="116">
        <v>139.69999999999999</v>
      </c>
      <c r="E1299" s="116">
        <v>139.69999999999999</v>
      </c>
      <c r="F1299" s="116">
        <v>143.94999999999999</v>
      </c>
      <c r="G1299">
        <v>80247</v>
      </c>
      <c r="H1299" s="116"/>
      <c r="I1299" s="116"/>
      <c r="L1299" s="170">
        <v>43920</v>
      </c>
      <c r="M1299" s="116">
        <v>145.35</v>
      </c>
      <c r="N1299" s="116">
        <v>146.55000000000001</v>
      </c>
      <c r="O1299" s="116">
        <v>137.5</v>
      </c>
      <c r="P1299" s="116">
        <v>140</v>
      </c>
      <c r="Q1299" s="116">
        <v>145.35</v>
      </c>
      <c r="R1299">
        <v>352686</v>
      </c>
    </row>
    <row r="1300" spans="1:18" x14ac:dyDescent="0.25">
      <c r="A1300" s="170">
        <v>43920</v>
      </c>
      <c r="B1300" s="116">
        <v>146.6</v>
      </c>
      <c r="C1300" s="116">
        <v>145.4</v>
      </c>
      <c r="D1300" s="116">
        <v>138.30000000000001</v>
      </c>
      <c r="E1300" s="116">
        <v>142.94999999999999</v>
      </c>
      <c r="F1300" s="116">
        <v>145.4</v>
      </c>
      <c r="G1300">
        <v>46298</v>
      </c>
      <c r="H1300" s="116"/>
      <c r="I1300" s="116"/>
      <c r="L1300" s="170">
        <v>43921</v>
      </c>
      <c r="M1300" s="116">
        <v>155.4</v>
      </c>
      <c r="N1300" s="116">
        <v>159.65</v>
      </c>
      <c r="O1300" s="116">
        <v>146.05000000000001</v>
      </c>
      <c r="P1300" s="116">
        <v>146.55000000000001</v>
      </c>
      <c r="Q1300" s="116">
        <v>155.4</v>
      </c>
      <c r="R1300">
        <v>510402</v>
      </c>
    </row>
    <row r="1301" spans="1:18" x14ac:dyDescent="0.25">
      <c r="A1301" s="170">
        <v>43921</v>
      </c>
      <c r="B1301" s="116">
        <v>159.6</v>
      </c>
      <c r="C1301" s="116">
        <v>155.15</v>
      </c>
      <c r="D1301" s="116">
        <v>146.4</v>
      </c>
      <c r="E1301" s="116">
        <v>148.1</v>
      </c>
      <c r="F1301" s="116">
        <v>155.15</v>
      </c>
      <c r="G1301">
        <v>56861</v>
      </c>
      <c r="H1301" s="116"/>
      <c r="I1301" s="116"/>
      <c r="L1301" s="170">
        <v>43922</v>
      </c>
      <c r="M1301" s="116">
        <v>160.44999999999999</v>
      </c>
      <c r="N1301" s="116">
        <v>167</v>
      </c>
      <c r="O1301" s="116">
        <v>152.25</v>
      </c>
      <c r="P1301" s="116">
        <v>155</v>
      </c>
      <c r="Q1301" s="116">
        <v>160.44999999999999</v>
      </c>
      <c r="R1301">
        <v>901577</v>
      </c>
    </row>
    <row r="1302" spans="1:18" x14ac:dyDescent="0.25">
      <c r="A1302" s="170">
        <v>43922</v>
      </c>
      <c r="B1302" s="116">
        <v>166.55</v>
      </c>
      <c r="C1302" s="116">
        <v>160.5</v>
      </c>
      <c r="D1302" s="116">
        <v>152.6</v>
      </c>
      <c r="E1302" s="116">
        <v>159.94999999999999</v>
      </c>
      <c r="F1302" s="116">
        <v>160.5</v>
      </c>
      <c r="G1302">
        <v>64311</v>
      </c>
      <c r="H1302" s="116"/>
      <c r="I1302" s="116"/>
      <c r="L1302" s="170">
        <v>43924</v>
      </c>
      <c r="M1302" s="116">
        <v>161.55000000000001</v>
      </c>
      <c r="N1302" s="116">
        <v>167</v>
      </c>
      <c r="O1302" s="116">
        <v>151.44999999999999</v>
      </c>
      <c r="P1302" s="116">
        <v>167</v>
      </c>
      <c r="Q1302" s="116">
        <v>161.55000000000001</v>
      </c>
      <c r="R1302">
        <v>710426</v>
      </c>
    </row>
    <row r="1303" spans="1:18" x14ac:dyDescent="0.25">
      <c r="A1303" s="170">
        <v>43924</v>
      </c>
      <c r="B1303" s="116">
        <v>165.9</v>
      </c>
      <c r="C1303" s="116">
        <v>161.44999999999999</v>
      </c>
      <c r="D1303" s="116">
        <v>151.69999999999999</v>
      </c>
      <c r="E1303" s="116">
        <v>165.05</v>
      </c>
      <c r="F1303" s="116">
        <v>161.44999999999999</v>
      </c>
      <c r="G1303">
        <v>68508</v>
      </c>
      <c r="H1303" s="116"/>
      <c r="I1303" s="116"/>
      <c r="L1303" s="170">
        <v>43928</v>
      </c>
      <c r="M1303" s="116">
        <v>164.5</v>
      </c>
      <c r="N1303" s="116">
        <v>169.45</v>
      </c>
      <c r="O1303" s="116">
        <v>159.65</v>
      </c>
      <c r="P1303" s="116">
        <v>169.45</v>
      </c>
      <c r="Q1303" s="116">
        <v>164.5</v>
      </c>
      <c r="R1303">
        <v>1136863</v>
      </c>
    </row>
    <row r="1304" spans="1:18" x14ac:dyDescent="0.25">
      <c r="A1304" s="170">
        <v>43928</v>
      </c>
      <c r="B1304" s="116">
        <v>169.05</v>
      </c>
      <c r="C1304" s="116">
        <v>164.45</v>
      </c>
      <c r="D1304" s="116">
        <v>160</v>
      </c>
      <c r="E1304" s="116">
        <v>167</v>
      </c>
      <c r="F1304" s="116">
        <v>164.45</v>
      </c>
      <c r="G1304">
        <v>87619</v>
      </c>
      <c r="H1304" s="116"/>
      <c r="I1304" s="116"/>
      <c r="L1304" s="170">
        <v>43929</v>
      </c>
      <c r="M1304" s="116">
        <v>165.95</v>
      </c>
      <c r="N1304" s="116">
        <v>169.95</v>
      </c>
      <c r="O1304" s="116">
        <v>164</v>
      </c>
      <c r="P1304" s="116">
        <v>167</v>
      </c>
      <c r="Q1304" s="116">
        <v>165.95</v>
      </c>
      <c r="R1304">
        <v>382642</v>
      </c>
    </row>
    <row r="1305" spans="1:18" x14ac:dyDescent="0.25">
      <c r="A1305" s="170">
        <v>43929</v>
      </c>
      <c r="B1305" s="116">
        <v>170</v>
      </c>
      <c r="C1305" s="116">
        <v>165.95</v>
      </c>
      <c r="D1305" s="116">
        <v>164.1</v>
      </c>
      <c r="E1305" s="116">
        <v>166.1</v>
      </c>
      <c r="F1305" s="116">
        <v>165.95</v>
      </c>
      <c r="G1305">
        <v>44459</v>
      </c>
      <c r="H1305" s="116"/>
      <c r="I1305" s="116"/>
      <c r="L1305" s="170">
        <v>43930</v>
      </c>
      <c r="M1305" s="116">
        <v>165.5</v>
      </c>
      <c r="N1305" s="116">
        <v>171.6</v>
      </c>
      <c r="O1305" s="116">
        <v>163</v>
      </c>
      <c r="P1305" s="116">
        <v>168.8</v>
      </c>
      <c r="Q1305" s="116">
        <v>165.5</v>
      </c>
      <c r="R1305">
        <v>368829</v>
      </c>
    </row>
    <row r="1306" spans="1:18" x14ac:dyDescent="0.25">
      <c r="A1306" s="170">
        <v>43930</v>
      </c>
      <c r="B1306" s="116">
        <v>171.85</v>
      </c>
      <c r="C1306" s="116">
        <v>165.5</v>
      </c>
      <c r="D1306" s="116">
        <v>163.65</v>
      </c>
      <c r="E1306" s="116">
        <v>166.05</v>
      </c>
      <c r="F1306" s="116">
        <v>165.5</v>
      </c>
      <c r="G1306">
        <v>37213</v>
      </c>
      <c r="H1306" s="116"/>
      <c r="I1306" s="116"/>
      <c r="L1306" s="170">
        <v>43934</v>
      </c>
      <c r="M1306" s="116">
        <v>165.2</v>
      </c>
      <c r="N1306" s="116">
        <v>168.75</v>
      </c>
      <c r="O1306" s="116">
        <v>162.55000000000001</v>
      </c>
      <c r="P1306" s="116">
        <v>166</v>
      </c>
      <c r="Q1306" s="116">
        <v>165.2</v>
      </c>
      <c r="R1306">
        <v>295051</v>
      </c>
    </row>
    <row r="1307" spans="1:18" x14ac:dyDescent="0.25">
      <c r="A1307" s="170">
        <v>43934</v>
      </c>
      <c r="B1307" s="116">
        <v>170</v>
      </c>
      <c r="C1307" s="116">
        <v>165.2</v>
      </c>
      <c r="D1307" s="116">
        <v>162.69999999999999</v>
      </c>
      <c r="E1307" s="116">
        <v>170</v>
      </c>
      <c r="F1307" s="116">
        <v>165.2</v>
      </c>
      <c r="G1307">
        <v>25848</v>
      </c>
      <c r="H1307" s="116"/>
      <c r="I1307" s="116"/>
      <c r="L1307" s="170">
        <v>43936</v>
      </c>
      <c r="M1307" s="116">
        <v>170.4</v>
      </c>
      <c r="N1307" s="116">
        <v>173.55</v>
      </c>
      <c r="O1307" s="116">
        <v>166</v>
      </c>
      <c r="P1307" s="116">
        <v>167</v>
      </c>
      <c r="Q1307" s="116">
        <v>170.4</v>
      </c>
      <c r="R1307">
        <v>602904</v>
      </c>
    </row>
    <row r="1308" spans="1:18" x14ac:dyDescent="0.25">
      <c r="A1308" s="170">
        <v>43936</v>
      </c>
      <c r="B1308" s="116">
        <v>173.3</v>
      </c>
      <c r="C1308" s="116">
        <v>170.05</v>
      </c>
      <c r="D1308" s="116">
        <v>166.35</v>
      </c>
      <c r="E1308" s="116">
        <v>166.5</v>
      </c>
      <c r="F1308" s="116">
        <v>170.05</v>
      </c>
      <c r="G1308">
        <v>48504</v>
      </c>
      <c r="H1308" s="116"/>
      <c r="I1308" s="116"/>
      <c r="L1308" s="170">
        <v>43937</v>
      </c>
      <c r="M1308" s="116">
        <v>174.1</v>
      </c>
      <c r="N1308" s="116">
        <v>177.45</v>
      </c>
      <c r="O1308" s="116">
        <v>168.65</v>
      </c>
      <c r="P1308" s="116">
        <v>170.4</v>
      </c>
      <c r="Q1308" s="116">
        <v>174.1</v>
      </c>
      <c r="R1308">
        <v>413836</v>
      </c>
    </row>
    <row r="1309" spans="1:18" x14ac:dyDescent="0.25">
      <c r="A1309" s="170">
        <v>43937</v>
      </c>
      <c r="B1309" s="116">
        <v>177.45</v>
      </c>
      <c r="C1309" s="116">
        <v>174.25</v>
      </c>
      <c r="D1309" s="116">
        <v>168</v>
      </c>
      <c r="E1309" s="116">
        <v>173</v>
      </c>
      <c r="F1309" s="116">
        <v>174.25</v>
      </c>
      <c r="G1309">
        <v>45951</v>
      </c>
      <c r="H1309" s="116"/>
      <c r="I1309" s="116"/>
      <c r="L1309" s="170">
        <v>43938</v>
      </c>
      <c r="M1309" s="116">
        <v>174.5</v>
      </c>
      <c r="N1309" s="116">
        <v>180.9</v>
      </c>
      <c r="O1309" s="116">
        <v>173</v>
      </c>
      <c r="P1309" s="116">
        <v>178</v>
      </c>
      <c r="Q1309" s="116">
        <v>174.5</v>
      </c>
      <c r="R1309">
        <v>438775</v>
      </c>
    </row>
    <row r="1310" spans="1:18" x14ac:dyDescent="0.25">
      <c r="A1310" s="170">
        <v>43938</v>
      </c>
      <c r="B1310" s="116">
        <v>180.5</v>
      </c>
      <c r="C1310" s="116">
        <v>174.5</v>
      </c>
      <c r="D1310" s="116">
        <v>173.15</v>
      </c>
      <c r="E1310" s="116">
        <v>174.3</v>
      </c>
      <c r="F1310" s="116">
        <v>174.5</v>
      </c>
      <c r="G1310">
        <v>51160</v>
      </c>
      <c r="H1310" s="116"/>
      <c r="I1310" s="116"/>
      <c r="L1310" s="170">
        <v>43941</v>
      </c>
      <c r="M1310" s="116">
        <v>174.2</v>
      </c>
      <c r="N1310" s="116">
        <v>177.8</v>
      </c>
      <c r="O1310" s="116">
        <v>173.45</v>
      </c>
      <c r="P1310" s="116">
        <v>174.85</v>
      </c>
      <c r="Q1310" s="116">
        <v>174.2</v>
      </c>
      <c r="R1310">
        <v>679839</v>
      </c>
    </row>
    <row r="1311" spans="1:18" x14ac:dyDescent="0.25">
      <c r="A1311" s="170">
        <v>43941</v>
      </c>
      <c r="B1311" s="116">
        <v>177.9</v>
      </c>
      <c r="C1311" s="116">
        <v>174.4</v>
      </c>
      <c r="D1311" s="116">
        <v>173.6</v>
      </c>
      <c r="E1311" s="116">
        <v>175</v>
      </c>
      <c r="F1311" s="116">
        <v>174.4</v>
      </c>
      <c r="G1311">
        <v>23604</v>
      </c>
      <c r="H1311" s="116"/>
      <c r="I1311" s="116"/>
      <c r="L1311" s="170">
        <v>43942</v>
      </c>
      <c r="M1311" s="116">
        <v>167.95</v>
      </c>
      <c r="N1311" s="116">
        <v>172.95</v>
      </c>
      <c r="O1311" s="116">
        <v>165</v>
      </c>
      <c r="P1311" s="116">
        <v>172</v>
      </c>
      <c r="Q1311" s="116">
        <v>167.95</v>
      </c>
      <c r="R1311">
        <v>553443</v>
      </c>
    </row>
    <row r="1312" spans="1:18" x14ac:dyDescent="0.25">
      <c r="A1312" s="170">
        <v>43942</v>
      </c>
      <c r="B1312" s="116">
        <v>176.4</v>
      </c>
      <c r="C1312" s="116">
        <v>168.75</v>
      </c>
      <c r="D1312" s="116">
        <v>165.1</v>
      </c>
      <c r="E1312" s="116">
        <v>176.4</v>
      </c>
      <c r="F1312" s="116">
        <v>168.75</v>
      </c>
      <c r="G1312">
        <v>39056</v>
      </c>
      <c r="H1312" s="116"/>
      <c r="I1312" s="116"/>
      <c r="L1312" s="170">
        <v>43943</v>
      </c>
      <c r="M1312" s="116">
        <v>166.7</v>
      </c>
      <c r="N1312" s="116">
        <v>169.9</v>
      </c>
      <c r="O1312" s="116">
        <v>165.05</v>
      </c>
      <c r="P1312" s="116">
        <v>168</v>
      </c>
      <c r="Q1312" s="116">
        <v>166.7</v>
      </c>
      <c r="R1312">
        <v>234022</v>
      </c>
    </row>
    <row r="1313" spans="1:18" x14ac:dyDescent="0.25">
      <c r="A1313" s="170">
        <v>43943</v>
      </c>
      <c r="B1313" s="116">
        <v>170.2</v>
      </c>
      <c r="C1313" s="116">
        <v>166.9</v>
      </c>
      <c r="D1313" s="116">
        <v>165.45</v>
      </c>
      <c r="E1313" s="116">
        <v>170</v>
      </c>
      <c r="F1313" s="116">
        <v>166.9</v>
      </c>
      <c r="G1313">
        <v>19869</v>
      </c>
      <c r="H1313" s="116"/>
      <c r="I1313" s="116"/>
      <c r="L1313" s="170">
        <v>43944</v>
      </c>
      <c r="M1313" s="116">
        <v>171.45</v>
      </c>
      <c r="N1313" s="116">
        <v>172</v>
      </c>
      <c r="O1313" s="116">
        <v>167.3</v>
      </c>
      <c r="P1313" s="116">
        <v>168.05</v>
      </c>
      <c r="Q1313" s="116">
        <v>171.45</v>
      </c>
      <c r="R1313">
        <v>201007</v>
      </c>
    </row>
    <row r="1314" spans="1:18" x14ac:dyDescent="0.25">
      <c r="A1314" s="170">
        <v>43944</v>
      </c>
      <c r="B1314" s="116">
        <v>172.75</v>
      </c>
      <c r="C1314" s="116">
        <v>171.75</v>
      </c>
      <c r="D1314" s="116">
        <v>167.2</v>
      </c>
      <c r="E1314" s="116">
        <v>170.85</v>
      </c>
      <c r="F1314" s="116">
        <v>171.75</v>
      </c>
      <c r="G1314">
        <v>20326</v>
      </c>
      <c r="H1314" s="116"/>
      <c r="I1314" s="116"/>
      <c r="L1314" s="170">
        <v>43945</v>
      </c>
      <c r="M1314" s="116">
        <v>171.2</v>
      </c>
      <c r="N1314" s="116">
        <v>181.6</v>
      </c>
      <c r="O1314" s="116">
        <v>170.45</v>
      </c>
      <c r="P1314" s="116">
        <v>174.9</v>
      </c>
      <c r="Q1314" s="116">
        <v>171.2</v>
      </c>
      <c r="R1314">
        <v>611078</v>
      </c>
    </row>
    <row r="1315" spans="1:18" x14ac:dyDescent="0.25">
      <c r="A1315" s="170">
        <v>43945</v>
      </c>
      <c r="B1315" s="116">
        <v>181.45</v>
      </c>
      <c r="C1315" s="116">
        <v>171.2</v>
      </c>
      <c r="D1315" s="116">
        <v>170.4</v>
      </c>
      <c r="E1315" s="116">
        <v>173</v>
      </c>
      <c r="F1315" s="116">
        <v>171.2</v>
      </c>
      <c r="G1315">
        <v>51050</v>
      </c>
      <c r="H1315" s="116"/>
      <c r="I1315" s="116"/>
      <c r="L1315" s="170">
        <v>43948</v>
      </c>
      <c r="M1315" s="116">
        <v>165.35</v>
      </c>
      <c r="N1315" s="116">
        <v>173.9</v>
      </c>
      <c r="O1315" s="116">
        <v>164.5</v>
      </c>
      <c r="P1315" s="116">
        <v>173</v>
      </c>
      <c r="Q1315" s="116">
        <v>165.35</v>
      </c>
      <c r="R1315">
        <v>470433</v>
      </c>
    </row>
    <row r="1316" spans="1:18" x14ac:dyDescent="0.25">
      <c r="A1316" s="170">
        <v>43948</v>
      </c>
      <c r="B1316" s="116">
        <v>175.5</v>
      </c>
      <c r="C1316" s="116">
        <v>165.45</v>
      </c>
      <c r="D1316" s="116">
        <v>164.8</v>
      </c>
      <c r="E1316" s="116">
        <v>175.5</v>
      </c>
      <c r="F1316" s="116">
        <v>165.45</v>
      </c>
      <c r="G1316">
        <v>28487</v>
      </c>
      <c r="H1316" s="116"/>
      <c r="I1316" s="116"/>
      <c r="L1316" s="170">
        <v>43949</v>
      </c>
      <c r="M1316" s="116">
        <v>165.05</v>
      </c>
      <c r="N1316" s="116">
        <v>168.55</v>
      </c>
      <c r="O1316" s="116">
        <v>164</v>
      </c>
      <c r="P1316" s="116">
        <v>167</v>
      </c>
      <c r="Q1316" s="116">
        <v>165.05</v>
      </c>
      <c r="R1316">
        <v>168768</v>
      </c>
    </row>
    <row r="1317" spans="1:18" x14ac:dyDescent="0.25">
      <c r="A1317" s="170">
        <v>43949</v>
      </c>
      <c r="B1317" s="116">
        <v>169.6</v>
      </c>
      <c r="C1317" s="116">
        <v>165.2</v>
      </c>
      <c r="D1317" s="116">
        <v>164.1</v>
      </c>
      <c r="E1317" s="116">
        <v>169.6</v>
      </c>
      <c r="F1317" s="116">
        <v>165.2</v>
      </c>
      <c r="G1317">
        <v>9636</v>
      </c>
      <c r="H1317" s="116"/>
      <c r="I1317" s="116"/>
      <c r="L1317" s="170">
        <v>43950</v>
      </c>
      <c r="M1317" s="116">
        <v>171.35</v>
      </c>
      <c r="N1317" s="116">
        <v>172</v>
      </c>
      <c r="O1317" s="116">
        <v>164.7</v>
      </c>
      <c r="P1317" s="116">
        <v>167</v>
      </c>
      <c r="Q1317" s="116">
        <v>171.35</v>
      </c>
      <c r="R1317">
        <v>539567</v>
      </c>
    </row>
    <row r="1318" spans="1:18" x14ac:dyDescent="0.25">
      <c r="A1318" s="170">
        <v>43950</v>
      </c>
      <c r="B1318" s="116">
        <v>172</v>
      </c>
      <c r="C1318" s="116">
        <v>171.3</v>
      </c>
      <c r="D1318" s="116">
        <v>165</v>
      </c>
      <c r="E1318" s="116">
        <v>168.5</v>
      </c>
      <c r="F1318" s="116">
        <v>171.3</v>
      </c>
      <c r="G1318">
        <v>41630</v>
      </c>
      <c r="H1318" s="116"/>
      <c r="I1318" s="116"/>
      <c r="L1318" s="170">
        <v>43951</v>
      </c>
      <c r="M1318" s="116">
        <v>174.6</v>
      </c>
      <c r="N1318" s="116">
        <v>176</v>
      </c>
      <c r="O1318" s="116">
        <v>172</v>
      </c>
      <c r="P1318" s="116">
        <v>174.4</v>
      </c>
      <c r="Q1318" s="116">
        <v>174.6</v>
      </c>
      <c r="R1318">
        <v>715866</v>
      </c>
    </row>
    <row r="1319" spans="1:18" x14ac:dyDescent="0.25">
      <c r="A1319" s="170">
        <v>43951</v>
      </c>
      <c r="B1319" s="116">
        <v>175.75</v>
      </c>
      <c r="C1319" s="116">
        <v>174.45</v>
      </c>
      <c r="D1319" s="116">
        <v>172.05</v>
      </c>
      <c r="E1319" s="116">
        <v>175</v>
      </c>
      <c r="F1319" s="116">
        <v>174.45</v>
      </c>
      <c r="G1319">
        <v>254020</v>
      </c>
      <c r="H1319" s="116"/>
      <c r="I1319" s="116"/>
      <c r="L1319" s="170">
        <v>43955</v>
      </c>
      <c r="M1319" s="116">
        <v>165.75</v>
      </c>
      <c r="N1319" s="116">
        <v>169.35</v>
      </c>
      <c r="O1319" s="116">
        <v>165.05</v>
      </c>
      <c r="P1319" s="116">
        <v>167</v>
      </c>
      <c r="Q1319" s="116">
        <v>165.75</v>
      </c>
      <c r="R1319">
        <v>461891</v>
      </c>
    </row>
    <row r="1320" spans="1:18" x14ac:dyDescent="0.25">
      <c r="A1320" s="170">
        <v>43955</v>
      </c>
      <c r="B1320" s="116">
        <v>171</v>
      </c>
      <c r="C1320" s="116">
        <v>165.95</v>
      </c>
      <c r="D1320" s="116">
        <v>165.1</v>
      </c>
      <c r="E1320" s="116">
        <v>171</v>
      </c>
      <c r="F1320" s="116">
        <v>165.95</v>
      </c>
      <c r="G1320">
        <v>185681</v>
      </c>
      <c r="H1320" s="116"/>
      <c r="I1320" s="116"/>
      <c r="L1320" s="170">
        <v>43956</v>
      </c>
      <c r="M1320" s="116">
        <v>167.4</v>
      </c>
      <c r="N1320" s="116">
        <v>172.75</v>
      </c>
      <c r="O1320" s="116">
        <v>166.5</v>
      </c>
      <c r="P1320" s="116">
        <v>168</v>
      </c>
      <c r="Q1320" s="116">
        <v>167.4</v>
      </c>
      <c r="R1320">
        <v>554760</v>
      </c>
    </row>
    <row r="1321" spans="1:18" x14ac:dyDescent="0.25">
      <c r="A1321" s="170">
        <v>43956</v>
      </c>
      <c r="B1321" s="116">
        <v>172.8</v>
      </c>
      <c r="C1321" s="116">
        <v>167.35</v>
      </c>
      <c r="D1321" s="116">
        <v>166.9</v>
      </c>
      <c r="E1321" s="116">
        <v>168</v>
      </c>
      <c r="F1321" s="116">
        <v>167.35</v>
      </c>
      <c r="G1321">
        <v>139552</v>
      </c>
      <c r="H1321" s="116"/>
      <c r="I1321" s="116"/>
      <c r="L1321" s="170">
        <v>43957</v>
      </c>
      <c r="M1321" s="116">
        <v>169.45</v>
      </c>
      <c r="N1321" s="116">
        <v>172.95</v>
      </c>
      <c r="O1321" s="116">
        <v>167.75</v>
      </c>
      <c r="P1321" s="116">
        <v>172.95</v>
      </c>
      <c r="Q1321" s="116">
        <v>169.45</v>
      </c>
      <c r="R1321">
        <v>374474</v>
      </c>
    </row>
    <row r="1322" spans="1:18" x14ac:dyDescent="0.25">
      <c r="A1322" s="170">
        <v>43957</v>
      </c>
      <c r="B1322" s="116">
        <v>171.55</v>
      </c>
      <c r="C1322" s="116">
        <v>169.35</v>
      </c>
      <c r="D1322" s="116">
        <v>167.75</v>
      </c>
      <c r="E1322" s="116">
        <v>171.3</v>
      </c>
      <c r="F1322" s="116">
        <v>169.35</v>
      </c>
      <c r="G1322">
        <v>206373</v>
      </c>
      <c r="H1322" s="116"/>
      <c r="I1322" s="116"/>
      <c r="L1322" s="170">
        <v>43958</v>
      </c>
      <c r="M1322" s="116">
        <v>176.35</v>
      </c>
      <c r="N1322" s="116">
        <v>178</v>
      </c>
      <c r="O1322" s="116">
        <v>167</v>
      </c>
      <c r="P1322" s="116">
        <v>169.4</v>
      </c>
      <c r="Q1322" s="116">
        <v>176.35</v>
      </c>
      <c r="R1322">
        <v>873636</v>
      </c>
    </row>
    <row r="1323" spans="1:18" x14ac:dyDescent="0.25">
      <c r="A1323" s="170">
        <v>43958</v>
      </c>
      <c r="B1323" s="116">
        <v>178</v>
      </c>
      <c r="C1323" s="116">
        <v>176.25</v>
      </c>
      <c r="D1323" s="116">
        <v>166.1</v>
      </c>
      <c r="E1323" s="116">
        <v>168.5</v>
      </c>
      <c r="F1323" s="116">
        <v>176.25</v>
      </c>
      <c r="G1323">
        <v>244982</v>
      </c>
      <c r="H1323" s="116"/>
      <c r="I1323" s="116"/>
      <c r="L1323" s="170">
        <v>43959</v>
      </c>
      <c r="M1323" s="116">
        <v>175.3</v>
      </c>
      <c r="N1323" s="116">
        <v>179.5</v>
      </c>
      <c r="O1323" s="116">
        <v>174</v>
      </c>
      <c r="P1323" s="116">
        <v>178.5</v>
      </c>
      <c r="Q1323" s="116">
        <v>175.3</v>
      </c>
      <c r="R1323">
        <v>440702</v>
      </c>
    </row>
    <row r="1324" spans="1:18" x14ac:dyDescent="0.25">
      <c r="A1324" s="170">
        <v>43959</v>
      </c>
      <c r="B1324" s="116">
        <v>179.6</v>
      </c>
      <c r="C1324" s="116">
        <v>175.3</v>
      </c>
      <c r="D1324" s="116">
        <v>174.1</v>
      </c>
      <c r="E1324" s="116">
        <v>177.5</v>
      </c>
      <c r="F1324" s="116">
        <v>175.3</v>
      </c>
      <c r="G1324">
        <v>131275</v>
      </c>
      <c r="H1324" s="116"/>
      <c r="I1324" s="116"/>
      <c r="L1324" s="170">
        <v>43962</v>
      </c>
      <c r="M1324" s="116">
        <v>181.85</v>
      </c>
      <c r="N1324" s="116">
        <v>185.5</v>
      </c>
      <c r="O1324" s="116">
        <v>178.35</v>
      </c>
      <c r="P1324" s="116">
        <v>178.35</v>
      </c>
      <c r="Q1324" s="116">
        <v>181.85</v>
      </c>
      <c r="R1324">
        <v>1591023</v>
      </c>
    </row>
    <row r="1325" spans="1:18" x14ac:dyDescent="0.25">
      <c r="A1325" s="170">
        <v>43962</v>
      </c>
      <c r="B1325" s="116">
        <v>185.5</v>
      </c>
      <c r="C1325" s="116">
        <v>181.85</v>
      </c>
      <c r="D1325" s="116">
        <v>176.3</v>
      </c>
      <c r="E1325" s="116">
        <v>176.3</v>
      </c>
      <c r="F1325" s="116">
        <v>181.85</v>
      </c>
      <c r="G1325">
        <v>173126</v>
      </c>
      <c r="H1325" s="116"/>
      <c r="I1325" s="116"/>
      <c r="L1325" s="170">
        <v>43963</v>
      </c>
      <c r="M1325" s="116">
        <v>179.95</v>
      </c>
      <c r="N1325" s="116">
        <v>184.6</v>
      </c>
      <c r="O1325" s="116">
        <v>177.05</v>
      </c>
      <c r="P1325" s="116">
        <v>182.2</v>
      </c>
      <c r="Q1325" s="116">
        <v>179.95</v>
      </c>
      <c r="R1325">
        <v>902232</v>
      </c>
    </row>
    <row r="1326" spans="1:18" x14ac:dyDescent="0.25">
      <c r="A1326" s="170">
        <v>43963</v>
      </c>
      <c r="B1326" s="116">
        <v>184.65</v>
      </c>
      <c r="C1326" s="116">
        <v>179.8</v>
      </c>
      <c r="D1326" s="116">
        <v>177</v>
      </c>
      <c r="E1326" s="116">
        <v>182.85</v>
      </c>
      <c r="F1326" s="116">
        <v>179.8</v>
      </c>
      <c r="G1326">
        <v>109183</v>
      </c>
      <c r="H1326" s="116"/>
      <c r="I1326" s="116"/>
      <c r="L1326" s="170">
        <v>43964</v>
      </c>
      <c r="M1326" s="116">
        <v>184.15</v>
      </c>
      <c r="N1326" s="116">
        <v>195</v>
      </c>
      <c r="O1326" s="116">
        <v>183.1</v>
      </c>
      <c r="P1326" s="116">
        <v>192</v>
      </c>
      <c r="Q1326" s="116">
        <v>184.15</v>
      </c>
      <c r="R1326">
        <v>2373532</v>
      </c>
    </row>
    <row r="1327" spans="1:18" x14ac:dyDescent="0.25">
      <c r="A1327" s="170">
        <v>43964</v>
      </c>
      <c r="B1327" s="116">
        <v>194.95</v>
      </c>
      <c r="C1327" s="116">
        <v>184.25</v>
      </c>
      <c r="D1327" s="116">
        <v>183.3</v>
      </c>
      <c r="E1327" s="116">
        <v>188</v>
      </c>
      <c r="F1327" s="116">
        <v>184.25</v>
      </c>
      <c r="G1327">
        <v>206084</v>
      </c>
      <c r="H1327" s="116"/>
      <c r="I1327" s="116"/>
      <c r="L1327" s="170">
        <v>43965</v>
      </c>
      <c r="M1327" s="116">
        <v>186.8</v>
      </c>
      <c r="N1327" s="116">
        <v>189</v>
      </c>
      <c r="O1327" s="116">
        <v>181.85</v>
      </c>
      <c r="P1327" s="116">
        <v>184.15</v>
      </c>
      <c r="Q1327" s="116">
        <v>186.8</v>
      </c>
      <c r="R1327">
        <v>1136048</v>
      </c>
    </row>
    <row r="1328" spans="1:18" x14ac:dyDescent="0.25">
      <c r="A1328" s="170">
        <v>43965</v>
      </c>
      <c r="B1328" s="116">
        <v>188.8</v>
      </c>
      <c r="C1328" s="116">
        <v>186.75</v>
      </c>
      <c r="D1328" s="116">
        <v>183</v>
      </c>
      <c r="E1328" s="116">
        <v>184.25</v>
      </c>
      <c r="F1328" s="116">
        <v>186.75</v>
      </c>
      <c r="G1328">
        <v>105611</v>
      </c>
      <c r="H1328" s="116"/>
      <c r="I1328" s="116"/>
      <c r="L1328" s="170">
        <v>43966</v>
      </c>
      <c r="M1328" s="116">
        <v>192.65</v>
      </c>
      <c r="N1328" s="116">
        <v>195</v>
      </c>
      <c r="O1328" s="116">
        <v>189.2</v>
      </c>
      <c r="P1328" s="116">
        <v>190.25</v>
      </c>
      <c r="Q1328" s="116">
        <v>192.65</v>
      </c>
      <c r="R1328">
        <v>2642622</v>
      </c>
    </row>
    <row r="1329" spans="1:18" x14ac:dyDescent="0.25">
      <c r="A1329" s="170">
        <v>43966</v>
      </c>
      <c r="B1329" s="116">
        <v>194.95</v>
      </c>
      <c r="C1329" s="116">
        <v>192.55</v>
      </c>
      <c r="D1329" s="116">
        <v>189.5</v>
      </c>
      <c r="E1329" s="116">
        <v>190.95</v>
      </c>
      <c r="F1329" s="116">
        <v>192.55</v>
      </c>
      <c r="G1329">
        <v>151988</v>
      </c>
      <c r="H1329" s="116"/>
      <c r="I1329" s="116"/>
      <c r="L1329" s="170">
        <v>43969</v>
      </c>
      <c r="M1329" s="116">
        <v>188.25</v>
      </c>
      <c r="N1329" s="116">
        <v>200.4</v>
      </c>
      <c r="O1329" s="116">
        <v>185.6</v>
      </c>
      <c r="P1329" s="116">
        <v>195.5</v>
      </c>
      <c r="Q1329" s="116">
        <v>188.25</v>
      </c>
      <c r="R1329">
        <v>4041183</v>
      </c>
    </row>
    <row r="1330" spans="1:18" x14ac:dyDescent="0.25">
      <c r="A1330" s="170">
        <v>43969</v>
      </c>
      <c r="B1330" s="116">
        <v>200.6</v>
      </c>
      <c r="C1330" s="116">
        <v>188.1</v>
      </c>
      <c r="D1330" s="116">
        <v>185.7</v>
      </c>
      <c r="E1330" s="116">
        <v>196</v>
      </c>
      <c r="F1330" s="116">
        <v>188.1</v>
      </c>
      <c r="G1330">
        <v>349532</v>
      </c>
      <c r="H1330" s="116"/>
      <c r="I1330" s="116"/>
      <c r="L1330" s="170">
        <v>43970</v>
      </c>
      <c r="M1330" s="116">
        <v>174.1</v>
      </c>
      <c r="N1330" s="116">
        <v>176.4</v>
      </c>
      <c r="O1330" s="116">
        <v>172.2</v>
      </c>
      <c r="P1330" s="116">
        <v>176</v>
      </c>
      <c r="Q1330" s="116">
        <v>174.1</v>
      </c>
      <c r="R1330">
        <v>1292303</v>
      </c>
    </row>
    <row r="1331" spans="1:18" x14ac:dyDescent="0.25">
      <c r="A1331" s="170">
        <v>43970</v>
      </c>
      <c r="B1331" s="116">
        <v>177</v>
      </c>
      <c r="C1331" s="116">
        <v>174</v>
      </c>
      <c r="D1331" s="116">
        <v>172.4</v>
      </c>
      <c r="E1331" s="116">
        <v>177</v>
      </c>
      <c r="F1331" s="116">
        <v>174</v>
      </c>
      <c r="G1331">
        <v>97877</v>
      </c>
      <c r="H1331" s="116"/>
      <c r="I1331" s="116"/>
      <c r="L1331" s="170">
        <v>43971</v>
      </c>
      <c r="M1331" s="116">
        <v>170.65</v>
      </c>
      <c r="N1331" s="116">
        <v>173</v>
      </c>
      <c r="O1331" s="116">
        <v>168.3</v>
      </c>
      <c r="P1331" s="116">
        <v>172</v>
      </c>
      <c r="Q1331" s="116">
        <v>170.65</v>
      </c>
      <c r="R1331">
        <v>516110</v>
      </c>
    </row>
    <row r="1332" spans="1:18" x14ac:dyDescent="0.25">
      <c r="A1332" s="170">
        <v>43971</v>
      </c>
      <c r="B1332" s="116">
        <v>173.45</v>
      </c>
      <c r="C1332" s="116">
        <v>170.55</v>
      </c>
      <c r="D1332" s="116">
        <v>168.7</v>
      </c>
      <c r="E1332" s="116">
        <v>173.45</v>
      </c>
      <c r="F1332" s="116">
        <v>170.55</v>
      </c>
      <c r="G1332">
        <v>41651</v>
      </c>
      <c r="H1332" s="116"/>
      <c r="I1332" s="116"/>
      <c r="L1332" s="170">
        <v>43972</v>
      </c>
      <c r="M1332" s="116">
        <v>169.3</v>
      </c>
      <c r="N1332" s="116">
        <v>174.5</v>
      </c>
      <c r="O1332" s="116">
        <v>167.1</v>
      </c>
      <c r="P1332" s="116">
        <v>170</v>
      </c>
      <c r="Q1332" s="116">
        <v>169.3</v>
      </c>
      <c r="R1332">
        <v>1547592</v>
      </c>
    </row>
    <row r="1333" spans="1:18" x14ac:dyDescent="0.25">
      <c r="A1333" s="170">
        <v>43972</v>
      </c>
      <c r="B1333" s="116">
        <v>174.1</v>
      </c>
      <c r="C1333" s="116">
        <v>169.25</v>
      </c>
      <c r="D1333" s="116">
        <v>167.5</v>
      </c>
      <c r="E1333" s="116">
        <v>171</v>
      </c>
      <c r="F1333" s="116">
        <v>169.25</v>
      </c>
      <c r="G1333">
        <v>176360</v>
      </c>
      <c r="H1333" s="116"/>
      <c r="I1333" s="116"/>
      <c r="L1333" s="170">
        <v>43973</v>
      </c>
      <c r="M1333" s="116">
        <v>165.25</v>
      </c>
      <c r="N1333" s="116">
        <v>168.8</v>
      </c>
      <c r="O1333" s="116">
        <v>164.05</v>
      </c>
      <c r="P1333" s="116">
        <v>167</v>
      </c>
      <c r="Q1333" s="116">
        <v>165.25</v>
      </c>
      <c r="R1333">
        <v>826090</v>
      </c>
    </row>
    <row r="1334" spans="1:18" x14ac:dyDescent="0.25">
      <c r="A1334" s="170">
        <v>43973</v>
      </c>
      <c r="B1334" s="116">
        <v>168.75</v>
      </c>
      <c r="C1334" s="116">
        <v>165.4</v>
      </c>
      <c r="D1334" s="116">
        <v>164.25</v>
      </c>
      <c r="E1334" s="116">
        <v>167</v>
      </c>
      <c r="F1334" s="116">
        <v>165.4</v>
      </c>
      <c r="G1334">
        <v>65593</v>
      </c>
      <c r="H1334" s="116"/>
      <c r="I1334" s="116"/>
      <c r="L1334" s="170">
        <v>43977</v>
      </c>
      <c r="M1334" s="116">
        <v>166.65</v>
      </c>
      <c r="N1334" s="116">
        <v>169</v>
      </c>
      <c r="O1334" s="116">
        <v>165.3</v>
      </c>
      <c r="P1334" s="116">
        <v>166.5</v>
      </c>
      <c r="Q1334" s="116">
        <v>166.65</v>
      </c>
      <c r="R1334">
        <v>525611</v>
      </c>
    </row>
    <row r="1335" spans="1:18" x14ac:dyDescent="0.25">
      <c r="A1335" s="170">
        <v>43977</v>
      </c>
      <c r="B1335" s="116">
        <v>168.95</v>
      </c>
      <c r="C1335" s="116">
        <v>166.65</v>
      </c>
      <c r="D1335" s="116">
        <v>165.55</v>
      </c>
      <c r="E1335" s="116">
        <v>168.95</v>
      </c>
      <c r="F1335" s="116">
        <v>166.65</v>
      </c>
      <c r="G1335">
        <v>93394</v>
      </c>
      <c r="H1335" s="116"/>
      <c r="I1335" s="116"/>
      <c r="L1335" s="170">
        <v>43978</v>
      </c>
      <c r="M1335" s="116">
        <v>164.75</v>
      </c>
      <c r="N1335" s="116">
        <v>167.95</v>
      </c>
      <c r="O1335" s="116">
        <v>164.2</v>
      </c>
      <c r="P1335" s="116">
        <v>167.3</v>
      </c>
      <c r="Q1335" s="116">
        <v>164.75</v>
      </c>
      <c r="R1335">
        <v>479723</v>
      </c>
    </row>
    <row r="1336" spans="1:18" x14ac:dyDescent="0.25">
      <c r="A1336" s="170">
        <v>43978</v>
      </c>
      <c r="B1336" s="116">
        <v>167.7</v>
      </c>
      <c r="C1336" s="116">
        <v>164.75</v>
      </c>
      <c r="D1336" s="116">
        <v>164</v>
      </c>
      <c r="E1336" s="116">
        <v>167.7</v>
      </c>
      <c r="F1336" s="116">
        <v>164.75</v>
      </c>
      <c r="G1336">
        <v>54099</v>
      </c>
      <c r="H1336" s="116"/>
      <c r="I1336" s="116"/>
      <c r="L1336" s="170">
        <v>43979</v>
      </c>
      <c r="M1336" s="116">
        <v>168.65</v>
      </c>
      <c r="N1336" s="116">
        <v>169</v>
      </c>
      <c r="O1336" s="116">
        <v>164.5</v>
      </c>
      <c r="P1336" s="116">
        <v>165.95</v>
      </c>
      <c r="Q1336" s="116">
        <v>168.65</v>
      </c>
      <c r="R1336">
        <v>796295</v>
      </c>
    </row>
    <row r="1337" spans="1:18" x14ac:dyDescent="0.25">
      <c r="A1337" s="170">
        <v>43979</v>
      </c>
      <c r="B1337" s="116">
        <v>169.1</v>
      </c>
      <c r="C1337" s="116">
        <v>168.6</v>
      </c>
      <c r="D1337" s="116">
        <v>164.5</v>
      </c>
      <c r="E1337" s="116">
        <v>165.8</v>
      </c>
      <c r="F1337" s="116">
        <v>168.6</v>
      </c>
      <c r="G1337">
        <v>53831</v>
      </c>
      <c r="H1337" s="116"/>
      <c r="I1337" s="116"/>
      <c r="L1337" s="170">
        <v>43980</v>
      </c>
      <c r="M1337" s="116">
        <v>171.55</v>
      </c>
      <c r="N1337" s="116">
        <v>172.3</v>
      </c>
      <c r="O1337" s="116">
        <v>166.65</v>
      </c>
      <c r="P1337" s="116">
        <v>168.65</v>
      </c>
      <c r="Q1337" s="116">
        <v>171.55</v>
      </c>
      <c r="R1337">
        <v>643006</v>
      </c>
    </row>
    <row r="1338" spans="1:18" x14ac:dyDescent="0.25">
      <c r="A1338" s="170">
        <v>43980</v>
      </c>
      <c r="B1338" s="116">
        <v>172.2</v>
      </c>
      <c r="C1338" s="116">
        <v>171.3</v>
      </c>
      <c r="D1338" s="116">
        <v>166.75</v>
      </c>
      <c r="E1338" s="116">
        <v>169.1</v>
      </c>
      <c r="F1338" s="116">
        <v>171.3</v>
      </c>
      <c r="G1338">
        <v>71082</v>
      </c>
      <c r="H1338" s="116"/>
      <c r="I1338" s="116"/>
      <c r="L1338" s="170">
        <v>43983</v>
      </c>
      <c r="M1338" s="116">
        <v>173.05</v>
      </c>
      <c r="N1338" s="116">
        <v>177.8</v>
      </c>
      <c r="O1338" s="116">
        <v>171</v>
      </c>
      <c r="P1338" s="116">
        <v>173.5</v>
      </c>
      <c r="Q1338" s="116">
        <v>173.05</v>
      </c>
      <c r="R1338">
        <v>2605929</v>
      </c>
    </row>
    <row r="1339" spans="1:18" x14ac:dyDescent="0.25">
      <c r="A1339" s="170">
        <v>43983</v>
      </c>
      <c r="B1339" s="116">
        <v>177.9</v>
      </c>
      <c r="C1339" s="116">
        <v>172.9</v>
      </c>
      <c r="D1339" s="116">
        <v>172</v>
      </c>
      <c r="E1339" s="116">
        <v>173.4</v>
      </c>
      <c r="F1339" s="116">
        <v>172.9</v>
      </c>
      <c r="G1339">
        <v>125660</v>
      </c>
      <c r="H1339" s="116"/>
      <c r="I1339" s="116"/>
      <c r="L1339" s="170">
        <v>43984</v>
      </c>
      <c r="M1339" s="116">
        <v>172.85</v>
      </c>
      <c r="N1339" s="116">
        <v>176</v>
      </c>
      <c r="O1339" s="116">
        <v>171</v>
      </c>
      <c r="P1339" s="116">
        <v>176</v>
      </c>
      <c r="Q1339" s="116">
        <v>172.85</v>
      </c>
      <c r="R1339">
        <v>667832</v>
      </c>
    </row>
    <row r="1340" spans="1:18" x14ac:dyDescent="0.25">
      <c r="A1340" s="170">
        <v>43984</v>
      </c>
      <c r="B1340" s="116">
        <v>175.5</v>
      </c>
      <c r="C1340" s="116">
        <v>172.85</v>
      </c>
      <c r="D1340" s="116">
        <v>171.7</v>
      </c>
      <c r="E1340" s="116">
        <v>175</v>
      </c>
      <c r="F1340" s="116">
        <v>172.85</v>
      </c>
      <c r="G1340">
        <v>41315</v>
      </c>
      <c r="H1340" s="116"/>
      <c r="I1340" s="116"/>
      <c r="L1340" s="170">
        <v>43985</v>
      </c>
      <c r="M1340" s="116">
        <v>172.8</v>
      </c>
      <c r="N1340" s="116">
        <v>174.9</v>
      </c>
      <c r="O1340" s="116">
        <v>171.25</v>
      </c>
      <c r="P1340" s="116">
        <v>173.8</v>
      </c>
      <c r="Q1340" s="116">
        <v>172.8</v>
      </c>
      <c r="R1340">
        <v>844549</v>
      </c>
    </row>
    <row r="1341" spans="1:18" x14ac:dyDescent="0.25">
      <c r="A1341" s="170">
        <v>43985</v>
      </c>
      <c r="B1341" s="116">
        <v>174.7</v>
      </c>
      <c r="C1341" s="116">
        <v>172.8</v>
      </c>
      <c r="D1341" s="116">
        <v>172</v>
      </c>
      <c r="E1341" s="116">
        <v>173.5</v>
      </c>
      <c r="F1341" s="116">
        <v>172.8</v>
      </c>
      <c r="G1341">
        <v>44780</v>
      </c>
      <c r="H1341" s="116"/>
      <c r="I1341" s="116"/>
      <c r="L1341" s="170">
        <v>43986</v>
      </c>
      <c r="M1341" s="116">
        <v>171.4</v>
      </c>
      <c r="N1341" s="116">
        <v>172.95</v>
      </c>
      <c r="O1341" s="116">
        <v>170</v>
      </c>
      <c r="P1341" s="116">
        <v>172</v>
      </c>
      <c r="Q1341" s="116">
        <v>171.4</v>
      </c>
      <c r="R1341">
        <v>313234</v>
      </c>
    </row>
    <row r="1342" spans="1:18" x14ac:dyDescent="0.25">
      <c r="A1342" s="170">
        <v>43986</v>
      </c>
      <c r="B1342" s="116">
        <v>174</v>
      </c>
      <c r="C1342" s="116">
        <v>171.35</v>
      </c>
      <c r="D1342" s="116">
        <v>170.5</v>
      </c>
      <c r="E1342" s="116">
        <v>174</v>
      </c>
      <c r="F1342" s="116">
        <v>171.35</v>
      </c>
      <c r="G1342">
        <v>61518</v>
      </c>
      <c r="H1342" s="116"/>
      <c r="I1342" s="116"/>
      <c r="L1342" s="170">
        <v>43987</v>
      </c>
      <c r="M1342" s="116">
        <v>173</v>
      </c>
      <c r="N1342" s="116">
        <v>174.35</v>
      </c>
      <c r="O1342" s="116">
        <v>171.6</v>
      </c>
      <c r="P1342" s="116">
        <v>172.5</v>
      </c>
      <c r="Q1342" s="116">
        <v>173</v>
      </c>
      <c r="R1342">
        <v>1082754</v>
      </c>
    </row>
    <row r="1343" spans="1:18" x14ac:dyDescent="0.25">
      <c r="A1343" s="170">
        <v>43987</v>
      </c>
      <c r="B1343" s="116">
        <v>174.4</v>
      </c>
      <c r="C1343" s="116">
        <v>172.95</v>
      </c>
      <c r="D1343" s="116">
        <v>172</v>
      </c>
      <c r="E1343" s="116">
        <v>172.7</v>
      </c>
      <c r="F1343" s="116">
        <v>172.95</v>
      </c>
      <c r="G1343">
        <v>52968</v>
      </c>
      <c r="H1343" s="116"/>
      <c r="I1343" s="116"/>
      <c r="L1343" s="170">
        <v>43990</v>
      </c>
      <c r="M1343" s="116">
        <v>172.9</v>
      </c>
      <c r="N1343" s="116">
        <v>176.25</v>
      </c>
      <c r="O1343" s="116">
        <v>172</v>
      </c>
      <c r="P1343" s="116">
        <v>175</v>
      </c>
      <c r="Q1343" s="116">
        <v>172.9</v>
      </c>
      <c r="R1343">
        <v>944983</v>
      </c>
    </row>
    <row r="1344" spans="1:18" x14ac:dyDescent="0.25">
      <c r="A1344" s="170">
        <v>43990</v>
      </c>
      <c r="B1344" s="116">
        <v>175.95</v>
      </c>
      <c r="C1344" s="116">
        <v>172.75</v>
      </c>
      <c r="D1344" s="116">
        <v>172.05</v>
      </c>
      <c r="E1344" s="116">
        <v>174</v>
      </c>
      <c r="F1344" s="116">
        <v>172.75</v>
      </c>
      <c r="G1344">
        <v>53797</v>
      </c>
      <c r="H1344" s="116"/>
      <c r="I1344" s="116"/>
      <c r="L1344" s="170">
        <v>43991</v>
      </c>
      <c r="M1344" s="116">
        <v>173.7</v>
      </c>
      <c r="N1344" s="116">
        <v>174.95</v>
      </c>
      <c r="O1344" s="116">
        <v>171.8</v>
      </c>
      <c r="P1344" s="116">
        <v>173.3</v>
      </c>
      <c r="Q1344" s="116">
        <v>173.7</v>
      </c>
      <c r="R1344">
        <v>856763</v>
      </c>
    </row>
    <row r="1345" spans="1:18" x14ac:dyDescent="0.25">
      <c r="A1345" s="170">
        <v>43991</v>
      </c>
      <c r="B1345" s="116">
        <v>174.8</v>
      </c>
      <c r="C1345" s="116">
        <v>173.45</v>
      </c>
      <c r="D1345" s="116">
        <v>171.85</v>
      </c>
      <c r="E1345" s="116">
        <v>173.65</v>
      </c>
      <c r="F1345" s="116">
        <v>173.45</v>
      </c>
      <c r="G1345">
        <v>21802</v>
      </c>
      <c r="H1345" s="116"/>
      <c r="I1345" s="116"/>
      <c r="L1345" s="170">
        <v>43992</v>
      </c>
      <c r="M1345" s="116">
        <v>172.05</v>
      </c>
      <c r="N1345" s="116">
        <v>174.4</v>
      </c>
      <c r="O1345" s="116">
        <v>171.55</v>
      </c>
      <c r="P1345" s="116">
        <v>174.05</v>
      </c>
      <c r="Q1345" s="116">
        <v>172.05</v>
      </c>
      <c r="R1345">
        <v>604881</v>
      </c>
    </row>
    <row r="1346" spans="1:18" x14ac:dyDescent="0.25">
      <c r="A1346" s="170">
        <v>43992</v>
      </c>
      <c r="B1346" s="116">
        <v>174.5</v>
      </c>
      <c r="C1346" s="116">
        <v>172.1</v>
      </c>
      <c r="D1346" s="116">
        <v>171.7</v>
      </c>
      <c r="E1346" s="116">
        <v>174</v>
      </c>
      <c r="F1346" s="116">
        <v>172.1</v>
      </c>
      <c r="G1346">
        <v>26748</v>
      </c>
      <c r="H1346" s="116"/>
      <c r="I1346" s="116"/>
      <c r="L1346" s="170">
        <v>43993</v>
      </c>
      <c r="M1346" s="116">
        <v>172.65</v>
      </c>
      <c r="N1346" s="116">
        <v>174.6</v>
      </c>
      <c r="O1346" s="116">
        <v>170.25</v>
      </c>
      <c r="P1346" s="116">
        <v>172</v>
      </c>
      <c r="Q1346" s="116">
        <v>172.65</v>
      </c>
      <c r="R1346">
        <v>581301</v>
      </c>
    </row>
    <row r="1347" spans="1:18" x14ac:dyDescent="0.25">
      <c r="A1347" s="170">
        <v>43993</v>
      </c>
      <c r="B1347" s="116">
        <v>174.5</v>
      </c>
      <c r="C1347" s="116">
        <v>172.5</v>
      </c>
      <c r="D1347" s="116">
        <v>170.95</v>
      </c>
      <c r="E1347" s="116">
        <v>172.4</v>
      </c>
      <c r="F1347" s="116">
        <v>172.5</v>
      </c>
      <c r="G1347">
        <v>23422</v>
      </c>
      <c r="H1347" s="116"/>
      <c r="I1347" s="116"/>
      <c r="L1347" s="170">
        <v>43994</v>
      </c>
      <c r="M1347" s="116">
        <v>174.65</v>
      </c>
      <c r="N1347" s="116">
        <v>176</v>
      </c>
      <c r="O1347" s="116">
        <v>166.85</v>
      </c>
      <c r="P1347" s="116">
        <v>168</v>
      </c>
      <c r="Q1347" s="116">
        <v>174.65</v>
      </c>
      <c r="R1347">
        <v>1200463</v>
      </c>
    </row>
    <row r="1348" spans="1:18" x14ac:dyDescent="0.25">
      <c r="A1348" s="170">
        <v>43994</v>
      </c>
      <c r="B1348" s="116">
        <v>176</v>
      </c>
      <c r="C1348" s="116">
        <v>174.65</v>
      </c>
      <c r="D1348" s="116">
        <v>166.95</v>
      </c>
      <c r="E1348" s="116">
        <v>170</v>
      </c>
      <c r="F1348" s="116">
        <v>174.65</v>
      </c>
      <c r="G1348">
        <v>341343</v>
      </c>
      <c r="H1348" s="116"/>
      <c r="I1348" s="116"/>
      <c r="L1348" s="170">
        <v>43997</v>
      </c>
      <c r="M1348" s="116">
        <v>174.65</v>
      </c>
      <c r="N1348" s="116">
        <v>175.6</v>
      </c>
      <c r="O1348" s="116">
        <v>171.45</v>
      </c>
      <c r="P1348" s="116">
        <v>174.65</v>
      </c>
      <c r="Q1348" s="116">
        <v>174.65</v>
      </c>
      <c r="R1348">
        <v>969548</v>
      </c>
    </row>
    <row r="1349" spans="1:18" x14ac:dyDescent="0.25">
      <c r="A1349" s="170">
        <v>43997</v>
      </c>
      <c r="B1349" s="116">
        <v>176.7</v>
      </c>
      <c r="C1349" s="116">
        <v>172.95</v>
      </c>
      <c r="D1349" s="116">
        <v>171.5</v>
      </c>
      <c r="E1349" s="116">
        <v>176.7</v>
      </c>
      <c r="F1349" s="116">
        <v>172.95</v>
      </c>
      <c r="G1349">
        <v>58601</v>
      </c>
      <c r="H1349" s="116"/>
      <c r="I1349" s="116"/>
      <c r="L1349" s="170">
        <v>43998</v>
      </c>
      <c r="M1349" s="116">
        <v>176.1</v>
      </c>
      <c r="N1349" s="116">
        <v>177.3</v>
      </c>
      <c r="O1349" s="116">
        <v>172.85</v>
      </c>
      <c r="P1349" s="116">
        <v>177.2</v>
      </c>
      <c r="Q1349" s="116">
        <v>176.1</v>
      </c>
      <c r="R1349">
        <v>1377138</v>
      </c>
    </row>
    <row r="1350" spans="1:18" x14ac:dyDescent="0.25">
      <c r="A1350" s="170">
        <v>43998</v>
      </c>
      <c r="B1350" s="116">
        <v>177.15</v>
      </c>
      <c r="C1350" s="116">
        <v>176.5</v>
      </c>
      <c r="D1350" s="116">
        <v>172.9</v>
      </c>
      <c r="E1350" s="116">
        <v>174.4</v>
      </c>
      <c r="F1350" s="116">
        <v>176.5</v>
      </c>
      <c r="G1350">
        <v>34256</v>
      </c>
      <c r="H1350" s="116"/>
      <c r="I1350" s="116"/>
      <c r="L1350" s="170">
        <v>43999</v>
      </c>
      <c r="M1350" s="116">
        <v>174.2</v>
      </c>
      <c r="N1350" s="116">
        <v>176.85</v>
      </c>
      <c r="O1350" s="116">
        <v>172.65</v>
      </c>
      <c r="P1350" s="116">
        <v>175.25</v>
      </c>
      <c r="Q1350" s="116">
        <v>174.2</v>
      </c>
      <c r="R1350">
        <v>454777</v>
      </c>
    </row>
    <row r="1351" spans="1:18" x14ac:dyDescent="0.25">
      <c r="A1351" s="170">
        <v>43999</v>
      </c>
      <c r="B1351" s="116">
        <v>176.7</v>
      </c>
      <c r="C1351" s="116">
        <v>174.1</v>
      </c>
      <c r="D1351" s="116">
        <v>172.3</v>
      </c>
      <c r="E1351" s="116">
        <v>172.3</v>
      </c>
      <c r="F1351" s="116">
        <v>174.1</v>
      </c>
      <c r="G1351">
        <v>27736</v>
      </c>
      <c r="H1351" s="116"/>
      <c r="I1351" s="116"/>
      <c r="L1351" s="170">
        <v>44000</v>
      </c>
      <c r="M1351" s="116">
        <v>178.45</v>
      </c>
      <c r="N1351" s="116">
        <v>184.6</v>
      </c>
      <c r="O1351" s="116">
        <v>173</v>
      </c>
      <c r="P1351" s="116">
        <v>173.2</v>
      </c>
      <c r="Q1351" s="116">
        <v>178.45</v>
      </c>
      <c r="R1351">
        <v>1361183</v>
      </c>
    </row>
    <row r="1352" spans="1:18" x14ac:dyDescent="0.25">
      <c r="A1352" s="170">
        <v>44000</v>
      </c>
      <c r="B1352" s="116">
        <v>184.5</v>
      </c>
      <c r="C1352" s="116">
        <v>178.35</v>
      </c>
      <c r="D1352" s="116">
        <v>174.05</v>
      </c>
      <c r="E1352" s="116">
        <v>174.1</v>
      </c>
      <c r="F1352" s="116">
        <v>178.35</v>
      </c>
      <c r="G1352">
        <v>63826</v>
      </c>
      <c r="H1352" s="116"/>
      <c r="I1352" s="116"/>
      <c r="L1352" s="170">
        <v>44001</v>
      </c>
      <c r="M1352" s="116">
        <v>178.05</v>
      </c>
      <c r="N1352" s="116">
        <v>182</v>
      </c>
      <c r="O1352" s="116">
        <v>176.6</v>
      </c>
      <c r="P1352" s="116">
        <v>182</v>
      </c>
      <c r="Q1352" s="116">
        <v>178.05</v>
      </c>
      <c r="R1352">
        <v>940992</v>
      </c>
    </row>
    <row r="1353" spans="1:18" x14ac:dyDescent="0.25">
      <c r="A1353" s="170">
        <v>44001</v>
      </c>
      <c r="B1353" s="116">
        <v>182.55</v>
      </c>
      <c r="C1353" s="116">
        <v>177.95</v>
      </c>
      <c r="D1353" s="116">
        <v>176.65</v>
      </c>
      <c r="E1353" s="116">
        <v>182.55</v>
      </c>
      <c r="F1353" s="116">
        <v>177.95</v>
      </c>
      <c r="G1353">
        <v>36333</v>
      </c>
      <c r="H1353" s="116"/>
      <c r="I1353" s="116"/>
      <c r="L1353" s="170">
        <v>44004</v>
      </c>
      <c r="M1353" s="116">
        <v>187.85</v>
      </c>
      <c r="N1353" s="116">
        <v>190.9</v>
      </c>
      <c r="O1353" s="116">
        <v>179.2</v>
      </c>
      <c r="P1353" s="116">
        <v>179.2</v>
      </c>
      <c r="Q1353" s="116">
        <v>187.85</v>
      </c>
      <c r="R1353">
        <v>1671227</v>
      </c>
    </row>
    <row r="1354" spans="1:18" x14ac:dyDescent="0.25">
      <c r="A1354" s="170">
        <v>44004</v>
      </c>
      <c r="B1354" s="116">
        <v>191</v>
      </c>
      <c r="C1354" s="116">
        <v>188.15</v>
      </c>
      <c r="D1354" s="116">
        <v>179.85</v>
      </c>
      <c r="E1354" s="116">
        <v>180</v>
      </c>
      <c r="F1354" s="116">
        <v>188.15</v>
      </c>
      <c r="G1354">
        <v>128133</v>
      </c>
      <c r="H1354" s="116"/>
      <c r="I1354" s="116"/>
      <c r="L1354" s="170">
        <v>44005</v>
      </c>
      <c r="M1354" s="116">
        <v>187.95</v>
      </c>
      <c r="N1354" s="116">
        <v>195.05</v>
      </c>
      <c r="O1354" s="116">
        <v>186.2</v>
      </c>
      <c r="P1354" s="116">
        <v>190</v>
      </c>
      <c r="Q1354" s="116">
        <v>187.95</v>
      </c>
      <c r="R1354">
        <v>1496547</v>
      </c>
    </row>
    <row r="1355" spans="1:18" x14ac:dyDescent="0.25">
      <c r="A1355" s="170">
        <v>44005</v>
      </c>
      <c r="B1355" s="116">
        <v>194.95</v>
      </c>
      <c r="C1355" s="116">
        <v>188.05</v>
      </c>
      <c r="D1355" s="116">
        <v>186.45</v>
      </c>
      <c r="E1355" s="116">
        <v>189</v>
      </c>
      <c r="F1355" s="116">
        <v>188.05</v>
      </c>
      <c r="G1355">
        <v>158745</v>
      </c>
      <c r="H1355" s="116"/>
      <c r="I1355" s="116"/>
      <c r="L1355" s="170">
        <v>44006</v>
      </c>
      <c r="M1355" s="116">
        <v>186.95</v>
      </c>
      <c r="N1355" s="116">
        <v>194.7</v>
      </c>
      <c r="O1355" s="116">
        <v>185.4</v>
      </c>
      <c r="P1355" s="116">
        <v>189.2</v>
      </c>
      <c r="Q1355" s="116">
        <v>186.95</v>
      </c>
      <c r="R1355">
        <v>2192514</v>
      </c>
    </row>
    <row r="1356" spans="1:18" x14ac:dyDescent="0.25">
      <c r="A1356" s="170">
        <v>44006</v>
      </c>
      <c r="B1356" s="116">
        <v>194.6</v>
      </c>
      <c r="C1356" s="116">
        <v>187.05</v>
      </c>
      <c r="D1356" s="116">
        <v>185.5</v>
      </c>
      <c r="E1356" s="116">
        <v>186.35</v>
      </c>
      <c r="F1356" s="116">
        <v>187.05</v>
      </c>
      <c r="G1356">
        <v>322625</v>
      </c>
      <c r="H1356" s="116"/>
      <c r="I1356" s="116"/>
      <c r="L1356" s="170">
        <v>44007</v>
      </c>
      <c r="M1356" s="116">
        <v>189.65</v>
      </c>
      <c r="N1356" s="116">
        <v>193.9</v>
      </c>
      <c r="O1356" s="116">
        <v>184.05</v>
      </c>
      <c r="P1356" s="116">
        <v>186.8</v>
      </c>
      <c r="Q1356" s="116">
        <v>189.65</v>
      </c>
      <c r="R1356">
        <v>3984328</v>
      </c>
    </row>
    <row r="1357" spans="1:18" x14ac:dyDescent="0.25">
      <c r="A1357" s="170">
        <v>44007</v>
      </c>
      <c r="B1357" s="116">
        <v>194</v>
      </c>
      <c r="C1357" s="116">
        <v>189.85</v>
      </c>
      <c r="D1357" s="116">
        <v>182</v>
      </c>
      <c r="E1357" s="116">
        <v>182</v>
      </c>
      <c r="F1357" s="116">
        <v>189.85</v>
      </c>
      <c r="G1357">
        <v>246883</v>
      </c>
      <c r="H1357" s="116"/>
      <c r="I1357" s="116"/>
      <c r="L1357" s="170">
        <v>44008</v>
      </c>
      <c r="M1357" s="116">
        <v>198.95</v>
      </c>
      <c r="N1357" s="116">
        <v>204.75</v>
      </c>
      <c r="O1357" s="116">
        <v>191</v>
      </c>
      <c r="P1357" s="116">
        <v>191</v>
      </c>
      <c r="Q1357" s="116">
        <v>198.95</v>
      </c>
      <c r="R1357">
        <v>4242947</v>
      </c>
    </row>
    <row r="1358" spans="1:18" x14ac:dyDescent="0.25">
      <c r="A1358" s="170">
        <v>44008</v>
      </c>
      <c r="B1358" s="116">
        <v>204.75</v>
      </c>
      <c r="C1358" s="116">
        <v>198.9</v>
      </c>
      <c r="D1358" s="116">
        <v>191</v>
      </c>
      <c r="E1358" s="116">
        <v>191</v>
      </c>
      <c r="F1358" s="116">
        <v>198.9</v>
      </c>
      <c r="G1358">
        <v>431870</v>
      </c>
      <c r="H1358" s="116"/>
      <c r="I1358" s="116"/>
      <c r="L1358" s="170">
        <v>44011</v>
      </c>
      <c r="M1358" s="116">
        <v>193.65</v>
      </c>
      <c r="N1358" s="116">
        <v>199</v>
      </c>
      <c r="O1358" s="116">
        <v>192.8</v>
      </c>
      <c r="P1358" s="116">
        <v>198.5</v>
      </c>
      <c r="Q1358" s="116">
        <v>193.65</v>
      </c>
      <c r="R1358">
        <v>1007097</v>
      </c>
    </row>
    <row r="1359" spans="1:18" x14ac:dyDescent="0.25">
      <c r="A1359" s="170">
        <v>44011</v>
      </c>
      <c r="B1359" s="116">
        <v>200.8</v>
      </c>
      <c r="C1359" s="116">
        <v>193.7</v>
      </c>
      <c r="D1359" s="116">
        <v>192.8</v>
      </c>
      <c r="E1359" s="116">
        <v>200.8</v>
      </c>
      <c r="F1359" s="116">
        <v>193.7</v>
      </c>
      <c r="G1359">
        <v>86316</v>
      </c>
      <c r="H1359" s="116"/>
      <c r="I1359" s="116"/>
      <c r="L1359" s="170">
        <v>44012</v>
      </c>
      <c r="M1359" s="116">
        <v>195.95</v>
      </c>
      <c r="N1359" s="116">
        <v>201.35</v>
      </c>
      <c r="O1359" s="116">
        <v>192.6</v>
      </c>
      <c r="P1359" s="116">
        <v>194.9</v>
      </c>
      <c r="Q1359" s="116">
        <v>195.95</v>
      </c>
      <c r="R1359">
        <v>1165072</v>
      </c>
    </row>
    <row r="1360" spans="1:18" x14ac:dyDescent="0.25">
      <c r="A1360" s="170">
        <v>44012</v>
      </c>
      <c r="B1360" s="116">
        <v>201.25</v>
      </c>
      <c r="C1360" s="116">
        <v>195.95</v>
      </c>
      <c r="D1360" s="116">
        <v>192.65</v>
      </c>
      <c r="E1360" s="116">
        <v>194.9</v>
      </c>
      <c r="F1360" s="116">
        <v>195.95</v>
      </c>
      <c r="G1360">
        <v>363948</v>
      </c>
      <c r="H1360" s="116"/>
      <c r="I1360" s="116"/>
      <c r="L1360" s="170">
        <v>44013</v>
      </c>
      <c r="M1360" s="116">
        <v>198.25</v>
      </c>
      <c r="N1360" s="116">
        <v>199.35</v>
      </c>
      <c r="O1360" s="116">
        <v>193.6</v>
      </c>
      <c r="P1360" s="116">
        <v>196.4</v>
      </c>
      <c r="Q1360" s="116">
        <v>198.25</v>
      </c>
      <c r="R1360">
        <v>654893</v>
      </c>
    </row>
    <row r="1361" spans="1:18" x14ac:dyDescent="0.25">
      <c r="A1361" s="170">
        <v>44013</v>
      </c>
      <c r="B1361" s="116">
        <v>199.35</v>
      </c>
      <c r="C1361" s="116">
        <v>198.3</v>
      </c>
      <c r="D1361" s="116">
        <v>193.7</v>
      </c>
      <c r="E1361" s="116">
        <v>195.05</v>
      </c>
      <c r="F1361" s="116">
        <v>198.3</v>
      </c>
      <c r="G1361">
        <v>337028</v>
      </c>
      <c r="H1361" s="116"/>
      <c r="I1361" s="116"/>
      <c r="L1361" s="170">
        <v>44014</v>
      </c>
      <c r="M1361" s="116">
        <v>196.45</v>
      </c>
      <c r="N1361" s="116">
        <v>200.75</v>
      </c>
      <c r="O1361" s="116">
        <v>195.45</v>
      </c>
      <c r="P1361" s="116">
        <v>198.6</v>
      </c>
      <c r="Q1361" s="116">
        <v>196.45</v>
      </c>
      <c r="R1361">
        <v>723566</v>
      </c>
    </row>
    <row r="1362" spans="1:18" x14ac:dyDescent="0.25">
      <c r="A1362" s="170">
        <v>44014</v>
      </c>
      <c r="B1362" s="116">
        <v>200.55</v>
      </c>
      <c r="C1362" s="116">
        <v>196.35</v>
      </c>
      <c r="D1362" s="116">
        <v>195.65</v>
      </c>
      <c r="E1362" s="116">
        <v>199.9</v>
      </c>
      <c r="F1362" s="116">
        <v>196.35</v>
      </c>
      <c r="G1362">
        <v>196274</v>
      </c>
      <c r="H1362" s="116"/>
      <c r="I1362" s="116"/>
      <c r="L1362" s="170">
        <v>44015</v>
      </c>
      <c r="M1362" s="116">
        <v>195.15</v>
      </c>
      <c r="N1362" s="116">
        <v>197.5</v>
      </c>
      <c r="O1362" s="116">
        <v>195</v>
      </c>
      <c r="P1362" s="116">
        <v>196.8</v>
      </c>
      <c r="Q1362" s="116">
        <v>195.15</v>
      </c>
      <c r="R1362">
        <v>366876</v>
      </c>
    </row>
    <row r="1363" spans="1:18" x14ac:dyDescent="0.25">
      <c r="A1363" s="170">
        <v>44015</v>
      </c>
      <c r="B1363" s="116">
        <v>197.5</v>
      </c>
      <c r="C1363" s="116">
        <v>195.15</v>
      </c>
      <c r="D1363" s="116">
        <v>194.85</v>
      </c>
      <c r="E1363" s="116">
        <v>197</v>
      </c>
      <c r="F1363" s="116">
        <v>195.15</v>
      </c>
      <c r="G1363">
        <v>32767</v>
      </c>
      <c r="H1363" s="116"/>
      <c r="I1363" s="116"/>
      <c r="L1363" s="170">
        <v>44018</v>
      </c>
      <c r="M1363" s="116">
        <v>194.3</v>
      </c>
      <c r="N1363" s="116">
        <v>197.5</v>
      </c>
      <c r="O1363" s="116">
        <v>193.8</v>
      </c>
      <c r="P1363" s="116">
        <v>196.05</v>
      </c>
      <c r="Q1363" s="116">
        <v>194.3</v>
      </c>
      <c r="R1363">
        <v>608397</v>
      </c>
    </row>
    <row r="1364" spans="1:18" x14ac:dyDescent="0.25">
      <c r="A1364" s="170">
        <v>44018</v>
      </c>
      <c r="B1364" s="116">
        <v>197.55</v>
      </c>
      <c r="C1364" s="116">
        <v>194.35</v>
      </c>
      <c r="D1364" s="116">
        <v>193.8</v>
      </c>
      <c r="E1364" s="116">
        <v>196.15</v>
      </c>
      <c r="F1364" s="116">
        <v>194.35</v>
      </c>
      <c r="G1364">
        <v>146110</v>
      </c>
      <c r="H1364" s="116"/>
      <c r="I1364" s="116"/>
      <c r="L1364" s="170">
        <v>44019</v>
      </c>
      <c r="M1364" s="116">
        <v>196.4</v>
      </c>
      <c r="N1364" s="116">
        <v>197.8</v>
      </c>
      <c r="O1364" s="116">
        <v>194</v>
      </c>
      <c r="P1364" s="116">
        <v>194</v>
      </c>
      <c r="Q1364" s="116">
        <v>196.4</v>
      </c>
      <c r="R1364">
        <v>695508</v>
      </c>
    </row>
    <row r="1365" spans="1:18" x14ac:dyDescent="0.25">
      <c r="A1365" s="170">
        <v>44019</v>
      </c>
      <c r="B1365" s="116">
        <v>197.75</v>
      </c>
      <c r="C1365" s="116">
        <v>196.25</v>
      </c>
      <c r="D1365" s="116">
        <v>194.1</v>
      </c>
      <c r="E1365" s="116">
        <v>194.4</v>
      </c>
      <c r="F1365" s="116">
        <v>196.25</v>
      </c>
      <c r="G1365">
        <v>82260</v>
      </c>
      <c r="H1365" s="116"/>
      <c r="I1365" s="116"/>
      <c r="L1365" s="170">
        <v>44020</v>
      </c>
      <c r="M1365" s="116">
        <v>190.85</v>
      </c>
      <c r="N1365" s="116">
        <v>198</v>
      </c>
      <c r="O1365" s="116">
        <v>190</v>
      </c>
      <c r="P1365" s="116">
        <v>198</v>
      </c>
      <c r="Q1365" s="116">
        <v>190.85</v>
      </c>
      <c r="R1365">
        <v>1795852</v>
      </c>
    </row>
    <row r="1366" spans="1:18" x14ac:dyDescent="0.25">
      <c r="A1366" s="170">
        <v>44020</v>
      </c>
      <c r="B1366" s="116">
        <v>199</v>
      </c>
      <c r="C1366" s="116">
        <v>190.85</v>
      </c>
      <c r="D1366" s="116">
        <v>190</v>
      </c>
      <c r="E1366" s="116">
        <v>197.5</v>
      </c>
      <c r="F1366" s="116">
        <v>190.85</v>
      </c>
      <c r="G1366">
        <v>131623</v>
      </c>
      <c r="H1366" s="116"/>
      <c r="I1366" s="116"/>
      <c r="L1366" s="170">
        <v>44021</v>
      </c>
      <c r="M1366" s="116">
        <v>192.7</v>
      </c>
      <c r="N1366" s="116">
        <v>195.5</v>
      </c>
      <c r="O1366" s="116">
        <v>192</v>
      </c>
      <c r="P1366" s="116">
        <v>193</v>
      </c>
      <c r="Q1366" s="116">
        <v>192.7</v>
      </c>
      <c r="R1366">
        <v>1237464</v>
      </c>
    </row>
    <row r="1367" spans="1:18" x14ac:dyDescent="0.25">
      <c r="A1367" s="170">
        <v>44021</v>
      </c>
      <c r="B1367" s="116">
        <v>195.5</v>
      </c>
      <c r="C1367" s="116">
        <v>192.7</v>
      </c>
      <c r="D1367" s="116">
        <v>192.3</v>
      </c>
      <c r="E1367" s="116">
        <v>194.8</v>
      </c>
      <c r="F1367" s="116">
        <v>192.7</v>
      </c>
      <c r="G1367">
        <v>47412</v>
      </c>
      <c r="H1367" s="116"/>
      <c r="I1367" s="116"/>
      <c r="L1367" s="170">
        <v>44022</v>
      </c>
      <c r="M1367" s="116">
        <v>189.2</v>
      </c>
      <c r="N1367" s="116">
        <v>193.5</v>
      </c>
      <c r="O1367" s="116">
        <v>188.85</v>
      </c>
      <c r="P1367" s="116">
        <v>192.5</v>
      </c>
      <c r="Q1367" s="116">
        <v>189.2</v>
      </c>
      <c r="R1367">
        <v>703080</v>
      </c>
    </row>
    <row r="1368" spans="1:18" x14ac:dyDescent="0.25">
      <c r="A1368" s="170">
        <v>44022</v>
      </c>
      <c r="B1368" s="116">
        <v>193.15</v>
      </c>
      <c r="C1368" s="116">
        <v>189.35</v>
      </c>
      <c r="D1368" s="116">
        <v>189</v>
      </c>
      <c r="E1368" s="116">
        <v>193</v>
      </c>
      <c r="F1368" s="116">
        <v>189.35</v>
      </c>
      <c r="G1368">
        <v>32327</v>
      </c>
      <c r="H1368" s="116"/>
      <c r="I1368" s="116"/>
      <c r="L1368" s="170">
        <v>44025</v>
      </c>
      <c r="M1368" s="116">
        <v>195.05</v>
      </c>
      <c r="N1368" s="116">
        <v>196.4</v>
      </c>
      <c r="O1368" s="116">
        <v>190.1</v>
      </c>
      <c r="P1368" s="116">
        <v>190.8</v>
      </c>
      <c r="Q1368" s="116">
        <v>195.05</v>
      </c>
      <c r="R1368">
        <v>2187263</v>
      </c>
    </row>
    <row r="1369" spans="1:18" x14ac:dyDescent="0.25">
      <c r="A1369" s="170">
        <v>44025</v>
      </c>
      <c r="B1369" s="116">
        <v>196.5</v>
      </c>
      <c r="C1369" s="116">
        <v>195.2</v>
      </c>
      <c r="D1369" s="116">
        <v>189.55</v>
      </c>
      <c r="E1369" s="116">
        <v>190</v>
      </c>
      <c r="F1369" s="116">
        <v>195.2</v>
      </c>
      <c r="G1369">
        <v>143123</v>
      </c>
      <c r="H1369" s="116"/>
      <c r="I1369" s="116"/>
      <c r="L1369" s="170">
        <v>44026</v>
      </c>
      <c r="M1369" s="116">
        <v>191.6</v>
      </c>
      <c r="N1369" s="116">
        <v>196.3</v>
      </c>
      <c r="O1369" s="116">
        <v>190.25</v>
      </c>
      <c r="P1369" s="116">
        <v>196.05</v>
      </c>
      <c r="Q1369" s="116">
        <v>191.6</v>
      </c>
      <c r="R1369">
        <v>713941</v>
      </c>
    </row>
    <row r="1370" spans="1:18" x14ac:dyDescent="0.25">
      <c r="A1370" s="170">
        <v>44026</v>
      </c>
      <c r="B1370" s="116">
        <v>196.2</v>
      </c>
      <c r="C1370" s="116">
        <v>191.4</v>
      </c>
      <c r="D1370" s="116">
        <v>190.2</v>
      </c>
      <c r="E1370" s="116">
        <v>196</v>
      </c>
      <c r="F1370" s="116">
        <v>191.4</v>
      </c>
      <c r="G1370">
        <v>55314</v>
      </c>
      <c r="H1370" s="116"/>
      <c r="I1370" s="116"/>
      <c r="L1370" s="170">
        <v>44027</v>
      </c>
      <c r="M1370" s="116">
        <v>187.2</v>
      </c>
      <c r="N1370" s="116">
        <v>194.35</v>
      </c>
      <c r="O1370" s="116">
        <v>186.1</v>
      </c>
      <c r="P1370" s="116">
        <v>190.5</v>
      </c>
      <c r="Q1370" s="116">
        <v>187.2</v>
      </c>
      <c r="R1370">
        <v>706841</v>
      </c>
    </row>
    <row r="1371" spans="1:18" x14ac:dyDescent="0.25">
      <c r="A1371" s="170">
        <v>44027</v>
      </c>
      <c r="B1371" s="116">
        <v>194.1</v>
      </c>
      <c r="C1371" s="116">
        <v>187.35</v>
      </c>
      <c r="D1371" s="116">
        <v>186.3</v>
      </c>
      <c r="E1371" s="116">
        <v>192.55</v>
      </c>
      <c r="F1371" s="116">
        <v>187.35</v>
      </c>
      <c r="G1371">
        <v>67772</v>
      </c>
      <c r="H1371" s="116"/>
      <c r="I1371" s="116"/>
      <c r="L1371" s="170">
        <v>44028</v>
      </c>
      <c r="M1371" s="116">
        <v>188.3</v>
      </c>
      <c r="N1371" s="116">
        <v>189.25</v>
      </c>
      <c r="O1371" s="116">
        <v>183.15</v>
      </c>
      <c r="P1371" s="116">
        <v>188.5</v>
      </c>
      <c r="Q1371" s="116">
        <v>188.3</v>
      </c>
      <c r="R1371">
        <v>559613</v>
      </c>
    </row>
    <row r="1372" spans="1:18" x14ac:dyDescent="0.25">
      <c r="A1372" s="170">
        <v>44028</v>
      </c>
      <c r="B1372" s="116">
        <v>189</v>
      </c>
      <c r="C1372" s="116">
        <v>188.25</v>
      </c>
      <c r="D1372" s="116">
        <v>183.2</v>
      </c>
      <c r="E1372" s="116">
        <v>188</v>
      </c>
      <c r="F1372" s="116">
        <v>188.25</v>
      </c>
      <c r="G1372">
        <v>32077</v>
      </c>
      <c r="H1372" s="116"/>
      <c r="I1372" s="116"/>
      <c r="L1372" s="170">
        <v>44029</v>
      </c>
      <c r="M1372" s="116">
        <v>187.95</v>
      </c>
      <c r="N1372" s="116">
        <v>191.7</v>
      </c>
      <c r="O1372" s="116">
        <v>187.5</v>
      </c>
      <c r="P1372" s="116">
        <v>189.25</v>
      </c>
      <c r="Q1372" s="116">
        <v>187.95</v>
      </c>
      <c r="R1372">
        <v>322433</v>
      </c>
    </row>
    <row r="1373" spans="1:18" x14ac:dyDescent="0.25">
      <c r="A1373" s="170">
        <v>44029</v>
      </c>
      <c r="B1373" s="116">
        <v>191.65</v>
      </c>
      <c r="C1373" s="116">
        <v>188</v>
      </c>
      <c r="D1373" s="116">
        <v>186.1</v>
      </c>
      <c r="E1373" s="116">
        <v>186.1</v>
      </c>
      <c r="F1373" s="116">
        <v>188</v>
      </c>
      <c r="G1373">
        <v>16105</v>
      </c>
      <c r="H1373" s="116"/>
      <c r="I1373" s="116"/>
      <c r="L1373" s="170">
        <v>44032</v>
      </c>
      <c r="M1373" s="116">
        <v>187.8</v>
      </c>
      <c r="N1373" s="116">
        <v>190.95</v>
      </c>
      <c r="O1373" s="116">
        <v>186.95</v>
      </c>
      <c r="P1373" s="116">
        <v>188.8</v>
      </c>
      <c r="Q1373" s="116">
        <v>187.8</v>
      </c>
      <c r="R1373">
        <v>385726</v>
      </c>
    </row>
    <row r="1374" spans="1:18" x14ac:dyDescent="0.25">
      <c r="A1374" s="170">
        <v>44032</v>
      </c>
      <c r="B1374" s="116">
        <v>190.4</v>
      </c>
      <c r="C1374" s="116">
        <v>187.8</v>
      </c>
      <c r="D1374" s="116">
        <v>187.2</v>
      </c>
      <c r="E1374" s="116">
        <v>188.25</v>
      </c>
      <c r="F1374" s="116">
        <v>187.8</v>
      </c>
      <c r="G1374">
        <v>29185</v>
      </c>
      <c r="H1374" s="116"/>
      <c r="I1374" s="116"/>
      <c r="L1374" s="170">
        <v>44033</v>
      </c>
      <c r="M1374" s="116">
        <v>182.8</v>
      </c>
      <c r="N1374" s="116">
        <v>189.3</v>
      </c>
      <c r="O1374" s="116">
        <v>182.25</v>
      </c>
      <c r="P1374" s="116">
        <v>189</v>
      </c>
      <c r="Q1374" s="116">
        <v>182.8</v>
      </c>
      <c r="R1374">
        <v>1324742</v>
      </c>
    </row>
    <row r="1375" spans="1:18" x14ac:dyDescent="0.25">
      <c r="A1375" s="170">
        <v>44033</v>
      </c>
      <c r="B1375" s="116">
        <v>190.4</v>
      </c>
      <c r="C1375" s="116">
        <v>182.95</v>
      </c>
      <c r="D1375" s="116">
        <v>182.5</v>
      </c>
      <c r="E1375" s="116">
        <v>190.4</v>
      </c>
      <c r="F1375" s="116">
        <v>182.95</v>
      </c>
      <c r="G1375">
        <v>68488</v>
      </c>
      <c r="H1375" s="116"/>
      <c r="I1375" s="116"/>
      <c r="L1375" s="170">
        <v>44034</v>
      </c>
      <c r="M1375" s="116">
        <v>197.25</v>
      </c>
      <c r="N1375" s="116">
        <v>205.7</v>
      </c>
      <c r="O1375" s="116">
        <v>187.35</v>
      </c>
      <c r="P1375" s="116">
        <v>187.4</v>
      </c>
      <c r="Q1375" s="116">
        <v>197.25</v>
      </c>
      <c r="R1375">
        <v>9176036</v>
      </c>
    </row>
    <row r="1376" spans="1:18" x14ac:dyDescent="0.25">
      <c r="A1376" s="170">
        <v>44034</v>
      </c>
      <c r="B1376" s="116">
        <v>205.6</v>
      </c>
      <c r="C1376" s="116">
        <v>197.3</v>
      </c>
      <c r="D1376" s="116">
        <v>187</v>
      </c>
      <c r="E1376" s="116">
        <v>187.1</v>
      </c>
      <c r="F1376" s="116">
        <v>197.3</v>
      </c>
      <c r="G1376">
        <v>670411</v>
      </c>
      <c r="H1376" s="116"/>
      <c r="I1376" s="116"/>
      <c r="L1376" s="170">
        <v>44035</v>
      </c>
      <c r="M1376" s="116">
        <v>207.4</v>
      </c>
      <c r="N1376" s="116">
        <v>210.65</v>
      </c>
      <c r="O1376" s="116">
        <v>198.3</v>
      </c>
      <c r="P1376" s="116">
        <v>198.9</v>
      </c>
      <c r="Q1376" s="116">
        <v>207.4</v>
      </c>
      <c r="R1376">
        <v>5959543</v>
      </c>
    </row>
    <row r="1377" spans="1:18" x14ac:dyDescent="0.25">
      <c r="A1377" s="170">
        <v>44035</v>
      </c>
      <c r="B1377" s="116">
        <v>210.55</v>
      </c>
      <c r="C1377" s="116">
        <v>207.35</v>
      </c>
      <c r="D1377" s="116">
        <v>198.3</v>
      </c>
      <c r="E1377" s="116">
        <v>202</v>
      </c>
      <c r="F1377" s="116">
        <v>207.35</v>
      </c>
      <c r="G1377">
        <v>580187</v>
      </c>
      <c r="H1377" s="116"/>
      <c r="I1377" s="116"/>
      <c r="L1377" s="170">
        <v>44036</v>
      </c>
      <c r="M1377" s="116">
        <v>200.2</v>
      </c>
      <c r="N1377" s="116">
        <v>209.75</v>
      </c>
      <c r="O1377" s="116">
        <v>197</v>
      </c>
      <c r="P1377" s="116">
        <v>208.95</v>
      </c>
      <c r="Q1377" s="116">
        <v>200.2</v>
      </c>
      <c r="R1377">
        <v>3084150</v>
      </c>
    </row>
    <row r="1378" spans="1:18" x14ac:dyDescent="0.25">
      <c r="A1378" s="170">
        <v>44036</v>
      </c>
      <c r="B1378" s="116">
        <v>209.65</v>
      </c>
      <c r="C1378" s="116">
        <v>200.35</v>
      </c>
      <c r="D1378" s="116">
        <v>197.1</v>
      </c>
      <c r="E1378" s="116">
        <v>208.5</v>
      </c>
      <c r="F1378" s="116">
        <v>200.35</v>
      </c>
      <c r="G1378">
        <v>197953</v>
      </c>
      <c r="H1378" s="116"/>
      <c r="I1378" s="116"/>
      <c r="L1378" s="170">
        <v>44039</v>
      </c>
      <c r="M1378" s="116">
        <v>206.8</v>
      </c>
      <c r="N1378" s="116">
        <v>211.9</v>
      </c>
      <c r="O1378" s="116">
        <v>201.2</v>
      </c>
      <c r="P1378" s="116">
        <v>205</v>
      </c>
      <c r="Q1378" s="116">
        <v>206.8</v>
      </c>
      <c r="R1378">
        <v>3052922</v>
      </c>
    </row>
    <row r="1379" spans="1:18" x14ac:dyDescent="0.25">
      <c r="A1379" s="170">
        <v>44039</v>
      </c>
      <c r="B1379" s="116">
        <v>211.9</v>
      </c>
      <c r="C1379" s="116">
        <v>206.75</v>
      </c>
      <c r="D1379" s="116">
        <v>201.15</v>
      </c>
      <c r="E1379" s="116">
        <v>203</v>
      </c>
      <c r="F1379" s="116">
        <v>206.75</v>
      </c>
      <c r="G1379">
        <v>251152</v>
      </c>
      <c r="H1379" s="116"/>
      <c r="I1379" s="116"/>
      <c r="L1379" s="170">
        <v>44040</v>
      </c>
      <c r="M1379" s="116">
        <v>210.8</v>
      </c>
      <c r="N1379" s="116">
        <v>215.9</v>
      </c>
      <c r="O1379" s="116">
        <v>208.7</v>
      </c>
      <c r="P1379" s="116">
        <v>209.5</v>
      </c>
      <c r="Q1379" s="116">
        <v>210.8</v>
      </c>
      <c r="R1379">
        <v>3969330</v>
      </c>
    </row>
    <row r="1380" spans="1:18" x14ac:dyDescent="0.25">
      <c r="A1380" s="170">
        <v>44040</v>
      </c>
      <c r="B1380" s="116">
        <v>216</v>
      </c>
      <c r="C1380" s="116">
        <v>210.65</v>
      </c>
      <c r="D1380" s="116">
        <v>208</v>
      </c>
      <c r="E1380" s="116">
        <v>208</v>
      </c>
      <c r="F1380" s="116">
        <v>210.65</v>
      </c>
      <c r="G1380">
        <v>184565</v>
      </c>
      <c r="H1380" s="116"/>
      <c r="I1380" s="116"/>
      <c r="L1380" s="170">
        <v>44041</v>
      </c>
      <c r="M1380" s="116">
        <v>208.35</v>
      </c>
      <c r="N1380" s="116">
        <v>212.95</v>
      </c>
      <c r="O1380" s="116">
        <v>205</v>
      </c>
      <c r="P1380" s="116">
        <v>212.95</v>
      </c>
      <c r="Q1380" s="116">
        <v>208.35</v>
      </c>
      <c r="R1380">
        <v>1364626</v>
      </c>
    </row>
    <row r="1381" spans="1:18" x14ac:dyDescent="0.25">
      <c r="A1381" s="170">
        <v>44041</v>
      </c>
      <c r="B1381" s="116">
        <v>212.75</v>
      </c>
      <c r="C1381" s="116">
        <v>208.3</v>
      </c>
      <c r="D1381" s="116">
        <v>205.1</v>
      </c>
      <c r="E1381" s="116">
        <v>212.1</v>
      </c>
      <c r="F1381" s="116">
        <v>208.3</v>
      </c>
      <c r="G1381">
        <v>46892</v>
      </c>
      <c r="H1381" s="116"/>
      <c r="I1381" s="116"/>
      <c r="L1381" s="170">
        <v>44042</v>
      </c>
      <c r="M1381" s="116">
        <v>210</v>
      </c>
      <c r="N1381" s="116">
        <v>212.4</v>
      </c>
      <c r="O1381" s="116">
        <v>205.75</v>
      </c>
      <c r="P1381" s="116">
        <v>208.85</v>
      </c>
      <c r="Q1381" s="116">
        <v>210</v>
      </c>
      <c r="R1381">
        <v>1162139</v>
      </c>
    </row>
    <row r="1382" spans="1:18" x14ac:dyDescent="0.25">
      <c r="A1382" s="170">
        <v>44042</v>
      </c>
      <c r="B1382" s="116">
        <v>212.3</v>
      </c>
      <c r="C1382" s="116">
        <v>210.2</v>
      </c>
      <c r="D1382" s="116">
        <v>206</v>
      </c>
      <c r="E1382" s="116">
        <v>209.55</v>
      </c>
      <c r="F1382" s="116">
        <v>210.2</v>
      </c>
      <c r="G1382">
        <v>56861</v>
      </c>
      <c r="H1382" s="116"/>
      <c r="I1382" s="116"/>
      <c r="L1382" s="170">
        <v>44043</v>
      </c>
      <c r="M1382" s="116">
        <v>210.05</v>
      </c>
      <c r="N1382" s="116">
        <v>211.5</v>
      </c>
      <c r="O1382" s="116">
        <v>207.25</v>
      </c>
      <c r="P1382" s="116">
        <v>210</v>
      </c>
      <c r="Q1382" s="116">
        <v>210.05</v>
      </c>
      <c r="R1382">
        <v>885358</v>
      </c>
    </row>
    <row r="1383" spans="1:18" x14ac:dyDescent="0.25">
      <c r="A1383" s="170">
        <v>44043</v>
      </c>
      <c r="B1383" s="116">
        <v>211.45</v>
      </c>
      <c r="C1383" s="116">
        <v>210.35</v>
      </c>
      <c r="D1383" s="116">
        <v>207.2</v>
      </c>
      <c r="E1383" s="116">
        <v>210</v>
      </c>
      <c r="F1383" s="116">
        <v>210.35</v>
      </c>
      <c r="G1383">
        <v>61284</v>
      </c>
      <c r="H1383" s="116"/>
      <c r="I1383" s="116"/>
      <c r="L1383" s="170">
        <v>44046</v>
      </c>
      <c r="M1383" s="116">
        <v>205.35</v>
      </c>
      <c r="N1383" s="116">
        <v>211.25</v>
      </c>
      <c r="O1383" s="116">
        <v>204.5</v>
      </c>
      <c r="P1383" s="116">
        <v>211</v>
      </c>
      <c r="Q1383" s="116">
        <v>205.35</v>
      </c>
      <c r="R1383">
        <v>950787</v>
      </c>
    </row>
    <row r="1384" spans="1:18" x14ac:dyDescent="0.25">
      <c r="A1384" s="170">
        <v>44046</v>
      </c>
      <c r="B1384" s="116">
        <v>211</v>
      </c>
      <c r="C1384" s="116">
        <v>205.2</v>
      </c>
      <c r="D1384" s="116">
        <v>204.4</v>
      </c>
      <c r="E1384" s="116">
        <v>211</v>
      </c>
      <c r="F1384" s="116">
        <v>205.2</v>
      </c>
      <c r="G1384">
        <v>57726</v>
      </c>
      <c r="H1384" s="116"/>
      <c r="I1384" s="116"/>
      <c r="L1384" s="170">
        <v>44047</v>
      </c>
      <c r="M1384" s="116">
        <v>206.1</v>
      </c>
      <c r="N1384" s="116">
        <v>207.6</v>
      </c>
      <c r="O1384" s="116">
        <v>203.1</v>
      </c>
      <c r="P1384" s="116">
        <v>206</v>
      </c>
      <c r="Q1384" s="116">
        <v>206.1</v>
      </c>
      <c r="R1384">
        <v>1659607</v>
      </c>
    </row>
    <row r="1385" spans="1:18" x14ac:dyDescent="0.25">
      <c r="A1385" s="170">
        <v>44047</v>
      </c>
      <c r="B1385" s="116">
        <v>207.6</v>
      </c>
      <c r="C1385" s="116">
        <v>206.15</v>
      </c>
      <c r="D1385" s="116">
        <v>203.2</v>
      </c>
      <c r="E1385" s="116">
        <v>207</v>
      </c>
      <c r="F1385" s="116">
        <v>206.15</v>
      </c>
      <c r="G1385">
        <v>39362</v>
      </c>
      <c r="H1385" s="116"/>
      <c r="I1385" s="116"/>
      <c r="L1385" s="170">
        <v>44048</v>
      </c>
      <c r="M1385" s="116">
        <v>218.75</v>
      </c>
      <c r="N1385" s="116">
        <v>221.4</v>
      </c>
      <c r="O1385" s="116">
        <v>210.05</v>
      </c>
      <c r="P1385" s="116">
        <v>210.1</v>
      </c>
      <c r="Q1385" s="116">
        <v>218.75</v>
      </c>
      <c r="R1385">
        <v>4380117</v>
      </c>
    </row>
    <row r="1386" spans="1:18" x14ac:dyDescent="0.25">
      <c r="A1386" s="170">
        <v>44048</v>
      </c>
      <c r="B1386" s="116">
        <v>221.5</v>
      </c>
      <c r="C1386" s="116">
        <v>218.3</v>
      </c>
      <c r="D1386" s="116">
        <v>210</v>
      </c>
      <c r="E1386" s="116">
        <v>210</v>
      </c>
      <c r="F1386" s="116">
        <v>218.3</v>
      </c>
      <c r="G1386">
        <v>371888</v>
      </c>
      <c r="H1386" s="116"/>
      <c r="I1386" s="116"/>
      <c r="L1386" s="170">
        <v>44049</v>
      </c>
      <c r="M1386" s="116">
        <v>235</v>
      </c>
      <c r="N1386" s="116">
        <v>237</v>
      </c>
      <c r="O1386" s="116">
        <v>222.3</v>
      </c>
      <c r="P1386" s="116">
        <v>222.3</v>
      </c>
      <c r="Q1386" s="116">
        <v>235</v>
      </c>
      <c r="R1386">
        <v>5906361</v>
      </c>
    </row>
    <row r="1387" spans="1:18" x14ac:dyDescent="0.25">
      <c r="A1387" s="170">
        <v>44049</v>
      </c>
      <c r="B1387" s="116">
        <v>237.2</v>
      </c>
      <c r="C1387" s="116">
        <v>235.15</v>
      </c>
      <c r="D1387" s="116">
        <v>221.1</v>
      </c>
      <c r="E1387" s="116">
        <v>221.1</v>
      </c>
      <c r="F1387" s="116">
        <v>235.15</v>
      </c>
      <c r="G1387">
        <v>335224</v>
      </c>
      <c r="H1387" s="116"/>
      <c r="I1387" s="116"/>
      <c r="L1387" s="170">
        <v>44050</v>
      </c>
      <c r="M1387" s="116">
        <v>252.95</v>
      </c>
      <c r="N1387" s="116">
        <v>257.5</v>
      </c>
      <c r="O1387" s="116">
        <v>236.5</v>
      </c>
      <c r="P1387" s="116">
        <v>240</v>
      </c>
      <c r="Q1387" s="116">
        <v>252.95</v>
      </c>
      <c r="R1387">
        <v>7411184</v>
      </c>
    </row>
    <row r="1388" spans="1:18" x14ac:dyDescent="0.25">
      <c r="A1388" s="170">
        <v>44050</v>
      </c>
      <c r="B1388" s="116">
        <v>257.2</v>
      </c>
      <c r="C1388" s="116">
        <v>253.4</v>
      </c>
      <c r="D1388" s="116">
        <v>236.3</v>
      </c>
      <c r="E1388" s="116">
        <v>240</v>
      </c>
      <c r="F1388" s="116">
        <v>253.4</v>
      </c>
      <c r="G1388">
        <v>532587</v>
      </c>
      <c r="H1388" s="116"/>
      <c r="I1388" s="116"/>
      <c r="L1388" s="170">
        <v>44053</v>
      </c>
      <c r="M1388" s="116">
        <v>243.15</v>
      </c>
      <c r="N1388" s="116">
        <v>257.7</v>
      </c>
      <c r="O1388" s="116">
        <v>237.5</v>
      </c>
      <c r="P1388" s="116">
        <v>254.9</v>
      </c>
      <c r="Q1388" s="116">
        <v>243.15</v>
      </c>
      <c r="R1388">
        <v>3876124</v>
      </c>
    </row>
    <row r="1389" spans="1:18" x14ac:dyDescent="0.25">
      <c r="A1389" s="170">
        <v>44053</v>
      </c>
      <c r="B1389" s="116">
        <v>257.2</v>
      </c>
      <c r="C1389" s="116">
        <v>243.1</v>
      </c>
      <c r="D1389" s="116">
        <v>237.55</v>
      </c>
      <c r="E1389" s="116">
        <v>253.1</v>
      </c>
      <c r="F1389" s="116">
        <v>243.1</v>
      </c>
      <c r="G1389">
        <v>320821</v>
      </c>
      <c r="H1389" s="116"/>
      <c r="I1389" s="116"/>
      <c r="L1389" s="170">
        <v>44054</v>
      </c>
      <c r="M1389" s="116">
        <v>246.8</v>
      </c>
      <c r="N1389" s="116">
        <v>258.95</v>
      </c>
      <c r="O1389" s="116">
        <v>243.3</v>
      </c>
      <c r="P1389" s="116">
        <v>246</v>
      </c>
      <c r="Q1389" s="116">
        <v>246.8</v>
      </c>
      <c r="R1389">
        <v>4932756</v>
      </c>
    </row>
    <row r="1390" spans="1:18" x14ac:dyDescent="0.25">
      <c r="A1390" s="170">
        <v>44054</v>
      </c>
      <c r="B1390" s="116">
        <v>258.8</v>
      </c>
      <c r="C1390" s="116">
        <v>246.85</v>
      </c>
      <c r="D1390" s="116">
        <v>243.55</v>
      </c>
      <c r="E1390" s="116">
        <v>245.1</v>
      </c>
      <c r="F1390" s="116">
        <v>246.85</v>
      </c>
      <c r="G1390">
        <v>284087</v>
      </c>
      <c r="H1390" s="116"/>
      <c r="I1390" s="116"/>
      <c r="L1390" s="170">
        <v>44055</v>
      </c>
      <c r="M1390" s="116">
        <v>231.55</v>
      </c>
      <c r="N1390" s="116">
        <v>237.95</v>
      </c>
      <c r="O1390" s="116">
        <v>223.35</v>
      </c>
      <c r="P1390" s="116">
        <v>230.05</v>
      </c>
      <c r="Q1390" s="116">
        <v>231.55</v>
      </c>
      <c r="R1390">
        <v>4312095</v>
      </c>
    </row>
    <row r="1391" spans="1:18" x14ac:dyDescent="0.25">
      <c r="A1391" s="170">
        <v>44055</v>
      </c>
      <c r="B1391" s="116">
        <v>237.95</v>
      </c>
      <c r="C1391" s="116">
        <v>231.6</v>
      </c>
      <c r="D1391" s="116">
        <v>223.3</v>
      </c>
      <c r="E1391" s="116">
        <v>231</v>
      </c>
      <c r="F1391" s="116">
        <v>231.6</v>
      </c>
      <c r="G1391">
        <v>267776</v>
      </c>
      <c r="H1391" s="116"/>
      <c r="I1391" s="116"/>
      <c r="L1391" s="170">
        <v>44056</v>
      </c>
      <c r="M1391" s="116">
        <v>239.4</v>
      </c>
      <c r="N1391" s="116">
        <v>241.45</v>
      </c>
      <c r="O1391" s="116">
        <v>228.55</v>
      </c>
      <c r="P1391" s="116">
        <v>233.8</v>
      </c>
      <c r="Q1391" s="116">
        <v>239.4</v>
      </c>
      <c r="R1391">
        <v>4850402</v>
      </c>
    </row>
    <row r="1392" spans="1:18" x14ac:dyDescent="0.25">
      <c r="A1392" s="170">
        <v>44056</v>
      </c>
      <c r="B1392" s="116">
        <v>241.3</v>
      </c>
      <c r="C1392" s="116">
        <v>239.5</v>
      </c>
      <c r="D1392" s="116">
        <v>228.85</v>
      </c>
      <c r="E1392" s="116">
        <v>232.15</v>
      </c>
      <c r="F1392" s="116">
        <v>239.5</v>
      </c>
      <c r="G1392">
        <v>394542</v>
      </c>
      <c r="H1392" s="116"/>
      <c r="I1392" s="116"/>
      <c r="L1392" s="170">
        <v>44057</v>
      </c>
      <c r="M1392" s="116">
        <v>230.85</v>
      </c>
      <c r="N1392" s="116">
        <v>245</v>
      </c>
      <c r="O1392" s="116">
        <v>227.4</v>
      </c>
      <c r="P1392" s="116">
        <v>242.95</v>
      </c>
      <c r="Q1392" s="116">
        <v>230.85</v>
      </c>
      <c r="R1392">
        <v>2216476</v>
      </c>
    </row>
    <row r="1393" spans="1:18" x14ac:dyDescent="0.25">
      <c r="A1393" s="170">
        <v>44057</v>
      </c>
      <c r="B1393" s="116">
        <v>244.75</v>
      </c>
      <c r="C1393" s="116">
        <v>231.15</v>
      </c>
      <c r="D1393" s="116">
        <v>227.65</v>
      </c>
      <c r="E1393" s="116">
        <v>241.2</v>
      </c>
      <c r="F1393" s="116">
        <v>231.15</v>
      </c>
      <c r="G1393">
        <v>187499</v>
      </c>
      <c r="H1393" s="116"/>
      <c r="I1393" s="116"/>
      <c r="L1393" s="170">
        <v>44060</v>
      </c>
      <c r="M1393" s="116">
        <v>229.9</v>
      </c>
      <c r="N1393" s="116">
        <v>235.95</v>
      </c>
      <c r="O1393" s="116">
        <v>227.8</v>
      </c>
      <c r="P1393" s="116">
        <v>233</v>
      </c>
      <c r="Q1393" s="116">
        <v>229.9</v>
      </c>
      <c r="R1393">
        <v>1255125</v>
      </c>
    </row>
    <row r="1394" spans="1:18" x14ac:dyDescent="0.25">
      <c r="A1394" s="170">
        <v>44060</v>
      </c>
      <c r="B1394" s="116">
        <v>236</v>
      </c>
      <c r="C1394" s="116">
        <v>229.95</v>
      </c>
      <c r="D1394" s="116">
        <v>227.75</v>
      </c>
      <c r="E1394" s="116">
        <v>231.1</v>
      </c>
      <c r="F1394" s="116">
        <v>229.95</v>
      </c>
      <c r="G1394">
        <v>95249</v>
      </c>
      <c r="H1394" s="116"/>
      <c r="I1394" s="116"/>
      <c r="L1394" s="170">
        <v>44061</v>
      </c>
      <c r="M1394" s="116">
        <v>233.95</v>
      </c>
      <c r="N1394" s="116">
        <v>235.85</v>
      </c>
      <c r="O1394" s="116">
        <v>232</v>
      </c>
      <c r="P1394" s="116">
        <v>232.95</v>
      </c>
      <c r="Q1394" s="116">
        <v>233.95</v>
      </c>
      <c r="R1394">
        <v>1252781</v>
      </c>
    </row>
    <row r="1395" spans="1:18" x14ac:dyDescent="0.25">
      <c r="A1395" s="170">
        <v>44061</v>
      </c>
      <c r="B1395" s="116">
        <v>235.75</v>
      </c>
      <c r="C1395" s="116">
        <v>234.05</v>
      </c>
      <c r="D1395" s="116">
        <v>232.05</v>
      </c>
      <c r="E1395" s="116">
        <v>232.05</v>
      </c>
      <c r="F1395" s="116">
        <v>234.05</v>
      </c>
      <c r="G1395">
        <v>94671</v>
      </c>
      <c r="H1395" s="116"/>
      <c r="I1395" s="116"/>
      <c r="L1395" s="170">
        <v>44062</v>
      </c>
      <c r="M1395" s="116">
        <v>231.65</v>
      </c>
      <c r="N1395" s="116">
        <v>235.6</v>
      </c>
      <c r="O1395" s="116">
        <v>231</v>
      </c>
      <c r="P1395" s="116">
        <v>234.95</v>
      </c>
      <c r="Q1395" s="116">
        <v>231.65</v>
      </c>
      <c r="R1395">
        <v>870322</v>
      </c>
    </row>
    <row r="1396" spans="1:18" x14ac:dyDescent="0.25">
      <c r="A1396" s="170">
        <v>44062</v>
      </c>
      <c r="B1396" s="116">
        <v>237.05</v>
      </c>
      <c r="C1396" s="116">
        <v>231.6</v>
      </c>
      <c r="D1396" s="116">
        <v>231.1</v>
      </c>
      <c r="E1396" s="116">
        <v>237.05</v>
      </c>
      <c r="F1396" s="116">
        <v>231.6</v>
      </c>
      <c r="G1396">
        <v>143158</v>
      </c>
      <c r="H1396" s="116"/>
      <c r="I1396" s="116"/>
      <c r="L1396" s="170">
        <v>44063</v>
      </c>
      <c r="M1396" s="116">
        <v>223.3</v>
      </c>
      <c r="N1396" s="116">
        <v>232.2</v>
      </c>
      <c r="O1396" s="116">
        <v>222.85</v>
      </c>
      <c r="P1396" s="116">
        <v>232.2</v>
      </c>
      <c r="Q1396" s="116">
        <v>223.3</v>
      </c>
      <c r="R1396">
        <v>1625430</v>
      </c>
    </row>
    <row r="1397" spans="1:18" x14ac:dyDescent="0.25">
      <c r="A1397" s="170">
        <v>44063</v>
      </c>
      <c r="B1397" s="116">
        <v>232.1</v>
      </c>
      <c r="C1397" s="116">
        <v>223.4</v>
      </c>
      <c r="D1397" s="116">
        <v>223</v>
      </c>
      <c r="E1397" s="116">
        <v>232.05</v>
      </c>
      <c r="F1397" s="116">
        <v>223.4</v>
      </c>
      <c r="G1397">
        <v>77386</v>
      </c>
      <c r="H1397" s="116"/>
      <c r="I1397" s="116"/>
      <c r="L1397" s="170">
        <v>44064</v>
      </c>
      <c r="M1397" s="116">
        <v>226.55</v>
      </c>
      <c r="N1397" s="116">
        <v>229</v>
      </c>
      <c r="O1397" s="116">
        <v>224.3</v>
      </c>
      <c r="P1397" s="116">
        <v>226.5</v>
      </c>
      <c r="Q1397" s="116">
        <v>226.55</v>
      </c>
      <c r="R1397">
        <v>1311906</v>
      </c>
    </row>
    <row r="1398" spans="1:18" x14ac:dyDescent="0.25">
      <c r="A1398" s="170">
        <v>44064</v>
      </c>
      <c r="B1398" s="116">
        <v>228.9</v>
      </c>
      <c r="C1398" s="116">
        <v>227.05</v>
      </c>
      <c r="D1398" s="116">
        <v>224.5</v>
      </c>
      <c r="E1398" s="116">
        <v>225</v>
      </c>
      <c r="F1398" s="116">
        <v>227.05</v>
      </c>
      <c r="G1398">
        <v>132007</v>
      </c>
      <c r="H1398" s="116"/>
      <c r="I1398" s="116"/>
      <c r="L1398" s="170">
        <v>44067</v>
      </c>
      <c r="M1398" s="116">
        <v>228.05</v>
      </c>
      <c r="N1398" s="116">
        <v>230.75</v>
      </c>
      <c r="O1398" s="116">
        <v>226.1</v>
      </c>
      <c r="P1398" s="116">
        <v>229.05</v>
      </c>
      <c r="Q1398" s="116">
        <v>228.05</v>
      </c>
      <c r="R1398">
        <v>726981</v>
      </c>
    </row>
    <row r="1399" spans="1:18" x14ac:dyDescent="0.25">
      <c r="A1399" s="170">
        <v>44067</v>
      </c>
      <c r="B1399" s="116">
        <v>230.6</v>
      </c>
      <c r="C1399" s="116">
        <v>227.95</v>
      </c>
      <c r="D1399" s="116">
        <v>226</v>
      </c>
      <c r="E1399" s="116">
        <v>227</v>
      </c>
      <c r="F1399" s="116">
        <v>227.95</v>
      </c>
      <c r="G1399">
        <v>65073</v>
      </c>
      <c r="H1399" s="116"/>
      <c r="I1399" s="116"/>
      <c r="L1399" s="170">
        <v>44068</v>
      </c>
      <c r="M1399" s="116">
        <v>225.85</v>
      </c>
      <c r="N1399" s="116">
        <v>229</v>
      </c>
      <c r="O1399" s="116">
        <v>225</v>
      </c>
      <c r="P1399" s="116">
        <v>229</v>
      </c>
      <c r="Q1399" s="116">
        <v>225.85</v>
      </c>
      <c r="R1399">
        <v>556980</v>
      </c>
    </row>
    <row r="1400" spans="1:18" x14ac:dyDescent="0.25">
      <c r="A1400" s="170">
        <v>44068</v>
      </c>
      <c r="B1400" s="116">
        <v>228.05</v>
      </c>
      <c r="C1400" s="116">
        <v>225.85</v>
      </c>
      <c r="D1400" s="116">
        <v>225.1</v>
      </c>
      <c r="E1400" s="116">
        <v>228.05</v>
      </c>
      <c r="F1400" s="116">
        <v>225.85</v>
      </c>
      <c r="G1400">
        <v>33621</v>
      </c>
      <c r="H1400" s="116"/>
      <c r="I1400" s="116"/>
      <c r="L1400" s="170">
        <v>44069</v>
      </c>
      <c r="M1400" s="116">
        <v>226</v>
      </c>
      <c r="N1400" s="116">
        <v>229.45</v>
      </c>
      <c r="O1400" s="116">
        <v>222.4</v>
      </c>
      <c r="P1400" s="116">
        <v>225.85</v>
      </c>
      <c r="Q1400" s="116">
        <v>226</v>
      </c>
      <c r="R1400">
        <v>766556</v>
      </c>
    </row>
    <row r="1401" spans="1:18" x14ac:dyDescent="0.25">
      <c r="A1401" s="170">
        <v>44069</v>
      </c>
      <c r="B1401" s="116">
        <v>229.15</v>
      </c>
      <c r="C1401" s="116">
        <v>226.25</v>
      </c>
      <c r="D1401" s="116">
        <v>222.5</v>
      </c>
      <c r="E1401" s="116">
        <v>226</v>
      </c>
      <c r="F1401" s="116">
        <v>226.25</v>
      </c>
      <c r="G1401">
        <v>46723</v>
      </c>
      <c r="H1401" s="116"/>
      <c r="I1401" s="116"/>
      <c r="L1401" s="170">
        <v>44070</v>
      </c>
      <c r="M1401" s="116">
        <v>237.15</v>
      </c>
      <c r="N1401" s="116">
        <v>239.35</v>
      </c>
      <c r="O1401" s="116">
        <v>227.2</v>
      </c>
      <c r="P1401" s="116">
        <v>227.6</v>
      </c>
      <c r="Q1401" s="116">
        <v>237.15</v>
      </c>
      <c r="R1401">
        <v>2265073</v>
      </c>
    </row>
    <row r="1402" spans="1:18" x14ac:dyDescent="0.25">
      <c r="A1402" s="170">
        <v>44070</v>
      </c>
      <c r="B1402" s="116">
        <v>239.35</v>
      </c>
      <c r="C1402" s="116">
        <v>236.75</v>
      </c>
      <c r="D1402" s="116">
        <v>227.3</v>
      </c>
      <c r="E1402" s="116">
        <v>229</v>
      </c>
      <c r="F1402" s="116">
        <v>236.75</v>
      </c>
      <c r="G1402">
        <v>262015</v>
      </c>
      <c r="H1402" s="116"/>
      <c r="I1402" s="116"/>
      <c r="L1402" s="170">
        <v>44071</v>
      </c>
      <c r="M1402" s="116">
        <v>228.7</v>
      </c>
      <c r="N1402" s="116">
        <v>239.45</v>
      </c>
      <c r="O1402" s="116">
        <v>227.55</v>
      </c>
      <c r="P1402" s="116">
        <v>237.25</v>
      </c>
      <c r="Q1402" s="116">
        <v>228.7</v>
      </c>
      <c r="R1402">
        <v>1959766</v>
      </c>
    </row>
    <row r="1403" spans="1:18" x14ac:dyDescent="0.25">
      <c r="A1403" s="170">
        <v>44071</v>
      </c>
      <c r="B1403" s="116">
        <v>238.95</v>
      </c>
      <c r="C1403" s="116">
        <v>228.85</v>
      </c>
      <c r="D1403" s="116">
        <v>227.6</v>
      </c>
      <c r="E1403" s="116">
        <v>238.7</v>
      </c>
      <c r="F1403" s="116">
        <v>228.85</v>
      </c>
      <c r="G1403">
        <v>89174</v>
      </c>
      <c r="H1403" s="116"/>
      <c r="I1403" s="116"/>
      <c r="L1403" s="170">
        <v>44074</v>
      </c>
      <c r="M1403" s="116">
        <v>226.6</v>
      </c>
      <c r="N1403" s="116">
        <v>235</v>
      </c>
      <c r="O1403" s="116">
        <v>225</v>
      </c>
      <c r="P1403" s="116">
        <v>230.75</v>
      </c>
      <c r="Q1403" s="116">
        <v>226.6</v>
      </c>
      <c r="R1403">
        <v>1633436</v>
      </c>
    </row>
    <row r="1404" spans="1:18" x14ac:dyDescent="0.25">
      <c r="A1404" s="170">
        <v>44074</v>
      </c>
      <c r="B1404" s="116">
        <v>234.5</v>
      </c>
      <c r="C1404" s="116">
        <v>226.65</v>
      </c>
      <c r="D1404" s="116">
        <v>224.35</v>
      </c>
      <c r="E1404" s="116">
        <v>230</v>
      </c>
      <c r="F1404" s="116">
        <v>226.65</v>
      </c>
      <c r="G1404">
        <v>197131</v>
      </c>
      <c r="H1404" s="116"/>
      <c r="I1404" s="116"/>
      <c r="L1404" s="170">
        <v>44075</v>
      </c>
      <c r="M1404" s="116">
        <v>227.3</v>
      </c>
      <c r="N1404" s="116">
        <v>231</v>
      </c>
      <c r="O1404" s="116">
        <v>226.05</v>
      </c>
      <c r="P1404" s="116">
        <v>226.75</v>
      </c>
      <c r="Q1404" s="116">
        <v>227.3</v>
      </c>
      <c r="R1404">
        <v>976206</v>
      </c>
    </row>
    <row r="1405" spans="1:18" x14ac:dyDescent="0.25">
      <c r="A1405" s="170">
        <v>44075</v>
      </c>
      <c r="B1405" s="116">
        <v>231</v>
      </c>
      <c r="C1405" s="116">
        <v>227.15</v>
      </c>
      <c r="D1405" s="116">
        <v>223</v>
      </c>
      <c r="E1405" s="116">
        <v>223</v>
      </c>
      <c r="F1405" s="116">
        <v>227.15</v>
      </c>
      <c r="G1405">
        <v>78784</v>
      </c>
      <c r="H1405" s="116"/>
      <c r="I1405" s="116"/>
      <c r="L1405" s="170">
        <v>44076</v>
      </c>
      <c r="M1405" s="116">
        <v>229.25</v>
      </c>
      <c r="N1405" s="116">
        <v>232</v>
      </c>
      <c r="O1405" s="116">
        <v>227.3</v>
      </c>
      <c r="P1405" s="116">
        <v>227.5</v>
      </c>
      <c r="Q1405" s="116">
        <v>229.25</v>
      </c>
      <c r="R1405">
        <v>479707</v>
      </c>
    </row>
    <row r="1406" spans="1:18" x14ac:dyDescent="0.25">
      <c r="A1406" s="170">
        <v>44076</v>
      </c>
      <c r="B1406" s="116">
        <v>231.7</v>
      </c>
      <c r="C1406" s="116">
        <v>229.05</v>
      </c>
      <c r="D1406" s="116">
        <v>225.9</v>
      </c>
      <c r="E1406" s="116">
        <v>230.6</v>
      </c>
      <c r="F1406" s="116">
        <v>229.05</v>
      </c>
      <c r="G1406">
        <v>36373</v>
      </c>
      <c r="H1406" s="116"/>
      <c r="I1406" s="116"/>
      <c r="L1406" s="170">
        <v>44077</v>
      </c>
      <c r="M1406" s="116">
        <v>224.75</v>
      </c>
      <c r="N1406" s="116">
        <v>231.3</v>
      </c>
      <c r="O1406" s="116">
        <v>224</v>
      </c>
      <c r="P1406" s="116">
        <v>229.5</v>
      </c>
      <c r="Q1406" s="116">
        <v>224.75</v>
      </c>
      <c r="R1406">
        <v>979712</v>
      </c>
    </row>
    <row r="1407" spans="1:18" x14ac:dyDescent="0.25">
      <c r="A1407" s="170">
        <v>44077</v>
      </c>
      <c r="B1407" s="116">
        <v>231.05</v>
      </c>
      <c r="C1407" s="116">
        <v>224.75</v>
      </c>
      <c r="D1407" s="116">
        <v>224</v>
      </c>
      <c r="E1407" s="116">
        <v>230.8</v>
      </c>
      <c r="F1407" s="116">
        <v>224.75</v>
      </c>
      <c r="G1407">
        <v>40758</v>
      </c>
      <c r="H1407" s="116"/>
      <c r="I1407" s="116"/>
      <c r="L1407" s="170">
        <v>44078</v>
      </c>
      <c r="M1407" s="116">
        <v>221.65</v>
      </c>
      <c r="N1407" s="116">
        <v>226</v>
      </c>
      <c r="O1407" s="116">
        <v>220.5</v>
      </c>
      <c r="P1407" s="116">
        <v>221.95</v>
      </c>
      <c r="Q1407" s="116">
        <v>221.65</v>
      </c>
      <c r="R1407">
        <v>413761</v>
      </c>
    </row>
    <row r="1408" spans="1:18" x14ac:dyDescent="0.25">
      <c r="A1408" s="170">
        <v>44078</v>
      </c>
      <c r="B1408" s="116">
        <v>225.9</v>
      </c>
      <c r="C1408" s="116">
        <v>221.8</v>
      </c>
      <c r="D1408" s="116">
        <v>220.3</v>
      </c>
      <c r="E1408" s="116">
        <v>221.05</v>
      </c>
      <c r="F1408" s="116">
        <v>221.8</v>
      </c>
      <c r="G1408">
        <v>57112</v>
      </c>
      <c r="H1408" s="116"/>
      <c r="I1408" s="116"/>
      <c r="L1408" s="170">
        <v>44081</v>
      </c>
      <c r="M1408" s="116">
        <v>217.8</v>
      </c>
      <c r="N1408" s="116">
        <v>222.95</v>
      </c>
      <c r="O1408" s="116">
        <v>216.1</v>
      </c>
      <c r="P1408" s="116">
        <v>221.95</v>
      </c>
      <c r="Q1408" s="116">
        <v>217.8</v>
      </c>
      <c r="R1408">
        <v>888789</v>
      </c>
    </row>
    <row r="1409" spans="1:18" x14ac:dyDescent="0.25">
      <c r="A1409" s="170">
        <v>44081</v>
      </c>
      <c r="B1409" s="116">
        <v>222</v>
      </c>
      <c r="C1409" s="116">
        <v>217.6</v>
      </c>
      <c r="D1409" s="116">
        <v>216</v>
      </c>
      <c r="E1409" s="116">
        <v>220.2</v>
      </c>
      <c r="F1409" s="116">
        <v>217.6</v>
      </c>
      <c r="G1409">
        <v>55605</v>
      </c>
      <c r="H1409" s="116"/>
      <c r="I1409" s="116"/>
      <c r="L1409" s="170">
        <v>44082</v>
      </c>
      <c r="M1409" s="116">
        <v>211.9</v>
      </c>
      <c r="N1409" s="116">
        <v>217.55</v>
      </c>
      <c r="O1409" s="116">
        <v>210.1</v>
      </c>
      <c r="P1409" s="116">
        <v>217.55</v>
      </c>
      <c r="Q1409" s="116">
        <v>211.9</v>
      </c>
      <c r="R1409">
        <v>464770</v>
      </c>
    </row>
    <row r="1410" spans="1:18" x14ac:dyDescent="0.25">
      <c r="A1410" s="170">
        <v>44082</v>
      </c>
      <c r="B1410" s="116">
        <v>217.15</v>
      </c>
      <c r="C1410" s="116">
        <v>211.85</v>
      </c>
      <c r="D1410" s="116">
        <v>210.35</v>
      </c>
      <c r="E1410" s="116">
        <v>217.15</v>
      </c>
      <c r="F1410" s="116">
        <v>211.85</v>
      </c>
      <c r="G1410">
        <v>59795</v>
      </c>
      <c r="H1410" s="116"/>
      <c r="I1410" s="116"/>
      <c r="L1410" s="170">
        <v>44083</v>
      </c>
      <c r="M1410" s="116">
        <v>216.2</v>
      </c>
      <c r="N1410" s="116">
        <v>219.45</v>
      </c>
      <c r="O1410" s="116">
        <v>202.8</v>
      </c>
      <c r="P1410" s="116">
        <v>210.6</v>
      </c>
      <c r="Q1410" s="116">
        <v>216.2</v>
      </c>
      <c r="R1410">
        <v>1331014</v>
      </c>
    </row>
    <row r="1411" spans="1:18" x14ac:dyDescent="0.25">
      <c r="A1411" s="170">
        <v>44083</v>
      </c>
      <c r="B1411" s="116">
        <v>219.2</v>
      </c>
      <c r="C1411" s="116">
        <v>216.4</v>
      </c>
      <c r="D1411" s="116">
        <v>202.75</v>
      </c>
      <c r="E1411" s="116">
        <v>211.85</v>
      </c>
      <c r="F1411" s="116">
        <v>216.4</v>
      </c>
      <c r="G1411">
        <v>61287</v>
      </c>
      <c r="H1411" s="116"/>
      <c r="I1411" s="116"/>
      <c r="L1411" s="170">
        <v>44084</v>
      </c>
      <c r="M1411" s="116">
        <v>221.25</v>
      </c>
      <c r="N1411" s="116">
        <v>222.45</v>
      </c>
      <c r="O1411" s="116">
        <v>218</v>
      </c>
      <c r="P1411" s="116">
        <v>219.05</v>
      </c>
      <c r="Q1411" s="116">
        <v>221.25</v>
      </c>
      <c r="R1411">
        <v>715624</v>
      </c>
    </row>
    <row r="1412" spans="1:18" x14ac:dyDescent="0.25">
      <c r="A1412" s="170">
        <v>44084</v>
      </c>
      <c r="B1412" s="116">
        <v>222.5</v>
      </c>
      <c r="C1412" s="116">
        <v>221.45</v>
      </c>
      <c r="D1412" s="116">
        <v>217.8</v>
      </c>
      <c r="E1412" s="116">
        <v>218.1</v>
      </c>
      <c r="F1412" s="116">
        <v>221.45</v>
      </c>
      <c r="G1412">
        <v>78512</v>
      </c>
      <c r="H1412" s="116"/>
      <c r="I1412" s="116"/>
      <c r="L1412" s="170">
        <v>44085</v>
      </c>
      <c r="M1412" s="116">
        <v>237.7</v>
      </c>
      <c r="N1412" s="116">
        <v>239</v>
      </c>
      <c r="O1412" s="116">
        <v>218</v>
      </c>
      <c r="P1412" s="116">
        <v>221.2</v>
      </c>
      <c r="Q1412" s="116">
        <v>237.7</v>
      </c>
      <c r="R1412">
        <v>2718373</v>
      </c>
    </row>
    <row r="1413" spans="1:18" x14ac:dyDescent="0.25">
      <c r="A1413" s="170">
        <v>44085</v>
      </c>
      <c r="B1413" s="116">
        <v>238.95</v>
      </c>
      <c r="C1413" s="116">
        <v>237.55</v>
      </c>
      <c r="D1413" s="116">
        <v>218.05</v>
      </c>
      <c r="E1413" s="116">
        <v>222</v>
      </c>
      <c r="F1413" s="116">
        <v>237.55</v>
      </c>
      <c r="G1413">
        <v>238115</v>
      </c>
      <c r="H1413" s="116"/>
      <c r="I1413" s="116"/>
      <c r="L1413" s="170">
        <v>44088</v>
      </c>
      <c r="M1413" s="116">
        <v>223.95</v>
      </c>
      <c r="N1413" s="116">
        <v>238.45</v>
      </c>
      <c r="O1413" s="116">
        <v>222.5</v>
      </c>
      <c r="P1413" s="116">
        <v>237.7</v>
      </c>
      <c r="Q1413" s="116">
        <v>223.95</v>
      </c>
      <c r="R1413">
        <v>1565798</v>
      </c>
    </row>
    <row r="1414" spans="1:18" x14ac:dyDescent="0.25">
      <c r="A1414" s="170">
        <v>44088</v>
      </c>
      <c r="B1414" s="116">
        <v>238</v>
      </c>
      <c r="C1414" s="116">
        <v>224.15</v>
      </c>
      <c r="D1414" s="116">
        <v>223</v>
      </c>
      <c r="E1414" s="116">
        <v>237.6</v>
      </c>
      <c r="F1414" s="116">
        <v>224.15</v>
      </c>
      <c r="G1414">
        <v>63893</v>
      </c>
      <c r="H1414" s="116"/>
      <c r="I1414" s="116"/>
      <c r="L1414" s="170">
        <v>44089</v>
      </c>
      <c r="M1414" s="116">
        <v>221.35</v>
      </c>
      <c r="N1414" s="116">
        <v>231.3</v>
      </c>
      <c r="O1414" s="116">
        <v>219.5</v>
      </c>
      <c r="P1414" s="116">
        <v>226.5</v>
      </c>
      <c r="Q1414" s="116">
        <v>221.35</v>
      </c>
      <c r="R1414">
        <v>1122838</v>
      </c>
    </row>
    <row r="1415" spans="1:18" x14ac:dyDescent="0.25">
      <c r="A1415" s="170">
        <v>44089</v>
      </c>
      <c r="B1415" s="116">
        <v>231.2</v>
      </c>
      <c r="C1415" s="116">
        <v>221.3</v>
      </c>
      <c r="D1415" s="116">
        <v>219.6</v>
      </c>
      <c r="E1415" s="116">
        <v>225.15</v>
      </c>
      <c r="F1415" s="116">
        <v>221.3</v>
      </c>
      <c r="G1415">
        <v>81504</v>
      </c>
      <c r="H1415" s="116"/>
      <c r="I1415" s="116"/>
      <c r="L1415" s="170">
        <v>44090</v>
      </c>
      <c r="M1415" s="116">
        <v>219.25</v>
      </c>
      <c r="N1415" s="116">
        <v>223.4</v>
      </c>
      <c r="O1415" s="116">
        <v>218</v>
      </c>
      <c r="P1415" s="116">
        <v>220.5</v>
      </c>
      <c r="Q1415" s="116">
        <v>219.25</v>
      </c>
      <c r="R1415">
        <v>739602</v>
      </c>
    </row>
    <row r="1416" spans="1:18" x14ac:dyDescent="0.25">
      <c r="A1416" s="170">
        <v>44090</v>
      </c>
      <c r="B1416" s="116">
        <v>223</v>
      </c>
      <c r="C1416" s="116">
        <v>218.95</v>
      </c>
      <c r="D1416" s="116">
        <v>218</v>
      </c>
      <c r="E1416" s="116">
        <v>219.65</v>
      </c>
      <c r="F1416" s="116">
        <v>218.95</v>
      </c>
      <c r="G1416">
        <v>52851</v>
      </c>
      <c r="H1416" s="116"/>
      <c r="I1416" s="116"/>
      <c r="L1416" s="170">
        <v>44091</v>
      </c>
      <c r="M1416" s="116">
        <v>215.95</v>
      </c>
      <c r="N1416" s="116">
        <v>222.9</v>
      </c>
      <c r="O1416" s="116">
        <v>215.5</v>
      </c>
      <c r="P1416" s="116">
        <v>218.4</v>
      </c>
      <c r="Q1416" s="116">
        <v>215.95</v>
      </c>
      <c r="R1416">
        <v>872205</v>
      </c>
    </row>
    <row r="1417" spans="1:18" x14ac:dyDescent="0.25">
      <c r="A1417" s="170">
        <v>44091</v>
      </c>
      <c r="B1417" s="116">
        <v>222.75</v>
      </c>
      <c r="C1417" s="116">
        <v>216.05</v>
      </c>
      <c r="D1417" s="116">
        <v>215.7</v>
      </c>
      <c r="E1417" s="116">
        <v>219</v>
      </c>
      <c r="F1417" s="116">
        <v>216.05</v>
      </c>
      <c r="G1417">
        <v>35571</v>
      </c>
      <c r="H1417" s="116"/>
      <c r="I1417" s="116"/>
      <c r="L1417" s="170">
        <v>44092</v>
      </c>
      <c r="M1417" s="116">
        <v>213.45</v>
      </c>
      <c r="N1417" s="116">
        <v>220.85</v>
      </c>
      <c r="O1417" s="116">
        <v>211.8</v>
      </c>
      <c r="P1417" s="116">
        <v>217.6</v>
      </c>
      <c r="Q1417" s="116">
        <v>213.45</v>
      </c>
      <c r="R1417">
        <v>618590</v>
      </c>
    </row>
    <row r="1418" spans="1:18" x14ac:dyDescent="0.25">
      <c r="A1418" s="170">
        <v>44092</v>
      </c>
      <c r="B1418" s="116">
        <v>220</v>
      </c>
      <c r="C1418" s="116">
        <v>213.55</v>
      </c>
      <c r="D1418" s="116">
        <v>212</v>
      </c>
      <c r="E1418" s="116">
        <v>215.9</v>
      </c>
      <c r="F1418" s="116">
        <v>213.55</v>
      </c>
      <c r="G1418">
        <v>45888</v>
      </c>
      <c r="H1418" s="116"/>
      <c r="I1418" s="116"/>
      <c r="L1418" s="170">
        <v>44095</v>
      </c>
      <c r="M1418" s="116">
        <v>206</v>
      </c>
      <c r="N1418" s="116">
        <v>216.4</v>
      </c>
      <c r="O1418" s="116">
        <v>204.8</v>
      </c>
      <c r="P1418" s="116">
        <v>214.2</v>
      </c>
      <c r="Q1418" s="116">
        <v>206</v>
      </c>
      <c r="R1418">
        <v>556240</v>
      </c>
    </row>
    <row r="1419" spans="1:18" x14ac:dyDescent="0.25">
      <c r="A1419" s="170">
        <v>44095</v>
      </c>
      <c r="B1419" s="116">
        <v>216.3</v>
      </c>
      <c r="C1419" s="116">
        <v>206.2</v>
      </c>
      <c r="D1419" s="116">
        <v>205</v>
      </c>
      <c r="E1419" s="116">
        <v>212.15</v>
      </c>
      <c r="F1419" s="116">
        <v>206.2</v>
      </c>
      <c r="G1419">
        <v>65175</v>
      </c>
      <c r="H1419" s="116"/>
      <c r="I1419" s="116"/>
      <c r="L1419" s="170">
        <v>44096</v>
      </c>
      <c r="M1419" s="116">
        <v>208.2</v>
      </c>
      <c r="N1419" s="116">
        <v>211</v>
      </c>
      <c r="O1419" s="116">
        <v>200.1</v>
      </c>
      <c r="P1419" s="116">
        <v>205.8</v>
      </c>
      <c r="Q1419" s="116">
        <v>208.2</v>
      </c>
      <c r="R1419">
        <v>871865</v>
      </c>
    </row>
    <row r="1420" spans="1:18" x14ac:dyDescent="0.25">
      <c r="A1420" s="170">
        <v>44096</v>
      </c>
      <c r="B1420" s="116">
        <v>210.8</v>
      </c>
      <c r="C1420" s="116">
        <v>208.05</v>
      </c>
      <c r="D1420" s="116">
        <v>200.1</v>
      </c>
      <c r="E1420" s="116">
        <v>204.7</v>
      </c>
      <c r="F1420" s="116">
        <v>208.05</v>
      </c>
      <c r="G1420">
        <v>95312</v>
      </c>
      <c r="H1420" s="116"/>
      <c r="I1420" s="116"/>
      <c r="L1420" s="170">
        <v>44097</v>
      </c>
      <c r="M1420" s="116">
        <v>212.55</v>
      </c>
      <c r="N1420" s="116">
        <v>222.9</v>
      </c>
      <c r="O1420" s="116">
        <v>207.9</v>
      </c>
      <c r="P1420" s="116">
        <v>209.8</v>
      </c>
      <c r="Q1420" s="116">
        <v>212.55</v>
      </c>
      <c r="R1420">
        <v>1804263</v>
      </c>
    </row>
    <row r="1421" spans="1:18" x14ac:dyDescent="0.25">
      <c r="A1421" s="170">
        <v>44097</v>
      </c>
      <c r="B1421" s="116">
        <v>222.75</v>
      </c>
      <c r="C1421" s="116">
        <v>212.65</v>
      </c>
      <c r="D1421" s="116">
        <v>207.8</v>
      </c>
      <c r="E1421" s="116">
        <v>210</v>
      </c>
      <c r="F1421" s="116">
        <v>212.65</v>
      </c>
      <c r="G1421">
        <v>70044</v>
      </c>
      <c r="H1421" s="116"/>
      <c r="I1421" s="116"/>
      <c r="L1421" s="170">
        <v>44098</v>
      </c>
      <c r="M1421" s="116">
        <v>205.25</v>
      </c>
      <c r="N1421" s="116">
        <v>211.5</v>
      </c>
      <c r="O1421" s="116">
        <v>204.05</v>
      </c>
      <c r="P1421" s="116">
        <v>211</v>
      </c>
      <c r="Q1421" s="116">
        <v>205.25</v>
      </c>
      <c r="R1421">
        <v>550605</v>
      </c>
    </row>
    <row r="1422" spans="1:18" x14ac:dyDescent="0.25">
      <c r="A1422" s="170">
        <v>44098</v>
      </c>
      <c r="B1422" s="116">
        <v>210.65</v>
      </c>
      <c r="C1422" s="116">
        <v>205.4</v>
      </c>
      <c r="D1422" s="116">
        <v>204.5</v>
      </c>
      <c r="E1422" s="116">
        <v>210.2</v>
      </c>
      <c r="F1422" s="116">
        <v>205.4</v>
      </c>
      <c r="G1422">
        <v>57231</v>
      </c>
      <c r="H1422" s="116"/>
      <c r="I1422" s="116"/>
      <c r="L1422" s="170">
        <v>44099</v>
      </c>
      <c r="M1422" s="116">
        <v>209.15</v>
      </c>
      <c r="N1422" s="116">
        <v>210.85</v>
      </c>
      <c r="O1422" s="116">
        <v>205.65</v>
      </c>
      <c r="P1422" s="116">
        <v>206.8</v>
      </c>
      <c r="Q1422" s="116">
        <v>209.15</v>
      </c>
      <c r="R1422">
        <v>659447</v>
      </c>
    </row>
    <row r="1423" spans="1:18" x14ac:dyDescent="0.25">
      <c r="A1423" s="170">
        <v>44099</v>
      </c>
      <c r="B1423" s="116">
        <v>210.75</v>
      </c>
      <c r="C1423" s="116">
        <v>208.2</v>
      </c>
      <c r="D1423" s="116">
        <v>203.1</v>
      </c>
      <c r="E1423" s="116">
        <v>206</v>
      </c>
      <c r="F1423" s="116">
        <v>208.2</v>
      </c>
      <c r="G1423">
        <v>52296</v>
      </c>
      <c r="H1423" s="116"/>
      <c r="I1423" s="116"/>
      <c r="L1423" s="170">
        <v>44102</v>
      </c>
      <c r="M1423" s="116">
        <v>209.85</v>
      </c>
      <c r="N1423" s="116">
        <v>213.25</v>
      </c>
      <c r="O1423" s="116">
        <v>208.75</v>
      </c>
      <c r="P1423" s="116">
        <v>210</v>
      </c>
      <c r="Q1423" s="116">
        <v>209.85</v>
      </c>
      <c r="R1423">
        <v>586175</v>
      </c>
    </row>
    <row r="1424" spans="1:18" x14ac:dyDescent="0.25">
      <c r="A1424" s="170">
        <v>44102</v>
      </c>
      <c r="B1424" s="116">
        <v>212.95</v>
      </c>
      <c r="C1424" s="116">
        <v>209.65</v>
      </c>
      <c r="D1424" s="116">
        <v>208.95</v>
      </c>
      <c r="E1424" s="116">
        <v>210.7</v>
      </c>
      <c r="F1424" s="116">
        <v>209.65</v>
      </c>
      <c r="G1424">
        <v>17413</v>
      </c>
      <c r="H1424" s="116"/>
      <c r="I1424" s="116"/>
      <c r="L1424" s="170">
        <v>44103</v>
      </c>
      <c r="M1424" s="116">
        <v>212.2</v>
      </c>
      <c r="N1424" s="116">
        <v>214.75</v>
      </c>
      <c r="O1424" s="116">
        <v>210.15</v>
      </c>
      <c r="P1424" s="116">
        <v>211.3</v>
      </c>
      <c r="Q1424" s="116">
        <v>212.2</v>
      </c>
      <c r="R1424">
        <v>596782</v>
      </c>
    </row>
    <row r="1425" spans="1:18" x14ac:dyDescent="0.25">
      <c r="A1425" s="170">
        <v>44103</v>
      </c>
      <c r="B1425" s="116">
        <v>214.45</v>
      </c>
      <c r="C1425" s="116">
        <v>212</v>
      </c>
      <c r="D1425" s="116">
        <v>210.35</v>
      </c>
      <c r="E1425" s="116">
        <v>212.2</v>
      </c>
      <c r="F1425" s="116">
        <v>212</v>
      </c>
      <c r="G1425">
        <v>20035</v>
      </c>
      <c r="H1425" s="116"/>
      <c r="I1425" s="116"/>
      <c r="L1425" s="170">
        <v>44104</v>
      </c>
      <c r="M1425" s="116">
        <v>209.95</v>
      </c>
      <c r="N1425" s="116">
        <v>214.9</v>
      </c>
      <c r="O1425" s="116">
        <v>209.1</v>
      </c>
      <c r="P1425" s="116">
        <v>214.9</v>
      </c>
      <c r="Q1425" s="116">
        <v>209.95</v>
      </c>
      <c r="R1425">
        <v>369822</v>
      </c>
    </row>
    <row r="1426" spans="1:18" x14ac:dyDescent="0.25">
      <c r="A1426" s="170">
        <v>44104</v>
      </c>
      <c r="B1426" s="116">
        <v>215.15</v>
      </c>
      <c r="C1426" s="116">
        <v>209.9</v>
      </c>
      <c r="D1426" s="116">
        <v>209.1</v>
      </c>
      <c r="E1426" s="116">
        <v>214.25</v>
      </c>
      <c r="F1426" s="116">
        <v>209.9</v>
      </c>
      <c r="G1426">
        <v>14624</v>
      </c>
      <c r="H1426" s="116"/>
      <c r="I1426" s="116"/>
      <c r="L1426" s="170">
        <v>44105</v>
      </c>
      <c r="M1426" s="116">
        <v>208.25</v>
      </c>
      <c r="N1426" s="116">
        <v>212.95</v>
      </c>
      <c r="O1426" s="116">
        <v>207.65</v>
      </c>
      <c r="P1426" s="116">
        <v>210.5</v>
      </c>
      <c r="Q1426" s="116">
        <v>208.25</v>
      </c>
      <c r="R1426">
        <v>352330</v>
      </c>
    </row>
    <row r="1427" spans="1:18" x14ac:dyDescent="0.25">
      <c r="A1427" s="170">
        <v>44105</v>
      </c>
      <c r="B1427" s="116">
        <v>212.7</v>
      </c>
      <c r="C1427" s="116">
        <v>208.4</v>
      </c>
      <c r="D1427" s="116">
        <v>207.7</v>
      </c>
      <c r="E1427" s="116">
        <v>212.5</v>
      </c>
      <c r="F1427" s="116">
        <v>208.4</v>
      </c>
      <c r="G1427">
        <v>8804</v>
      </c>
      <c r="H1427" s="116"/>
      <c r="I1427" s="116"/>
      <c r="L1427" s="170">
        <v>44109</v>
      </c>
      <c r="M1427" s="116">
        <v>213.75</v>
      </c>
      <c r="N1427" s="116">
        <v>214.45</v>
      </c>
      <c r="O1427" s="116">
        <v>208.5</v>
      </c>
      <c r="P1427" s="116">
        <v>208.5</v>
      </c>
      <c r="Q1427" s="116">
        <v>213.75</v>
      </c>
      <c r="R1427">
        <v>644180</v>
      </c>
    </row>
    <row r="1428" spans="1:18" x14ac:dyDescent="0.25">
      <c r="A1428" s="170">
        <v>44109</v>
      </c>
      <c r="B1428" s="116">
        <v>214.4</v>
      </c>
      <c r="C1428" s="116">
        <v>213.65</v>
      </c>
      <c r="D1428" s="116">
        <v>208.4</v>
      </c>
      <c r="E1428" s="116">
        <v>208.4</v>
      </c>
      <c r="F1428" s="116">
        <v>213.65</v>
      </c>
      <c r="G1428">
        <v>55406</v>
      </c>
      <c r="H1428" s="116"/>
      <c r="I1428" s="116"/>
      <c r="L1428" s="170">
        <v>44110</v>
      </c>
      <c r="M1428" s="116">
        <v>221.4</v>
      </c>
      <c r="N1428" s="116">
        <v>222.8</v>
      </c>
      <c r="O1428" s="116">
        <v>214.05</v>
      </c>
      <c r="P1428" s="116">
        <v>215.2</v>
      </c>
      <c r="Q1428" s="116">
        <v>221.4</v>
      </c>
      <c r="R1428">
        <v>1416505</v>
      </c>
    </row>
    <row r="1429" spans="1:18" x14ac:dyDescent="0.25">
      <c r="A1429" s="170">
        <v>44110</v>
      </c>
      <c r="B1429" s="116">
        <v>222.7</v>
      </c>
      <c r="C1429" s="116">
        <v>221.5</v>
      </c>
      <c r="D1429" s="116">
        <v>214.2</v>
      </c>
      <c r="E1429" s="116">
        <v>216.9</v>
      </c>
      <c r="F1429" s="116">
        <v>221.5</v>
      </c>
      <c r="G1429">
        <v>54275</v>
      </c>
      <c r="H1429" s="116"/>
      <c r="I1429" s="116"/>
      <c r="L1429" s="170">
        <v>44111</v>
      </c>
      <c r="M1429" s="116">
        <v>210.75</v>
      </c>
      <c r="N1429" s="116">
        <v>225</v>
      </c>
      <c r="O1429" s="116">
        <v>209.2</v>
      </c>
      <c r="P1429" s="116">
        <v>222</v>
      </c>
      <c r="Q1429" s="116">
        <v>210.75</v>
      </c>
      <c r="R1429">
        <v>1492836</v>
      </c>
    </row>
    <row r="1430" spans="1:18" x14ac:dyDescent="0.25">
      <c r="A1430" s="170">
        <v>44111</v>
      </c>
      <c r="B1430" s="116">
        <v>224.75</v>
      </c>
      <c r="C1430" s="116">
        <v>210.9</v>
      </c>
      <c r="D1430" s="116">
        <v>209.25</v>
      </c>
      <c r="E1430" s="116">
        <v>220.15</v>
      </c>
      <c r="F1430" s="116">
        <v>210.9</v>
      </c>
      <c r="G1430">
        <v>94959</v>
      </c>
      <c r="H1430" s="116"/>
      <c r="I1430" s="116"/>
      <c r="L1430" s="170">
        <v>44112</v>
      </c>
      <c r="M1430" s="116">
        <v>205</v>
      </c>
      <c r="N1430" s="116">
        <v>213.8</v>
      </c>
      <c r="O1430" s="116">
        <v>203</v>
      </c>
      <c r="P1430" s="116">
        <v>212</v>
      </c>
      <c r="Q1430" s="116">
        <v>205</v>
      </c>
      <c r="R1430">
        <v>1807636</v>
      </c>
    </row>
    <row r="1431" spans="1:18" x14ac:dyDescent="0.25">
      <c r="A1431" s="170">
        <v>44112</v>
      </c>
      <c r="B1431" s="116">
        <v>213.6</v>
      </c>
      <c r="C1431" s="116">
        <v>205</v>
      </c>
      <c r="D1431" s="116">
        <v>203.15</v>
      </c>
      <c r="E1431" s="116">
        <v>211.35</v>
      </c>
      <c r="F1431" s="116">
        <v>205</v>
      </c>
      <c r="G1431">
        <v>93345</v>
      </c>
      <c r="H1431" s="116"/>
      <c r="I1431" s="116"/>
      <c r="L1431" s="170">
        <v>44113</v>
      </c>
      <c r="M1431" s="116">
        <v>208.6</v>
      </c>
      <c r="N1431" s="116">
        <v>211.75</v>
      </c>
      <c r="O1431" s="116">
        <v>207.25</v>
      </c>
      <c r="P1431" s="116">
        <v>208</v>
      </c>
      <c r="Q1431" s="116">
        <v>208.6</v>
      </c>
      <c r="R1431">
        <v>953525</v>
      </c>
    </row>
    <row r="1432" spans="1:18" x14ac:dyDescent="0.25">
      <c r="A1432" s="170">
        <v>44113</v>
      </c>
      <c r="B1432" s="116">
        <v>211.55</v>
      </c>
      <c r="C1432" s="116">
        <v>208.5</v>
      </c>
      <c r="D1432" s="116">
        <v>206</v>
      </c>
      <c r="E1432" s="116">
        <v>206</v>
      </c>
      <c r="F1432" s="116">
        <v>208.5</v>
      </c>
      <c r="G1432">
        <v>67636</v>
      </c>
      <c r="H1432" s="116"/>
      <c r="I1432" s="116"/>
      <c r="L1432" s="170">
        <v>44116</v>
      </c>
      <c r="M1432" s="116">
        <v>198.1</v>
      </c>
      <c r="N1432" s="116">
        <v>207.75</v>
      </c>
      <c r="O1432" s="116">
        <v>197.3</v>
      </c>
      <c r="P1432" s="116">
        <v>200</v>
      </c>
      <c r="Q1432" s="116">
        <v>198.1</v>
      </c>
      <c r="R1432">
        <v>1695186</v>
      </c>
    </row>
    <row r="1433" spans="1:18" x14ac:dyDescent="0.25">
      <c r="A1433" s="170">
        <v>44116</v>
      </c>
      <c r="B1433" s="116">
        <v>207.6</v>
      </c>
      <c r="C1433" s="116">
        <v>198.25</v>
      </c>
      <c r="D1433" s="116">
        <v>197.55</v>
      </c>
      <c r="E1433" s="116">
        <v>202.5</v>
      </c>
      <c r="F1433" s="116">
        <v>198.25</v>
      </c>
      <c r="G1433">
        <v>81274</v>
      </c>
      <c r="H1433" s="116"/>
      <c r="I1433" s="116"/>
      <c r="L1433" s="170">
        <v>44117</v>
      </c>
      <c r="M1433" s="116">
        <v>206.1</v>
      </c>
      <c r="N1433" s="116">
        <v>209.75</v>
      </c>
      <c r="O1433" s="116">
        <v>198.1</v>
      </c>
      <c r="P1433" s="116">
        <v>200</v>
      </c>
      <c r="Q1433" s="116">
        <v>206.1</v>
      </c>
      <c r="R1433">
        <v>1470485</v>
      </c>
    </row>
    <row r="1434" spans="1:18" x14ac:dyDescent="0.25">
      <c r="A1434" s="170">
        <v>44117</v>
      </c>
      <c r="B1434" s="116">
        <v>209.7</v>
      </c>
      <c r="C1434" s="116">
        <v>206.05</v>
      </c>
      <c r="D1434" s="116">
        <v>197.85</v>
      </c>
      <c r="E1434" s="116">
        <v>198.25</v>
      </c>
      <c r="F1434" s="116">
        <v>206.05</v>
      </c>
      <c r="G1434">
        <v>123886</v>
      </c>
      <c r="H1434" s="116"/>
      <c r="I1434" s="116"/>
      <c r="L1434" s="170">
        <v>44118</v>
      </c>
      <c r="M1434" s="116">
        <v>213.1</v>
      </c>
      <c r="N1434" s="116">
        <v>216.15</v>
      </c>
      <c r="O1434" s="116">
        <v>203</v>
      </c>
      <c r="P1434" s="116">
        <v>208.85</v>
      </c>
      <c r="Q1434" s="116">
        <v>213.1</v>
      </c>
      <c r="R1434">
        <v>1563689</v>
      </c>
    </row>
    <row r="1435" spans="1:18" x14ac:dyDescent="0.25">
      <c r="A1435" s="170">
        <v>44118</v>
      </c>
      <c r="B1435" s="116">
        <v>216.25</v>
      </c>
      <c r="C1435" s="116">
        <v>213.35</v>
      </c>
      <c r="D1435" s="116">
        <v>203.15</v>
      </c>
      <c r="E1435" s="116">
        <v>208.85</v>
      </c>
      <c r="F1435" s="116">
        <v>213.35</v>
      </c>
      <c r="G1435">
        <v>65002</v>
      </c>
      <c r="H1435" s="116"/>
      <c r="I1435" s="116"/>
      <c r="L1435" s="170">
        <v>44119</v>
      </c>
      <c r="M1435" s="116">
        <v>207.5</v>
      </c>
      <c r="N1435" s="116">
        <v>218.4</v>
      </c>
      <c r="O1435" s="116">
        <v>206.2</v>
      </c>
      <c r="P1435" s="116">
        <v>217</v>
      </c>
      <c r="Q1435" s="116">
        <v>207.5</v>
      </c>
      <c r="R1435">
        <v>1119772</v>
      </c>
    </row>
    <row r="1436" spans="1:18" x14ac:dyDescent="0.25">
      <c r="A1436" s="170">
        <v>44119</v>
      </c>
      <c r="B1436" s="116">
        <v>218</v>
      </c>
      <c r="C1436" s="116">
        <v>207.15</v>
      </c>
      <c r="D1436" s="116">
        <v>206.35</v>
      </c>
      <c r="E1436" s="116">
        <v>216.95</v>
      </c>
      <c r="F1436" s="116">
        <v>207.15</v>
      </c>
      <c r="G1436">
        <v>77075</v>
      </c>
      <c r="H1436" s="116"/>
      <c r="I1436" s="116"/>
      <c r="L1436" s="170">
        <v>44120</v>
      </c>
      <c r="M1436" s="116">
        <v>211.75</v>
      </c>
      <c r="N1436" s="116">
        <v>216</v>
      </c>
      <c r="O1436" s="116">
        <v>209.45</v>
      </c>
      <c r="P1436" s="116">
        <v>213.5</v>
      </c>
      <c r="Q1436" s="116">
        <v>211.75</v>
      </c>
      <c r="R1436">
        <v>1397663</v>
      </c>
    </row>
    <row r="1437" spans="1:18" x14ac:dyDescent="0.25">
      <c r="A1437" s="170">
        <v>44120</v>
      </c>
      <c r="B1437" s="116">
        <v>215.6</v>
      </c>
      <c r="C1437" s="116">
        <v>211.9</v>
      </c>
      <c r="D1437" s="116">
        <v>209.5</v>
      </c>
      <c r="E1437" s="116">
        <v>211.45</v>
      </c>
      <c r="F1437" s="116">
        <v>211.9</v>
      </c>
      <c r="G1437">
        <v>34379</v>
      </c>
      <c r="H1437" s="116"/>
      <c r="I1437" s="116"/>
      <c r="L1437" s="170">
        <v>44123</v>
      </c>
      <c r="M1437" s="116">
        <v>220.9</v>
      </c>
      <c r="N1437" s="116">
        <v>222.5</v>
      </c>
      <c r="O1437" s="116">
        <v>212.65</v>
      </c>
      <c r="P1437" s="116">
        <v>215.5</v>
      </c>
      <c r="Q1437" s="116">
        <v>220.9</v>
      </c>
      <c r="R1437">
        <v>1740547</v>
      </c>
    </row>
    <row r="1438" spans="1:18" x14ac:dyDescent="0.25">
      <c r="A1438" s="170">
        <v>44123</v>
      </c>
      <c r="B1438" s="116">
        <v>222.5</v>
      </c>
      <c r="C1438" s="116">
        <v>220.8</v>
      </c>
      <c r="D1438" s="116">
        <v>212.8</v>
      </c>
      <c r="E1438" s="116">
        <v>216</v>
      </c>
      <c r="F1438" s="116">
        <v>220.8</v>
      </c>
      <c r="G1438">
        <v>106059</v>
      </c>
      <c r="H1438" s="116"/>
      <c r="I1438" s="116"/>
      <c r="L1438" s="170">
        <v>44124</v>
      </c>
      <c r="M1438" s="116">
        <v>222.85</v>
      </c>
      <c r="N1438" s="116">
        <v>224.8</v>
      </c>
      <c r="O1438" s="116">
        <v>217.4</v>
      </c>
      <c r="P1438" s="116">
        <v>221.5</v>
      </c>
      <c r="Q1438" s="116">
        <v>222.85</v>
      </c>
      <c r="R1438">
        <v>2494381</v>
      </c>
    </row>
    <row r="1439" spans="1:18" x14ac:dyDescent="0.25">
      <c r="A1439" s="170">
        <v>44124</v>
      </c>
      <c r="B1439" s="116">
        <v>224.7</v>
      </c>
      <c r="C1439" s="116">
        <v>222.95</v>
      </c>
      <c r="D1439" s="116">
        <v>217.5</v>
      </c>
      <c r="E1439" s="116">
        <v>220.85</v>
      </c>
      <c r="F1439" s="116">
        <v>222.95</v>
      </c>
      <c r="G1439">
        <v>107460</v>
      </c>
      <c r="H1439" s="116"/>
      <c r="I1439" s="116"/>
      <c r="L1439" s="170">
        <v>44125</v>
      </c>
      <c r="M1439" s="116">
        <v>233.1</v>
      </c>
      <c r="N1439" s="116">
        <v>235.7</v>
      </c>
      <c r="O1439" s="116">
        <v>227.15</v>
      </c>
      <c r="P1439" s="116">
        <v>231.75</v>
      </c>
      <c r="Q1439" s="116">
        <v>233.1</v>
      </c>
      <c r="R1439">
        <v>8286204</v>
      </c>
    </row>
    <row r="1440" spans="1:18" x14ac:dyDescent="0.25">
      <c r="A1440" s="170">
        <v>44125</v>
      </c>
      <c r="B1440" s="116">
        <v>235.8</v>
      </c>
      <c r="C1440" s="116">
        <v>233.05</v>
      </c>
      <c r="D1440" s="116">
        <v>226.55</v>
      </c>
      <c r="E1440" s="116">
        <v>231.25</v>
      </c>
      <c r="F1440" s="116">
        <v>233.05</v>
      </c>
      <c r="G1440">
        <v>462402</v>
      </c>
      <c r="H1440" s="116"/>
      <c r="I1440" s="116"/>
      <c r="L1440" s="170">
        <v>44126</v>
      </c>
      <c r="M1440" s="116">
        <v>238.6</v>
      </c>
      <c r="N1440" s="116">
        <v>240</v>
      </c>
      <c r="O1440" s="116">
        <v>234</v>
      </c>
      <c r="P1440" s="116">
        <v>236.35</v>
      </c>
      <c r="Q1440" s="116">
        <v>238.6</v>
      </c>
      <c r="R1440">
        <v>3639533</v>
      </c>
    </row>
    <row r="1441" spans="1:18" x14ac:dyDescent="0.25">
      <c r="A1441" s="170">
        <v>44126</v>
      </c>
      <c r="B1441" s="116">
        <v>240</v>
      </c>
      <c r="C1441" s="116">
        <v>238.7</v>
      </c>
      <c r="D1441" s="116">
        <v>234.15</v>
      </c>
      <c r="E1441" s="116">
        <v>236.4</v>
      </c>
      <c r="F1441" s="116">
        <v>238.7</v>
      </c>
      <c r="G1441">
        <v>136094</v>
      </c>
      <c r="H1441" s="116"/>
      <c r="I1441" s="116"/>
      <c r="L1441" s="170">
        <v>44127</v>
      </c>
      <c r="M1441" s="116">
        <v>239.65</v>
      </c>
      <c r="N1441" s="116">
        <v>243</v>
      </c>
      <c r="O1441" s="116">
        <v>238.25</v>
      </c>
      <c r="P1441" s="116">
        <v>242</v>
      </c>
      <c r="Q1441" s="116">
        <v>239.65</v>
      </c>
      <c r="R1441">
        <v>2155558</v>
      </c>
    </row>
    <row r="1442" spans="1:18" x14ac:dyDescent="0.25">
      <c r="A1442" s="170">
        <v>44127</v>
      </c>
      <c r="B1442" s="116">
        <v>243</v>
      </c>
      <c r="C1442" s="116">
        <v>239.55</v>
      </c>
      <c r="D1442" s="116">
        <v>238.6</v>
      </c>
      <c r="E1442" s="116">
        <v>242.1</v>
      </c>
      <c r="F1442" s="116">
        <v>239.55</v>
      </c>
      <c r="G1442">
        <v>236188</v>
      </c>
      <c r="H1442" s="116"/>
      <c r="I1442" s="116"/>
      <c r="L1442" s="170">
        <v>44130</v>
      </c>
      <c r="M1442" s="116">
        <v>236.6</v>
      </c>
      <c r="N1442" s="116">
        <v>242.5</v>
      </c>
      <c r="O1442" s="116">
        <v>234.25</v>
      </c>
      <c r="P1442" s="116">
        <v>242</v>
      </c>
      <c r="Q1442" s="116">
        <v>236.6</v>
      </c>
      <c r="R1442">
        <v>2512393</v>
      </c>
    </row>
    <row r="1443" spans="1:18" x14ac:dyDescent="0.25">
      <c r="A1443" s="170">
        <v>44130</v>
      </c>
      <c r="B1443" s="116">
        <v>243.45</v>
      </c>
      <c r="C1443" s="116">
        <v>236.5</v>
      </c>
      <c r="D1443" s="116">
        <v>234.2</v>
      </c>
      <c r="E1443" s="116">
        <v>243.45</v>
      </c>
      <c r="F1443" s="116">
        <v>236.5</v>
      </c>
      <c r="G1443">
        <v>181956</v>
      </c>
      <c r="H1443" s="116"/>
      <c r="I1443" s="116"/>
      <c r="L1443" s="170">
        <v>44131</v>
      </c>
      <c r="M1443" s="116">
        <v>214.7</v>
      </c>
      <c r="N1443" s="116">
        <v>219.7</v>
      </c>
      <c r="O1443" s="116">
        <v>211.35</v>
      </c>
      <c r="P1443" s="116">
        <v>214</v>
      </c>
      <c r="Q1443" s="116">
        <v>214.7</v>
      </c>
      <c r="R1443">
        <v>3474280</v>
      </c>
    </row>
    <row r="1444" spans="1:18" x14ac:dyDescent="0.25">
      <c r="A1444" s="170">
        <v>44131</v>
      </c>
      <c r="B1444" s="116">
        <v>219.5</v>
      </c>
      <c r="C1444" s="116">
        <v>214.75</v>
      </c>
      <c r="D1444" s="116">
        <v>211.3</v>
      </c>
      <c r="E1444" s="116">
        <v>214.5</v>
      </c>
      <c r="F1444" s="116">
        <v>214.75</v>
      </c>
      <c r="G1444">
        <v>99594</v>
      </c>
      <c r="H1444" s="116"/>
      <c r="I1444" s="116"/>
      <c r="L1444" s="170">
        <v>44132</v>
      </c>
      <c r="M1444" s="116">
        <v>210.25</v>
      </c>
      <c r="N1444" s="116">
        <v>215.75</v>
      </c>
      <c r="O1444" s="116">
        <v>209.05</v>
      </c>
      <c r="P1444" s="116">
        <v>215</v>
      </c>
      <c r="Q1444" s="116">
        <v>210.25</v>
      </c>
      <c r="R1444">
        <v>1154625</v>
      </c>
    </row>
    <row r="1445" spans="1:18" x14ac:dyDescent="0.25">
      <c r="A1445" s="170">
        <v>44132</v>
      </c>
      <c r="B1445" s="116">
        <v>215.85</v>
      </c>
      <c r="C1445" s="116">
        <v>210.25</v>
      </c>
      <c r="D1445" s="116">
        <v>209.15</v>
      </c>
      <c r="E1445" s="116">
        <v>213.5</v>
      </c>
      <c r="F1445" s="116">
        <v>210.25</v>
      </c>
      <c r="G1445">
        <v>151925</v>
      </c>
      <c r="H1445" s="116"/>
      <c r="I1445" s="116"/>
      <c r="L1445" s="170">
        <v>44133</v>
      </c>
      <c r="M1445" s="116">
        <v>204.5</v>
      </c>
      <c r="N1445" s="116">
        <v>207.95</v>
      </c>
      <c r="O1445" s="116">
        <v>203.5</v>
      </c>
      <c r="P1445" s="116">
        <v>205</v>
      </c>
      <c r="Q1445" s="116">
        <v>204.5</v>
      </c>
      <c r="R1445">
        <v>1240966</v>
      </c>
    </row>
    <row r="1446" spans="1:18" x14ac:dyDescent="0.25">
      <c r="A1446" s="170">
        <v>44133</v>
      </c>
      <c r="B1446" s="116">
        <v>208</v>
      </c>
      <c r="C1446" s="116">
        <v>204.55</v>
      </c>
      <c r="D1446" s="116">
        <v>203.4</v>
      </c>
      <c r="E1446" s="116">
        <v>203.4</v>
      </c>
      <c r="F1446" s="116">
        <v>204.55</v>
      </c>
      <c r="G1446">
        <v>120347</v>
      </c>
      <c r="H1446" s="116"/>
      <c r="I1446" s="116"/>
      <c r="L1446" s="170">
        <v>44134</v>
      </c>
      <c r="M1446" s="116">
        <v>203.3</v>
      </c>
      <c r="N1446" s="116">
        <v>207.6</v>
      </c>
      <c r="O1446" s="116">
        <v>202.3</v>
      </c>
      <c r="P1446" s="116">
        <v>205.55</v>
      </c>
      <c r="Q1446" s="116">
        <v>203.3</v>
      </c>
      <c r="R1446">
        <v>875586</v>
      </c>
    </row>
    <row r="1447" spans="1:18" x14ac:dyDescent="0.25">
      <c r="A1447" s="170">
        <v>44134</v>
      </c>
      <c r="B1447" s="116">
        <v>207.55</v>
      </c>
      <c r="C1447" s="116">
        <v>203.25</v>
      </c>
      <c r="D1447" s="116">
        <v>202.2</v>
      </c>
      <c r="E1447" s="116">
        <v>204.6</v>
      </c>
      <c r="F1447" s="116">
        <v>203.25</v>
      </c>
      <c r="G1447">
        <v>94404</v>
      </c>
      <c r="H1447" s="116"/>
      <c r="I1447" s="116"/>
      <c r="L1447" s="170">
        <v>44137</v>
      </c>
      <c r="M1447" s="116">
        <v>202.95</v>
      </c>
      <c r="N1447" s="116">
        <v>204.8</v>
      </c>
      <c r="O1447" s="116">
        <v>200.05</v>
      </c>
      <c r="P1447" s="116">
        <v>203.6</v>
      </c>
      <c r="Q1447" s="116">
        <v>202.95</v>
      </c>
      <c r="R1447">
        <v>948805</v>
      </c>
    </row>
    <row r="1448" spans="1:18" x14ac:dyDescent="0.25">
      <c r="A1448" s="170">
        <v>44137</v>
      </c>
      <c r="B1448" s="116">
        <v>205</v>
      </c>
      <c r="C1448" s="116">
        <v>202.75</v>
      </c>
      <c r="D1448" s="116">
        <v>200.4</v>
      </c>
      <c r="E1448" s="116">
        <v>205</v>
      </c>
      <c r="F1448" s="116">
        <v>202.75</v>
      </c>
      <c r="G1448">
        <v>35528</v>
      </c>
      <c r="H1448" s="116"/>
      <c r="I1448" s="116"/>
      <c r="L1448" s="170">
        <v>44138</v>
      </c>
      <c r="M1448" s="116">
        <v>212.45</v>
      </c>
      <c r="N1448" s="116">
        <v>213.8</v>
      </c>
      <c r="O1448" s="116">
        <v>203</v>
      </c>
      <c r="P1448" s="116">
        <v>203</v>
      </c>
      <c r="Q1448" s="116">
        <v>212.45</v>
      </c>
      <c r="R1448">
        <v>1656081</v>
      </c>
    </row>
    <row r="1449" spans="1:18" x14ac:dyDescent="0.25">
      <c r="A1449" s="170">
        <v>44138</v>
      </c>
      <c r="B1449" s="116">
        <v>213.8</v>
      </c>
      <c r="C1449" s="116">
        <v>212.25</v>
      </c>
      <c r="D1449" s="116">
        <v>203.85</v>
      </c>
      <c r="E1449" s="116">
        <v>204</v>
      </c>
      <c r="F1449" s="116">
        <v>212.25</v>
      </c>
      <c r="G1449">
        <v>43340</v>
      </c>
      <c r="H1449" s="116"/>
      <c r="I1449" s="116"/>
      <c r="L1449" s="170">
        <v>44139</v>
      </c>
      <c r="M1449" s="116">
        <v>213.95</v>
      </c>
      <c r="N1449" s="116">
        <v>215.8</v>
      </c>
      <c r="O1449" s="116">
        <v>210.65</v>
      </c>
      <c r="P1449" s="116">
        <v>214</v>
      </c>
      <c r="Q1449" s="116">
        <v>213.95</v>
      </c>
      <c r="R1449">
        <v>1035424</v>
      </c>
    </row>
    <row r="1450" spans="1:18" x14ac:dyDescent="0.25">
      <c r="A1450" s="170">
        <v>44139</v>
      </c>
      <c r="B1450" s="116">
        <v>215.6</v>
      </c>
      <c r="C1450" s="116">
        <v>213.85</v>
      </c>
      <c r="D1450" s="116">
        <v>211.05</v>
      </c>
      <c r="E1450" s="116">
        <v>214</v>
      </c>
      <c r="F1450" s="116">
        <v>213.85</v>
      </c>
      <c r="G1450">
        <v>63911</v>
      </c>
      <c r="H1450" s="116"/>
      <c r="I1450" s="116"/>
      <c r="L1450" s="170">
        <v>44140</v>
      </c>
      <c r="M1450" s="116">
        <v>215.4</v>
      </c>
      <c r="N1450" s="116">
        <v>216.95</v>
      </c>
      <c r="O1450" s="116">
        <v>212.85</v>
      </c>
      <c r="P1450" s="116">
        <v>214.25</v>
      </c>
      <c r="Q1450" s="116">
        <v>215.4</v>
      </c>
      <c r="R1450">
        <v>777750</v>
      </c>
    </row>
    <row r="1451" spans="1:18" x14ac:dyDescent="0.25">
      <c r="A1451" s="170">
        <v>44140</v>
      </c>
      <c r="B1451" s="116">
        <v>216.9</v>
      </c>
      <c r="C1451" s="116">
        <v>215.4</v>
      </c>
      <c r="D1451" s="116">
        <v>213</v>
      </c>
      <c r="E1451" s="116">
        <v>214</v>
      </c>
      <c r="F1451" s="116">
        <v>215.4</v>
      </c>
      <c r="G1451">
        <v>30733</v>
      </c>
      <c r="H1451" s="116"/>
      <c r="I1451" s="116"/>
      <c r="L1451" s="170">
        <v>44141</v>
      </c>
      <c r="M1451" s="116">
        <v>224.65</v>
      </c>
      <c r="N1451" s="116">
        <v>225.6</v>
      </c>
      <c r="O1451" s="116">
        <v>216.5</v>
      </c>
      <c r="P1451" s="116">
        <v>217</v>
      </c>
      <c r="Q1451" s="116">
        <v>224.65</v>
      </c>
      <c r="R1451">
        <v>1819210</v>
      </c>
    </row>
    <row r="1452" spans="1:18" x14ac:dyDescent="0.25">
      <c r="A1452" s="170">
        <v>44141</v>
      </c>
      <c r="B1452" s="116">
        <v>225.5</v>
      </c>
      <c r="C1452" s="116">
        <v>224.55</v>
      </c>
      <c r="D1452" s="116">
        <v>216.15</v>
      </c>
      <c r="E1452" s="116">
        <v>216.9</v>
      </c>
      <c r="F1452" s="116">
        <v>224.55</v>
      </c>
      <c r="G1452">
        <v>202074</v>
      </c>
      <c r="H1452" s="116"/>
      <c r="I1452" s="116"/>
      <c r="L1452" s="170">
        <v>44144</v>
      </c>
      <c r="M1452" s="116">
        <v>226.5</v>
      </c>
      <c r="N1452" s="116">
        <v>227.75</v>
      </c>
      <c r="O1452" s="116">
        <v>224.65</v>
      </c>
      <c r="P1452" s="116">
        <v>225.8</v>
      </c>
      <c r="Q1452" s="116">
        <v>226.5</v>
      </c>
      <c r="R1452">
        <v>943058</v>
      </c>
    </row>
    <row r="1453" spans="1:18" x14ac:dyDescent="0.25">
      <c r="A1453" s="170">
        <v>44144</v>
      </c>
      <c r="B1453" s="116">
        <v>227.85</v>
      </c>
      <c r="C1453" s="116">
        <v>226.45</v>
      </c>
      <c r="D1453" s="116">
        <v>224.1</v>
      </c>
      <c r="E1453" s="116">
        <v>224.1</v>
      </c>
      <c r="F1453" s="116">
        <v>226.45</v>
      </c>
      <c r="G1453">
        <v>37007</v>
      </c>
      <c r="H1453" s="116"/>
      <c r="I1453" s="116"/>
      <c r="L1453" s="170">
        <v>44145</v>
      </c>
      <c r="M1453" s="116">
        <v>217.25</v>
      </c>
      <c r="N1453" s="116">
        <v>229.85</v>
      </c>
      <c r="O1453" s="116">
        <v>215.2</v>
      </c>
      <c r="P1453" s="116">
        <v>229.45</v>
      </c>
      <c r="Q1453" s="116">
        <v>217.25</v>
      </c>
      <c r="R1453">
        <v>1580254</v>
      </c>
    </row>
    <row r="1454" spans="1:18" x14ac:dyDescent="0.25">
      <c r="A1454" s="170">
        <v>44145</v>
      </c>
      <c r="B1454" s="116">
        <v>228.9</v>
      </c>
      <c r="C1454" s="116">
        <v>217.35</v>
      </c>
      <c r="D1454" s="116">
        <v>215.5</v>
      </c>
      <c r="E1454" s="116">
        <v>228.05</v>
      </c>
      <c r="F1454" s="116">
        <v>217.35</v>
      </c>
      <c r="G1454">
        <v>90268</v>
      </c>
      <c r="H1454" s="116"/>
      <c r="I1454" s="116"/>
      <c r="L1454" s="170">
        <v>44146</v>
      </c>
      <c r="M1454" s="116">
        <v>224.45</v>
      </c>
      <c r="N1454" s="116">
        <v>225.5</v>
      </c>
      <c r="O1454" s="116">
        <v>216.5</v>
      </c>
      <c r="P1454" s="116">
        <v>217.75</v>
      </c>
      <c r="Q1454" s="116">
        <v>224.45</v>
      </c>
      <c r="R1454">
        <v>1747921</v>
      </c>
    </row>
    <row r="1455" spans="1:18" x14ac:dyDescent="0.25">
      <c r="A1455" s="170">
        <v>44146</v>
      </c>
      <c r="B1455" s="116">
        <v>225.3</v>
      </c>
      <c r="C1455" s="116">
        <v>224.7</v>
      </c>
      <c r="D1455" s="116">
        <v>216.55</v>
      </c>
      <c r="E1455" s="116">
        <v>217.85</v>
      </c>
      <c r="F1455" s="116">
        <v>224.7</v>
      </c>
      <c r="G1455">
        <v>159071</v>
      </c>
      <c r="H1455" s="116"/>
      <c r="I1455" s="116"/>
      <c r="L1455" s="170">
        <v>44147</v>
      </c>
      <c r="M1455" s="116">
        <v>228.8</v>
      </c>
      <c r="N1455" s="116">
        <v>230</v>
      </c>
      <c r="O1455" s="116">
        <v>222.2</v>
      </c>
      <c r="P1455" s="116">
        <v>225</v>
      </c>
      <c r="Q1455" s="116">
        <v>228.8</v>
      </c>
      <c r="R1455">
        <v>1790385</v>
      </c>
    </row>
    <row r="1456" spans="1:18" x14ac:dyDescent="0.25">
      <c r="A1456" s="170">
        <v>44147</v>
      </c>
      <c r="B1456" s="116">
        <v>229.9</v>
      </c>
      <c r="C1456" s="116">
        <v>228.7</v>
      </c>
      <c r="D1456" s="116">
        <v>222.35</v>
      </c>
      <c r="E1456" s="116">
        <v>224.7</v>
      </c>
      <c r="F1456" s="116">
        <v>228.7</v>
      </c>
      <c r="G1456">
        <v>113476</v>
      </c>
      <c r="H1456" s="116"/>
      <c r="I1456" s="116"/>
      <c r="L1456" s="170">
        <v>44148</v>
      </c>
      <c r="M1456" s="116">
        <v>227.95</v>
      </c>
      <c r="N1456" s="116">
        <v>228.8</v>
      </c>
      <c r="O1456" s="116">
        <v>225</v>
      </c>
      <c r="P1456" s="116">
        <v>227.95</v>
      </c>
      <c r="Q1456" s="116">
        <v>227.95</v>
      </c>
      <c r="R1456">
        <v>383354</v>
      </c>
    </row>
    <row r="1457" spans="1:18" x14ac:dyDescent="0.25">
      <c r="A1457" s="170">
        <v>44148</v>
      </c>
      <c r="B1457" s="116">
        <v>229.9</v>
      </c>
      <c r="C1457" s="116">
        <v>227.7</v>
      </c>
      <c r="D1457" s="116">
        <v>225.1</v>
      </c>
      <c r="E1457" s="116">
        <v>229.9</v>
      </c>
      <c r="F1457" s="116">
        <v>227.7</v>
      </c>
      <c r="G1457">
        <v>24907</v>
      </c>
      <c r="H1457" s="116"/>
      <c r="I1457" s="116"/>
      <c r="L1457" s="170">
        <v>44149</v>
      </c>
      <c r="M1457" s="116">
        <v>228.7</v>
      </c>
      <c r="N1457" s="116">
        <v>230</v>
      </c>
      <c r="O1457" s="116">
        <v>227.05</v>
      </c>
      <c r="P1457" s="116">
        <v>229.95</v>
      </c>
      <c r="Q1457" s="116">
        <v>228.7</v>
      </c>
      <c r="R1457">
        <v>183740</v>
      </c>
    </row>
    <row r="1458" spans="1:18" x14ac:dyDescent="0.25">
      <c r="A1458" s="170">
        <v>44149</v>
      </c>
      <c r="B1458" s="116">
        <v>230</v>
      </c>
      <c r="C1458" s="116">
        <v>228.4</v>
      </c>
      <c r="D1458" s="116">
        <v>226.95</v>
      </c>
      <c r="E1458" s="116">
        <v>229</v>
      </c>
      <c r="F1458" s="116">
        <v>228.4</v>
      </c>
      <c r="G1458">
        <v>15605</v>
      </c>
      <c r="H1458" s="116"/>
      <c r="I1458" s="116"/>
      <c r="L1458" s="170">
        <v>44152</v>
      </c>
      <c r="M1458" s="116">
        <v>224.15</v>
      </c>
      <c r="N1458" s="116">
        <v>228.6</v>
      </c>
      <c r="O1458" s="116">
        <v>222.5</v>
      </c>
      <c r="P1458" s="116">
        <v>228</v>
      </c>
      <c r="Q1458" s="116">
        <v>224.15</v>
      </c>
      <c r="R1458">
        <v>827016</v>
      </c>
    </row>
    <row r="1459" spans="1:18" x14ac:dyDescent="0.25">
      <c r="A1459" s="170">
        <v>44152</v>
      </c>
      <c r="B1459" s="116">
        <v>229.8</v>
      </c>
      <c r="C1459" s="116">
        <v>223.95</v>
      </c>
      <c r="D1459" s="116">
        <v>222.6</v>
      </c>
      <c r="E1459" s="116">
        <v>229.8</v>
      </c>
      <c r="F1459" s="116">
        <v>223.95</v>
      </c>
      <c r="G1459">
        <v>43344</v>
      </c>
      <c r="H1459" s="116"/>
      <c r="I1459" s="116"/>
      <c r="L1459" s="170">
        <v>44153</v>
      </c>
      <c r="M1459" s="116">
        <v>227.25</v>
      </c>
      <c r="N1459" s="116">
        <v>230</v>
      </c>
      <c r="O1459" s="116">
        <v>220.6</v>
      </c>
      <c r="P1459" s="116">
        <v>223</v>
      </c>
      <c r="Q1459" s="116">
        <v>227.25</v>
      </c>
      <c r="R1459">
        <v>900958</v>
      </c>
    </row>
    <row r="1460" spans="1:18" x14ac:dyDescent="0.25">
      <c r="A1460" s="170">
        <v>44153</v>
      </c>
      <c r="B1460" s="116">
        <v>229.9</v>
      </c>
      <c r="C1460" s="116">
        <v>227.1</v>
      </c>
      <c r="D1460" s="116">
        <v>220.9</v>
      </c>
      <c r="E1460" s="116">
        <v>224</v>
      </c>
      <c r="F1460" s="116">
        <v>227.1</v>
      </c>
      <c r="G1460">
        <v>45356</v>
      </c>
      <c r="H1460" s="116"/>
      <c r="I1460" s="116"/>
      <c r="L1460" s="170">
        <v>44154</v>
      </c>
      <c r="M1460" s="116">
        <v>224</v>
      </c>
      <c r="N1460" s="116">
        <v>229.9</v>
      </c>
      <c r="O1460" s="116">
        <v>222.5</v>
      </c>
      <c r="P1460" s="116">
        <v>227.25</v>
      </c>
      <c r="Q1460" s="116">
        <v>224</v>
      </c>
      <c r="R1460">
        <v>705801</v>
      </c>
    </row>
    <row r="1461" spans="1:18" x14ac:dyDescent="0.25">
      <c r="A1461" s="170">
        <v>44154</v>
      </c>
      <c r="B1461" s="116">
        <v>229.8</v>
      </c>
      <c r="C1461" s="116">
        <v>224.05</v>
      </c>
      <c r="D1461" s="116">
        <v>222.6</v>
      </c>
      <c r="E1461" s="116">
        <v>229</v>
      </c>
      <c r="F1461" s="116">
        <v>224.05</v>
      </c>
      <c r="G1461">
        <v>48327</v>
      </c>
      <c r="H1461" s="116"/>
      <c r="I1461" s="116"/>
      <c r="L1461" s="170">
        <v>44155</v>
      </c>
      <c r="M1461" s="116">
        <v>221.55</v>
      </c>
      <c r="N1461" s="116">
        <v>225.95</v>
      </c>
      <c r="O1461" s="116">
        <v>220.4</v>
      </c>
      <c r="P1461" s="116">
        <v>225</v>
      </c>
      <c r="Q1461" s="116">
        <v>221.55</v>
      </c>
      <c r="R1461">
        <v>591504</v>
      </c>
    </row>
    <row r="1462" spans="1:18" x14ac:dyDescent="0.25">
      <c r="A1462" s="170">
        <v>44155</v>
      </c>
      <c r="B1462" s="116">
        <v>225.6</v>
      </c>
      <c r="C1462" s="116">
        <v>221.65</v>
      </c>
      <c r="D1462" s="116">
        <v>220.6</v>
      </c>
      <c r="E1462" s="116">
        <v>224</v>
      </c>
      <c r="F1462" s="116">
        <v>221.65</v>
      </c>
      <c r="G1462">
        <v>44210</v>
      </c>
      <c r="H1462" s="116"/>
      <c r="I1462" s="116"/>
      <c r="L1462" s="170">
        <v>44158</v>
      </c>
      <c r="M1462" s="116">
        <v>219.85</v>
      </c>
      <c r="N1462" s="116">
        <v>224.95</v>
      </c>
      <c r="O1462" s="116">
        <v>218.55</v>
      </c>
      <c r="P1462" s="116">
        <v>223</v>
      </c>
      <c r="Q1462" s="116">
        <v>219.85</v>
      </c>
      <c r="R1462">
        <v>729048</v>
      </c>
    </row>
    <row r="1463" spans="1:18" x14ac:dyDescent="0.25">
      <c r="A1463" s="170">
        <v>44158</v>
      </c>
      <c r="B1463" s="116">
        <v>224.75</v>
      </c>
      <c r="C1463" s="116">
        <v>219.85</v>
      </c>
      <c r="D1463" s="116">
        <v>218.5</v>
      </c>
      <c r="E1463" s="116">
        <v>222.15</v>
      </c>
      <c r="F1463" s="116">
        <v>219.85</v>
      </c>
      <c r="G1463">
        <v>76263</v>
      </c>
      <c r="H1463" s="116"/>
      <c r="I1463" s="116"/>
      <c r="L1463" s="170">
        <v>44159</v>
      </c>
      <c r="M1463" s="116">
        <v>222.7</v>
      </c>
      <c r="N1463" s="116">
        <v>224</v>
      </c>
      <c r="O1463" s="116">
        <v>218.9</v>
      </c>
      <c r="P1463" s="116">
        <v>219.5</v>
      </c>
      <c r="Q1463" s="116">
        <v>222.7</v>
      </c>
      <c r="R1463">
        <v>537123</v>
      </c>
    </row>
    <row r="1464" spans="1:18" x14ac:dyDescent="0.25">
      <c r="A1464" s="170">
        <v>44159</v>
      </c>
      <c r="B1464" s="116">
        <v>223.95</v>
      </c>
      <c r="C1464" s="116">
        <v>222.5</v>
      </c>
      <c r="D1464" s="116">
        <v>219.8</v>
      </c>
      <c r="E1464" s="116">
        <v>219.95</v>
      </c>
      <c r="F1464" s="116">
        <v>222.5</v>
      </c>
      <c r="G1464">
        <v>55624</v>
      </c>
      <c r="H1464" s="116"/>
      <c r="I1464" s="116"/>
      <c r="L1464" s="170">
        <v>44160</v>
      </c>
      <c r="M1464" s="116">
        <v>219.4</v>
      </c>
      <c r="N1464" s="116">
        <v>223.35</v>
      </c>
      <c r="O1464" s="116">
        <v>218</v>
      </c>
      <c r="P1464" s="116">
        <v>222.95</v>
      </c>
      <c r="Q1464" s="116">
        <v>219.4</v>
      </c>
      <c r="R1464">
        <v>633337</v>
      </c>
    </row>
    <row r="1465" spans="1:18" x14ac:dyDescent="0.25">
      <c r="A1465" s="170">
        <v>44160</v>
      </c>
      <c r="B1465" s="116">
        <v>223</v>
      </c>
      <c r="C1465" s="116">
        <v>219.4</v>
      </c>
      <c r="D1465" s="116">
        <v>218.25</v>
      </c>
      <c r="E1465" s="116">
        <v>222.5</v>
      </c>
      <c r="F1465" s="116">
        <v>219.4</v>
      </c>
      <c r="G1465">
        <v>40897</v>
      </c>
      <c r="H1465" s="116"/>
      <c r="I1465" s="116"/>
      <c r="L1465" s="170">
        <v>44161</v>
      </c>
      <c r="M1465" s="116">
        <v>221</v>
      </c>
      <c r="N1465" s="116">
        <v>221.9</v>
      </c>
      <c r="O1465" s="116">
        <v>219.05</v>
      </c>
      <c r="P1465" s="116">
        <v>220.6</v>
      </c>
      <c r="Q1465" s="116">
        <v>221</v>
      </c>
      <c r="R1465">
        <v>581412</v>
      </c>
    </row>
    <row r="1466" spans="1:18" x14ac:dyDescent="0.25">
      <c r="A1466" s="170">
        <v>44161</v>
      </c>
      <c r="B1466" s="116">
        <v>221.5</v>
      </c>
      <c r="C1466" s="116">
        <v>221.1</v>
      </c>
      <c r="D1466" s="116">
        <v>219</v>
      </c>
      <c r="E1466" s="116">
        <v>219.5</v>
      </c>
      <c r="F1466" s="116">
        <v>221.1</v>
      </c>
      <c r="G1466">
        <v>39097</v>
      </c>
      <c r="H1466" s="116"/>
      <c r="I1466" s="116"/>
      <c r="L1466" s="170">
        <v>44162</v>
      </c>
      <c r="M1466" s="116">
        <v>229.7</v>
      </c>
      <c r="N1466" s="116">
        <v>235.6</v>
      </c>
      <c r="O1466" s="116">
        <v>221.3</v>
      </c>
      <c r="P1466" s="116">
        <v>221.4</v>
      </c>
      <c r="Q1466" s="116">
        <v>229.7</v>
      </c>
      <c r="R1466">
        <v>2822358</v>
      </c>
    </row>
    <row r="1467" spans="1:18" x14ac:dyDescent="0.25">
      <c r="A1467" s="170">
        <v>44162</v>
      </c>
      <c r="B1467" s="116">
        <v>235.55</v>
      </c>
      <c r="C1467" s="116">
        <v>229.8</v>
      </c>
      <c r="D1467" s="116">
        <v>221.1</v>
      </c>
      <c r="E1467" s="116">
        <v>221.65</v>
      </c>
      <c r="F1467" s="116">
        <v>229.8</v>
      </c>
      <c r="G1467">
        <v>383363</v>
      </c>
      <c r="H1467" s="116"/>
      <c r="I1467" s="116"/>
      <c r="L1467" s="170">
        <v>44166</v>
      </c>
      <c r="M1467" s="116">
        <v>227.6</v>
      </c>
      <c r="N1467" s="116">
        <v>235</v>
      </c>
      <c r="O1467" s="116">
        <v>227</v>
      </c>
      <c r="P1467" s="116">
        <v>232</v>
      </c>
      <c r="Q1467" s="116">
        <v>227.6</v>
      </c>
      <c r="R1467">
        <v>1010004</v>
      </c>
    </row>
    <row r="1468" spans="1:18" x14ac:dyDescent="0.25">
      <c r="A1468" s="170">
        <v>44166</v>
      </c>
      <c r="B1468" s="116">
        <v>234.8</v>
      </c>
      <c r="C1468" s="116">
        <v>227.8</v>
      </c>
      <c r="D1468" s="116">
        <v>227.05</v>
      </c>
      <c r="E1468" s="116">
        <v>230.5</v>
      </c>
      <c r="F1468" s="116">
        <v>227.8</v>
      </c>
      <c r="G1468">
        <v>74525</v>
      </c>
      <c r="H1468" s="116"/>
      <c r="I1468" s="116"/>
      <c r="L1468" s="170">
        <v>44167</v>
      </c>
      <c r="M1468" s="116">
        <v>232.25</v>
      </c>
      <c r="N1468" s="116">
        <v>235</v>
      </c>
      <c r="O1468" s="116">
        <v>228.45</v>
      </c>
      <c r="P1468" s="116">
        <v>230</v>
      </c>
      <c r="Q1468" s="116">
        <v>232.25</v>
      </c>
      <c r="R1468">
        <v>1639274</v>
      </c>
    </row>
    <row r="1469" spans="1:18" x14ac:dyDescent="0.25">
      <c r="A1469" s="170">
        <v>44167</v>
      </c>
      <c r="B1469" s="116">
        <v>234.95</v>
      </c>
      <c r="C1469" s="116">
        <v>232.25</v>
      </c>
      <c r="D1469" s="116">
        <v>228.15</v>
      </c>
      <c r="E1469" s="116">
        <v>228.15</v>
      </c>
      <c r="F1469" s="116">
        <v>232.25</v>
      </c>
      <c r="G1469">
        <v>120628</v>
      </c>
      <c r="H1469" s="116"/>
      <c r="I1469" s="116"/>
      <c r="L1469" s="170">
        <v>44168</v>
      </c>
      <c r="M1469" s="116">
        <v>238.1</v>
      </c>
      <c r="N1469" s="116">
        <v>239.1</v>
      </c>
      <c r="O1469" s="116">
        <v>233</v>
      </c>
      <c r="P1469" s="116">
        <v>233.5</v>
      </c>
      <c r="Q1469" s="116">
        <v>238.1</v>
      </c>
      <c r="R1469">
        <v>1566300</v>
      </c>
    </row>
    <row r="1470" spans="1:18" x14ac:dyDescent="0.25">
      <c r="A1470" s="170">
        <v>44168</v>
      </c>
      <c r="B1470" s="116">
        <v>239</v>
      </c>
      <c r="C1470" s="116">
        <v>238.1</v>
      </c>
      <c r="D1470" s="116">
        <v>232.8</v>
      </c>
      <c r="E1470" s="116">
        <v>233</v>
      </c>
      <c r="F1470" s="116">
        <v>238.1</v>
      </c>
      <c r="G1470">
        <v>214117</v>
      </c>
      <c r="H1470" s="116"/>
      <c r="I1470" s="116"/>
      <c r="L1470" s="170">
        <v>44169</v>
      </c>
      <c r="M1470" s="116">
        <v>241.2</v>
      </c>
      <c r="N1470" s="116">
        <v>245</v>
      </c>
      <c r="O1470" s="116">
        <v>238.5</v>
      </c>
      <c r="P1470" s="116">
        <v>239</v>
      </c>
      <c r="Q1470" s="116">
        <v>241.2</v>
      </c>
      <c r="R1470">
        <v>1772775</v>
      </c>
    </row>
    <row r="1471" spans="1:18" x14ac:dyDescent="0.25">
      <c r="A1471" s="170">
        <v>44169</v>
      </c>
      <c r="B1471" s="116">
        <v>245</v>
      </c>
      <c r="C1471" s="116">
        <v>241.25</v>
      </c>
      <c r="D1471" s="116">
        <v>238.4</v>
      </c>
      <c r="E1471" s="116">
        <v>238.4</v>
      </c>
      <c r="F1471" s="116">
        <v>241.25</v>
      </c>
      <c r="G1471">
        <v>219687</v>
      </c>
      <c r="H1471" s="116"/>
      <c r="I1471" s="116"/>
      <c r="L1471" s="170">
        <v>44172</v>
      </c>
      <c r="M1471" s="116">
        <v>240</v>
      </c>
      <c r="N1471" s="116">
        <v>243.9</v>
      </c>
      <c r="O1471" s="116">
        <v>239</v>
      </c>
      <c r="P1471" s="116">
        <v>242</v>
      </c>
      <c r="Q1471" s="116">
        <v>240</v>
      </c>
      <c r="R1471">
        <v>655767</v>
      </c>
    </row>
    <row r="1472" spans="1:18" x14ac:dyDescent="0.25">
      <c r="A1472" s="170">
        <v>44172</v>
      </c>
      <c r="B1472" s="116">
        <v>243.6</v>
      </c>
      <c r="C1472" s="116">
        <v>239.85</v>
      </c>
      <c r="D1472" s="116">
        <v>239</v>
      </c>
      <c r="E1472" s="116">
        <v>241</v>
      </c>
      <c r="F1472" s="116">
        <v>239.85</v>
      </c>
      <c r="G1472">
        <v>91909</v>
      </c>
      <c r="H1472" s="116"/>
      <c r="I1472" s="116"/>
      <c r="L1472" s="170">
        <v>44173</v>
      </c>
      <c r="M1472" s="116">
        <v>237.5</v>
      </c>
      <c r="N1472" s="116">
        <v>243.2</v>
      </c>
      <c r="O1472" s="116">
        <v>232.55</v>
      </c>
      <c r="P1472" s="116">
        <v>240.95</v>
      </c>
      <c r="Q1472" s="116">
        <v>237.5</v>
      </c>
      <c r="R1472">
        <v>1984773</v>
      </c>
    </row>
    <row r="1473" spans="1:18" x14ac:dyDescent="0.25">
      <c r="A1473" s="170">
        <v>44173</v>
      </c>
      <c r="B1473" s="116">
        <v>243</v>
      </c>
      <c r="C1473" s="116">
        <v>237.65</v>
      </c>
      <c r="D1473" s="116">
        <v>232.8</v>
      </c>
      <c r="E1473" s="116">
        <v>240</v>
      </c>
      <c r="F1473" s="116">
        <v>237.65</v>
      </c>
      <c r="G1473">
        <v>72385</v>
      </c>
      <c r="H1473" s="116"/>
      <c r="I1473" s="116"/>
      <c r="L1473" s="170">
        <v>44174</v>
      </c>
      <c r="M1473" s="116">
        <v>243.15</v>
      </c>
      <c r="N1473" s="116">
        <v>247.25</v>
      </c>
      <c r="O1473" s="116">
        <v>235.3</v>
      </c>
      <c r="P1473" s="116">
        <v>238.15</v>
      </c>
      <c r="Q1473" s="116">
        <v>243.15</v>
      </c>
      <c r="R1473">
        <v>2048914</v>
      </c>
    </row>
    <row r="1474" spans="1:18" x14ac:dyDescent="0.25">
      <c r="A1474" s="170">
        <v>44174</v>
      </c>
      <c r="B1474" s="116">
        <v>247</v>
      </c>
      <c r="C1474" s="116">
        <v>243</v>
      </c>
      <c r="D1474" s="116">
        <v>235.5</v>
      </c>
      <c r="E1474" s="116">
        <v>237.65</v>
      </c>
      <c r="F1474" s="116">
        <v>243</v>
      </c>
      <c r="G1474">
        <v>185731</v>
      </c>
      <c r="H1474" s="116"/>
      <c r="I1474" s="116"/>
      <c r="L1474" s="170">
        <v>44175</v>
      </c>
      <c r="M1474" s="116">
        <v>239.7</v>
      </c>
      <c r="N1474" s="116">
        <v>244</v>
      </c>
      <c r="O1474" s="116">
        <v>236.1</v>
      </c>
      <c r="P1474" s="116">
        <v>243.15</v>
      </c>
      <c r="Q1474" s="116">
        <v>239.7</v>
      </c>
      <c r="R1474">
        <v>669991</v>
      </c>
    </row>
    <row r="1475" spans="1:18" x14ac:dyDescent="0.25">
      <c r="A1475" s="170">
        <v>44175</v>
      </c>
      <c r="B1475" s="116">
        <v>243.85</v>
      </c>
      <c r="C1475" s="116">
        <v>239.4</v>
      </c>
      <c r="D1475" s="116">
        <v>236</v>
      </c>
      <c r="E1475" s="116">
        <v>243</v>
      </c>
      <c r="F1475" s="116">
        <v>239.4</v>
      </c>
      <c r="G1475">
        <v>42825</v>
      </c>
      <c r="H1475" s="116"/>
      <c r="I1475" s="116"/>
      <c r="L1475" s="170">
        <v>44176</v>
      </c>
      <c r="M1475" s="116">
        <v>241.2</v>
      </c>
      <c r="N1475" s="116">
        <v>249.4</v>
      </c>
      <c r="O1475" s="116">
        <v>240.25</v>
      </c>
      <c r="P1475" s="116">
        <v>240.95</v>
      </c>
      <c r="Q1475" s="116">
        <v>241.2</v>
      </c>
      <c r="R1475">
        <v>1487906</v>
      </c>
    </row>
    <row r="1476" spans="1:18" x14ac:dyDescent="0.25">
      <c r="A1476" s="170">
        <v>44176</v>
      </c>
      <c r="B1476" s="116">
        <v>249.25</v>
      </c>
      <c r="C1476" s="116">
        <v>241.3</v>
      </c>
      <c r="D1476" s="116">
        <v>240.5</v>
      </c>
      <c r="E1476" s="116">
        <v>241</v>
      </c>
      <c r="F1476" s="116">
        <v>241.3</v>
      </c>
      <c r="G1476">
        <v>80974</v>
      </c>
      <c r="H1476" s="116"/>
      <c r="I1476" s="116"/>
      <c r="L1476" s="170">
        <v>44179</v>
      </c>
      <c r="M1476" s="116">
        <v>242.55</v>
      </c>
      <c r="N1476" s="116">
        <v>247.2</v>
      </c>
      <c r="O1476" s="116">
        <v>241.4</v>
      </c>
      <c r="P1476" s="116">
        <v>243.45</v>
      </c>
      <c r="Q1476" s="116">
        <v>242.55</v>
      </c>
      <c r="R1476">
        <v>440451</v>
      </c>
    </row>
    <row r="1477" spans="1:18" x14ac:dyDescent="0.25">
      <c r="A1477" s="170">
        <v>44179</v>
      </c>
      <c r="B1477" s="116">
        <v>247.05</v>
      </c>
      <c r="C1477" s="116">
        <v>242.2</v>
      </c>
      <c r="D1477" s="116">
        <v>241.25</v>
      </c>
      <c r="E1477" s="116">
        <v>241.25</v>
      </c>
      <c r="F1477" s="116">
        <v>242.2</v>
      </c>
      <c r="G1477">
        <v>60089</v>
      </c>
      <c r="H1477" s="116"/>
      <c r="I1477" s="116"/>
      <c r="L1477" s="170">
        <v>44180</v>
      </c>
      <c r="M1477" s="116">
        <v>243.25</v>
      </c>
      <c r="N1477" s="116">
        <v>245.7</v>
      </c>
      <c r="O1477" s="116">
        <v>241.5</v>
      </c>
      <c r="P1477" s="116">
        <v>242.6</v>
      </c>
      <c r="Q1477" s="116">
        <v>243.25</v>
      </c>
      <c r="R1477">
        <v>542406</v>
      </c>
    </row>
    <row r="1478" spans="1:18" x14ac:dyDescent="0.25">
      <c r="A1478" s="170">
        <v>44180</v>
      </c>
      <c r="B1478" s="116">
        <v>245</v>
      </c>
      <c r="C1478" s="116">
        <v>243.25</v>
      </c>
      <c r="D1478" s="116">
        <v>242</v>
      </c>
      <c r="E1478" s="116">
        <v>242.55</v>
      </c>
      <c r="F1478" s="116">
        <v>243.25</v>
      </c>
      <c r="G1478">
        <v>34344</v>
      </c>
      <c r="H1478" s="116"/>
      <c r="I1478" s="116"/>
      <c r="L1478" s="170">
        <v>44181</v>
      </c>
      <c r="M1478" s="116">
        <v>242.15</v>
      </c>
      <c r="N1478" s="116">
        <v>245</v>
      </c>
      <c r="O1478" s="116">
        <v>239.5</v>
      </c>
      <c r="P1478" s="116">
        <v>244</v>
      </c>
      <c r="Q1478" s="116">
        <v>242.15</v>
      </c>
      <c r="R1478">
        <v>1099848</v>
      </c>
    </row>
    <row r="1479" spans="1:18" x14ac:dyDescent="0.25">
      <c r="A1479" s="170">
        <v>44181</v>
      </c>
      <c r="B1479" s="116">
        <v>244.9</v>
      </c>
      <c r="C1479" s="116">
        <v>242.1</v>
      </c>
      <c r="D1479" s="116">
        <v>239.5</v>
      </c>
      <c r="E1479" s="116">
        <v>244.8</v>
      </c>
      <c r="F1479" s="116">
        <v>242.1</v>
      </c>
      <c r="G1479">
        <v>62073</v>
      </c>
      <c r="H1479" s="116"/>
      <c r="I1479" s="116"/>
      <c r="L1479" s="170">
        <v>44182</v>
      </c>
      <c r="M1479" s="116">
        <v>242.05</v>
      </c>
      <c r="N1479" s="116">
        <v>245.95</v>
      </c>
      <c r="O1479" s="116">
        <v>240</v>
      </c>
      <c r="P1479" s="116">
        <v>242.7</v>
      </c>
      <c r="Q1479" s="116">
        <v>242.05</v>
      </c>
      <c r="R1479">
        <v>900827</v>
      </c>
    </row>
    <row r="1480" spans="1:18" x14ac:dyDescent="0.25">
      <c r="A1480" s="170">
        <v>44182</v>
      </c>
      <c r="B1480" s="116">
        <v>245.65</v>
      </c>
      <c r="C1480" s="116">
        <v>241.95</v>
      </c>
      <c r="D1480" s="116">
        <v>240.05</v>
      </c>
      <c r="E1480" s="116">
        <v>243.45</v>
      </c>
      <c r="F1480" s="116">
        <v>241.95</v>
      </c>
      <c r="G1480">
        <v>35885</v>
      </c>
      <c r="H1480" s="116"/>
      <c r="I1480" s="116"/>
      <c r="L1480" s="170">
        <v>44183</v>
      </c>
      <c r="M1480" s="116">
        <v>241.75</v>
      </c>
      <c r="N1480" s="116">
        <v>244.5</v>
      </c>
      <c r="O1480" s="116">
        <v>239.55</v>
      </c>
      <c r="P1480" s="116">
        <v>242.6</v>
      </c>
      <c r="Q1480" s="116">
        <v>241.75</v>
      </c>
      <c r="R1480">
        <v>549963</v>
      </c>
    </row>
    <row r="1481" spans="1:18" x14ac:dyDescent="0.25">
      <c r="A1481" s="170">
        <v>44183</v>
      </c>
      <c r="B1481" s="116">
        <v>244.45</v>
      </c>
      <c r="C1481" s="116">
        <v>241.75</v>
      </c>
      <c r="D1481" s="116">
        <v>239.6</v>
      </c>
      <c r="E1481" s="116">
        <v>241.95</v>
      </c>
      <c r="F1481" s="116">
        <v>241.75</v>
      </c>
      <c r="G1481">
        <v>18184</v>
      </c>
      <c r="H1481" s="116"/>
      <c r="I1481" s="116"/>
      <c r="L1481" s="170">
        <v>44186</v>
      </c>
      <c r="M1481" s="116">
        <v>234.5</v>
      </c>
      <c r="N1481" s="116">
        <v>246.3</v>
      </c>
      <c r="O1481" s="116">
        <v>229.8</v>
      </c>
      <c r="P1481" s="116">
        <v>242.4</v>
      </c>
      <c r="Q1481" s="116">
        <v>234.5</v>
      </c>
      <c r="R1481">
        <v>1719159</v>
      </c>
    </row>
    <row r="1482" spans="1:18" x14ac:dyDescent="0.25">
      <c r="A1482" s="170">
        <v>44186</v>
      </c>
      <c r="B1482" s="116">
        <v>246</v>
      </c>
      <c r="C1482" s="116">
        <v>234.4</v>
      </c>
      <c r="D1482" s="116">
        <v>230</v>
      </c>
      <c r="E1482" s="116">
        <v>239.5</v>
      </c>
      <c r="F1482" s="116">
        <v>234.4</v>
      </c>
      <c r="G1482">
        <v>161448</v>
      </c>
      <c r="H1482" s="116"/>
      <c r="I1482" s="116"/>
      <c r="L1482" s="170">
        <v>44187</v>
      </c>
      <c r="M1482" s="116">
        <v>232.4</v>
      </c>
      <c r="N1482" s="116">
        <v>237.9</v>
      </c>
      <c r="O1482" s="116">
        <v>224.8</v>
      </c>
      <c r="P1482" s="116">
        <v>230.2</v>
      </c>
      <c r="Q1482" s="116">
        <v>232.4</v>
      </c>
      <c r="R1482">
        <v>962929</v>
      </c>
    </row>
    <row r="1483" spans="1:18" x14ac:dyDescent="0.25">
      <c r="A1483" s="170">
        <v>44187</v>
      </c>
      <c r="B1483" s="116">
        <v>237.5</v>
      </c>
      <c r="C1483" s="116">
        <v>232.4</v>
      </c>
      <c r="D1483" s="116">
        <v>224.7</v>
      </c>
      <c r="E1483" s="116">
        <v>229.1</v>
      </c>
      <c r="F1483" s="116">
        <v>232.4</v>
      </c>
      <c r="G1483">
        <v>68132</v>
      </c>
      <c r="H1483" s="116"/>
      <c r="I1483" s="116"/>
      <c r="L1483" s="170">
        <v>44188</v>
      </c>
      <c r="M1483" s="116">
        <v>240</v>
      </c>
      <c r="N1483" s="116">
        <v>241.5</v>
      </c>
      <c r="O1483" s="116">
        <v>232.55</v>
      </c>
      <c r="P1483" s="116">
        <v>235</v>
      </c>
      <c r="Q1483" s="116">
        <v>240</v>
      </c>
      <c r="R1483">
        <v>540388</v>
      </c>
    </row>
    <row r="1484" spans="1:18" x14ac:dyDescent="0.25">
      <c r="A1484" s="170">
        <v>44188</v>
      </c>
      <c r="B1484" s="116">
        <v>241.45</v>
      </c>
      <c r="C1484" s="116">
        <v>239.95</v>
      </c>
      <c r="D1484" s="116">
        <v>232.95</v>
      </c>
      <c r="E1484" s="116">
        <v>233</v>
      </c>
      <c r="F1484" s="116">
        <v>239.95</v>
      </c>
      <c r="G1484">
        <v>45772</v>
      </c>
      <c r="H1484" s="116"/>
      <c r="I1484" s="116"/>
      <c r="L1484" s="170">
        <v>44189</v>
      </c>
      <c r="M1484" s="116">
        <v>241.65</v>
      </c>
      <c r="N1484" s="116">
        <v>247.65</v>
      </c>
      <c r="O1484" s="116">
        <v>240.55</v>
      </c>
      <c r="P1484" s="116">
        <v>244</v>
      </c>
      <c r="Q1484" s="116">
        <v>241.65</v>
      </c>
      <c r="R1484">
        <v>1119509</v>
      </c>
    </row>
    <row r="1485" spans="1:18" x14ac:dyDescent="0.25">
      <c r="A1485" s="170">
        <v>44189</v>
      </c>
      <c r="B1485" s="116">
        <v>247.5</v>
      </c>
      <c r="C1485" s="116">
        <v>241.75</v>
      </c>
      <c r="D1485" s="116">
        <v>240.75</v>
      </c>
      <c r="E1485" s="116">
        <v>243</v>
      </c>
      <c r="F1485" s="116">
        <v>241.75</v>
      </c>
      <c r="G1485">
        <v>56455</v>
      </c>
      <c r="H1485" s="116"/>
      <c r="I1485" s="116"/>
      <c r="L1485" s="170">
        <v>44193</v>
      </c>
      <c r="M1485" s="116">
        <v>241.8</v>
      </c>
      <c r="N1485" s="116">
        <v>246</v>
      </c>
      <c r="O1485" s="116">
        <v>240.2</v>
      </c>
      <c r="P1485" s="116">
        <v>244.5</v>
      </c>
      <c r="Q1485" s="116">
        <v>241.8</v>
      </c>
      <c r="R1485">
        <v>348562</v>
      </c>
    </row>
    <row r="1486" spans="1:18" x14ac:dyDescent="0.25">
      <c r="A1486" s="170">
        <v>44193</v>
      </c>
      <c r="B1486" s="116">
        <v>245.95</v>
      </c>
      <c r="C1486" s="116">
        <v>241.95</v>
      </c>
      <c r="D1486" s="116">
        <v>240.75</v>
      </c>
      <c r="E1486" s="116">
        <v>242.05</v>
      </c>
      <c r="F1486" s="116">
        <v>241.95</v>
      </c>
      <c r="G1486">
        <v>55262</v>
      </c>
      <c r="H1486" s="116"/>
      <c r="I1486" s="116"/>
      <c r="L1486" s="170">
        <v>44194</v>
      </c>
      <c r="M1486" s="116">
        <v>239.65</v>
      </c>
      <c r="N1486" s="116">
        <v>243.4</v>
      </c>
      <c r="O1486" s="116">
        <v>239</v>
      </c>
      <c r="P1486" s="116">
        <v>243</v>
      </c>
      <c r="Q1486" s="116">
        <v>239.65</v>
      </c>
      <c r="R1486">
        <v>446298</v>
      </c>
    </row>
    <row r="1487" spans="1:18" x14ac:dyDescent="0.25">
      <c r="A1487" s="170">
        <v>44194</v>
      </c>
      <c r="B1487" s="116">
        <v>244.9</v>
      </c>
      <c r="C1487" s="116">
        <v>239.9</v>
      </c>
      <c r="D1487" s="116">
        <v>239.1</v>
      </c>
      <c r="E1487" s="116">
        <v>241</v>
      </c>
      <c r="F1487" s="116">
        <v>239.9</v>
      </c>
      <c r="G1487">
        <v>48867</v>
      </c>
      <c r="H1487" s="116"/>
      <c r="I1487" s="116"/>
      <c r="L1487" s="170">
        <v>44195</v>
      </c>
      <c r="M1487" s="116">
        <v>239.2</v>
      </c>
      <c r="N1487" s="116">
        <v>240.4</v>
      </c>
      <c r="O1487" s="116">
        <v>238</v>
      </c>
      <c r="P1487" s="116">
        <v>239.85</v>
      </c>
      <c r="Q1487" s="116">
        <v>239.2</v>
      </c>
      <c r="R1487">
        <v>439356</v>
      </c>
    </row>
    <row r="1488" spans="1:18" x14ac:dyDescent="0.25">
      <c r="A1488" s="170">
        <v>44195</v>
      </c>
      <c r="B1488" s="116">
        <v>240</v>
      </c>
      <c r="C1488" s="116">
        <v>239.3</v>
      </c>
      <c r="D1488" s="116">
        <v>237.9</v>
      </c>
      <c r="E1488" s="116">
        <v>238.5</v>
      </c>
      <c r="F1488" s="116">
        <v>239.3</v>
      </c>
      <c r="G1488">
        <v>56942</v>
      </c>
      <c r="H1488" s="116"/>
      <c r="I1488" s="116"/>
      <c r="L1488" s="170">
        <v>44196</v>
      </c>
      <c r="M1488" s="116">
        <v>239.05</v>
      </c>
      <c r="N1488" s="116">
        <v>241.45</v>
      </c>
      <c r="O1488" s="116">
        <v>238.2</v>
      </c>
      <c r="P1488" s="116">
        <v>240.5</v>
      </c>
      <c r="Q1488" s="116">
        <v>239.05</v>
      </c>
      <c r="R1488">
        <v>496391</v>
      </c>
    </row>
    <row r="1489" spans="1:18" x14ac:dyDescent="0.25">
      <c r="A1489" s="170">
        <v>44196</v>
      </c>
      <c r="B1489" s="116">
        <v>241.2</v>
      </c>
      <c r="C1489" s="116">
        <v>238.9</v>
      </c>
      <c r="D1489" s="116">
        <v>237.95</v>
      </c>
      <c r="E1489" s="116">
        <v>239</v>
      </c>
      <c r="F1489" s="116">
        <v>238.9</v>
      </c>
      <c r="G1489">
        <v>39960</v>
      </c>
      <c r="H1489" s="116"/>
      <c r="I1489" s="116"/>
      <c r="L1489" s="170">
        <v>44197</v>
      </c>
      <c r="M1489" s="116">
        <v>239.05</v>
      </c>
      <c r="N1489" s="116">
        <v>240</v>
      </c>
      <c r="O1489" s="116">
        <v>237.2</v>
      </c>
      <c r="P1489" s="116">
        <v>239.15</v>
      </c>
      <c r="Q1489" s="116">
        <v>239.05</v>
      </c>
      <c r="R1489">
        <v>658536</v>
      </c>
    </row>
    <row r="1490" spans="1:18" x14ac:dyDescent="0.25">
      <c r="A1490" s="170">
        <v>44197</v>
      </c>
      <c r="B1490" s="116">
        <v>239.8</v>
      </c>
      <c r="C1490" s="116">
        <v>239.15</v>
      </c>
      <c r="D1490" s="116">
        <v>237.15</v>
      </c>
      <c r="E1490" s="116">
        <v>238.9</v>
      </c>
      <c r="F1490" s="116">
        <v>239.15</v>
      </c>
      <c r="G1490">
        <v>48050</v>
      </c>
      <c r="H1490" s="116"/>
      <c r="I1490" s="116"/>
      <c r="L1490" s="170">
        <v>44200</v>
      </c>
      <c r="M1490" s="116">
        <v>244.05</v>
      </c>
      <c r="N1490" s="116">
        <v>245.85</v>
      </c>
      <c r="O1490" s="116">
        <v>240.5</v>
      </c>
      <c r="P1490" s="116">
        <v>241</v>
      </c>
      <c r="Q1490" s="116">
        <v>244.05</v>
      </c>
      <c r="R1490">
        <v>886735</v>
      </c>
    </row>
    <row r="1491" spans="1:18" x14ac:dyDescent="0.25">
      <c r="A1491" s="170">
        <v>44200</v>
      </c>
      <c r="B1491" s="116">
        <v>245.8</v>
      </c>
      <c r="C1491" s="116">
        <v>244.05</v>
      </c>
      <c r="D1491" s="116">
        <v>240</v>
      </c>
      <c r="E1491" s="116">
        <v>240</v>
      </c>
      <c r="F1491" s="116">
        <v>244.05</v>
      </c>
      <c r="G1491">
        <v>127119</v>
      </c>
      <c r="H1491" s="116"/>
      <c r="I1491" s="116"/>
      <c r="L1491" s="170">
        <v>44201</v>
      </c>
      <c r="M1491" s="116">
        <v>256.89999999999998</v>
      </c>
      <c r="N1491" s="116">
        <v>259</v>
      </c>
      <c r="O1491" s="116">
        <v>243.15</v>
      </c>
      <c r="P1491" s="116">
        <v>244.4</v>
      </c>
      <c r="Q1491" s="116">
        <v>256.89999999999998</v>
      </c>
      <c r="R1491">
        <v>3891253</v>
      </c>
    </row>
    <row r="1492" spans="1:18" x14ac:dyDescent="0.25">
      <c r="A1492" s="170">
        <v>44201</v>
      </c>
      <c r="B1492" s="116">
        <v>258.95</v>
      </c>
      <c r="C1492" s="116">
        <v>254.3</v>
      </c>
      <c r="D1492" s="116">
        <v>230.8</v>
      </c>
      <c r="E1492" s="116">
        <v>244</v>
      </c>
      <c r="F1492" s="116">
        <v>254.3</v>
      </c>
      <c r="G1492">
        <v>369605</v>
      </c>
      <c r="H1492" s="116"/>
      <c r="I1492" s="116"/>
      <c r="L1492" s="170">
        <v>44202</v>
      </c>
      <c r="M1492" s="116">
        <v>275.10000000000002</v>
      </c>
      <c r="N1492" s="116">
        <v>279.89999999999998</v>
      </c>
      <c r="O1492" s="116">
        <v>256.95</v>
      </c>
      <c r="P1492" s="116">
        <v>257.25</v>
      </c>
      <c r="Q1492" s="116">
        <v>275.10000000000002</v>
      </c>
      <c r="R1492">
        <v>8436991</v>
      </c>
    </row>
    <row r="1493" spans="1:18" x14ac:dyDescent="0.25">
      <c r="A1493" s="170">
        <v>44202</v>
      </c>
      <c r="B1493" s="116">
        <v>280</v>
      </c>
      <c r="C1493" s="116">
        <v>275.45</v>
      </c>
      <c r="D1493" s="116">
        <v>257.39999999999998</v>
      </c>
      <c r="E1493" s="116">
        <v>258</v>
      </c>
      <c r="F1493" s="116">
        <v>275.45</v>
      </c>
      <c r="G1493">
        <v>421188</v>
      </c>
      <c r="H1493" s="116"/>
      <c r="I1493" s="116"/>
      <c r="L1493" s="170">
        <v>44203</v>
      </c>
      <c r="M1493" s="116">
        <v>308.14999999999998</v>
      </c>
      <c r="N1493" s="116">
        <v>328.4</v>
      </c>
      <c r="O1493" s="116">
        <v>280.05</v>
      </c>
      <c r="P1493" s="116">
        <v>281</v>
      </c>
      <c r="Q1493" s="116">
        <v>308.14999999999998</v>
      </c>
      <c r="R1493">
        <v>5200956</v>
      </c>
    </row>
    <row r="1494" spans="1:18" x14ac:dyDescent="0.25">
      <c r="A1494" s="170">
        <v>44203</v>
      </c>
      <c r="B1494" s="116">
        <v>328</v>
      </c>
      <c r="C1494" s="116">
        <v>308.45</v>
      </c>
      <c r="D1494" s="116">
        <v>280.14999999999998</v>
      </c>
      <c r="E1494" s="116">
        <v>280.89999999999998</v>
      </c>
      <c r="F1494" s="116">
        <v>308.45</v>
      </c>
      <c r="G1494">
        <v>480615</v>
      </c>
      <c r="H1494" s="116"/>
      <c r="I1494" s="116"/>
      <c r="L1494" s="170">
        <v>44204</v>
      </c>
      <c r="M1494" s="116">
        <v>304</v>
      </c>
      <c r="N1494" s="116">
        <v>324.89999999999998</v>
      </c>
      <c r="O1494" s="116">
        <v>298.2</v>
      </c>
      <c r="P1494" s="116">
        <v>312</v>
      </c>
      <c r="Q1494" s="116">
        <v>304</v>
      </c>
      <c r="R1494">
        <v>9070406</v>
      </c>
    </row>
    <row r="1495" spans="1:18" x14ac:dyDescent="0.25">
      <c r="A1495" s="170">
        <v>44204</v>
      </c>
      <c r="B1495" s="116">
        <v>324.75</v>
      </c>
      <c r="C1495" s="116">
        <v>303.60000000000002</v>
      </c>
      <c r="D1495" s="116">
        <v>298.2</v>
      </c>
      <c r="E1495" s="116">
        <v>312</v>
      </c>
      <c r="F1495" s="116">
        <v>303.60000000000002</v>
      </c>
      <c r="G1495">
        <v>582819</v>
      </c>
      <c r="H1495" s="116"/>
      <c r="I1495" s="116"/>
      <c r="L1495" s="170">
        <v>44207</v>
      </c>
      <c r="M1495" s="116">
        <v>292.25</v>
      </c>
      <c r="N1495" s="116">
        <v>301</v>
      </c>
      <c r="O1495" s="116">
        <v>286.5</v>
      </c>
      <c r="P1495" s="116">
        <v>300.7</v>
      </c>
      <c r="Q1495" s="116">
        <v>292.25</v>
      </c>
      <c r="R1495">
        <v>2359429</v>
      </c>
    </row>
    <row r="1496" spans="1:18" x14ac:dyDescent="0.25">
      <c r="A1496" s="170">
        <v>44207</v>
      </c>
      <c r="B1496" s="116">
        <v>303.2</v>
      </c>
      <c r="C1496" s="116">
        <v>292.3</v>
      </c>
      <c r="D1496" s="116">
        <v>283.8</v>
      </c>
      <c r="E1496" s="116">
        <v>303.2</v>
      </c>
      <c r="F1496" s="116">
        <v>292.3</v>
      </c>
      <c r="G1496">
        <v>105215</v>
      </c>
      <c r="H1496" s="116"/>
      <c r="I1496" s="116"/>
      <c r="L1496" s="170">
        <v>44208</v>
      </c>
      <c r="M1496" s="116">
        <v>290.64999999999998</v>
      </c>
      <c r="N1496" s="116">
        <v>303</v>
      </c>
      <c r="O1496" s="116">
        <v>286</v>
      </c>
      <c r="P1496" s="116">
        <v>293.64999999999998</v>
      </c>
      <c r="Q1496" s="116">
        <v>290.64999999999998</v>
      </c>
      <c r="R1496">
        <v>1455335</v>
      </c>
    </row>
    <row r="1497" spans="1:18" x14ac:dyDescent="0.25">
      <c r="A1497" s="170">
        <v>44208</v>
      </c>
      <c r="B1497" s="116">
        <v>303</v>
      </c>
      <c r="C1497" s="116">
        <v>290.5</v>
      </c>
      <c r="D1497" s="116">
        <v>288.7</v>
      </c>
      <c r="E1497" s="116">
        <v>290.60000000000002</v>
      </c>
      <c r="F1497" s="116">
        <v>290.5</v>
      </c>
      <c r="G1497">
        <v>112303</v>
      </c>
      <c r="H1497" s="116"/>
      <c r="I1497" s="116"/>
      <c r="L1497" s="170">
        <v>44209</v>
      </c>
      <c r="M1497" s="116">
        <v>285.39999999999998</v>
      </c>
      <c r="N1497" s="116">
        <v>299.60000000000002</v>
      </c>
      <c r="O1497" s="116">
        <v>283</v>
      </c>
      <c r="P1497" s="116">
        <v>296.7</v>
      </c>
      <c r="Q1497" s="116">
        <v>285.39999999999998</v>
      </c>
      <c r="R1497">
        <v>1119073</v>
      </c>
    </row>
    <row r="1498" spans="1:18" x14ac:dyDescent="0.25">
      <c r="A1498" s="170">
        <v>44209</v>
      </c>
      <c r="B1498" s="116">
        <v>300</v>
      </c>
      <c r="C1498" s="116">
        <v>285.39999999999998</v>
      </c>
      <c r="D1498" s="116">
        <v>283.2</v>
      </c>
      <c r="E1498" s="116">
        <v>295.5</v>
      </c>
      <c r="F1498" s="116">
        <v>285.39999999999998</v>
      </c>
      <c r="G1498">
        <v>50441</v>
      </c>
      <c r="H1498" s="116"/>
      <c r="I1498" s="116"/>
      <c r="L1498" s="170">
        <v>44210</v>
      </c>
      <c r="M1498" s="116">
        <v>279.75</v>
      </c>
      <c r="N1498" s="116">
        <v>290</v>
      </c>
      <c r="O1498" s="116">
        <v>279</v>
      </c>
      <c r="P1498" s="116">
        <v>289</v>
      </c>
      <c r="Q1498" s="116">
        <v>279.75</v>
      </c>
      <c r="R1498">
        <v>790536</v>
      </c>
    </row>
    <row r="1499" spans="1:18" x14ac:dyDescent="0.25">
      <c r="A1499" s="170">
        <v>44210</v>
      </c>
      <c r="B1499" s="116">
        <v>290</v>
      </c>
      <c r="C1499" s="116">
        <v>279.14999999999998</v>
      </c>
      <c r="D1499" s="116">
        <v>275.10000000000002</v>
      </c>
      <c r="E1499" s="116">
        <v>290</v>
      </c>
      <c r="F1499" s="116">
        <v>279.14999999999998</v>
      </c>
      <c r="G1499">
        <v>75859</v>
      </c>
      <c r="H1499" s="116"/>
      <c r="I1499" s="116"/>
      <c r="L1499" s="170">
        <v>44211</v>
      </c>
      <c r="M1499" s="116">
        <v>274.2</v>
      </c>
      <c r="N1499" s="116">
        <v>285</v>
      </c>
      <c r="O1499" s="116">
        <v>270</v>
      </c>
      <c r="P1499" s="116">
        <v>280.60000000000002</v>
      </c>
      <c r="Q1499" s="116">
        <v>274.2</v>
      </c>
      <c r="R1499">
        <v>1324117</v>
      </c>
    </row>
    <row r="1500" spans="1:18" x14ac:dyDescent="0.25">
      <c r="A1500" s="170">
        <v>44211</v>
      </c>
      <c r="B1500" s="116">
        <v>285</v>
      </c>
      <c r="C1500" s="116">
        <v>273.10000000000002</v>
      </c>
      <c r="D1500" s="116">
        <v>270.14999999999998</v>
      </c>
      <c r="E1500" s="116">
        <v>282.75</v>
      </c>
      <c r="F1500" s="116">
        <v>273.10000000000002</v>
      </c>
      <c r="G1500">
        <v>96572</v>
      </c>
      <c r="H1500" s="116"/>
      <c r="I1500" s="116"/>
      <c r="L1500" s="170">
        <v>44214</v>
      </c>
      <c r="M1500" s="116">
        <v>268.60000000000002</v>
      </c>
      <c r="N1500" s="116">
        <v>277.60000000000002</v>
      </c>
      <c r="O1500" s="116">
        <v>267.3</v>
      </c>
      <c r="P1500" s="116">
        <v>277.39999999999998</v>
      </c>
      <c r="Q1500" s="116">
        <v>268.60000000000002</v>
      </c>
      <c r="R1500">
        <v>849339</v>
      </c>
    </row>
    <row r="1501" spans="1:18" x14ac:dyDescent="0.25">
      <c r="A1501" s="170">
        <v>44214</v>
      </c>
      <c r="B1501" s="116">
        <v>280</v>
      </c>
      <c r="C1501" s="116">
        <v>268.14999999999998</v>
      </c>
      <c r="D1501" s="116">
        <v>266.95</v>
      </c>
      <c r="E1501" s="116">
        <v>280</v>
      </c>
      <c r="F1501" s="116">
        <v>268.14999999999998</v>
      </c>
      <c r="G1501">
        <v>47660</v>
      </c>
      <c r="H1501" s="116"/>
      <c r="I1501" s="116"/>
      <c r="L1501" s="170">
        <v>44215</v>
      </c>
      <c r="M1501" s="116">
        <v>298.8</v>
      </c>
      <c r="N1501" s="116">
        <v>306.39999999999998</v>
      </c>
      <c r="O1501" s="116">
        <v>268.60000000000002</v>
      </c>
      <c r="P1501" s="116">
        <v>270.05</v>
      </c>
      <c r="Q1501" s="116">
        <v>298.8</v>
      </c>
      <c r="R1501">
        <v>4529372</v>
      </c>
    </row>
    <row r="1502" spans="1:18" x14ac:dyDescent="0.25">
      <c r="A1502" s="170">
        <v>44215</v>
      </c>
      <c r="B1502" s="116">
        <v>306.64999999999998</v>
      </c>
      <c r="C1502" s="116">
        <v>299.3</v>
      </c>
      <c r="D1502" s="116">
        <v>269</v>
      </c>
      <c r="E1502" s="116">
        <v>273.25</v>
      </c>
      <c r="F1502" s="116">
        <v>299.3</v>
      </c>
      <c r="G1502">
        <v>240309</v>
      </c>
      <c r="H1502" s="116"/>
      <c r="I1502" s="116"/>
      <c r="L1502" s="170">
        <v>44216</v>
      </c>
      <c r="M1502" s="116">
        <v>296.39999999999998</v>
      </c>
      <c r="N1502" s="116">
        <v>315</v>
      </c>
      <c r="O1502" s="116">
        <v>291.55</v>
      </c>
      <c r="P1502" s="116">
        <v>303.35000000000002</v>
      </c>
      <c r="Q1502" s="116">
        <v>296.39999999999998</v>
      </c>
      <c r="R1502">
        <v>6769649</v>
      </c>
    </row>
    <row r="1503" spans="1:18" x14ac:dyDescent="0.25">
      <c r="A1503" s="170">
        <v>44216</v>
      </c>
      <c r="B1503" s="116">
        <v>314.8</v>
      </c>
      <c r="C1503" s="116">
        <v>296.45</v>
      </c>
      <c r="D1503" s="116">
        <v>291.2</v>
      </c>
      <c r="E1503" s="116">
        <v>303.95</v>
      </c>
      <c r="F1503" s="116">
        <v>296.45</v>
      </c>
      <c r="G1503">
        <v>606341</v>
      </c>
      <c r="H1503" s="116"/>
      <c r="I1503" s="116"/>
      <c r="L1503" s="170">
        <v>44217</v>
      </c>
      <c r="M1503" s="116">
        <v>283.2</v>
      </c>
      <c r="N1503" s="116">
        <v>302.5</v>
      </c>
      <c r="O1503" s="116">
        <v>282</v>
      </c>
      <c r="P1503" s="116">
        <v>301</v>
      </c>
      <c r="Q1503" s="116">
        <v>283.2</v>
      </c>
      <c r="R1503">
        <v>3043234</v>
      </c>
    </row>
    <row r="1504" spans="1:18" x14ac:dyDescent="0.25">
      <c r="A1504" s="170">
        <v>44217</v>
      </c>
      <c r="B1504" s="116">
        <v>304</v>
      </c>
      <c r="C1504" s="116">
        <v>283.2</v>
      </c>
      <c r="D1504" s="116">
        <v>282</v>
      </c>
      <c r="E1504" s="116">
        <v>299.14999999999998</v>
      </c>
      <c r="F1504" s="116">
        <v>283.2</v>
      </c>
      <c r="G1504">
        <v>283887</v>
      </c>
      <c r="H1504" s="116"/>
      <c r="I1504" s="116"/>
      <c r="L1504" s="170">
        <v>44218</v>
      </c>
      <c r="M1504" s="116">
        <v>275.64999999999998</v>
      </c>
      <c r="N1504" s="116">
        <v>286.8</v>
      </c>
      <c r="O1504" s="116">
        <v>274</v>
      </c>
      <c r="P1504" s="116">
        <v>286.8</v>
      </c>
      <c r="Q1504" s="116">
        <v>275.64999999999998</v>
      </c>
      <c r="R1504">
        <v>1791445</v>
      </c>
    </row>
    <row r="1505" spans="1:18" x14ac:dyDescent="0.25">
      <c r="A1505" s="170">
        <v>44218</v>
      </c>
      <c r="B1505" s="116">
        <v>287</v>
      </c>
      <c r="C1505" s="116">
        <v>275.7</v>
      </c>
      <c r="D1505" s="116">
        <v>274.2</v>
      </c>
      <c r="E1505" s="116">
        <v>287</v>
      </c>
      <c r="F1505" s="116">
        <v>275.7</v>
      </c>
      <c r="G1505">
        <v>151006</v>
      </c>
      <c r="H1505" s="116"/>
      <c r="I1505" s="116"/>
      <c r="L1505" s="170">
        <v>44221</v>
      </c>
      <c r="M1505" s="116">
        <v>268.05</v>
      </c>
      <c r="N1505" s="116">
        <v>280</v>
      </c>
      <c r="O1505" s="116">
        <v>264</v>
      </c>
      <c r="P1505" s="116">
        <v>277.39999999999998</v>
      </c>
      <c r="Q1505" s="116">
        <v>268.05</v>
      </c>
      <c r="R1505">
        <v>1807602</v>
      </c>
    </row>
    <row r="1506" spans="1:18" x14ac:dyDescent="0.25">
      <c r="A1506" s="170">
        <v>44221</v>
      </c>
      <c r="B1506" s="116">
        <v>278.64999999999998</v>
      </c>
      <c r="C1506" s="116">
        <v>268.05</v>
      </c>
      <c r="D1506" s="116">
        <v>263.85000000000002</v>
      </c>
      <c r="E1506" s="116">
        <v>276.25</v>
      </c>
      <c r="F1506" s="116">
        <v>268.05</v>
      </c>
      <c r="G1506">
        <v>129819</v>
      </c>
      <c r="H1506" s="116"/>
      <c r="I1506" s="116"/>
      <c r="L1506" s="170">
        <v>44223</v>
      </c>
      <c r="M1506" s="116">
        <v>264</v>
      </c>
      <c r="N1506" s="116">
        <v>266.85000000000002</v>
      </c>
      <c r="O1506" s="116">
        <v>261.14999999999998</v>
      </c>
      <c r="P1506" s="116">
        <v>265.39999999999998</v>
      </c>
      <c r="Q1506" s="116">
        <v>264</v>
      </c>
      <c r="R1506">
        <v>1310896</v>
      </c>
    </row>
    <row r="1507" spans="1:18" x14ac:dyDescent="0.25">
      <c r="A1507" s="170">
        <v>44223</v>
      </c>
      <c r="B1507" s="116">
        <v>267.89999999999998</v>
      </c>
      <c r="C1507" s="116">
        <v>264</v>
      </c>
      <c r="D1507" s="116">
        <v>261.14999999999998</v>
      </c>
      <c r="E1507" s="116">
        <v>267.5</v>
      </c>
      <c r="F1507" s="116">
        <v>264</v>
      </c>
      <c r="G1507">
        <v>250911</v>
      </c>
      <c r="H1507" s="116"/>
      <c r="I1507" s="116"/>
      <c r="L1507" s="170">
        <v>44224</v>
      </c>
      <c r="M1507" s="116">
        <v>263.3</v>
      </c>
      <c r="N1507" s="116">
        <v>265.45</v>
      </c>
      <c r="O1507" s="116">
        <v>258.7</v>
      </c>
      <c r="P1507" s="116">
        <v>258.89999999999998</v>
      </c>
      <c r="Q1507" s="116">
        <v>263.3</v>
      </c>
      <c r="R1507">
        <v>1066770</v>
      </c>
    </row>
    <row r="1508" spans="1:18" x14ac:dyDescent="0.25">
      <c r="A1508" s="170">
        <v>44224</v>
      </c>
      <c r="B1508" s="116">
        <v>270</v>
      </c>
      <c r="C1508" s="116">
        <v>264.2</v>
      </c>
      <c r="D1508" s="116">
        <v>258.5</v>
      </c>
      <c r="E1508" s="116">
        <v>261.5</v>
      </c>
      <c r="F1508" s="116">
        <v>264.2</v>
      </c>
      <c r="G1508">
        <v>75578</v>
      </c>
      <c r="H1508" s="116"/>
      <c r="I1508" s="116"/>
      <c r="L1508" s="170">
        <v>44225</v>
      </c>
      <c r="M1508" s="116">
        <v>274.75</v>
      </c>
      <c r="N1508" s="116">
        <v>278.39999999999998</v>
      </c>
      <c r="O1508" s="116">
        <v>267.35000000000002</v>
      </c>
      <c r="P1508" s="116">
        <v>276</v>
      </c>
      <c r="Q1508" s="116">
        <v>274.75</v>
      </c>
      <c r="R1508">
        <v>2254295</v>
      </c>
    </row>
    <row r="1509" spans="1:18" x14ac:dyDescent="0.25">
      <c r="A1509" s="170">
        <v>44225</v>
      </c>
      <c r="B1509" s="116">
        <v>278.35000000000002</v>
      </c>
      <c r="C1509" s="116">
        <v>274.35000000000002</v>
      </c>
      <c r="D1509" s="116">
        <v>265</v>
      </c>
      <c r="E1509" s="116">
        <v>265</v>
      </c>
      <c r="F1509" s="116">
        <v>274.35000000000002</v>
      </c>
      <c r="G1509">
        <v>169488</v>
      </c>
      <c r="H1509" s="116"/>
      <c r="I1509" s="116"/>
      <c r="L1509" s="170">
        <v>44228</v>
      </c>
      <c r="M1509" s="116">
        <v>288.75</v>
      </c>
      <c r="N1509" s="116">
        <v>292.5</v>
      </c>
      <c r="O1509" s="116">
        <v>281.60000000000002</v>
      </c>
      <c r="P1509" s="116">
        <v>290</v>
      </c>
      <c r="Q1509" s="116">
        <v>288.75</v>
      </c>
      <c r="R1509">
        <v>3511591</v>
      </c>
    </row>
    <row r="1510" spans="1:18" x14ac:dyDescent="0.25">
      <c r="A1510" s="170">
        <v>44228</v>
      </c>
      <c r="B1510" s="116">
        <v>292.45</v>
      </c>
      <c r="C1510" s="116">
        <v>288.7</v>
      </c>
      <c r="D1510" s="116">
        <v>281.85000000000002</v>
      </c>
      <c r="E1510" s="116">
        <v>288.10000000000002</v>
      </c>
      <c r="F1510" s="116">
        <v>288.7</v>
      </c>
      <c r="G1510">
        <v>180551</v>
      </c>
      <c r="H1510" s="116"/>
      <c r="I1510" s="116"/>
      <c r="L1510" s="170">
        <v>44229</v>
      </c>
      <c r="M1510" s="116">
        <v>292.39999999999998</v>
      </c>
      <c r="N1510" s="116">
        <v>294</v>
      </c>
      <c r="O1510" s="116">
        <v>284.55</v>
      </c>
      <c r="P1510" s="116">
        <v>293.10000000000002</v>
      </c>
      <c r="Q1510" s="116">
        <v>292.39999999999998</v>
      </c>
      <c r="R1510">
        <v>3147425</v>
      </c>
    </row>
    <row r="1511" spans="1:18" x14ac:dyDescent="0.25">
      <c r="A1511" s="170">
        <v>44229</v>
      </c>
      <c r="B1511" s="116">
        <v>294.10000000000002</v>
      </c>
      <c r="C1511" s="116">
        <v>292.25</v>
      </c>
      <c r="D1511" s="116">
        <v>284.8</v>
      </c>
      <c r="E1511" s="116">
        <v>291</v>
      </c>
      <c r="F1511" s="116">
        <v>292.25</v>
      </c>
      <c r="G1511">
        <v>192749</v>
      </c>
      <c r="H1511" s="116"/>
      <c r="I1511" s="116"/>
      <c r="L1511" s="170">
        <v>44230</v>
      </c>
      <c r="M1511" s="116">
        <v>289.2</v>
      </c>
      <c r="N1511" s="116">
        <v>290.60000000000002</v>
      </c>
      <c r="O1511" s="116">
        <v>283</v>
      </c>
      <c r="P1511" s="116">
        <v>289.5</v>
      </c>
      <c r="Q1511" s="116">
        <v>289.2</v>
      </c>
      <c r="R1511">
        <v>1472275</v>
      </c>
    </row>
    <row r="1512" spans="1:18" x14ac:dyDescent="0.25">
      <c r="A1512" s="170">
        <v>44230</v>
      </c>
      <c r="B1512" s="116">
        <v>292</v>
      </c>
      <c r="C1512" s="116">
        <v>288.8</v>
      </c>
      <c r="D1512" s="116">
        <v>283.3</v>
      </c>
      <c r="E1512" s="116">
        <v>292</v>
      </c>
      <c r="F1512" s="116">
        <v>288.8</v>
      </c>
      <c r="G1512">
        <v>66775</v>
      </c>
      <c r="H1512" s="116"/>
      <c r="I1512" s="116"/>
      <c r="L1512" s="170">
        <v>44231</v>
      </c>
      <c r="M1512" s="116">
        <v>294.75</v>
      </c>
      <c r="N1512" s="116">
        <v>298</v>
      </c>
      <c r="O1512" s="116">
        <v>288.25</v>
      </c>
      <c r="P1512" s="116">
        <v>289.39999999999998</v>
      </c>
      <c r="Q1512" s="116">
        <v>294.75</v>
      </c>
      <c r="R1512">
        <v>1264818</v>
      </c>
    </row>
    <row r="1513" spans="1:18" x14ac:dyDescent="0.25">
      <c r="A1513" s="170">
        <v>44231</v>
      </c>
      <c r="B1513" s="116">
        <v>297.85000000000002</v>
      </c>
      <c r="C1513" s="116">
        <v>294.64999999999998</v>
      </c>
      <c r="D1513" s="116">
        <v>288.35000000000002</v>
      </c>
      <c r="E1513" s="116">
        <v>289.89999999999998</v>
      </c>
      <c r="F1513" s="116">
        <v>294.64999999999998</v>
      </c>
      <c r="G1513">
        <v>95650</v>
      </c>
      <c r="H1513" s="116"/>
      <c r="I1513" s="116"/>
      <c r="L1513" s="170">
        <v>44232</v>
      </c>
      <c r="M1513" s="116">
        <v>293.25</v>
      </c>
      <c r="N1513" s="116">
        <v>295</v>
      </c>
      <c r="O1513" s="116">
        <v>287.5</v>
      </c>
      <c r="P1513" s="116">
        <v>295</v>
      </c>
      <c r="Q1513" s="116">
        <v>293.25</v>
      </c>
      <c r="R1513">
        <v>1113508</v>
      </c>
    </row>
    <row r="1514" spans="1:18" x14ac:dyDescent="0.25">
      <c r="A1514" s="170">
        <v>44232</v>
      </c>
      <c r="B1514" s="116">
        <v>296.89999999999998</v>
      </c>
      <c r="C1514" s="116">
        <v>293.5</v>
      </c>
      <c r="D1514" s="116">
        <v>287.45</v>
      </c>
      <c r="E1514" s="116">
        <v>296.89999999999998</v>
      </c>
      <c r="F1514" s="116">
        <v>293.5</v>
      </c>
      <c r="G1514">
        <v>75507</v>
      </c>
      <c r="H1514" s="116"/>
      <c r="I1514" s="116"/>
      <c r="L1514" s="170">
        <v>44235</v>
      </c>
      <c r="M1514" s="116">
        <v>297.3</v>
      </c>
      <c r="N1514" s="116">
        <v>306.39999999999998</v>
      </c>
      <c r="O1514" s="116">
        <v>290.05</v>
      </c>
      <c r="P1514" s="116">
        <v>293</v>
      </c>
      <c r="Q1514" s="116">
        <v>297.3</v>
      </c>
      <c r="R1514">
        <v>2464990</v>
      </c>
    </row>
    <row r="1515" spans="1:18" x14ac:dyDescent="0.25">
      <c r="A1515" s="170">
        <v>44235</v>
      </c>
      <c r="B1515" s="116">
        <v>306.2</v>
      </c>
      <c r="C1515" s="116">
        <v>297.05</v>
      </c>
      <c r="D1515" s="116">
        <v>290</v>
      </c>
      <c r="E1515" s="116">
        <v>293</v>
      </c>
      <c r="F1515" s="116">
        <v>297.05</v>
      </c>
      <c r="G1515">
        <v>205163</v>
      </c>
      <c r="H1515" s="116"/>
      <c r="I1515" s="116"/>
      <c r="L1515" s="170">
        <v>44236</v>
      </c>
      <c r="M1515" s="116">
        <v>297.14999999999998</v>
      </c>
      <c r="N1515" s="116">
        <v>301.75</v>
      </c>
      <c r="O1515" s="116">
        <v>294</v>
      </c>
      <c r="P1515" s="116">
        <v>298</v>
      </c>
      <c r="Q1515" s="116">
        <v>297.14999999999998</v>
      </c>
      <c r="R1515">
        <v>879542</v>
      </c>
    </row>
    <row r="1516" spans="1:18" x14ac:dyDescent="0.25">
      <c r="A1516" s="170">
        <v>44236</v>
      </c>
      <c r="B1516" s="116">
        <v>301.8</v>
      </c>
      <c r="C1516" s="116">
        <v>297.25</v>
      </c>
      <c r="D1516" s="116">
        <v>294</v>
      </c>
      <c r="E1516" s="116">
        <v>297.3</v>
      </c>
      <c r="F1516" s="116">
        <v>297.25</v>
      </c>
      <c r="G1516">
        <v>80346</v>
      </c>
      <c r="H1516" s="116"/>
      <c r="I1516" s="116"/>
      <c r="L1516" s="170">
        <v>44237</v>
      </c>
      <c r="M1516" s="116">
        <v>298.60000000000002</v>
      </c>
      <c r="N1516" s="116">
        <v>301</v>
      </c>
      <c r="O1516" s="116">
        <v>294.25</v>
      </c>
      <c r="P1516" s="116">
        <v>297.89999999999998</v>
      </c>
      <c r="Q1516" s="116">
        <v>298.60000000000002</v>
      </c>
      <c r="R1516">
        <v>771602</v>
      </c>
    </row>
    <row r="1517" spans="1:18" x14ac:dyDescent="0.25">
      <c r="A1517" s="170">
        <v>44237</v>
      </c>
      <c r="B1517" s="116">
        <v>300.75</v>
      </c>
      <c r="C1517" s="116">
        <v>298.75</v>
      </c>
      <c r="D1517" s="116">
        <v>294.39999999999998</v>
      </c>
      <c r="E1517" s="116">
        <v>298</v>
      </c>
      <c r="F1517" s="116">
        <v>298.75</v>
      </c>
      <c r="G1517">
        <v>105284</v>
      </c>
      <c r="H1517" s="116"/>
      <c r="I1517" s="116"/>
      <c r="L1517" s="170">
        <v>44238</v>
      </c>
      <c r="M1517" s="116">
        <v>296.95</v>
      </c>
      <c r="N1517" s="116">
        <v>300.64999999999998</v>
      </c>
      <c r="O1517" s="116">
        <v>296</v>
      </c>
      <c r="P1517" s="116">
        <v>297</v>
      </c>
      <c r="Q1517" s="116">
        <v>296.95</v>
      </c>
      <c r="R1517">
        <v>516828</v>
      </c>
    </row>
    <row r="1518" spans="1:18" x14ac:dyDescent="0.25">
      <c r="A1518" s="170">
        <v>44238</v>
      </c>
      <c r="B1518" s="116">
        <v>300.5</v>
      </c>
      <c r="C1518" s="116">
        <v>296.95</v>
      </c>
      <c r="D1518" s="116">
        <v>295.60000000000002</v>
      </c>
      <c r="E1518" s="116">
        <v>295.60000000000002</v>
      </c>
      <c r="F1518" s="116">
        <v>296.95</v>
      </c>
      <c r="G1518">
        <v>90147</v>
      </c>
      <c r="H1518" s="116"/>
      <c r="I1518" s="116"/>
      <c r="L1518" s="170">
        <v>44239</v>
      </c>
      <c r="M1518" s="116">
        <v>300.10000000000002</v>
      </c>
      <c r="N1518" s="116">
        <v>302.89999999999998</v>
      </c>
      <c r="O1518" s="116">
        <v>294.95</v>
      </c>
      <c r="P1518" s="116">
        <v>296.25</v>
      </c>
      <c r="Q1518" s="116">
        <v>300.10000000000002</v>
      </c>
      <c r="R1518">
        <v>1120805</v>
      </c>
    </row>
    <row r="1519" spans="1:18" x14ac:dyDescent="0.25">
      <c r="A1519" s="170">
        <v>44239</v>
      </c>
      <c r="B1519" s="116">
        <v>302.75</v>
      </c>
      <c r="C1519" s="116">
        <v>300.3</v>
      </c>
      <c r="D1519" s="116">
        <v>295.05</v>
      </c>
      <c r="E1519" s="116">
        <v>297.89999999999998</v>
      </c>
      <c r="F1519" s="116">
        <v>300.3</v>
      </c>
      <c r="G1519">
        <v>56901</v>
      </c>
      <c r="H1519" s="116"/>
      <c r="I1519" s="116"/>
      <c r="L1519" s="170">
        <v>44242</v>
      </c>
      <c r="M1519" s="116">
        <v>297.10000000000002</v>
      </c>
      <c r="N1519" s="116">
        <v>302.35000000000002</v>
      </c>
      <c r="O1519" s="116">
        <v>295.5</v>
      </c>
      <c r="P1519" s="116">
        <v>300.10000000000002</v>
      </c>
      <c r="Q1519" s="116">
        <v>297.10000000000002</v>
      </c>
      <c r="R1519">
        <v>942670</v>
      </c>
    </row>
    <row r="1520" spans="1:18" x14ac:dyDescent="0.25">
      <c r="A1520" s="170">
        <v>44242</v>
      </c>
      <c r="B1520" s="116">
        <v>302</v>
      </c>
      <c r="C1520" s="116">
        <v>297.3</v>
      </c>
      <c r="D1520" s="116">
        <v>296.25</v>
      </c>
      <c r="E1520" s="116">
        <v>302</v>
      </c>
      <c r="F1520" s="116">
        <v>297.3</v>
      </c>
      <c r="G1520">
        <v>119489</v>
      </c>
      <c r="H1520" s="116"/>
      <c r="I1520" s="116"/>
      <c r="L1520" s="170">
        <v>44243</v>
      </c>
      <c r="M1520" s="116">
        <v>304.7</v>
      </c>
      <c r="N1520" s="116">
        <v>309.85000000000002</v>
      </c>
      <c r="O1520" s="116">
        <v>297.45</v>
      </c>
      <c r="P1520" s="116">
        <v>298</v>
      </c>
      <c r="Q1520" s="116">
        <v>304.7</v>
      </c>
      <c r="R1520">
        <v>2691599</v>
      </c>
    </row>
    <row r="1521" spans="1:18" x14ac:dyDescent="0.25">
      <c r="A1521" s="170">
        <v>44243</v>
      </c>
      <c r="B1521" s="116">
        <v>309.8</v>
      </c>
      <c r="C1521" s="116">
        <v>304.35000000000002</v>
      </c>
      <c r="D1521" s="116">
        <v>297.25</v>
      </c>
      <c r="E1521" s="116">
        <v>301.89999999999998</v>
      </c>
      <c r="F1521" s="116">
        <v>304.35000000000002</v>
      </c>
      <c r="G1521">
        <v>262408</v>
      </c>
      <c r="H1521" s="116"/>
      <c r="I1521" s="116"/>
      <c r="L1521" s="170">
        <v>44244</v>
      </c>
      <c r="M1521" s="116">
        <v>305.60000000000002</v>
      </c>
      <c r="N1521" s="116">
        <v>308.89999999999998</v>
      </c>
      <c r="O1521" s="116">
        <v>301.5</v>
      </c>
      <c r="P1521" s="116">
        <v>304.95</v>
      </c>
      <c r="Q1521" s="116">
        <v>305.60000000000002</v>
      </c>
      <c r="R1521">
        <v>848324</v>
      </c>
    </row>
    <row r="1522" spans="1:18" x14ac:dyDescent="0.25">
      <c r="A1522" s="170">
        <v>44244</v>
      </c>
      <c r="B1522" s="116">
        <v>308.75</v>
      </c>
      <c r="C1522" s="116">
        <v>305.55</v>
      </c>
      <c r="D1522" s="116">
        <v>301.39999999999998</v>
      </c>
      <c r="E1522" s="116">
        <v>305.5</v>
      </c>
      <c r="F1522" s="116">
        <v>305.55</v>
      </c>
      <c r="G1522">
        <v>48841</v>
      </c>
      <c r="H1522" s="116"/>
      <c r="I1522" s="116"/>
      <c r="L1522" s="170">
        <v>44245</v>
      </c>
      <c r="M1522" s="116">
        <v>300.55</v>
      </c>
      <c r="N1522" s="116">
        <v>312</v>
      </c>
      <c r="O1522" s="116">
        <v>298.35000000000002</v>
      </c>
      <c r="P1522" s="116">
        <v>306</v>
      </c>
      <c r="Q1522" s="116">
        <v>300.55</v>
      </c>
      <c r="R1522">
        <v>1393494</v>
      </c>
    </row>
    <row r="1523" spans="1:18" x14ac:dyDescent="0.25">
      <c r="A1523" s="170">
        <v>44245</v>
      </c>
      <c r="B1523" s="116">
        <v>312</v>
      </c>
      <c r="C1523" s="116">
        <v>300.45</v>
      </c>
      <c r="D1523" s="116">
        <v>298.85000000000002</v>
      </c>
      <c r="E1523" s="116">
        <v>305</v>
      </c>
      <c r="F1523" s="116">
        <v>300.45</v>
      </c>
      <c r="G1523">
        <v>62426</v>
      </c>
      <c r="H1523" s="116"/>
      <c r="I1523" s="116"/>
      <c r="L1523" s="170">
        <v>44246</v>
      </c>
      <c r="M1523" s="116">
        <v>300.5</v>
      </c>
      <c r="N1523" s="116">
        <v>307.85000000000002</v>
      </c>
      <c r="O1523" s="116">
        <v>298.05</v>
      </c>
      <c r="P1523" s="116">
        <v>302.89999999999998</v>
      </c>
      <c r="Q1523" s="116">
        <v>300.5</v>
      </c>
      <c r="R1523">
        <v>811948</v>
      </c>
    </row>
    <row r="1524" spans="1:18" x14ac:dyDescent="0.25">
      <c r="A1524" s="170">
        <v>44246</v>
      </c>
      <c r="B1524" s="116">
        <v>307.5</v>
      </c>
      <c r="C1524" s="116">
        <v>300.7</v>
      </c>
      <c r="D1524" s="116">
        <v>298.25</v>
      </c>
      <c r="E1524" s="116">
        <v>305.39999999999998</v>
      </c>
      <c r="F1524" s="116">
        <v>300.7</v>
      </c>
      <c r="G1524">
        <v>32856</v>
      </c>
      <c r="H1524" s="116"/>
      <c r="I1524" s="116"/>
      <c r="L1524" s="170">
        <v>44249</v>
      </c>
      <c r="M1524" s="116">
        <v>304.55</v>
      </c>
      <c r="N1524" s="116">
        <v>311.89999999999998</v>
      </c>
      <c r="O1524" s="116">
        <v>302</v>
      </c>
      <c r="P1524" s="116">
        <v>302.45</v>
      </c>
      <c r="Q1524" s="116">
        <v>304.55</v>
      </c>
      <c r="R1524">
        <v>2311972</v>
      </c>
    </row>
    <row r="1525" spans="1:18" x14ac:dyDescent="0.25">
      <c r="A1525" s="170">
        <v>44249</v>
      </c>
      <c r="B1525" s="116">
        <v>311.85000000000002</v>
      </c>
      <c r="C1525" s="116">
        <v>304.45</v>
      </c>
      <c r="D1525" s="116">
        <v>300.64999999999998</v>
      </c>
      <c r="E1525" s="116">
        <v>300.64999999999998</v>
      </c>
      <c r="F1525" s="116">
        <v>304.45</v>
      </c>
      <c r="G1525">
        <v>194915</v>
      </c>
      <c r="H1525" s="116"/>
      <c r="I1525" s="116"/>
      <c r="L1525" s="170">
        <v>44250</v>
      </c>
      <c r="M1525" s="116">
        <v>304.39999999999998</v>
      </c>
      <c r="N1525" s="116">
        <v>309.55</v>
      </c>
      <c r="O1525" s="116">
        <v>298.55</v>
      </c>
      <c r="P1525" s="116">
        <v>306.2</v>
      </c>
      <c r="Q1525" s="116">
        <v>304.39999999999998</v>
      </c>
      <c r="R1525">
        <v>1086718</v>
      </c>
    </row>
    <row r="1526" spans="1:18" x14ac:dyDescent="0.25">
      <c r="A1526" s="170">
        <v>44250</v>
      </c>
      <c r="B1526" s="116">
        <v>309.14999999999998</v>
      </c>
      <c r="C1526" s="116">
        <v>304.10000000000002</v>
      </c>
      <c r="D1526" s="116">
        <v>298.8</v>
      </c>
      <c r="E1526" s="116">
        <v>305.10000000000002</v>
      </c>
      <c r="F1526" s="116">
        <v>304.10000000000002</v>
      </c>
      <c r="G1526">
        <v>47061</v>
      </c>
      <c r="H1526" s="116"/>
      <c r="I1526" s="116"/>
      <c r="L1526" s="170">
        <v>44251</v>
      </c>
      <c r="M1526" s="116">
        <v>305.14999999999998</v>
      </c>
      <c r="N1526" s="116">
        <v>311</v>
      </c>
      <c r="O1526" s="116">
        <v>303</v>
      </c>
      <c r="P1526" s="116">
        <v>304.5</v>
      </c>
      <c r="Q1526" s="116">
        <v>305.14999999999998</v>
      </c>
      <c r="R1526">
        <v>647686</v>
      </c>
    </row>
    <row r="1527" spans="1:18" x14ac:dyDescent="0.25">
      <c r="A1527" s="170">
        <v>44251</v>
      </c>
      <c r="B1527" s="116">
        <v>311.55</v>
      </c>
      <c r="C1527" s="116">
        <v>305.39999999999998</v>
      </c>
      <c r="D1527" s="116">
        <v>297</v>
      </c>
      <c r="E1527" s="116">
        <v>309.39999999999998</v>
      </c>
      <c r="F1527" s="116">
        <v>305.39999999999998</v>
      </c>
      <c r="G1527">
        <v>164202</v>
      </c>
      <c r="H1527" s="116"/>
      <c r="I1527" s="116"/>
      <c r="L1527" s="170">
        <v>44252</v>
      </c>
      <c r="M1527" s="116">
        <v>304.45</v>
      </c>
      <c r="N1527" s="116">
        <v>309.75</v>
      </c>
      <c r="O1527" s="116">
        <v>302.2</v>
      </c>
      <c r="P1527" s="116">
        <v>309</v>
      </c>
      <c r="Q1527" s="116">
        <v>304.45</v>
      </c>
      <c r="R1527">
        <v>1014557</v>
      </c>
    </row>
    <row r="1528" spans="1:18" x14ac:dyDescent="0.25">
      <c r="A1528" s="170">
        <v>44252</v>
      </c>
      <c r="B1528" s="116">
        <v>308.8</v>
      </c>
      <c r="C1528" s="116">
        <v>304.25</v>
      </c>
      <c r="D1528" s="116">
        <v>302.60000000000002</v>
      </c>
      <c r="E1528" s="116">
        <v>308.5</v>
      </c>
      <c r="F1528" s="116">
        <v>304.25</v>
      </c>
      <c r="G1528">
        <v>60790</v>
      </c>
      <c r="H1528" s="116"/>
      <c r="I1528" s="116"/>
      <c r="L1528" s="170">
        <v>44253</v>
      </c>
      <c r="M1528" s="116">
        <v>297.5</v>
      </c>
      <c r="N1528" s="116">
        <v>309.75</v>
      </c>
      <c r="O1528" s="116">
        <v>291</v>
      </c>
      <c r="P1528" s="116">
        <v>302</v>
      </c>
      <c r="Q1528" s="116">
        <v>297.5</v>
      </c>
      <c r="R1528">
        <v>1988515</v>
      </c>
    </row>
    <row r="1529" spans="1:18" x14ac:dyDescent="0.25">
      <c r="A1529" s="170">
        <v>44253</v>
      </c>
      <c r="B1529" s="116">
        <v>309.75</v>
      </c>
      <c r="C1529" s="116">
        <v>297.25</v>
      </c>
      <c r="D1529" s="116">
        <v>292.60000000000002</v>
      </c>
      <c r="E1529" s="116">
        <v>304.95</v>
      </c>
      <c r="F1529" s="116">
        <v>297.25</v>
      </c>
      <c r="G1529">
        <v>107614</v>
      </c>
      <c r="H1529" s="116"/>
      <c r="I1529" s="116"/>
      <c r="L1529" s="170">
        <v>44256</v>
      </c>
      <c r="M1529" s="116">
        <v>300.14999999999998</v>
      </c>
      <c r="N1529" s="116">
        <v>304.55</v>
      </c>
      <c r="O1529" s="116">
        <v>298.25</v>
      </c>
      <c r="P1529" s="116">
        <v>300.10000000000002</v>
      </c>
      <c r="Q1529" s="116">
        <v>300.14999999999998</v>
      </c>
      <c r="R1529">
        <v>843480</v>
      </c>
    </row>
    <row r="1530" spans="1:18" x14ac:dyDescent="0.25">
      <c r="A1530" s="170">
        <v>44256</v>
      </c>
      <c r="B1530" s="116">
        <v>304.5</v>
      </c>
      <c r="C1530" s="116">
        <v>300</v>
      </c>
      <c r="D1530" s="116">
        <v>298</v>
      </c>
      <c r="E1530" s="116">
        <v>298</v>
      </c>
      <c r="F1530" s="116">
        <v>300</v>
      </c>
      <c r="G1530">
        <v>63313</v>
      </c>
      <c r="H1530" s="116"/>
      <c r="I1530" s="116"/>
      <c r="L1530" s="170">
        <v>44257</v>
      </c>
      <c r="M1530" s="116">
        <v>315.3</v>
      </c>
      <c r="N1530" s="116">
        <v>322.89999999999998</v>
      </c>
      <c r="O1530" s="116">
        <v>301.7</v>
      </c>
      <c r="P1530" s="116">
        <v>302</v>
      </c>
      <c r="Q1530" s="116">
        <v>315.3</v>
      </c>
      <c r="R1530">
        <v>4031034</v>
      </c>
    </row>
    <row r="1531" spans="1:18" x14ac:dyDescent="0.25">
      <c r="A1531" s="170">
        <v>44257</v>
      </c>
      <c r="B1531" s="116">
        <v>322.7</v>
      </c>
      <c r="C1531" s="116">
        <v>315.25</v>
      </c>
      <c r="D1531" s="116">
        <v>300</v>
      </c>
      <c r="E1531" s="116">
        <v>300</v>
      </c>
      <c r="F1531" s="116">
        <v>315.25</v>
      </c>
      <c r="G1531">
        <v>163170</v>
      </c>
      <c r="H1531" s="116"/>
      <c r="I1531" s="116"/>
      <c r="L1531" s="170">
        <v>44258</v>
      </c>
      <c r="M1531" s="116">
        <v>318.05</v>
      </c>
      <c r="N1531" s="116">
        <v>326</v>
      </c>
      <c r="O1531" s="116">
        <v>313.60000000000002</v>
      </c>
      <c r="P1531" s="116">
        <v>319.5</v>
      </c>
      <c r="Q1531" s="116">
        <v>318.05</v>
      </c>
      <c r="R1531">
        <v>2427924</v>
      </c>
    </row>
    <row r="1532" spans="1:18" x14ac:dyDescent="0.25">
      <c r="A1532" s="170">
        <v>44258</v>
      </c>
      <c r="B1532" s="116">
        <v>325.75</v>
      </c>
      <c r="C1532" s="116">
        <v>318.7</v>
      </c>
      <c r="D1532" s="116">
        <v>313.95</v>
      </c>
      <c r="E1532" s="116">
        <v>317.39999999999998</v>
      </c>
      <c r="F1532" s="116">
        <v>318.7</v>
      </c>
      <c r="G1532">
        <v>123250</v>
      </c>
      <c r="H1532" s="116"/>
      <c r="I1532" s="116"/>
      <c r="L1532" s="170">
        <v>44259</v>
      </c>
      <c r="M1532" s="116">
        <v>325.89999999999998</v>
      </c>
      <c r="N1532" s="116">
        <v>334.4</v>
      </c>
      <c r="O1532" s="116">
        <v>310.2</v>
      </c>
      <c r="P1532" s="116">
        <v>315.25</v>
      </c>
      <c r="Q1532" s="116">
        <v>325.89999999999998</v>
      </c>
      <c r="R1532">
        <v>2619084</v>
      </c>
    </row>
    <row r="1533" spans="1:18" x14ac:dyDescent="0.25">
      <c r="A1533" s="170">
        <v>44259</v>
      </c>
      <c r="B1533" s="116">
        <v>334.25</v>
      </c>
      <c r="C1533" s="116">
        <v>326.3</v>
      </c>
      <c r="D1533" s="116">
        <v>310.14999999999998</v>
      </c>
      <c r="E1533" s="116">
        <v>317.89999999999998</v>
      </c>
      <c r="F1533" s="116">
        <v>326.3</v>
      </c>
      <c r="G1533">
        <v>239605</v>
      </c>
      <c r="H1533" s="116"/>
      <c r="I1533" s="116"/>
      <c r="L1533" s="170">
        <v>44260</v>
      </c>
      <c r="M1533" s="116">
        <v>311.45</v>
      </c>
      <c r="N1533" s="116">
        <v>322.75</v>
      </c>
      <c r="O1533" s="116">
        <v>310</v>
      </c>
      <c r="P1533" s="116">
        <v>322.05</v>
      </c>
      <c r="Q1533" s="116">
        <v>311.45</v>
      </c>
      <c r="R1533">
        <v>1237997</v>
      </c>
    </row>
    <row r="1534" spans="1:18" x14ac:dyDescent="0.25">
      <c r="A1534" s="170">
        <v>44260</v>
      </c>
      <c r="B1534" s="116">
        <v>323.10000000000002</v>
      </c>
      <c r="C1534" s="116">
        <v>311.39999999999998</v>
      </c>
      <c r="D1534" s="116">
        <v>310</v>
      </c>
      <c r="E1534" s="116">
        <v>318.2</v>
      </c>
      <c r="F1534" s="116">
        <v>311.39999999999998</v>
      </c>
      <c r="G1534">
        <v>138365</v>
      </c>
      <c r="H1534" s="116"/>
      <c r="I1534" s="116"/>
      <c r="L1534" s="170">
        <v>44263</v>
      </c>
      <c r="M1534" s="116">
        <v>309.2</v>
      </c>
      <c r="N1534" s="116">
        <v>317.35000000000002</v>
      </c>
      <c r="O1534" s="116">
        <v>308.05</v>
      </c>
      <c r="P1534" s="116">
        <v>314.8</v>
      </c>
      <c r="Q1534" s="116">
        <v>309.2</v>
      </c>
      <c r="R1534">
        <v>599511</v>
      </c>
    </row>
    <row r="1535" spans="1:18" x14ac:dyDescent="0.25">
      <c r="A1535" s="170">
        <v>44263</v>
      </c>
      <c r="B1535" s="116">
        <v>317.7</v>
      </c>
      <c r="C1535" s="116">
        <v>309.35000000000002</v>
      </c>
      <c r="D1535" s="116">
        <v>308.10000000000002</v>
      </c>
      <c r="E1535" s="116">
        <v>317.7</v>
      </c>
      <c r="F1535" s="116">
        <v>309.35000000000002</v>
      </c>
      <c r="G1535">
        <v>30153</v>
      </c>
      <c r="H1535" s="116"/>
      <c r="I1535" s="116"/>
      <c r="L1535" s="170">
        <v>44264</v>
      </c>
      <c r="M1535" s="116">
        <v>297.64999999999998</v>
      </c>
      <c r="N1535" s="116">
        <v>315.89999999999998</v>
      </c>
      <c r="O1535" s="116">
        <v>293.7</v>
      </c>
      <c r="P1535" s="116">
        <v>310</v>
      </c>
      <c r="Q1535" s="116">
        <v>297.64999999999998</v>
      </c>
      <c r="R1535">
        <v>1095282</v>
      </c>
    </row>
    <row r="1536" spans="1:18" x14ac:dyDescent="0.25">
      <c r="A1536" s="170">
        <v>44264</v>
      </c>
      <c r="B1536" s="116">
        <v>315.7</v>
      </c>
      <c r="C1536" s="116">
        <v>298.05</v>
      </c>
      <c r="D1536" s="116">
        <v>293.85000000000002</v>
      </c>
      <c r="E1536" s="116">
        <v>310</v>
      </c>
      <c r="F1536" s="116">
        <v>298.05</v>
      </c>
      <c r="G1536">
        <v>80479</v>
      </c>
      <c r="H1536" s="116"/>
      <c r="I1536" s="116"/>
      <c r="L1536" s="170">
        <v>44265</v>
      </c>
      <c r="M1536" s="116">
        <v>305.45</v>
      </c>
      <c r="N1536" s="116">
        <v>307.55</v>
      </c>
      <c r="O1536" s="116">
        <v>295.25</v>
      </c>
      <c r="P1536" s="116">
        <v>301</v>
      </c>
      <c r="Q1536" s="116">
        <v>305.45</v>
      </c>
      <c r="R1536">
        <v>726204</v>
      </c>
    </row>
    <row r="1537" spans="1:18" x14ac:dyDescent="0.25">
      <c r="A1537" s="170">
        <v>44265</v>
      </c>
      <c r="B1537" s="116">
        <v>307.35000000000002</v>
      </c>
      <c r="C1537" s="116">
        <v>305.10000000000002</v>
      </c>
      <c r="D1537" s="116">
        <v>295.25</v>
      </c>
      <c r="E1537" s="116">
        <v>299.5</v>
      </c>
      <c r="F1537" s="116">
        <v>305.10000000000002</v>
      </c>
      <c r="G1537">
        <v>215127</v>
      </c>
      <c r="H1537" s="116"/>
      <c r="I1537" s="116"/>
      <c r="L1537" s="170">
        <v>44267</v>
      </c>
      <c r="M1537" s="116">
        <v>301.95</v>
      </c>
      <c r="N1537" s="116">
        <v>313.10000000000002</v>
      </c>
      <c r="O1537" s="116">
        <v>301.10000000000002</v>
      </c>
      <c r="P1537" s="116">
        <v>308</v>
      </c>
      <c r="Q1537" s="116">
        <v>301.95</v>
      </c>
      <c r="R1537">
        <v>1066538</v>
      </c>
    </row>
    <row r="1538" spans="1:18" x14ac:dyDescent="0.25">
      <c r="A1538" s="170">
        <v>44267</v>
      </c>
      <c r="B1538" s="116">
        <v>312.95</v>
      </c>
      <c r="C1538" s="116">
        <v>302.2</v>
      </c>
      <c r="D1538" s="116">
        <v>301.5</v>
      </c>
      <c r="E1538" s="116">
        <v>310</v>
      </c>
      <c r="F1538" s="116">
        <v>302.2</v>
      </c>
      <c r="G1538">
        <v>117297</v>
      </c>
      <c r="H1538" s="116"/>
      <c r="I1538" s="116"/>
      <c r="L1538" s="170">
        <v>44270</v>
      </c>
      <c r="M1538" s="116">
        <v>300.75</v>
      </c>
      <c r="N1538" s="116">
        <v>306.2</v>
      </c>
      <c r="O1538" s="116">
        <v>298.5</v>
      </c>
      <c r="P1538" s="116">
        <v>304.25</v>
      </c>
      <c r="Q1538" s="116">
        <v>300.75</v>
      </c>
      <c r="R1538">
        <v>344567</v>
      </c>
    </row>
    <row r="1539" spans="1:18" x14ac:dyDescent="0.25">
      <c r="A1539" s="170">
        <v>44270</v>
      </c>
      <c r="B1539" s="116">
        <v>305.75</v>
      </c>
      <c r="C1539" s="116">
        <v>300.8</v>
      </c>
      <c r="D1539" s="116">
        <v>298.2</v>
      </c>
      <c r="E1539" s="116">
        <v>305.7</v>
      </c>
      <c r="F1539" s="116">
        <v>300.8</v>
      </c>
      <c r="G1539">
        <v>78853</v>
      </c>
      <c r="H1539" s="116"/>
      <c r="I1539" s="116"/>
      <c r="L1539" s="170">
        <v>44271</v>
      </c>
      <c r="M1539" s="116">
        <v>303.7</v>
      </c>
      <c r="N1539" s="116">
        <v>308.85000000000002</v>
      </c>
      <c r="O1539" s="116">
        <v>297.5</v>
      </c>
      <c r="P1539" s="116">
        <v>300.75</v>
      </c>
      <c r="Q1539" s="116">
        <v>303.7</v>
      </c>
      <c r="R1539">
        <v>504158</v>
      </c>
    </row>
    <row r="1540" spans="1:18" x14ac:dyDescent="0.25">
      <c r="A1540" s="170">
        <v>44271</v>
      </c>
      <c r="B1540" s="116">
        <v>308.5</v>
      </c>
      <c r="C1540" s="116">
        <v>303.55</v>
      </c>
      <c r="D1540" s="116">
        <v>297.64999999999998</v>
      </c>
      <c r="E1540" s="116">
        <v>302</v>
      </c>
      <c r="F1540" s="116">
        <v>303.55</v>
      </c>
      <c r="G1540">
        <v>68548</v>
      </c>
      <c r="H1540" s="116"/>
      <c r="I1540" s="116"/>
      <c r="L1540" s="170">
        <v>44272</v>
      </c>
      <c r="M1540" s="116">
        <v>295.10000000000002</v>
      </c>
      <c r="N1540" s="116">
        <v>306.39999999999998</v>
      </c>
      <c r="O1540" s="116">
        <v>293.75</v>
      </c>
      <c r="P1540" s="116">
        <v>305</v>
      </c>
      <c r="Q1540" s="116">
        <v>295.10000000000002</v>
      </c>
      <c r="R1540">
        <v>488782</v>
      </c>
    </row>
    <row r="1541" spans="1:18" x14ac:dyDescent="0.25">
      <c r="A1541" s="170">
        <v>44272</v>
      </c>
      <c r="B1541" s="116">
        <v>307</v>
      </c>
      <c r="C1541" s="116">
        <v>294.95</v>
      </c>
      <c r="D1541" s="116">
        <v>294</v>
      </c>
      <c r="E1541" s="116">
        <v>303.7</v>
      </c>
      <c r="F1541" s="116">
        <v>294.95</v>
      </c>
      <c r="G1541">
        <v>32154</v>
      </c>
      <c r="H1541" s="116"/>
      <c r="I1541" s="116"/>
      <c r="L1541" s="170">
        <v>44273</v>
      </c>
      <c r="M1541" s="116">
        <v>286.35000000000002</v>
      </c>
      <c r="N1541" s="116">
        <v>298.5</v>
      </c>
      <c r="O1541" s="116">
        <v>283.10000000000002</v>
      </c>
      <c r="P1541" s="116">
        <v>298</v>
      </c>
      <c r="Q1541" s="116">
        <v>286.35000000000002</v>
      </c>
      <c r="R1541">
        <v>909476</v>
      </c>
    </row>
    <row r="1542" spans="1:18" x14ac:dyDescent="0.25">
      <c r="A1542" s="170">
        <v>44273</v>
      </c>
      <c r="B1542" s="116">
        <v>298.2</v>
      </c>
      <c r="C1542" s="116">
        <v>285.45</v>
      </c>
      <c r="D1542" s="116">
        <v>283.25</v>
      </c>
      <c r="E1542" s="116">
        <v>295.10000000000002</v>
      </c>
      <c r="F1542" s="116">
        <v>285.45</v>
      </c>
      <c r="G1542">
        <v>77676</v>
      </c>
      <c r="H1542" s="116"/>
      <c r="I1542" s="116"/>
      <c r="L1542" s="170">
        <v>44274</v>
      </c>
      <c r="M1542" s="116">
        <v>283.35000000000002</v>
      </c>
      <c r="N1542" s="116">
        <v>289.7</v>
      </c>
      <c r="O1542" s="116">
        <v>272.3</v>
      </c>
      <c r="P1542" s="116">
        <v>285</v>
      </c>
      <c r="Q1542" s="116">
        <v>283.35000000000002</v>
      </c>
      <c r="R1542">
        <v>998832</v>
      </c>
    </row>
    <row r="1543" spans="1:18" x14ac:dyDescent="0.25">
      <c r="A1543" s="170">
        <v>44274</v>
      </c>
      <c r="B1543" s="116">
        <v>289.35000000000002</v>
      </c>
      <c r="C1543" s="116">
        <v>283.5</v>
      </c>
      <c r="D1543" s="116">
        <v>272.7</v>
      </c>
      <c r="E1543" s="116">
        <v>285.45</v>
      </c>
      <c r="F1543" s="116">
        <v>283.5</v>
      </c>
      <c r="G1543">
        <v>49239</v>
      </c>
      <c r="H1543" s="116"/>
      <c r="I1543" s="116"/>
      <c r="L1543" s="170">
        <v>44277</v>
      </c>
      <c r="M1543" s="116">
        <v>278.25</v>
      </c>
      <c r="N1543" s="116">
        <v>289.7</v>
      </c>
      <c r="O1543" s="116">
        <v>277.35000000000002</v>
      </c>
      <c r="P1543" s="116">
        <v>284.5</v>
      </c>
      <c r="Q1543" s="116">
        <v>278.25</v>
      </c>
      <c r="R1543">
        <v>1128743</v>
      </c>
    </row>
    <row r="1544" spans="1:18" x14ac:dyDescent="0.25">
      <c r="A1544" s="170">
        <v>44277</v>
      </c>
      <c r="B1544" s="116">
        <v>289.39999999999998</v>
      </c>
      <c r="C1544" s="116">
        <v>278.25</v>
      </c>
      <c r="D1544" s="116">
        <v>277.39999999999998</v>
      </c>
      <c r="E1544" s="116">
        <v>285</v>
      </c>
      <c r="F1544" s="116">
        <v>278.25</v>
      </c>
      <c r="G1544">
        <v>106750</v>
      </c>
      <c r="H1544" s="116"/>
      <c r="I1544" s="116"/>
      <c r="L1544" s="170">
        <v>44278</v>
      </c>
      <c r="M1544" s="116">
        <v>270.45</v>
      </c>
      <c r="N1544" s="116">
        <v>283.7</v>
      </c>
      <c r="O1544" s="116">
        <v>269</v>
      </c>
      <c r="P1544" s="116">
        <v>280.95</v>
      </c>
      <c r="Q1544" s="116">
        <v>270.45</v>
      </c>
      <c r="R1544">
        <v>1795545</v>
      </c>
    </row>
    <row r="1545" spans="1:18" x14ac:dyDescent="0.25">
      <c r="A1545" s="170">
        <v>44278</v>
      </c>
      <c r="B1545" s="116">
        <v>283.2</v>
      </c>
      <c r="C1545" s="116">
        <v>270.5</v>
      </c>
      <c r="D1545" s="116">
        <v>269.14999999999998</v>
      </c>
      <c r="E1545" s="116">
        <v>279</v>
      </c>
      <c r="F1545" s="116">
        <v>270.5</v>
      </c>
      <c r="G1545">
        <v>101369</v>
      </c>
      <c r="H1545" s="116"/>
      <c r="I1545" s="116"/>
      <c r="L1545" s="170">
        <v>44279</v>
      </c>
      <c r="M1545" s="116">
        <v>265.05</v>
      </c>
      <c r="N1545" s="116">
        <v>275.8</v>
      </c>
      <c r="O1545" s="116">
        <v>264</v>
      </c>
      <c r="P1545" s="116">
        <v>270.45</v>
      </c>
      <c r="Q1545" s="116">
        <v>265.05</v>
      </c>
      <c r="R1545">
        <v>1286577</v>
      </c>
    </row>
    <row r="1546" spans="1:18" x14ac:dyDescent="0.25">
      <c r="A1546" s="170">
        <v>44279</v>
      </c>
      <c r="B1546" s="116">
        <v>275.39999999999998</v>
      </c>
      <c r="C1546" s="116">
        <v>265.10000000000002</v>
      </c>
      <c r="D1546" s="116">
        <v>264</v>
      </c>
      <c r="E1546" s="116">
        <v>270.5</v>
      </c>
      <c r="F1546" s="116">
        <v>265.10000000000002</v>
      </c>
      <c r="G1546">
        <v>112460</v>
      </c>
      <c r="H1546" s="116"/>
      <c r="I1546" s="116"/>
      <c r="L1546" s="170">
        <v>44280</v>
      </c>
      <c r="M1546" s="116">
        <v>266.7</v>
      </c>
      <c r="N1546" s="116">
        <v>269.8</v>
      </c>
      <c r="O1546" s="116">
        <v>261</v>
      </c>
      <c r="P1546" s="116">
        <v>268</v>
      </c>
      <c r="Q1546" s="116">
        <v>266.7</v>
      </c>
      <c r="R1546">
        <v>1011565</v>
      </c>
    </row>
    <row r="1547" spans="1:18" x14ac:dyDescent="0.25">
      <c r="A1547" s="170">
        <v>44280</v>
      </c>
      <c r="B1547" s="116">
        <v>269.64999999999998</v>
      </c>
      <c r="C1547" s="116">
        <v>266.85000000000002</v>
      </c>
      <c r="D1547" s="116">
        <v>261.14999999999998</v>
      </c>
      <c r="E1547" s="116">
        <v>267.8</v>
      </c>
      <c r="F1547" s="116">
        <v>266.85000000000002</v>
      </c>
      <c r="G1547">
        <v>95046</v>
      </c>
      <c r="H1547" s="116"/>
      <c r="I1547" s="116"/>
      <c r="L1547" s="170">
        <v>44281</v>
      </c>
      <c r="M1547" s="116">
        <v>278.05</v>
      </c>
      <c r="N1547" s="116">
        <v>287.89999999999998</v>
      </c>
      <c r="O1547" s="116">
        <v>270.2</v>
      </c>
      <c r="P1547" s="116">
        <v>271.85000000000002</v>
      </c>
      <c r="Q1547" s="116">
        <v>278.05</v>
      </c>
      <c r="R1547">
        <v>2231711</v>
      </c>
    </row>
    <row r="1548" spans="1:18" x14ac:dyDescent="0.25">
      <c r="A1548" s="170">
        <v>44281</v>
      </c>
      <c r="B1548" s="116">
        <v>287.64999999999998</v>
      </c>
      <c r="C1548" s="116">
        <v>277.75</v>
      </c>
      <c r="D1548" s="116">
        <v>270</v>
      </c>
      <c r="E1548" s="116">
        <v>272</v>
      </c>
      <c r="F1548" s="116">
        <v>277.75</v>
      </c>
      <c r="G1548">
        <v>190518</v>
      </c>
      <c r="H1548" s="116"/>
      <c r="I1548" s="116"/>
      <c r="L1548" s="170">
        <v>44285</v>
      </c>
      <c r="M1548" s="116">
        <v>262.25</v>
      </c>
      <c r="N1548" s="116">
        <v>283</v>
      </c>
      <c r="O1548" s="116">
        <v>257</v>
      </c>
      <c r="P1548" s="116">
        <v>281.39999999999998</v>
      </c>
      <c r="Q1548" s="116">
        <v>262.25</v>
      </c>
      <c r="R1548">
        <v>2786711</v>
      </c>
    </row>
    <row r="1549" spans="1:18" x14ac:dyDescent="0.25">
      <c r="A1549" s="170">
        <v>44285</v>
      </c>
      <c r="B1549" s="116">
        <v>283.35000000000002</v>
      </c>
      <c r="C1549" s="116">
        <v>262.39999999999998</v>
      </c>
      <c r="D1549" s="116">
        <v>257</v>
      </c>
      <c r="E1549" s="116">
        <v>283.35000000000002</v>
      </c>
      <c r="F1549" s="116">
        <v>262.39999999999998</v>
      </c>
      <c r="G1549">
        <v>77935</v>
      </c>
      <c r="H1549" s="116"/>
      <c r="I1549" s="116"/>
      <c r="L1549" s="170">
        <v>44286</v>
      </c>
      <c r="M1549" s="116">
        <v>272.89999999999998</v>
      </c>
      <c r="N1549" s="116">
        <v>275</v>
      </c>
      <c r="O1549" s="116">
        <v>264.45</v>
      </c>
      <c r="P1549" s="116">
        <v>264.5</v>
      </c>
      <c r="Q1549" s="116">
        <v>272.89999999999998</v>
      </c>
      <c r="R1549">
        <v>1783503</v>
      </c>
    </row>
    <row r="1550" spans="1:18" x14ac:dyDescent="0.25">
      <c r="A1550" s="170">
        <v>44286</v>
      </c>
      <c r="B1550" s="116">
        <v>274.7</v>
      </c>
      <c r="C1550" s="116">
        <v>272.8</v>
      </c>
      <c r="D1550" s="116">
        <v>264.35000000000002</v>
      </c>
      <c r="E1550" s="116">
        <v>264.85000000000002</v>
      </c>
      <c r="F1550" s="116">
        <v>272.8</v>
      </c>
      <c r="G1550">
        <v>151034</v>
      </c>
      <c r="H1550" s="116"/>
      <c r="I1550" s="116"/>
      <c r="L1550" s="170">
        <v>44287</v>
      </c>
      <c r="M1550" s="116">
        <v>280.25</v>
      </c>
      <c r="N1550" s="116">
        <v>283</v>
      </c>
      <c r="O1550" s="116">
        <v>274.25</v>
      </c>
      <c r="P1550" s="116">
        <v>276</v>
      </c>
      <c r="Q1550" s="116">
        <v>280.25</v>
      </c>
      <c r="R1550">
        <v>1464491</v>
      </c>
    </row>
    <row r="1551" spans="1:18" x14ac:dyDescent="0.25">
      <c r="A1551" s="170">
        <v>44287</v>
      </c>
      <c r="B1551" s="116">
        <v>282.85000000000002</v>
      </c>
      <c r="C1551" s="116">
        <v>280.10000000000002</v>
      </c>
      <c r="D1551" s="116">
        <v>274.3</v>
      </c>
      <c r="E1551" s="116">
        <v>278</v>
      </c>
      <c r="F1551" s="116">
        <v>280.10000000000002</v>
      </c>
      <c r="G1551">
        <v>54604</v>
      </c>
      <c r="H1551" s="116"/>
      <c r="I1551" s="116"/>
      <c r="L1551" s="170">
        <v>44291</v>
      </c>
      <c r="M1551" s="116">
        <v>297.25</v>
      </c>
      <c r="N1551" s="116">
        <v>303</v>
      </c>
      <c r="O1551" s="116">
        <v>277.5</v>
      </c>
      <c r="P1551" s="116">
        <v>281</v>
      </c>
      <c r="Q1551" s="116">
        <v>297.25</v>
      </c>
      <c r="R1551">
        <v>3945113</v>
      </c>
    </row>
    <row r="1552" spans="1:18" x14ac:dyDescent="0.25">
      <c r="A1552" s="170">
        <v>44291</v>
      </c>
      <c r="B1552" s="116">
        <v>303</v>
      </c>
      <c r="C1552" s="116">
        <v>297.55</v>
      </c>
      <c r="D1552" s="116">
        <v>277.8</v>
      </c>
      <c r="E1552" s="116">
        <v>283.8</v>
      </c>
      <c r="F1552" s="116">
        <v>297.55</v>
      </c>
      <c r="G1552">
        <v>197137</v>
      </c>
      <c r="H1552" s="116"/>
      <c r="I1552" s="116"/>
      <c r="L1552" s="170">
        <v>44292</v>
      </c>
      <c r="M1552" s="116">
        <v>301.35000000000002</v>
      </c>
      <c r="N1552" s="116">
        <v>309</v>
      </c>
      <c r="O1552" s="116">
        <v>290</v>
      </c>
      <c r="P1552" s="116">
        <v>297.8</v>
      </c>
      <c r="Q1552" s="116">
        <v>301.35000000000002</v>
      </c>
      <c r="R1552">
        <v>2113161</v>
      </c>
    </row>
    <row r="1553" spans="1:18" x14ac:dyDescent="0.25">
      <c r="A1553" s="170">
        <v>44292</v>
      </c>
      <c r="B1553" s="116">
        <v>308.3</v>
      </c>
      <c r="C1553" s="116">
        <v>301.7</v>
      </c>
      <c r="D1553" s="116">
        <v>290.2</v>
      </c>
      <c r="E1553" s="116">
        <v>297</v>
      </c>
      <c r="F1553" s="116">
        <v>301.7</v>
      </c>
      <c r="G1553">
        <v>184187</v>
      </c>
      <c r="H1553" s="116"/>
      <c r="I1553" s="116"/>
      <c r="L1553" s="170">
        <v>44293</v>
      </c>
      <c r="M1553" s="116">
        <v>307.5</v>
      </c>
      <c r="N1553" s="116">
        <v>317.5</v>
      </c>
      <c r="O1553" s="116">
        <v>305.25</v>
      </c>
      <c r="P1553" s="116">
        <v>312</v>
      </c>
      <c r="Q1553" s="116">
        <v>307.5</v>
      </c>
      <c r="R1553">
        <v>5173835</v>
      </c>
    </row>
    <row r="1554" spans="1:18" x14ac:dyDescent="0.25">
      <c r="A1554" s="170">
        <v>44293</v>
      </c>
      <c r="B1554" s="116">
        <v>317.60000000000002</v>
      </c>
      <c r="C1554" s="116">
        <v>307.55</v>
      </c>
      <c r="D1554" s="116">
        <v>305.3</v>
      </c>
      <c r="E1554" s="116">
        <v>311.2</v>
      </c>
      <c r="F1554" s="116">
        <v>307.55</v>
      </c>
      <c r="G1554">
        <v>373326</v>
      </c>
      <c r="H1554" s="116"/>
      <c r="I1554" s="116"/>
      <c r="L1554" s="170">
        <v>44294</v>
      </c>
      <c r="M1554" s="116">
        <v>319.10000000000002</v>
      </c>
      <c r="N1554" s="116">
        <v>323.5</v>
      </c>
      <c r="O1554" s="116">
        <v>306.60000000000002</v>
      </c>
      <c r="P1554" s="116">
        <v>307.5</v>
      </c>
      <c r="Q1554" s="116">
        <v>319.10000000000002</v>
      </c>
      <c r="R1554">
        <v>3354406</v>
      </c>
    </row>
    <row r="1555" spans="1:18" x14ac:dyDescent="0.25">
      <c r="A1555" s="170">
        <v>44294</v>
      </c>
      <c r="B1555" s="116">
        <v>323.45</v>
      </c>
      <c r="C1555" s="116">
        <v>318.85000000000002</v>
      </c>
      <c r="D1555" s="116">
        <v>306.39999999999998</v>
      </c>
      <c r="E1555" s="116">
        <v>308.8</v>
      </c>
      <c r="F1555" s="116">
        <v>318.85000000000002</v>
      </c>
      <c r="G1555">
        <v>267133</v>
      </c>
      <c r="H1555" s="116"/>
      <c r="I1555" s="116"/>
      <c r="L1555" s="170">
        <v>44295</v>
      </c>
      <c r="M1555" s="116">
        <v>308.85000000000002</v>
      </c>
      <c r="N1555" s="116">
        <v>317.5</v>
      </c>
      <c r="O1555" s="116">
        <v>308</v>
      </c>
      <c r="P1555" s="116">
        <v>317.5</v>
      </c>
      <c r="Q1555" s="116">
        <v>308.85000000000002</v>
      </c>
      <c r="R1555">
        <v>2143386</v>
      </c>
    </row>
    <row r="1556" spans="1:18" x14ac:dyDescent="0.25">
      <c r="A1556" s="170">
        <v>44295</v>
      </c>
      <c r="B1556" s="116">
        <v>318.8</v>
      </c>
      <c r="C1556" s="116">
        <v>308.64999999999998</v>
      </c>
      <c r="D1556" s="116">
        <v>308</v>
      </c>
      <c r="E1556" s="116">
        <v>318</v>
      </c>
      <c r="F1556" s="116">
        <v>308.64999999999998</v>
      </c>
      <c r="G1556">
        <v>101585</v>
      </c>
      <c r="H1556" s="116"/>
      <c r="I1556" s="116"/>
      <c r="L1556" s="170">
        <v>44298</v>
      </c>
      <c r="M1556" s="116">
        <v>294.14999999999998</v>
      </c>
      <c r="N1556" s="116">
        <v>303</v>
      </c>
      <c r="O1556" s="116">
        <v>288</v>
      </c>
      <c r="P1556" s="116">
        <v>303</v>
      </c>
      <c r="Q1556" s="116">
        <v>294.14999999999998</v>
      </c>
      <c r="R1556">
        <v>1570309</v>
      </c>
    </row>
    <row r="1557" spans="1:18" x14ac:dyDescent="0.25">
      <c r="A1557" s="170">
        <v>44298</v>
      </c>
      <c r="B1557" s="116">
        <v>307.5</v>
      </c>
      <c r="C1557" s="116">
        <v>294.8</v>
      </c>
      <c r="D1557" s="116">
        <v>288.10000000000002</v>
      </c>
      <c r="E1557" s="116">
        <v>307.5</v>
      </c>
      <c r="F1557" s="116">
        <v>294.8</v>
      </c>
      <c r="G1557">
        <v>152053</v>
      </c>
      <c r="H1557" s="116"/>
      <c r="I1557" s="116"/>
      <c r="L1557" s="170">
        <v>44299</v>
      </c>
      <c r="M1557" s="116">
        <v>291.95</v>
      </c>
      <c r="N1557" s="116">
        <v>302.45</v>
      </c>
      <c r="O1557" s="116">
        <v>291</v>
      </c>
      <c r="P1557" s="116">
        <v>298.35000000000002</v>
      </c>
      <c r="Q1557" s="116">
        <v>291.95</v>
      </c>
      <c r="R1557">
        <v>1055168</v>
      </c>
    </row>
    <row r="1558" spans="1:18" x14ac:dyDescent="0.25">
      <c r="A1558" s="170">
        <v>44299</v>
      </c>
      <c r="B1558" s="116">
        <v>302.14999999999998</v>
      </c>
      <c r="C1558" s="116">
        <v>292</v>
      </c>
      <c r="D1558" s="116">
        <v>291</v>
      </c>
      <c r="E1558" s="116">
        <v>296.25</v>
      </c>
      <c r="F1558" s="116">
        <v>292</v>
      </c>
      <c r="G1558">
        <v>89907</v>
      </c>
      <c r="H1558" s="116"/>
      <c r="I1558" s="116"/>
      <c r="L1558" s="170">
        <v>44301</v>
      </c>
      <c r="M1558" s="116">
        <v>291.75</v>
      </c>
      <c r="N1558" s="116">
        <v>297.89999999999998</v>
      </c>
      <c r="O1558" s="116">
        <v>290</v>
      </c>
      <c r="P1558" s="116">
        <v>291.5</v>
      </c>
      <c r="Q1558" s="116">
        <v>291.75</v>
      </c>
      <c r="R1558">
        <v>1015424</v>
      </c>
    </row>
    <row r="1559" spans="1:18" x14ac:dyDescent="0.25">
      <c r="A1559" s="170">
        <v>44301</v>
      </c>
      <c r="B1559" s="116">
        <v>297.89999999999998</v>
      </c>
      <c r="C1559" s="116">
        <v>292.35000000000002</v>
      </c>
      <c r="D1559" s="116">
        <v>281.3</v>
      </c>
      <c r="E1559" s="116">
        <v>281.3</v>
      </c>
      <c r="F1559" s="116">
        <v>292.35000000000002</v>
      </c>
      <c r="G1559">
        <v>53806</v>
      </c>
      <c r="H1559" s="116"/>
      <c r="I1559" s="116"/>
      <c r="L1559" s="170">
        <v>44302</v>
      </c>
      <c r="M1559" s="116">
        <v>292.10000000000002</v>
      </c>
      <c r="N1559" s="116">
        <v>298.75</v>
      </c>
      <c r="O1559" s="116">
        <v>291.10000000000002</v>
      </c>
      <c r="P1559" s="116">
        <v>293</v>
      </c>
      <c r="Q1559" s="116">
        <v>292.10000000000002</v>
      </c>
      <c r="R1559">
        <v>866946</v>
      </c>
    </row>
    <row r="1560" spans="1:18" x14ac:dyDescent="0.25">
      <c r="A1560" s="170">
        <v>44302</v>
      </c>
      <c r="B1560" s="116">
        <v>298.7</v>
      </c>
      <c r="C1560" s="116">
        <v>292</v>
      </c>
      <c r="D1560" s="116">
        <v>291.10000000000002</v>
      </c>
      <c r="E1560" s="116">
        <v>298</v>
      </c>
      <c r="F1560" s="116">
        <v>292</v>
      </c>
      <c r="G1560">
        <v>57436</v>
      </c>
      <c r="H1560" s="116"/>
      <c r="I1560" s="116"/>
      <c r="L1560" s="170">
        <v>44305</v>
      </c>
      <c r="M1560" s="116">
        <v>282.89999999999998</v>
      </c>
      <c r="N1560" s="116">
        <v>290</v>
      </c>
      <c r="O1560" s="116">
        <v>278.64999999999998</v>
      </c>
      <c r="P1560" s="116">
        <v>286</v>
      </c>
      <c r="Q1560" s="116">
        <v>282.89999999999998</v>
      </c>
      <c r="R1560">
        <v>1180792</v>
      </c>
    </row>
    <row r="1561" spans="1:18" x14ac:dyDescent="0.25">
      <c r="A1561" s="170">
        <v>44305</v>
      </c>
      <c r="B1561" s="116">
        <v>287.85000000000002</v>
      </c>
      <c r="C1561" s="116">
        <v>282.8</v>
      </c>
      <c r="D1561" s="116">
        <v>275</v>
      </c>
      <c r="E1561" s="116">
        <v>275</v>
      </c>
      <c r="F1561" s="116">
        <v>282.8</v>
      </c>
      <c r="G1561">
        <v>59172</v>
      </c>
      <c r="H1561" s="116"/>
      <c r="I1561" s="116"/>
      <c r="L1561" s="170">
        <v>44306</v>
      </c>
      <c r="M1561" s="116">
        <v>284.39999999999998</v>
      </c>
      <c r="N1561" s="116">
        <v>290.14999999999998</v>
      </c>
      <c r="O1561" s="116">
        <v>281.10000000000002</v>
      </c>
      <c r="P1561" s="116">
        <v>286</v>
      </c>
      <c r="Q1561" s="116">
        <v>284.39999999999998</v>
      </c>
      <c r="R1561">
        <v>738454</v>
      </c>
    </row>
    <row r="1562" spans="1:18" x14ac:dyDescent="0.25">
      <c r="A1562" s="170">
        <v>44306</v>
      </c>
      <c r="B1562" s="116">
        <v>290</v>
      </c>
      <c r="C1562" s="116">
        <v>283.55</v>
      </c>
      <c r="D1562" s="116">
        <v>281.14999999999998</v>
      </c>
      <c r="E1562" s="116">
        <v>288.5</v>
      </c>
      <c r="F1562" s="116">
        <v>283.55</v>
      </c>
      <c r="G1562">
        <v>40815</v>
      </c>
      <c r="H1562" s="116"/>
      <c r="I1562" s="116"/>
      <c r="L1562" s="170">
        <v>44308</v>
      </c>
      <c r="M1562" s="116">
        <v>302.25</v>
      </c>
      <c r="N1562" s="116">
        <v>305</v>
      </c>
      <c r="O1562" s="116">
        <v>287</v>
      </c>
      <c r="P1562" s="116">
        <v>287</v>
      </c>
      <c r="Q1562" s="116">
        <v>302.25</v>
      </c>
      <c r="R1562">
        <v>3681184</v>
      </c>
    </row>
    <row r="1563" spans="1:18" x14ac:dyDescent="0.25">
      <c r="A1563" s="170">
        <v>44308</v>
      </c>
      <c r="B1563" s="116">
        <v>304.75</v>
      </c>
      <c r="C1563" s="116">
        <v>301.75</v>
      </c>
      <c r="D1563" s="116">
        <v>285.55</v>
      </c>
      <c r="E1563" s="116">
        <v>285.55</v>
      </c>
      <c r="F1563" s="116">
        <v>301.75</v>
      </c>
      <c r="G1563">
        <v>202123</v>
      </c>
      <c r="H1563" s="116"/>
      <c r="I1563" s="116"/>
      <c r="L1563" s="170">
        <v>44309</v>
      </c>
      <c r="M1563" s="116">
        <v>299.55</v>
      </c>
      <c r="N1563" s="116">
        <v>309.25</v>
      </c>
      <c r="O1563" s="116">
        <v>294</v>
      </c>
      <c r="P1563" s="116">
        <v>302.25</v>
      </c>
      <c r="Q1563" s="116">
        <v>299.55</v>
      </c>
      <c r="R1563">
        <v>2969340</v>
      </c>
    </row>
    <row r="1564" spans="1:18" x14ac:dyDescent="0.25">
      <c r="A1564" s="170">
        <v>44309</v>
      </c>
      <c r="B1564" s="116">
        <v>312</v>
      </c>
      <c r="C1564" s="116">
        <v>299.85000000000002</v>
      </c>
      <c r="D1564" s="116">
        <v>290.2</v>
      </c>
      <c r="E1564" s="116">
        <v>303.7</v>
      </c>
      <c r="F1564" s="116">
        <v>299.85000000000002</v>
      </c>
      <c r="G1564">
        <v>196512</v>
      </c>
      <c r="H1564" s="116"/>
      <c r="I1564" s="116"/>
      <c r="L1564" s="170">
        <v>44312</v>
      </c>
      <c r="M1564" s="116">
        <v>304.14999999999998</v>
      </c>
      <c r="N1564" s="116">
        <v>311</v>
      </c>
      <c r="O1564" s="116">
        <v>300.35000000000002</v>
      </c>
      <c r="P1564" s="116">
        <v>304.7</v>
      </c>
      <c r="Q1564" s="116">
        <v>304.14999999999998</v>
      </c>
      <c r="R1564">
        <v>3199929</v>
      </c>
    </row>
    <row r="1565" spans="1:18" x14ac:dyDescent="0.25">
      <c r="A1565" s="170">
        <v>44312</v>
      </c>
      <c r="B1565" s="116">
        <v>310.8</v>
      </c>
      <c r="C1565" s="116">
        <v>304.14999999999998</v>
      </c>
      <c r="D1565" s="116">
        <v>300.35000000000002</v>
      </c>
      <c r="E1565" s="116">
        <v>305</v>
      </c>
      <c r="F1565" s="116">
        <v>304.14999999999998</v>
      </c>
      <c r="G1565">
        <v>252540</v>
      </c>
      <c r="H1565" s="116"/>
      <c r="I1565" s="116"/>
      <c r="L1565" s="170">
        <v>44313</v>
      </c>
      <c r="M1565" s="116">
        <v>318.75</v>
      </c>
      <c r="N1565" s="116">
        <v>322.39999999999998</v>
      </c>
      <c r="O1565" s="116">
        <v>306.55</v>
      </c>
      <c r="P1565" s="116">
        <v>308</v>
      </c>
      <c r="Q1565" s="116">
        <v>318.75</v>
      </c>
      <c r="R1565">
        <v>9306441</v>
      </c>
    </row>
    <row r="1566" spans="1:18" x14ac:dyDescent="0.25">
      <c r="A1566" s="170">
        <v>44313</v>
      </c>
      <c r="B1566" s="116">
        <v>322.55</v>
      </c>
      <c r="C1566" s="116">
        <v>318.7</v>
      </c>
      <c r="D1566" s="116">
        <v>306.60000000000002</v>
      </c>
      <c r="E1566" s="116">
        <v>309.8</v>
      </c>
      <c r="F1566" s="116">
        <v>318.7</v>
      </c>
      <c r="G1566">
        <v>361887</v>
      </c>
      <c r="H1566" s="116"/>
      <c r="I1566" s="116"/>
      <c r="L1566" s="170">
        <v>44314</v>
      </c>
      <c r="M1566" s="116">
        <v>308.2</v>
      </c>
      <c r="N1566" s="116">
        <v>321.89999999999998</v>
      </c>
      <c r="O1566" s="116">
        <v>307</v>
      </c>
      <c r="P1566" s="116">
        <v>321.89999999999998</v>
      </c>
      <c r="Q1566" s="116">
        <v>308.2</v>
      </c>
      <c r="R1566">
        <v>5195162</v>
      </c>
    </row>
    <row r="1567" spans="1:18" x14ac:dyDescent="0.25">
      <c r="A1567" s="170">
        <v>44314</v>
      </c>
      <c r="B1567" s="116">
        <v>323.39999999999998</v>
      </c>
      <c r="C1567" s="116">
        <v>308.10000000000002</v>
      </c>
      <c r="D1567" s="116">
        <v>307</v>
      </c>
      <c r="E1567" s="116">
        <v>323.39999999999998</v>
      </c>
      <c r="F1567" s="116">
        <v>308.10000000000002</v>
      </c>
      <c r="G1567">
        <v>282256</v>
      </c>
      <c r="H1567" s="116"/>
      <c r="I1567" s="116"/>
      <c r="L1567" s="170">
        <v>44315</v>
      </c>
      <c r="M1567" s="116">
        <v>307.2</v>
      </c>
      <c r="N1567" s="116">
        <v>314.75</v>
      </c>
      <c r="O1567" s="116">
        <v>306</v>
      </c>
      <c r="P1567" s="116">
        <v>312</v>
      </c>
      <c r="Q1567" s="116">
        <v>307.2</v>
      </c>
      <c r="R1567">
        <v>2514122</v>
      </c>
    </row>
    <row r="1568" spans="1:18" x14ac:dyDescent="0.25">
      <c r="A1568" s="170">
        <v>44315</v>
      </c>
      <c r="B1568" s="116">
        <v>314.60000000000002</v>
      </c>
      <c r="C1568" s="116">
        <v>307.10000000000002</v>
      </c>
      <c r="D1568" s="116">
        <v>306.05</v>
      </c>
      <c r="E1568" s="116">
        <v>314</v>
      </c>
      <c r="F1568" s="116">
        <v>307.10000000000002</v>
      </c>
      <c r="G1568">
        <v>154028</v>
      </c>
      <c r="H1568" s="116"/>
      <c r="I1568" s="116"/>
      <c r="L1568" s="170">
        <v>44316</v>
      </c>
      <c r="M1568" s="116">
        <v>305.10000000000002</v>
      </c>
      <c r="N1568" s="116">
        <v>312.55</v>
      </c>
      <c r="O1568" s="116">
        <v>302.05</v>
      </c>
      <c r="P1568" s="116">
        <v>305.5</v>
      </c>
      <c r="Q1568" s="116">
        <v>305.10000000000002</v>
      </c>
      <c r="R1568">
        <v>1726897</v>
      </c>
    </row>
    <row r="1569" spans="1:18" x14ac:dyDescent="0.25">
      <c r="A1569" s="170">
        <v>44316</v>
      </c>
      <c r="B1569" s="116">
        <v>312.25</v>
      </c>
      <c r="C1569" s="116">
        <v>305.3</v>
      </c>
      <c r="D1569" s="116">
        <v>301.95</v>
      </c>
      <c r="E1569" s="116">
        <v>306.7</v>
      </c>
      <c r="F1569" s="116">
        <v>305.3</v>
      </c>
      <c r="G1569">
        <v>100901</v>
      </c>
      <c r="H1569" s="116"/>
      <c r="I1569" s="116"/>
      <c r="L1569" s="170">
        <v>44319</v>
      </c>
      <c r="M1569" s="116">
        <v>297.7</v>
      </c>
      <c r="N1569" s="116">
        <v>307.3</v>
      </c>
      <c r="O1569" s="116">
        <v>296.55</v>
      </c>
      <c r="P1569" s="116">
        <v>306.14999999999998</v>
      </c>
      <c r="Q1569" s="116">
        <v>297.7</v>
      </c>
      <c r="R1569">
        <v>2004533</v>
      </c>
    </row>
    <row r="1570" spans="1:18" x14ac:dyDescent="0.25">
      <c r="A1570" s="170">
        <v>44319</v>
      </c>
      <c r="B1570" s="116">
        <v>307.14999999999998</v>
      </c>
      <c r="C1570" s="116">
        <v>297.8</v>
      </c>
      <c r="D1570" s="116">
        <v>296.14999999999998</v>
      </c>
      <c r="E1570" s="116">
        <v>305.3</v>
      </c>
      <c r="F1570" s="116">
        <v>297.8</v>
      </c>
      <c r="G1570">
        <v>151138</v>
      </c>
      <c r="H1570" s="116"/>
      <c r="I1570" s="116"/>
      <c r="L1570" s="170">
        <v>44320</v>
      </c>
      <c r="M1570" s="116">
        <v>290.39999999999998</v>
      </c>
      <c r="N1570" s="116">
        <v>303</v>
      </c>
      <c r="O1570" s="116">
        <v>287</v>
      </c>
      <c r="P1570" s="116">
        <v>303</v>
      </c>
      <c r="Q1570" s="116">
        <v>290.39999999999998</v>
      </c>
      <c r="R1570">
        <v>3787816</v>
      </c>
    </row>
    <row r="1571" spans="1:18" x14ac:dyDescent="0.25">
      <c r="A1571" s="170">
        <v>44320</v>
      </c>
      <c r="B1571" s="116">
        <v>303.60000000000002</v>
      </c>
      <c r="C1571" s="116">
        <v>290.55</v>
      </c>
      <c r="D1571" s="116">
        <v>287</v>
      </c>
      <c r="E1571" s="116">
        <v>303.60000000000002</v>
      </c>
      <c r="F1571" s="116">
        <v>290.55</v>
      </c>
      <c r="G1571">
        <v>253724</v>
      </c>
      <c r="H1571" s="116"/>
      <c r="I1571" s="116"/>
      <c r="L1571" s="170">
        <v>44321</v>
      </c>
      <c r="M1571" s="116">
        <v>288.05</v>
      </c>
      <c r="N1571" s="116">
        <v>295.05</v>
      </c>
      <c r="O1571" s="116">
        <v>287</v>
      </c>
      <c r="P1571" s="116">
        <v>291.10000000000002</v>
      </c>
      <c r="Q1571" s="116">
        <v>288.05</v>
      </c>
      <c r="R1571">
        <v>1988974</v>
      </c>
    </row>
    <row r="1572" spans="1:18" x14ac:dyDescent="0.25">
      <c r="A1572" s="170">
        <v>44321</v>
      </c>
      <c r="B1572" s="116">
        <v>295.75</v>
      </c>
      <c r="C1572" s="116">
        <v>288.14999999999998</v>
      </c>
      <c r="D1572" s="116">
        <v>287.14999999999998</v>
      </c>
      <c r="E1572" s="116">
        <v>291</v>
      </c>
      <c r="F1572" s="116">
        <v>288.14999999999998</v>
      </c>
      <c r="G1572">
        <v>107684</v>
      </c>
      <c r="H1572" s="116"/>
      <c r="I1572" s="116"/>
      <c r="L1572" s="170">
        <v>44322</v>
      </c>
      <c r="M1572" s="116">
        <v>296.5</v>
      </c>
      <c r="N1572" s="116">
        <v>300.60000000000002</v>
      </c>
      <c r="O1572" s="116">
        <v>290</v>
      </c>
      <c r="P1572" s="116">
        <v>290.8</v>
      </c>
      <c r="Q1572" s="116">
        <v>296.5</v>
      </c>
      <c r="R1572">
        <v>3618674</v>
      </c>
    </row>
    <row r="1573" spans="1:18" x14ac:dyDescent="0.25">
      <c r="A1573" s="170">
        <v>44322</v>
      </c>
      <c r="B1573" s="116">
        <v>300.45</v>
      </c>
      <c r="C1573" s="116">
        <v>296.45</v>
      </c>
      <c r="D1573" s="116">
        <v>289.60000000000002</v>
      </c>
      <c r="E1573" s="116">
        <v>289.60000000000002</v>
      </c>
      <c r="F1573" s="116">
        <v>296.45</v>
      </c>
      <c r="G1573">
        <v>270409</v>
      </c>
      <c r="H1573" s="116"/>
      <c r="I1573" s="116"/>
      <c r="L1573" s="170">
        <v>44323</v>
      </c>
      <c r="M1573" s="116">
        <v>309.85000000000002</v>
      </c>
      <c r="N1573" s="116">
        <v>316.3</v>
      </c>
      <c r="O1573" s="116">
        <v>299</v>
      </c>
      <c r="P1573" s="116">
        <v>300.5</v>
      </c>
      <c r="Q1573" s="116">
        <v>309.85000000000002</v>
      </c>
      <c r="R1573">
        <v>7838176</v>
      </c>
    </row>
    <row r="1574" spans="1:18" x14ac:dyDescent="0.25">
      <c r="A1574" s="170">
        <v>44323</v>
      </c>
      <c r="B1574" s="116">
        <v>316.05</v>
      </c>
      <c r="C1574" s="116">
        <v>309.64999999999998</v>
      </c>
      <c r="D1574" s="116">
        <v>299.10000000000002</v>
      </c>
      <c r="E1574" s="116">
        <v>299.10000000000002</v>
      </c>
      <c r="F1574" s="116">
        <v>309.64999999999998</v>
      </c>
      <c r="G1574">
        <v>370800</v>
      </c>
      <c r="H1574" s="116"/>
      <c r="I1574" s="116"/>
      <c r="L1574" s="170">
        <v>44326</v>
      </c>
      <c r="M1574" s="116">
        <v>317.85000000000002</v>
      </c>
      <c r="N1574" s="116">
        <v>320.2</v>
      </c>
      <c r="O1574" s="116">
        <v>309</v>
      </c>
      <c r="P1574" s="116">
        <v>315</v>
      </c>
      <c r="Q1574" s="116">
        <v>317.85000000000002</v>
      </c>
      <c r="R1574">
        <v>4835154</v>
      </c>
    </row>
    <row r="1575" spans="1:18" x14ac:dyDescent="0.25">
      <c r="A1575" s="170">
        <v>44326</v>
      </c>
      <c r="B1575" s="116">
        <v>320</v>
      </c>
      <c r="C1575" s="116">
        <v>317.45</v>
      </c>
      <c r="D1575" s="116">
        <v>309.85000000000002</v>
      </c>
      <c r="E1575" s="116">
        <v>315.64999999999998</v>
      </c>
      <c r="F1575" s="116">
        <v>317.45</v>
      </c>
      <c r="G1575">
        <v>242415</v>
      </c>
      <c r="H1575" s="116"/>
      <c r="I1575" s="116"/>
      <c r="L1575" s="170">
        <v>44327</v>
      </c>
      <c r="M1575" s="116">
        <v>313.10000000000002</v>
      </c>
      <c r="N1575" s="116">
        <v>316.89999999999998</v>
      </c>
      <c r="O1575" s="116">
        <v>307</v>
      </c>
      <c r="P1575" s="116">
        <v>310</v>
      </c>
      <c r="Q1575" s="116">
        <v>313.10000000000002</v>
      </c>
      <c r="R1575">
        <v>1994769</v>
      </c>
    </row>
    <row r="1576" spans="1:18" x14ac:dyDescent="0.25">
      <c r="A1576" s="170">
        <v>44327</v>
      </c>
      <c r="B1576" s="116">
        <v>316.85000000000002</v>
      </c>
      <c r="C1576" s="116">
        <v>313.2</v>
      </c>
      <c r="D1576" s="116">
        <v>307.5</v>
      </c>
      <c r="E1576" s="116">
        <v>311.5</v>
      </c>
      <c r="F1576" s="116">
        <v>313.2</v>
      </c>
      <c r="G1576">
        <v>104729</v>
      </c>
      <c r="H1576" s="116"/>
      <c r="I1576" s="116"/>
      <c r="L1576" s="170">
        <v>44328</v>
      </c>
      <c r="M1576" s="116">
        <v>317.10000000000002</v>
      </c>
      <c r="N1576" s="116">
        <v>332</v>
      </c>
      <c r="O1576" s="116">
        <v>312</v>
      </c>
      <c r="P1576" s="116">
        <v>315.5</v>
      </c>
      <c r="Q1576" s="116">
        <v>317.10000000000002</v>
      </c>
      <c r="R1576">
        <v>7972217</v>
      </c>
    </row>
    <row r="1577" spans="1:18" x14ac:dyDescent="0.25">
      <c r="A1577" s="170">
        <v>44328</v>
      </c>
      <c r="B1577" s="116">
        <v>332</v>
      </c>
      <c r="C1577" s="116">
        <v>316.95</v>
      </c>
      <c r="D1577" s="116">
        <v>312</v>
      </c>
      <c r="E1577" s="116">
        <v>315</v>
      </c>
      <c r="F1577" s="116">
        <v>316.95</v>
      </c>
      <c r="G1577">
        <v>645554</v>
      </c>
      <c r="H1577" s="116"/>
      <c r="I1577" s="116"/>
      <c r="L1577" s="170">
        <v>44330</v>
      </c>
      <c r="M1577" s="116">
        <v>311.8</v>
      </c>
      <c r="N1577" s="116">
        <v>323.85000000000002</v>
      </c>
      <c r="O1577" s="116">
        <v>308.64999999999998</v>
      </c>
      <c r="P1577" s="116">
        <v>319.95</v>
      </c>
      <c r="Q1577" s="116">
        <v>311.8</v>
      </c>
      <c r="R1577">
        <v>3998991</v>
      </c>
    </row>
    <row r="1578" spans="1:18" x14ac:dyDescent="0.25">
      <c r="A1578" s="170">
        <v>44330</v>
      </c>
      <c r="B1578" s="116">
        <v>324</v>
      </c>
      <c r="C1578" s="116">
        <v>311.35000000000002</v>
      </c>
      <c r="D1578" s="116">
        <v>308.55</v>
      </c>
      <c r="E1578" s="116">
        <v>320</v>
      </c>
      <c r="F1578" s="116">
        <v>311.35000000000002</v>
      </c>
      <c r="G1578">
        <v>204612</v>
      </c>
      <c r="H1578" s="116"/>
      <c r="I1578" s="116"/>
      <c r="L1578" s="170">
        <v>44333</v>
      </c>
      <c r="M1578" s="116">
        <v>315.64999999999998</v>
      </c>
      <c r="N1578" s="116">
        <v>318</v>
      </c>
      <c r="O1578" s="116">
        <v>311.8</v>
      </c>
      <c r="P1578" s="116">
        <v>311.8</v>
      </c>
      <c r="Q1578" s="116">
        <v>315.64999999999998</v>
      </c>
      <c r="R1578">
        <v>1227131</v>
      </c>
    </row>
    <row r="1579" spans="1:18" x14ac:dyDescent="0.25">
      <c r="A1579" s="170">
        <v>44333</v>
      </c>
      <c r="B1579" s="116">
        <v>318</v>
      </c>
      <c r="C1579" s="116">
        <v>315.7</v>
      </c>
      <c r="D1579" s="116">
        <v>312.39999999999998</v>
      </c>
      <c r="E1579" s="116">
        <v>318</v>
      </c>
      <c r="F1579" s="116">
        <v>315.7</v>
      </c>
      <c r="G1579">
        <v>79636</v>
      </c>
      <c r="H1579" s="116"/>
      <c r="I1579" s="116"/>
      <c r="L1579" s="170">
        <v>44334</v>
      </c>
      <c r="M1579" s="116">
        <v>345.5</v>
      </c>
      <c r="N1579" s="116">
        <v>350.5</v>
      </c>
      <c r="O1579" s="116">
        <v>321.45</v>
      </c>
      <c r="P1579" s="116">
        <v>321.45</v>
      </c>
      <c r="Q1579" s="116">
        <v>345.5</v>
      </c>
      <c r="R1579">
        <v>24955975</v>
      </c>
    </row>
    <row r="1580" spans="1:18" x14ac:dyDescent="0.25">
      <c r="A1580" s="170">
        <v>44334</v>
      </c>
      <c r="B1580" s="116">
        <v>350</v>
      </c>
      <c r="C1580" s="116">
        <v>345.45</v>
      </c>
      <c r="D1580" s="116">
        <v>319.5</v>
      </c>
      <c r="E1580" s="116">
        <v>319.5</v>
      </c>
      <c r="F1580" s="116">
        <v>345.45</v>
      </c>
      <c r="G1580">
        <v>2082426</v>
      </c>
      <c r="H1580" s="116"/>
      <c r="I1580" s="116"/>
      <c r="L1580" s="170">
        <v>44335</v>
      </c>
      <c r="M1580" s="116">
        <v>347.65</v>
      </c>
      <c r="N1580" s="116">
        <v>362.1</v>
      </c>
      <c r="O1580" s="116">
        <v>342.25</v>
      </c>
      <c r="P1580" s="116">
        <v>351</v>
      </c>
      <c r="Q1580" s="116">
        <v>347.65</v>
      </c>
      <c r="R1580">
        <v>11543534</v>
      </c>
    </row>
    <row r="1581" spans="1:18" x14ac:dyDescent="0.25">
      <c r="A1581" s="170">
        <v>44335</v>
      </c>
      <c r="B1581" s="116">
        <v>362.4</v>
      </c>
      <c r="C1581" s="116">
        <v>347.05</v>
      </c>
      <c r="D1581" s="116">
        <v>342</v>
      </c>
      <c r="E1581" s="116">
        <v>349.45</v>
      </c>
      <c r="F1581" s="116">
        <v>347.05</v>
      </c>
      <c r="G1581">
        <v>727732</v>
      </c>
      <c r="H1581" s="116"/>
      <c r="I1581" s="116"/>
      <c r="L1581" s="170">
        <v>44336</v>
      </c>
      <c r="M1581" s="116">
        <v>344.6</v>
      </c>
      <c r="N1581" s="116">
        <v>348.45</v>
      </c>
      <c r="O1581" s="116">
        <v>336</v>
      </c>
      <c r="P1581" s="116">
        <v>347</v>
      </c>
      <c r="Q1581" s="116">
        <v>344.6</v>
      </c>
      <c r="R1581">
        <v>4061140</v>
      </c>
    </row>
    <row r="1582" spans="1:18" x14ac:dyDescent="0.25">
      <c r="A1582" s="170">
        <v>44336</v>
      </c>
      <c r="B1582" s="116">
        <v>351</v>
      </c>
      <c r="C1582" s="116">
        <v>344.45</v>
      </c>
      <c r="D1582" s="116">
        <v>336.05</v>
      </c>
      <c r="E1582" s="116">
        <v>351</v>
      </c>
      <c r="F1582" s="116">
        <v>344.45</v>
      </c>
      <c r="G1582">
        <v>247308</v>
      </c>
      <c r="H1582" s="116"/>
      <c r="I1582" s="116"/>
      <c r="L1582" s="170">
        <v>44337</v>
      </c>
      <c r="M1582" s="116">
        <v>344.55</v>
      </c>
      <c r="N1582" s="116">
        <v>354</v>
      </c>
      <c r="O1582" s="116">
        <v>342.4</v>
      </c>
      <c r="P1582" s="116">
        <v>349</v>
      </c>
      <c r="Q1582" s="116">
        <v>344.55</v>
      </c>
      <c r="R1582">
        <v>3422820</v>
      </c>
    </row>
    <row r="1583" spans="1:18" x14ac:dyDescent="0.25">
      <c r="A1583" s="170">
        <v>44337</v>
      </c>
      <c r="B1583" s="116">
        <v>354.4</v>
      </c>
      <c r="C1583" s="116">
        <v>344.15</v>
      </c>
      <c r="D1583" s="116">
        <v>342.5</v>
      </c>
      <c r="E1583" s="116">
        <v>350.4</v>
      </c>
      <c r="F1583" s="116">
        <v>344.15</v>
      </c>
      <c r="G1583">
        <v>209936</v>
      </c>
      <c r="H1583" s="116"/>
      <c r="I1583" s="116"/>
      <c r="L1583" s="170">
        <v>44340</v>
      </c>
      <c r="M1583" s="116">
        <v>329.45</v>
      </c>
      <c r="N1583" s="116">
        <v>347.9</v>
      </c>
      <c r="O1583" s="116">
        <v>327.85</v>
      </c>
      <c r="P1583" s="116">
        <v>347.7</v>
      </c>
      <c r="Q1583" s="116">
        <v>329.45</v>
      </c>
      <c r="R1583">
        <v>5130644</v>
      </c>
    </row>
    <row r="1584" spans="1:18" x14ac:dyDescent="0.25">
      <c r="A1584" s="170">
        <v>44340</v>
      </c>
      <c r="B1584" s="116">
        <v>351.05</v>
      </c>
      <c r="C1584" s="116">
        <v>329.6</v>
      </c>
      <c r="D1584" s="116">
        <v>328</v>
      </c>
      <c r="E1584" s="116">
        <v>351.05</v>
      </c>
      <c r="F1584" s="116">
        <v>329.6</v>
      </c>
      <c r="G1584">
        <v>303307</v>
      </c>
      <c r="H1584" s="116"/>
      <c r="I1584" s="116"/>
      <c r="L1584" s="170">
        <v>44341</v>
      </c>
      <c r="M1584" s="116">
        <v>333.3</v>
      </c>
      <c r="N1584" s="116">
        <v>337.7</v>
      </c>
      <c r="O1584" s="116">
        <v>329.2</v>
      </c>
      <c r="P1584" s="116">
        <v>332.05</v>
      </c>
      <c r="Q1584" s="116">
        <v>333.3</v>
      </c>
      <c r="R1584">
        <v>2581914</v>
      </c>
    </row>
    <row r="1585" spans="1:18" x14ac:dyDescent="0.25">
      <c r="A1585" s="170">
        <v>44341</v>
      </c>
      <c r="B1585" s="116">
        <v>338.4</v>
      </c>
      <c r="C1585" s="116">
        <v>333.05</v>
      </c>
      <c r="D1585" s="116">
        <v>329.45</v>
      </c>
      <c r="E1585" s="116">
        <v>333.4</v>
      </c>
      <c r="F1585" s="116">
        <v>333.05</v>
      </c>
      <c r="G1585">
        <v>351046</v>
      </c>
      <c r="H1585" s="116"/>
      <c r="I1585" s="116"/>
      <c r="L1585" s="170">
        <v>44342</v>
      </c>
      <c r="M1585" s="116">
        <v>325.85000000000002</v>
      </c>
      <c r="N1585" s="116">
        <v>337.4</v>
      </c>
      <c r="O1585" s="116">
        <v>324.7</v>
      </c>
      <c r="P1585" s="116">
        <v>336</v>
      </c>
      <c r="Q1585" s="116">
        <v>325.85000000000002</v>
      </c>
      <c r="R1585">
        <v>2223573</v>
      </c>
    </row>
    <row r="1586" spans="1:18" x14ac:dyDescent="0.25">
      <c r="A1586" s="170">
        <v>44342</v>
      </c>
      <c r="B1586" s="116">
        <v>337.15</v>
      </c>
      <c r="C1586" s="116">
        <v>326</v>
      </c>
      <c r="D1586" s="116">
        <v>325</v>
      </c>
      <c r="E1586" s="116">
        <v>335</v>
      </c>
      <c r="F1586" s="116">
        <v>326</v>
      </c>
      <c r="G1586">
        <v>117760</v>
      </c>
      <c r="H1586" s="116"/>
      <c r="I1586" s="116"/>
      <c r="L1586" s="170">
        <v>44343</v>
      </c>
      <c r="M1586" s="116">
        <v>328.75</v>
      </c>
      <c r="N1586" s="116">
        <v>332.5</v>
      </c>
      <c r="O1586" s="116">
        <v>326</v>
      </c>
      <c r="P1586" s="116">
        <v>327.95</v>
      </c>
      <c r="Q1586" s="116">
        <v>328.75</v>
      </c>
      <c r="R1586">
        <v>1356862</v>
      </c>
    </row>
    <row r="1587" spans="1:18" x14ac:dyDescent="0.25">
      <c r="A1587" s="170">
        <v>44343</v>
      </c>
      <c r="B1587" s="116">
        <v>332.3</v>
      </c>
      <c r="C1587" s="116">
        <v>328.6</v>
      </c>
      <c r="D1587" s="116">
        <v>325.95</v>
      </c>
      <c r="E1587" s="116">
        <v>328</v>
      </c>
      <c r="F1587" s="116">
        <v>328.6</v>
      </c>
      <c r="G1587">
        <v>138946</v>
      </c>
      <c r="H1587" s="116"/>
      <c r="I1587" s="116"/>
      <c r="L1587" s="170">
        <v>44344</v>
      </c>
      <c r="M1587" s="116">
        <v>326.64999999999998</v>
      </c>
      <c r="N1587" s="116">
        <v>335</v>
      </c>
      <c r="O1587" s="116">
        <v>326</v>
      </c>
      <c r="P1587" s="116">
        <v>334.5</v>
      </c>
      <c r="Q1587" s="116">
        <v>326.64999999999998</v>
      </c>
      <c r="R1587">
        <v>1673508</v>
      </c>
    </row>
    <row r="1588" spans="1:18" x14ac:dyDescent="0.25">
      <c r="A1588" s="170">
        <v>44344</v>
      </c>
      <c r="B1588" s="116">
        <v>335.1</v>
      </c>
      <c r="C1588" s="116">
        <v>326.55</v>
      </c>
      <c r="D1588" s="116">
        <v>326</v>
      </c>
      <c r="E1588" s="116">
        <v>334</v>
      </c>
      <c r="F1588" s="116">
        <v>326.55</v>
      </c>
      <c r="G1588">
        <v>107740</v>
      </c>
      <c r="H1588" s="116"/>
      <c r="I1588" s="116"/>
      <c r="L1588" s="170">
        <v>44347</v>
      </c>
      <c r="M1588" s="116">
        <v>327</v>
      </c>
      <c r="N1588" s="116">
        <v>330.5</v>
      </c>
      <c r="O1588" s="116">
        <v>322.3</v>
      </c>
      <c r="P1588" s="116">
        <v>326.89999999999998</v>
      </c>
      <c r="Q1588" s="116">
        <v>327</v>
      </c>
      <c r="R1588">
        <v>2055959</v>
      </c>
    </row>
    <row r="1589" spans="1:18" x14ac:dyDescent="0.25">
      <c r="A1589" s="170">
        <v>44347</v>
      </c>
      <c r="B1589" s="116">
        <v>331</v>
      </c>
      <c r="C1589" s="116">
        <v>327</v>
      </c>
      <c r="D1589" s="116">
        <v>322.60000000000002</v>
      </c>
      <c r="E1589" s="116">
        <v>331</v>
      </c>
      <c r="F1589" s="116">
        <v>327</v>
      </c>
      <c r="G1589">
        <v>84122</v>
      </c>
      <c r="H1589" s="116"/>
      <c r="I1589" s="116"/>
      <c r="L1589" s="170">
        <v>44348</v>
      </c>
      <c r="M1589" s="116">
        <v>327.55</v>
      </c>
      <c r="N1589" s="116">
        <v>331.75</v>
      </c>
      <c r="O1589" s="116">
        <v>323.45</v>
      </c>
      <c r="P1589" s="116">
        <v>330.35</v>
      </c>
      <c r="Q1589" s="116">
        <v>327.55</v>
      </c>
      <c r="R1589">
        <v>1356800</v>
      </c>
    </row>
    <row r="1590" spans="1:18" x14ac:dyDescent="0.25">
      <c r="A1590" s="170">
        <v>44348</v>
      </c>
      <c r="B1590" s="116">
        <v>331.85</v>
      </c>
      <c r="C1590" s="116">
        <v>327.8</v>
      </c>
      <c r="D1590" s="116">
        <v>323.75</v>
      </c>
      <c r="E1590" s="116">
        <v>329.1</v>
      </c>
      <c r="F1590" s="116">
        <v>327.8</v>
      </c>
      <c r="G1590">
        <v>81058</v>
      </c>
      <c r="H1590" s="116"/>
      <c r="I1590" s="116"/>
      <c r="L1590" s="170">
        <v>44349</v>
      </c>
      <c r="M1590" s="116">
        <v>324.39999999999998</v>
      </c>
      <c r="N1590" s="116">
        <v>330.25</v>
      </c>
      <c r="O1590" s="116">
        <v>323.05</v>
      </c>
      <c r="P1590" s="116">
        <v>327</v>
      </c>
      <c r="Q1590" s="116">
        <v>324.39999999999998</v>
      </c>
      <c r="R1590">
        <v>1849017</v>
      </c>
    </row>
    <row r="1591" spans="1:18" x14ac:dyDescent="0.25">
      <c r="A1591" s="170">
        <v>44349</v>
      </c>
      <c r="B1591" s="116">
        <v>330</v>
      </c>
      <c r="C1591" s="116">
        <v>324.25</v>
      </c>
      <c r="D1591" s="116">
        <v>323.3</v>
      </c>
      <c r="E1591" s="116">
        <v>327</v>
      </c>
      <c r="F1591" s="116">
        <v>324.25</v>
      </c>
      <c r="G1591">
        <v>160855</v>
      </c>
      <c r="H1591" s="116"/>
      <c r="I1591" s="116"/>
      <c r="L1591" s="170">
        <v>44350</v>
      </c>
      <c r="M1591" s="116">
        <v>324.7</v>
      </c>
      <c r="N1591" s="116">
        <v>327</v>
      </c>
      <c r="O1591" s="116">
        <v>323.5</v>
      </c>
      <c r="P1591" s="116">
        <v>326.95</v>
      </c>
      <c r="Q1591" s="116">
        <v>324.7</v>
      </c>
      <c r="R1591">
        <v>1355911</v>
      </c>
    </row>
    <row r="1592" spans="1:18" x14ac:dyDescent="0.25">
      <c r="A1592" s="170">
        <v>44350</v>
      </c>
      <c r="B1592" s="116">
        <v>327</v>
      </c>
      <c r="C1592" s="116">
        <v>324.7</v>
      </c>
      <c r="D1592" s="116">
        <v>323.7</v>
      </c>
      <c r="E1592" s="116">
        <v>326.5</v>
      </c>
      <c r="F1592" s="116">
        <v>324.7</v>
      </c>
      <c r="G1592">
        <v>95299</v>
      </c>
      <c r="H1592" s="116"/>
      <c r="I1592" s="116"/>
      <c r="L1592" s="170">
        <v>44351</v>
      </c>
      <c r="M1592" s="116">
        <v>333.7</v>
      </c>
      <c r="N1592" s="116">
        <v>334.9</v>
      </c>
      <c r="O1592" s="116">
        <v>322.05</v>
      </c>
      <c r="P1592" s="116">
        <v>323</v>
      </c>
      <c r="Q1592" s="116">
        <v>333.7</v>
      </c>
      <c r="R1592">
        <v>3080244</v>
      </c>
    </row>
    <row r="1593" spans="1:18" x14ac:dyDescent="0.25">
      <c r="A1593" s="170">
        <v>44351</v>
      </c>
      <c r="B1593" s="116">
        <v>334.8</v>
      </c>
      <c r="C1593" s="116">
        <v>333.6</v>
      </c>
      <c r="D1593" s="116">
        <v>322.25</v>
      </c>
      <c r="E1593" s="116">
        <v>324.7</v>
      </c>
      <c r="F1593" s="116">
        <v>333.6</v>
      </c>
      <c r="G1593">
        <v>289382</v>
      </c>
      <c r="H1593" s="116"/>
      <c r="I1593" s="116"/>
      <c r="L1593" s="170">
        <v>44354</v>
      </c>
      <c r="M1593" s="116">
        <v>339.85</v>
      </c>
      <c r="N1593" s="116">
        <v>341</v>
      </c>
      <c r="O1593" s="116">
        <v>334.15</v>
      </c>
      <c r="P1593" s="116">
        <v>337.6</v>
      </c>
      <c r="Q1593" s="116">
        <v>339.85</v>
      </c>
      <c r="R1593">
        <v>3505337</v>
      </c>
    </row>
    <row r="1594" spans="1:18" x14ac:dyDescent="0.25">
      <c r="A1594" s="170">
        <v>44354</v>
      </c>
      <c r="B1594" s="116">
        <v>341.3</v>
      </c>
      <c r="C1594" s="116">
        <v>339.65</v>
      </c>
      <c r="D1594" s="116">
        <v>334.5</v>
      </c>
      <c r="E1594" s="116">
        <v>337.2</v>
      </c>
      <c r="F1594" s="116">
        <v>339.65</v>
      </c>
      <c r="G1594">
        <v>218270</v>
      </c>
      <c r="H1594" s="116"/>
      <c r="I1594" s="116"/>
      <c r="L1594" s="170">
        <v>44355</v>
      </c>
      <c r="M1594" s="116">
        <v>338.6</v>
      </c>
      <c r="N1594" s="116">
        <v>342.8</v>
      </c>
      <c r="O1594" s="116">
        <v>333.5</v>
      </c>
      <c r="P1594" s="116">
        <v>340.2</v>
      </c>
      <c r="Q1594" s="116">
        <v>338.6</v>
      </c>
      <c r="R1594">
        <v>1473381</v>
      </c>
    </row>
    <row r="1595" spans="1:18" x14ac:dyDescent="0.25">
      <c r="A1595" s="170">
        <v>44355</v>
      </c>
      <c r="B1595" s="116">
        <v>342.6</v>
      </c>
      <c r="C1595" s="116">
        <v>338.3</v>
      </c>
      <c r="D1595" s="116">
        <v>333.5</v>
      </c>
      <c r="E1595" s="116">
        <v>340</v>
      </c>
      <c r="F1595" s="116">
        <v>338.3</v>
      </c>
      <c r="G1595">
        <v>90350</v>
      </c>
      <c r="H1595" s="116"/>
      <c r="I1595" s="116"/>
      <c r="L1595" s="170">
        <v>44356</v>
      </c>
      <c r="M1595" s="116">
        <v>338.05</v>
      </c>
      <c r="N1595" s="116">
        <v>341.8</v>
      </c>
      <c r="O1595" s="116">
        <v>333.05</v>
      </c>
      <c r="P1595" s="116">
        <v>336.1</v>
      </c>
      <c r="Q1595" s="116">
        <v>338.05</v>
      </c>
      <c r="R1595">
        <v>2068493</v>
      </c>
    </row>
    <row r="1596" spans="1:18" x14ac:dyDescent="0.25">
      <c r="A1596" s="170">
        <v>44356</v>
      </c>
      <c r="B1596" s="116">
        <v>341.7</v>
      </c>
      <c r="C1596" s="116">
        <v>338.2</v>
      </c>
      <c r="D1596" s="116">
        <v>333.4</v>
      </c>
      <c r="E1596" s="116">
        <v>338.3</v>
      </c>
      <c r="F1596" s="116">
        <v>338.2</v>
      </c>
      <c r="G1596">
        <v>90820</v>
      </c>
      <c r="H1596" s="116"/>
      <c r="I1596" s="116"/>
      <c r="L1596" s="170">
        <v>44357</v>
      </c>
      <c r="M1596" s="116">
        <v>340</v>
      </c>
      <c r="N1596" s="116">
        <v>341.9</v>
      </c>
      <c r="O1596" s="116">
        <v>337.5</v>
      </c>
      <c r="P1596" s="116">
        <v>341</v>
      </c>
      <c r="Q1596" s="116">
        <v>340</v>
      </c>
      <c r="R1596">
        <v>1023479</v>
      </c>
    </row>
    <row r="1597" spans="1:18" x14ac:dyDescent="0.25">
      <c r="A1597" s="170">
        <v>44357</v>
      </c>
      <c r="B1597" s="116">
        <v>341.4</v>
      </c>
      <c r="C1597" s="116">
        <v>339.9</v>
      </c>
      <c r="D1597" s="116">
        <v>337.4</v>
      </c>
      <c r="E1597" s="116">
        <v>337.5</v>
      </c>
      <c r="F1597" s="116">
        <v>339.9</v>
      </c>
      <c r="G1597">
        <v>126244</v>
      </c>
      <c r="H1597" s="116"/>
      <c r="I1597" s="116"/>
      <c r="L1597" s="170">
        <v>44358</v>
      </c>
      <c r="M1597" s="116">
        <v>344.05</v>
      </c>
      <c r="N1597" s="116">
        <v>351.9</v>
      </c>
      <c r="O1597" s="116">
        <v>340.4</v>
      </c>
      <c r="P1597" s="116">
        <v>341</v>
      </c>
      <c r="Q1597" s="116">
        <v>344.05</v>
      </c>
      <c r="R1597">
        <v>3288575</v>
      </c>
    </row>
    <row r="1598" spans="1:18" x14ac:dyDescent="0.25">
      <c r="A1598" s="170">
        <v>44358</v>
      </c>
      <c r="B1598" s="116">
        <v>351.5</v>
      </c>
      <c r="C1598" s="116">
        <v>343.95</v>
      </c>
      <c r="D1598" s="116">
        <v>340</v>
      </c>
      <c r="E1598" s="116">
        <v>340</v>
      </c>
      <c r="F1598" s="116">
        <v>343.95</v>
      </c>
      <c r="G1598">
        <v>153039</v>
      </c>
      <c r="H1598" s="116"/>
      <c r="I1598" s="116"/>
      <c r="L1598" s="170">
        <v>44361</v>
      </c>
      <c r="M1598" s="116">
        <v>339.6</v>
      </c>
      <c r="N1598" s="116">
        <v>344.05</v>
      </c>
      <c r="O1598" s="116">
        <v>331.1</v>
      </c>
      <c r="P1598" s="116">
        <v>344.05</v>
      </c>
      <c r="Q1598" s="116">
        <v>339.6</v>
      </c>
      <c r="R1598">
        <v>1180879</v>
      </c>
    </row>
    <row r="1599" spans="1:18" x14ac:dyDescent="0.25">
      <c r="A1599" s="170">
        <v>44361</v>
      </c>
      <c r="B1599" s="116">
        <v>348.4</v>
      </c>
      <c r="C1599" s="116">
        <v>339.75</v>
      </c>
      <c r="D1599" s="116">
        <v>331.15</v>
      </c>
      <c r="E1599" s="116">
        <v>348.4</v>
      </c>
      <c r="F1599" s="116">
        <v>339.75</v>
      </c>
      <c r="G1599">
        <v>58464</v>
      </c>
      <c r="H1599" s="116"/>
      <c r="I1599" s="116"/>
      <c r="L1599" s="170">
        <v>44362</v>
      </c>
      <c r="M1599" s="116">
        <v>339.95</v>
      </c>
      <c r="N1599" s="116">
        <v>341.45</v>
      </c>
      <c r="O1599" s="116">
        <v>337.05</v>
      </c>
      <c r="P1599" s="116">
        <v>340</v>
      </c>
      <c r="Q1599" s="116">
        <v>339.95</v>
      </c>
      <c r="R1599">
        <v>886260</v>
      </c>
    </row>
    <row r="1600" spans="1:18" x14ac:dyDescent="0.25">
      <c r="A1600" s="170">
        <v>44362</v>
      </c>
      <c r="B1600" s="116">
        <v>341</v>
      </c>
      <c r="C1600" s="116">
        <v>339.85</v>
      </c>
      <c r="D1600" s="116">
        <v>337.25</v>
      </c>
      <c r="E1600" s="116">
        <v>340</v>
      </c>
      <c r="F1600" s="116">
        <v>339.85</v>
      </c>
      <c r="G1600">
        <v>75010</v>
      </c>
      <c r="H1600" s="116"/>
      <c r="I1600" s="116"/>
      <c r="L1600" s="170">
        <v>44363</v>
      </c>
      <c r="M1600" s="116">
        <v>334.2</v>
      </c>
      <c r="N1600" s="116">
        <v>342</v>
      </c>
      <c r="O1600" s="116">
        <v>328.15</v>
      </c>
      <c r="P1600" s="116">
        <v>342</v>
      </c>
      <c r="Q1600" s="116">
        <v>334.2</v>
      </c>
      <c r="R1600">
        <v>2476285</v>
      </c>
    </row>
    <row r="1601" spans="1:18" x14ac:dyDescent="0.25">
      <c r="A1601" s="170">
        <v>44363</v>
      </c>
      <c r="B1601" s="116">
        <v>341.35</v>
      </c>
      <c r="C1601" s="116">
        <v>333.8</v>
      </c>
      <c r="D1601" s="116">
        <v>328.3</v>
      </c>
      <c r="E1601" s="116">
        <v>341</v>
      </c>
      <c r="F1601" s="116">
        <v>333.8</v>
      </c>
      <c r="G1601">
        <v>162149</v>
      </c>
      <c r="H1601" s="116"/>
      <c r="I1601" s="116"/>
      <c r="L1601" s="170">
        <v>44364</v>
      </c>
      <c r="M1601" s="116">
        <v>334.15</v>
      </c>
      <c r="N1601" s="116">
        <v>335.6</v>
      </c>
      <c r="O1601" s="116">
        <v>324.89999999999998</v>
      </c>
      <c r="P1601" s="116">
        <v>332</v>
      </c>
      <c r="Q1601" s="116">
        <v>334.15</v>
      </c>
      <c r="R1601">
        <v>2234016</v>
      </c>
    </row>
    <row r="1602" spans="1:18" x14ac:dyDescent="0.25">
      <c r="A1602" s="170">
        <v>44364</v>
      </c>
      <c r="B1602" s="116">
        <v>335.3</v>
      </c>
      <c r="C1602" s="116">
        <v>333.85</v>
      </c>
      <c r="D1602" s="116">
        <v>324.75</v>
      </c>
      <c r="E1602" s="116">
        <v>334.9</v>
      </c>
      <c r="F1602" s="116">
        <v>333.85</v>
      </c>
      <c r="G1602">
        <v>282556</v>
      </c>
      <c r="H1602" s="116"/>
      <c r="I1602" s="116"/>
      <c r="L1602" s="170">
        <v>44365</v>
      </c>
      <c r="M1602" s="116">
        <v>328.9</v>
      </c>
      <c r="N1602" s="116">
        <v>332.65</v>
      </c>
      <c r="O1602" s="116">
        <v>323.5</v>
      </c>
      <c r="P1602" s="116">
        <v>332.05</v>
      </c>
      <c r="Q1602" s="116">
        <v>328.9</v>
      </c>
      <c r="R1602">
        <v>2192582</v>
      </c>
    </row>
    <row r="1603" spans="1:18" x14ac:dyDescent="0.25">
      <c r="A1603" s="170">
        <v>44365</v>
      </c>
      <c r="B1603" s="116">
        <v>332.15</v>
      </c>
      <c r="C1603" s="116">
        <v>328.8</v>
      </c>
      <c r="D1603" s="116">
        <v>323.2</v>
      </c>
      <c r="E1603" s="116">
        <v>330</v>
      </c>
      <c r="F1603" s="116">
        <v>328.8</v>
      </c>
      <c r="G1603">
        <v>158818</v>
      </c>
      <c r="H1603" s="116"/>
      <c r="I1603" s="116"/>
      <c r="L1603" s="170">
        <v>44368</v>
      </c>
      <c r="M1603" s="116">
        <v>331.75</v>
      </c>
      <c r="N1603" s="116">
        <v>334.9</v>
      </c>
      <c r="O1603" s="116">
        <v>322.5</v>
      </c>
      <c r="P1603" s="116">
        <v>325</v>
      </c>
      <c r="Q1603" s="116">
        <v>331.75</v>
      </c>
      <c r="R1603">
        <v>906954</v>
      </c>
    </row>
    <row r="1604" spans="1:18" x14ac:dyDescent="0.25">
      <c r="A1604" s="170">
        <v>44368</v>
      </c>
      <c r="B1604" s="116">
        <v>333.75</v>
      </c>
      <c r="C1604" s="116">
        <v>331.6</v>
      </c>
      <c r="D1604" s="116">
        <v>322.7</v>
      </c>
      <c r="E1604" s="116">
        <v>327.9</v>
      </c>
      <c r="F1604" s="116">
        <v>331.6</v>
      </c>
      <c r="G1604">
        <v>76980</v>
      </c>
      <c r="H1604" s="116"/>
      <c r="I1604" s="116"/>
      <c r="L1604" s="170">
        <v>44369</v>
      </c>
      <c r="M1604" s="116">
        <v>332.9</v>
      </c>
      <c r="N1604" s="116">
        <v>334</v>
      </c>
      <c r="O1604" s="116">
        <v>328.7</v>
      </c>
      <c r="P1604" s="116">
        <v>333</v>
      </c>
      <c r="Q1604" s="116">
        <v>332.9</v>
      </c>
      <c r="R1604">
        <v>1272621</v>
      </c>
    </row>
    <row r="1605" spans="1:18" x14ac:dyDescent="0.25">
      <c r="A1605" s="170">
        <v>44369</v>
      </c>
      <c r="B1605" s="116">
        <v>334</v>
      </c>
      <c r="C1605" s="116">
        <v>332.9</v>
      </c>
      <c r="D1605" s="116">
        <v>328.85</v>
      </c>
      <c r="E1605" s="116">
        <v>334</v>
      </c>
      <c r="F1605" s="116">
        <v>332.9</v>
      </c>
      <c r="G1605">
        <v>60496</v>
      </c>
      <c r="H1605" s="116"/>
      <c r="I1605" s="116"/>
      <c r="L1605" s="170">
        <v>44370</v>
      </c>
      <c r="M1605" s="116">
        <v>331.45</v>
      </c>
      <c r="N1605" s="116">
        <v>336.5</v>
      </c>
      <c r="O1605" s="116">
        <v>327.55</v>
      </c>
      <c r="P1605" s="116">
        <v>333.9</v>
      </c>
      <c r="Q1605" s="116">
        <v>331.45</v>
      </c>
      <c r="R1605">
        <v>1078467</v>
      </c>
    </row>
    <row r="1606" spans="1:18" x14ac:dyDescent="0.25">
      <c r="A1606" s="170">
        <v>44370</v>
      </c>
      <c r="B1606" s="116">
        <v>336.25</v>
      </c>
      <c r="C1606" s="116">
        <v>330.7</v>
      </c>
      <c r="D1606" s="116">
        <v>327.5</v>
      </c>
      <c r="E1606" s="116">
        <v>333</v>
      </c>
      <c r="F1606" s="116">
        <v>330.7</v>
      </c>
      <c r="G1606">
        <v>52263</v>
      </c>
      <c r="H1606" s="116"/>
      <c r="I1606" s="116"/>
      <c r="L1606" s="170">
        <v>44371</v>
      </c>
      <c r="M1606" s="116">
        <v>336.05</v>
      </c>
      <c r="N1606" s="116">
        <v>338.9</v>
      </c>
      <c r="O1606" s="116">
        <v>329.65</v>
      </c>
      <c r="P1606" s="116">
        <v>332.5</v>
      </c>
      <c r="Q1606" s="116">
        <v>336.05</v>
      </c>
      <c r="R1606">
        <v>1400581</v>
      </c>
    </row>
    <row r="1607" spans="1:18" x14ac:dyDescent="0.25">
      <c r="A1607" s="170">
        <v>44371</v>
      </c>
      <c r="B1607" s="116">
        <v>338.75</v>
      </c>
      <c r="C1607" s="116">
        <v>336.15</v>
      </c>
      <c r="D1607" s="116">
        <v>329.8</v>
      </c>
      <c r="E1607" s="116">
        <v>334.9</v>
      </c>
      <c r="F1607" s="116">
        <v>336.15</v>
      </c>
      <c r="G1607">
        <v>79802</v>
      </c>
      <c r="H1607" s="116"/>
      <c r="I1607" s="116"/>
      <c r="L1607" s="170">
        <v>44372</v>
      </c>
      <c r="M1607" s="116">
        <v>339.55</v>
      </c>
      <c r="N1607" s="116">
        <v>341.5</v>
      </c>
      <c r="O1607" s="116">
        <v>336.35</v>
      </c>
      <c r="P1607" s="116">
        <v>338.25</v>
      </c>
      <c r="Q1607" s="116">
        <v>339.55</v>
      </c>
      <c r="R1607">
        <v>917171</v>
      </c>
    </row>
    <row r="1608" spans="1:18" x14ac:dyDescent="0.25">
      <c r="A1608" s="170">
        <v>44372</v>
      </c>
      <c r="B1608" s="116">
        <v>341.15</v>
      </c>
      <c r="C1608" s="116">
        <v>339.5</v>
      </c>
      <c r="D1608" s="116">
        <v>336.2</v>
      </c>
      <c r="E1608" s="116">
        <v>339.3</v>
      </c>
      <c r="F1608" s="116">
        <v>339.5</v>
      </c>
      <c r="G1608">
        <v>117562</v>
      </c>
      <c r="H1608" s="116"/>
      <c r="I1608" s="116"/>
      <c r="L1608" s="170">
        <v>44375</v>
      </c>
      <c r="M1608" s="116">
        <v>339.2</v>
      </c>
      <c r="N1608" s="116">
        <v>341.9</v>
      </c>
      <c r="O1608" s="116">
        <v>335.25</v>
      </c>
      <c r="P1608" s="116">
        <v>341.5</v>
      </c>
      <c r="Q1608" s="116">
        <v>339.2</v>
      </c>
      <c r="R1608">
        <v>982883</v>
      </c>
    </row>
    <row r="1609" spans="1:18" x14ac:dyDescent="0.25">
      <c r="A1609" s="170">
        <v>44375</v>
      </c>
      <c r="B1609" s="116">
        <v>341.9</v>
      </c>
      <c r="C1609" s="116">
        <v>339.9</v>
      </c>
      <c r="D1609" s="116">
        <v>335.5</v>
      </c>
      <c r="E1609" s="116">
        <v>340</v>
      </c>
      <c r="F1609" s="116">
        <v>339.9</v>
      </c>
      <c r="G1609">
        <v>168035</v>
      </c>
      <c r="H1609" s="116"/>
      <c r="I1609" s="116"/>
      <c r="L1609" s="170">
        <v>44376</v>
      </c>
      <c r="M1609" s="116">
        <v>340.1</v>
      </c>
      <c r="N1609" s="116">
        <v>341</v>
      </c>
      <c r="O1609" s="116">
        <v>335.3</v>
      </c>
      <c r="P1609" s="116">
        <v>339.5</v>
      </c>
      <c r="Q1609" s="116">
        <v>340.1</v>
      </c>
      <c r="R1609">
        <v>647407</v>
      </c>
    </row>
    <row r="1610" spans="1:18" x14ac:dyDescent="0.25">
      <c r="A1610" s="170">
        <v>44376</v>
      </c>
      <c r="B1610" s="116">
        <v>341</v>
      </c>
      <c r="C1610" s="116">
        <v>340</v>
      </c>
      <c r="D1610" s="116">
        <v>335.3</v>
      </c>
      <c r="E1610" s="116">
        <v>341</v>
      </c>
      <c r="F1610" s="116">
        <v>340</v>
      </c>
      <c r="G1610">
        <v>119718</v>
      </c>
      <c r="H1610" s="116"/>
      <c r="I1610" s="116"/>
      <c r="L1610" s="170">
        <v>44377</v>
      </c>
      <c r="M1610" s="116">
        <v>339.3</v>
      </c>
      <c r="N1610" s="116">
        <v>341.85</v>
      </c>
      <c r="O1610" s="116">
        <v>337</v>
      </c>
      <c r="P1610" s="116">
        <v>340.5</v>
      </c>
      <c r="Q1610" s="116">
        <v>339.3</v>
      </c>
      <c r="R1610">
        <v>520880</v>
      </c>
    </row>
    <row r="1611" spans="1:18" x14ac:dyDescent="0.25">
      <c r="A1611" s="170">
        <v>44377</v>
      </c>
      <c r="B1611" s="116">
        <v>341.65</v>
      </c>
      <c r="C1611" s="116">
        <v>339.45</v>
      </c>
      <c r="D1611" s="116">
        <v>338</v>
      </c>
      <c r="E1611" s="116">
        <v>341</v>
      </c>
      <c r="F1611" s="116">
        <v>339.45</v>
      </c>
      <c r="G1611">
        <v>35147</v>
      </c>
      <c r="H1611" s="116"/>
      <c r="I1611" s="116"/>
      <c r="L1611" s="170">
        <v>44378</v>
      </c>
      <c r="M1611" s="116">
        <v>339.95</v>
      </c>
      <c r="N1611" s="116">
        <v>344.9</v>
      </c>
      <c r="O1611" s="116">
        <v>336.25</v>
      </c>
      <c r="P1611" s="116">
        <v>337.6</v>
      </c>
      <c r="Q1611" s="116">
        <v>339.95</v>
      </c>
      <c r="R1611">
        <v>1271970</v>
      </c>
    </row>
    <row r="1612" spans="1:18" x14ac:dyDescent="0.25">
      <c r="A1612" s="170">
        <v>44378</v>
      </c>
      <c r="B1612" s="116">
        <v>344.85</v>
      </c>
      <c r="C1612" s="116">
        <v>340</v>
      </c>
      <c r="D1612" s="116">
        <v>336.45</v>
      </c>
      <c r="E1612" s="116">
        <v>340.5</v>
      </c>
      <c r="F1612" s="116">
        <v>340</v>
      </c>
      <c r="G1612">
        <v>93427</v>
      </c>
      <c r="H1612" s="116"/>
      <c r="I1612" s="116"/>
      <c r="L1612" s="170">
        <v>44379</v>
      </c>
      <c r="M1612" s="116">
        <v>339.5</v>
      </c>
      <c r="N1612" s="116">
        <v>341.7</v>
      </c>
      <c r="O1612" s="116">
        <v>336.75</v>
      </c>
      <c r="P1612" s="116">
        <v>341</v>
      </c>
      <c r="Q1612" s="116">
        <v>339.5</v>
      </c>
      <c r="R1612">
        <v>636705</v>
      </c>
    </row>
    <row r="1613" spans="1:18" x14ac:dyDescent="0.25">
      <c r="A1613" s="170">
        <v>44379</v>
      </c>
      <c r="B1613" s="116">
        <v>343.9</v>
      </c>
      <c r="C1613" s="116">
        <v>339.5</v>
      </c>
      <c r="D1613" s="116">
        <v>336.85</v>
      </c>
      <c r="E1613" s="116">
        <v>343.9</v>
      </c>
      <c r="F1613" s="116">
        <v>339.5</v>
      </c>
      <c r="G1613">
        <v>58214</v>
      </c>
      <c r="H1613" s="116"/>
      <c r="I1613" s="116"/>
      <c r="L1613" s="170">
        <v>44382</v>
      </c>
      <c r="M1613" s="116">
        <v>337.3</v>
      </c>
      <c r="N1613" s="116">
        <v>339.9</v>
      </c>
      <c r="O1613" s="116">
        <v>336.15</v>
      </c>
      <c r="P1613" s="116">
        <v>339.4</v>
      </c>
      <c r="Q1613" s="116">
        <v>337.3</v>
      </c>
      <c r="R1613">
        <v>562937</v>
      </c>
    </row>
    <row r="1614" spans="1:18" x14ac:dyDescent="0.25">
      <c r="A1614" s="170">
        <v>44382</v>
      </c>
      <c r="B1614" s="116">
        <v>339.95</v>
      </c>
      <c r="C1614" s="116">
        <v>337.35</v>
      </c>
      <c r="D1614" s="116">
        <v>336.25</v>
      </c>
      <c r="E1614" s="116">
        <v>338.1</v>
      </c>
      <c r="F1614" s="116">
        <v>337.35</v>
      </c>
      <c r="G1614">
        <v>58790</v>
      </c>
      <c r="H1614" s="116"/>
      <c r="I1614" s="116"/>
      <c r="L1614" s="170">
        <v>44383</v>
      </c>
      <c r="M1614" s="116">
        <v>335.35</v>
      </c>
      <c r="N1614" s="116">
        <v>339.5</v>
      </c>
      <c r="O1614" s="116">
        <v>334</v>
      </c>
      <c r="P1614" s="116">
        <v>337.4</v>
      </c>
      <c r="Q1614" s="116">
        <v>335.35</v>
      </c>
      <c r="R1614">
        <v>485275</v>
      </c>
    </row>
    <row r="1615" spans="1:18" x14ac:dyDescent="0.25">
      <c r="A1615" s="170">
        <v>44383</v>
      </c>
      <c r="B1615" s="116">
        <v>339.3</v>
      </c>
      <c r="C1615" s="116">
        <v>335.15</v>
      </c>
      <c r="D1615" s="116">
        <v>333.3</v>
      </c>
      <c r="E1615" s="116">
        <v>338</v>
      </c>
      <c r="F1615" s="116">
        <v>335.15</v>
      </c>
      <c r="G1615">
        <v>50226</v>
      </c>
      <c r="H1615" s="116"/>
      <c r="I1615" s="116"/>
      <c r="L1615" s="170">
        <v>44384</v>
      </c>
      <c r="M1615" s="116">
        <v>333.55</v>
      </c>
      <c r="N1615" s="116">
        <v>337</v>
      </c>
      <c r="O1615" s="116">
        <v>331.15</v>
      </c>
      <c r="P1615" s="116">
        <v>335.35</v>
      </c>
      <c r="Q1615" s="116">
        <v>333.55</v>
      </c>
      <c r="R1615">
        <v>759230</v>
      </c>
    </row>
    <row r="1616" spans="1:18" x14ac:dyDescent="0.25">
      <c r="A1616" s="170">
        <v>44384</v>
      </c>
      <c r="B1616" s="116">
        <v>336.7</v>
      </c>
      <c r="C1616" s="116">
        <v>333.85</v>
      </c>
      <c r="D1616" s="116">
        <v>331</v>
      </c>
      <c r="E1616" s="116">
        <v>333.15</v>
      </c>
      <c r="F1616" s="116">
        <v>333.85</v>
      </c>
      <c r="G1616">
        <v>25339</v>
      </c>
      <c r="H1616" s="116"/>
      <c r="I1616" s="116"/>
      <c r="L1616" s="170">
        <v>44385</v>
      </c>
      <c r="M1616" s="116">
        <v>331.45</v>
      </c>
      <c r="N1616" s="116">
        <v>338.45</v>
      </c>
      <c r="O1616" s="116">
        <v>330.25</v>
      </c>
      <c r="P1616" s="116">
        <v>333.85</v>
      </c>
      <c r="Q1616" s="116">
        <v>331.45</v>
      </c>
      <c r="R1616">
        <v>785873</v>
      </c>
    </row>
    <row r="1617" spans="1:18" x14ac:dyDescent="0.25">
      <c r="A1617" s="170">
        <v>44385</v>
      </c>
      <c r="B1617" s="116">
        <v>338.25</v>
      </c>
      <c r="C1617" s="116">
        <v>331.35</v>
      </c>
      <c r="D1617" s="116">
        <v>330.1</v>
      </c>
      <c r="E1617" s="116">
        <v>336.45</v>
      </c>
      <c r="F1617" s="116">
        <v>331.35</v>
      </c>
      <c r="G1617">
        <v>74061</v>
      </c>
      <c r="H1617" s="116"/>
      <c r="I1617" s="116"/>
      <c r="L1617" s="170">
        <v>44386</v>
      </c>
      <c r="M1617" s="116">
        <v>331.95</v>
      </c>
      <c r="N1617" s="116">
        <v>334.9</v>
      </c>
      <c r="O1617" s="116">
        <v>331</v>
      </c>
      <c r="P1617" s="116">
        <v>331</v>
      </c>
      <c r="Q1617" s="116">
        <v>331.95</v>
      </c>
      <c r="R1617">
        <v>464272</v>
      </c>
    </row>
    <row r="1618" spans="1:18" x14ac:dyDescent="0.25">
      <c r="A1618" s="170">
        <v>44386</v>
      </c>
      <c r="B1618" s="116">
        <v>334.8</v>
      </c>
      <c r="C1618" s="116">
        <v>331.4</v>
      </c>
      <c r="D1618" s="116">
        <v>329</v>
      </c>
      <c r="E1618" s="116">
        <v>332.5</v>
      </c>
      <c r="F1618" s="116">
        <v>331.4</v>
      </c>
      <c r="G1618">
        <v>27885</v>
      </c>
      <c r="H1618" s="116"/>
      <c r="I1618" s="116"/>
      <c r="L1618" s="170">
        <v>44389</v>
      </c>
      <c r="M1618" s="116">
        <v>335.7</v>
      </c>
      <c r="N1618" s="116">
        <v>336.8</v>
      </c>
      <c r="O1618" s="116">
        <v>333.2</v>
      </c>
      <c r="P1618" s="116">
        <v>334.2</v>
      </c>
      <c r="Q1618" s="116">
        <v>335.7</v>
      </c>
      <c r="R1618">
        <v>472616</v>
      </c>
    </row>
    <row r="1619" spans="1:18" x14ac:dyDescent="0.25">
      <c r="A1619" s="170">
        <v>44389</v>
      </c>
      <c r="B1619" s="116">
        <v>336.65</v>
      </c>
      <c r="C1619" s="116">
        <v>335.4</v>
      </c>
      <c r="D1619" s="116">
        <v>333.45</v>
      </c>
      <c r="E1619" s="116">
        <v>334.45</v>
      </c>
      <c r="F1619" s="116">
        <v>335.4</v>
      </c>
      <c r="G1619">
        <v>20714</v>
      </c>
      <c r="H1619" s="116"/>
      <c r="I1619" s="116"/>
      <c r="L1619" s="170">
        <v>44390</v>
      </c>
      <c r="M1619" s="116">
        <v>334.85</v>
      </c>
      <c r="N1619" s="116">
        <v>342.85</v>
      </c>
      <c r="O1619" s="116">
        <v>332.1</v>
      </c>
      <c r="P1619" s="116">
        <v>337</v>
      </c>
      <c r="Q1619" s="116">
        <v>334.85</v>
      </c>
      <c r="R1619">
        <v>1195775</v>
      </c>
    </row>
    <row r="1620" spans="1:18" x14ac:dyDescent="0.25">
      <c r="A1620" s="170">
        <v>44390</v>
      </c>
      <c r="B1620" s="116">
        <v>342.7</v>
      </c>
      <c r="C1620" s="116">
        <v>334.65</v>
      </c>
      <c r="D1620" s="116">
        <v>332.35</v>
      </c>
      <c r="E1620" s="116">
        <v>339.7</v>
      </c>
      <c r="F1620" s="116">
        <v>334.65</v>
      </c>
      <c r="G1620">
        <v>50134</v>
      </c>
      <c r="H1620" s="116"/>
      <c r="I1620" s="116"/>
      <c r="L1620" s="170">
        <v>44391</v>
      </c>
      <c r="M1620" s="116">
        <v>335.2</v>
      </c>
      <c r="N1620" s="116">
        <v>339.75</v>
      </c>
      <c r="O1620" s="116">
        <v>333.45</v>
      </c>
      <c r="P1620" s="116">
        <v>337</v>
      </c>
      <c r="Q1620" s="116">
        <v>335.2</v>
      </c>
      <c r="R1620">
        <v>929546</v>
      </c>
    </row>
    <row r="1621" spans="1:18" x14ac:dyDescent="0.25">
      <c r="A1621" s="170">
        <v>44391</v>
      </c>
      <c r="B1621" s="116">
        <v>339.45</v>
      </c>
      <c r="C1621" s="116">
        <v>335.2</v>
      </c>
      <c r="D1621" s="116">
        <v>333.5</v>
      </c>
      <c r="E1621" s="116">
        <v>335.05</v>
      </c>
      <c r="F1621" s="116">
        <v>335.2</v>
      </c>
      <c r="G1621">
        <v>47981</v>
      </c>
      <c r="H1621" s="116"/>
      <c r="I1621" s="116"/>
      <c r="L1621" s="170">
        <v>44392</v>
      </c>
      <c r="M1621" s="116">
        <v>347.2</v>
      </c>
      <c r="N1621" s="116">
        <v>350.9</v>
      </c>
      <c r="O1621" s="116">
        <v>335</v>
      </c>
      <c r="P1621" s="116">
        <v>335.2</v>
      </c>
      <c r="Q1621" s="116">
        <v>347.2</v>
      </c>
      <c r="R1621">
        <v>2841884</v>
      </c>
    </row>
    <row r="1622" spans="1:18" x14ac:dyDescent="0.25">
      <c r="A1622" s="170">
        <v>44392</v>
      </c>
      <c r="B1622" s="116">
        <v>350.8</v>
      </c>
      <c r="C1622" s="116">
        <v>347.4</v>
      </c>
      <c r="D1622" s="116">
        <v>334.7</v>
      </c>
      <c r="E1622" s="116">
        <v>339.4</v>
      </c>
      <c r="F1622" s="116">
        <v>347.4</v>
      </c>
      <c r="G1622">
        <v>118381</v>
      </c>
      <c r="H1622" s="116"/>
      <c r="I1622" s="116"/>
      <c r="L1622" s="170">
        <v>44393</v>
      </c>
      <c r="M1622" s="116">
        <v>344.1</v>
      </c>
      <c r="N1622" s="116">
        <v>349.8</v>
      </c>
      <c r="O1622" s="116">
        <v>342</v>
      </c>
      <c r="P1622" s="116">
        <v>349.5</v>
      </c>
      <c r="Q1622" s="116">
        <v>344.1</v>
      </c>
      <c r="R1622">
        <v>866858</v>
      </c>
    </row>
    <row r="1623" spans="1:18" x14ac:dyDescent="0.25">
      <c r="A1623" s="170">
        <v>44393</v>
      </c>
      <c r="B1623" s="116">
        <v>348.95</v>
      </c>
      <c r="C1623" s="116">
        <v>344.05</v>
      </c>
      <c r="D1623" s="116">
        <v>342.05</v>
      </c>
      <c r="E1623" s="116">
        <v>347.05</v>
      </c>
      <c r="F1623" s="116">
        <v>344.05</v>
      </c>
      <c r="G1623">
        <v>109358</v>
      </c>
      <c r="H1623" s="116"/>
      <c r="I1623" s="116"/>
      <c r="L1623" s="170">
        <v>44396</v>
      </c>
      <c r="M1623" s="116">
        <v>339.95</v>
      </c>
      <c r="N1623" s="116">
        <v>345</v>
      </c>
      <c r="O1623" s="116">
        <v>337.8</v>
      </c>
      <c r="P1623" s="116">
        <v>345</v>
      </c>
      <c r="Q1623" s="116">
        <v>339.95</v>
      </c>
      <c r="R1623">
        <v>767837</v>
      </c>
    </row>
    <row r="1624" spans="1:18" x14ac:dyDescent="0.25">
      <c r="A1624" s="170">
        <v>44396</v>
      </c>
      <c r="B1624" s="116">
        <v>345.05</v>
      </c>
      <c r="C1624" s="116">
        <v>340.05</v>
      </c>
      <c r="D1624" s="116">
        <v>337.75</v>
      </c>
      <c r="E1624" s="116">
        <v>342.3</v>
      </c>
      <c r="F1624" s="116">
        <v>340.05</v>
      </c>
      <c r="G1624">
        <v>52106</v>
      </c>
      <c r="H1624" s="116"/>
      <c r="I1624" s="116"/>
      <c r="L1624" s="170">
        <v>44397</v>
      </c>
      <c r="M1624" s="116">
        <v>333</v>
      </c>
      <c r="N1624" s="116">
        <v>339.7</v>
      </c>
      <c r="O1624" s="116">
        <v>328.45</v>
      </c>
      <c r="P1624" s="116">
        <v>337.5</v>
      </c>
      <c r="Q1624" s="116">
        <v>333</v>
      </c>
      <c r="R1624">
        <v>1078296</v>
      </c>
    </row>
    <row r="1625" spans="1:18" x14ac:dyDescent="0.25">
      <c r="A1625" s="170">
        <v>44397</v>
      </c>
      <c r="B1625" s="116">
        <v>339.6</v>
      </c>
      <c r="C1625" s="116">
        <v>333</v>
      </c>
      <c r="D1625" s="116">
        <v>328.6</v>
      </c>
      <c r="E1625" s="116">
        <v>339.6</v>
      </c>
      <c r="F1625" s="116">
        <v>333</v>
      </c>
      <c r="G1625">
        <v>118054</v>
      </c>
      <c r="H1625" s="116"/>
      <c r="I1625" s="116"/>
      <c r="L1625" s="170">
        <v>44399</v>
      </c>
      <c r="M1625" s="116">
        <v>327.05</v>
      </c>
      <c r="N1625" s="116">
        <v>342</v>
      </c>
      <c r="O1625" s="116">
        <v>318.8</v>
      </c>
      <c r="P1625" s="116">
        <v>340</v>
      </c>
      <c r="Q1625" s="116">
        <v>327.05</v>
      </c>
      <c r="R1625">
        <v>3389719</v>
      </c>
    </row>
    <row r="1626" spans="1:18" x14ac:dyDescent="0.25">
      <c r="A1626" s="170">
        <v>44399</v>
      </c>
      <c r="B1626" s="116">
        <v>341.1</v>
      </c>
      <c r="C1626" s="116">
        <v>327</v>
      </c>
      <c r="D1626" s="116">
        <v>319.75</v>
      </c>
      <c r="E1626" s="116">
        <v>335.05</v>
      </c>
      <c r="F1626" s="116">
        <v>327</v>
      </c>
      <c r="G1626">
        <v>176952</v>
      </c>
      <c r="H1626" s="116"/>
      <c r="I1626" s="116"/>
      <c r="L1626" s="170">
        <v>44400</v>
      </c>
      <c r="M1626" s="116">
        <v>328.55</v>
      </c>
      <c r="N1626" s="116">
        <v>335.9</v>
      </c>
      <c r="O1626" s="116">
        <v>325.14999999999998</v>
      </c>
      <c r="P1626" s="116">
        <v>329.6</v>
      </c>
      <c r="Q1626" s="116">
        <v>328.55</v>
      </c>
      <c r="R1626">
        <v>1691393</v>
      </c>
    </row>
    <row r="1627" spans="1:18" x14ac:dyDescent="0.25">
      <c r="A1627" s="170">
        <v>44400</v>
      </c>
      <c r="B1627" s="116">
        <v>335.85</v>
      </c>
      <c r="C1627" s="116">
        <v>329.05</v>
      </c>
      <c r="D1627" s="116">
        <v>326</v>
      </c>
      <c r="E1627" s="116">
        <v>331.4</v>
      </c>
      <c r="F1627" s="116">
        <v>329.05</v>
      </c>
      <c r="G1627">
        <v>108512</v>
      </c>
      <c r="H1627" s="116"/>
      <c r="I1627" s="116"/>
      <c r="L1627" s="170">
        <v>44403</v>
      </c>
      <c r="M1627" s="116">
        <v>326.5</v>
      </c>
      <c r="N1627" s="116">
        <v>330.3</v>
      </c>
      <c r="O1627" s="116">
        <v>325</v>
      </c>
      <c r="P1627" s="116">
        <v>330</v>
      </c>
      <c r="Q1627" s="116">
        <v>326.5</v>
      </c>
      <c r="R1627">
        <v>642013</v>
      </c>
    </row>
    <row r="1628" spans="1:18" x14ac:dyDescent="0.25">
      <c r="A1628" s="170">
        <v>44403</v>
      </c>
      <c r="B1628" s="116">
        <v>330</v>
      </c>
      <c r="C1628" s="116">
        <v>326.60000000000002</v>
      </c>
      <c r="D1628" s="116">
        <v>325.14999999999998</v>
      </c>
      <c r="E1628" s="116">
        <v>327.5</v>
      </c>
      <c r="F1628" s="116">
        <v>326.60000000000002</v>
      </c>
      <c r="G1628">
        <v>102671</v>
      </c>
      <c r="H1628" s="116"/>
      <c r="I1628" s="116"/>
      <c r="L1628" s="170">
        <v>44404</v>
      </c>
      <c r="M1628" s="116">
        <v>320.45</v>
      </c>
      <c r="N1628" s="116">
        <v>329.75</v>
      </c>
      <c r="O1628" s="116">
        <v>319</v>
      </c>
      <c r="P1628" s="116">
        <v>328.15</v>
      </c>
      <c r="Q1628" s="116">
        <v>320.45</v>
      </c>
      <c r="R1628">
        <v>820843</v>
      </c>
    </row>
    <row r="1629" spans="1:18" x14ac:dyDescent="0.25">
      <c r="A1629" s="170">
        <v>44404</v>
      </c>
      <c r="B1629" s="116">
        <v>329.65</v>
      </c>
      <c r="C1629" s="116">
        <v>320.5</v>
      </c>
      <c r="D1629" s="116">
        <v>319</v>
      </c>
      <c r="E1629" s="116">
        <v>326.14999999999998</v>
      </c>
      <c r="F1629" s="116">
        <v>320.5</v>
      </c>
      <c r="G1629">
        <v>87359</v>
      </c>
      <c r="H1629" s="116"/>
      <c r="I1629" s="116"/>
      <c r="L1629" s="170">
        <v>44405</v>
      </c>
      <c r="M1629" s="116">
        <v>316.25</v>
      </c>
      <c r="N1629" s="116">
        <v>323.85000000000002</v>
      </c>
      <c r="O1629" s="116">
        <v>313.7</v>
      </c>
      <c r="P1629" s="116">
        <v>320</v>
      </c>
      <c r="Q1629" s="116">
        <v>316.25</v>
      </c>
      <c r="R1629">
        <v>902734</v>
      </c>
    </row>
    <row r="1630" spans="1:18" x14ac:dyDescent="0.25">
      <c r="A1630" s="170">
        <v>44405</v>
      </c>
      <c r="B1630" s="116">
        <v>324</v>
      </c>
      <c r="C1630" s="116">
        <v>316.2</v>
      </c>
      <c r="D1630" s="116">
        <v>313.60000000000002</v>
      </c>
      <c r="E1630" s="116">
        <v>319.10000000000002</v>
      </c>
      <c r="F1630" s="116">
        <v>316.2</v>
      </c>
      <c r="G1630">
        <v>86029</v>
      </c>
      <c r="H1630" s="116"/>
      <c r="I1630" s="116"/>
      <c r="L1630" s="170">
        <v>44406</v>
      </c>
      <c r="M1630" s="116">
        <v>323.55</v>
      </c>
      <c r="N1630" s="116">
        <v>325.55</v>
      </c>
      <c r="O1630" s="116">
        <v>317</v>
      </c>
      <c r="P1630" s="116">
        <v>318.45</v>
      </c>
      <c r="Q1630" s="116">
        <v>323.55</v>
      </c>
      <c r="R1630">
        <v>1753832</v>
      </c>
    </row>
    <row r="1631" spans="1:18" x14ac:dyDescent="0.25">
      <c r="A1631" s="170">
        <v>44406</v>
      </c>
      <c r="B1631" s="116">
        <v>325.5</v>
      </c>
      <c r="C1631" s="116">
        <v>323.25</v>
      </c>
      <c r="D1631" s="116">
        <v>316</v>
      </c>
      <c r="E1631" s="116">
        <v>316</v>
      </c>
      <c r="F1631" s="116">
        <v>323.25</v>
      </c>
      <c r="G1631">
        <v>75682</v>
      </c>
      <c r="H1631" s="116"/>
      <c r="I1631" s="116"/>
      <c r="L1631" s="170">
        <v>44407</v>
      </c>
      <c r="M1631" s="116">
        <v>320.5</v>
      </c>
      <c r="N1631" s="116">
        <v>330.4</v>
      </c>
      <c r="O1631" s="116">
        <v>319</v>
      </c>
      <c r="P1631" s="116">
        <v>325.89999999999998</v>
      </c>
      <c r="Q1631" s="116">
        <v>320.5</v>
      </c>
      <c r="R1631">
        <v>2759663</v>
      </c>
    </row>
    <row r="1632" spans="1:18" x14ac:dyDescent="0.25">
      <c r="A1632" s="170">
        <v>44407</v>
      </c>
      <c r="B1632" s="116">
        <v>330.45</v>
      </c>
      <c r="C1632" s="116">
        <v>320.60000000000002</v>
      </c>
      <c r="D1632" s="116">
        <v>319.14999999999998</v>
      </c>
      <c r="E1632" s="116">
        <v>326</v>
      </c>
      <c r="F1632" s="116">
        <v>320.60000000000002</v>
      </c>
      <c r="G1632">
        <v>94570</v>
      </c>
      <c r="H1632" s="116"/>
      <c r="I1632" s="116"/>
      <c r="L1632" s="170">
        <v>44410</v>
      </c>
      <c r="M1632" s="116">
        <v>324.5</v>
      </c>
      <c r="N1632" s="116">
        <v>327.75</v>
      </c>
      <c r="O1632" s="116">
        <v>323</v>
      </c>
      <c r="P1632" s="116">
        <v>324.5</v>
      </c>
      <c r="Q1632" s="116">
        <v>324.5</v>
      </c>
      <c r="R1632">
        <v>653297</v>
      </c>
    </row>
    <row r="1633" spans="1:18" x14ac:dyDescent="0.25">
      <c r="A1633" s="170">
        <v>44410</v>
      </c>
      <c r="B1633" s="116">
        <v>327.64999999999998</v>
      </c>
      <c r="C1633" s="116">
        <v>324.45</v>
      </c>
      <c r="D1633" s="116">
        <v>322</v>
      </c>
      <c r="E1633" s="116">
        <v>322</v>
      </c>
      <c r="F1633" s="116">
        <v>324.45</v>
      </c>
      <c r="G1633">
        <v>79122</v>
      </c>
      <c r="H1633" s="116"/>
      <c r="I1633" s="116"/>
      <c r="L1633" s="170">
        <v>44411</v>
      </c>
      <c r="M1633" s="116">
        <v>321.25</v>
      </c>
      <c r="N1633" s="116">
        <v>326.89999999999998</v>
      </c>
      <c r="O1633" s="116">
        <v>318.05</v>
      </c>
      <c r="P1633" s="116">
        <v>326.64999999999998</v>
      </c>
      <c r="Q1633" s="116">
        <v>321.25</v>
      </c>
      <c r="R1633">
        <v>973957</v>
      </c>
    </row>
    <row r="1634" spans="1:18" x14ac:dyDescent="0.25">
      <c r="A1634" s="170">
        <v>44411</v>
      </c>
      <c r="B1634" s="116">
        <v>327</v>
      </c>
      <c r="C1634" s="116">
        <v>321.39999999999998</v>
      </c>
      <c r="D1634" s="116">
        <v>318.2</v>
      </c>
      <c r="E1634" s="116">
        <v>327</v>
      </c>
      <c r="F1634" s="116">
        <v>321.39999999999998</v>
      </c>
      <c r="G1634">
        <v>42623</v>
      </c>
      <c r="H1634" s="116"/>
      <c r="I1634" s="116"/>
      <c r="L1634" s="170">
        <v>44412</v>
      </c>
      <c r="M1634" s="116">
        <v>319.64999999999998</v>
      </c>
      <c r="N1634" s="116">
        <v>324.8</v>
      </c>
      <c r="O1634" s="116">
        <v>319</v>
      </c>
      <c r="P1634" s="116">
        <v>322</v>
      </c>
      <c r="Q1634" s="116">
        <v>319.64999999999998</v>
      </c>
      <c r="R1634">
        <v>538335</v>
      </c>
    </row>
    <row r="1635" spans="1:18" x14ac:dyDescent="0.25">
      <c r="A1635" s="170">
        <v>44412</v>
      </c>
      <c r="B1635" s="116">
        <v>325.35000000000002</v>
      </c>
      <c r="C1635" s="116">
        <v>319.75</v>
      </c>
      <c r="D1635" s="116">
        <v>319.2</v>
      </c>
      <c r="E1635" s="116">
        <v>325.35000000000002</v>
      </c>
      <c r="F1635" s="116">
        <v>319.75</v>
      </c>
      <c r="G1635">
        <v>68669</v>
      </c>
      <c r="H1635" s="116"/>
      <c r="I1635" s="116"/>
      <c r="L1635" s="170">
        <v>44413</v>
      </c>
      <c r="M1635" s="116">
        <v>319.45</v>
      </c>
      <c r="N1635" s="116">
        <v>322.95</v>
      </c>
      <c r="O1635" s="116">
        <v>316.3</v>
      </c>
      <c r="P1635" s="116">
        <v>321</v>
      </c>
      <c r="Q1635" s="116">
        <v>319.45</v>
      </c>
      <c r="R1635">
        <v>429968</v>
      </c>
    </row>
    <row r="1636" spans="1:18" x14ac:dyDescent="0.25">
      <c r="A1636" s="170">
        <v>44413</v>
      </c>
      <c r="B1636" s="116">
        <v>323.45</v>
      </c>
      <c r="C1636" s="116">
        <v>319.45</v>
      </c>
      <c r="D1636" s="116">
        <v>316.39999999999998</v>
      </c>
      <c r="E1636" s="116">
        <v>323.45</v>
      </c>
      <c r="F1636" s="116">
        <v>319.45</v>
      </c>
      <c r="G1636">
        <v>55094</v>
      </c>
      <c r="H1636" s="116"/>
      <c r="I1636" s="116"/>
      <c r="L1636" s="170">
        <v>44414</v>
      </c>
      <c r="M1636" s="116">
        <v>318.39999999999998</v>
      </c>
      <c r="N1636" s="116">
        <v>323.2</v>
      </c>
      <c r="O1636" s="116">
        <v>318</v>
      </c>
      <c r="P1636" s="116">
        <v>320</v>
      </c>
      <c r="Q1636" s="116">
        <v>318.39999999999998</v>
      </c>
      <c r="R1636">
        <v>481160</v>
      </c>
    </row>
    <row r="1637" spans="1:18" x14ac:dyDescent="0.25">
      <c r="A1637" s="170">
        <v>44414</v>
      </c>
      <c r="B1637" s="116">
        <v>324.55</v>
      </c>
      <c r="C1637" s="116">
        <v>318.55</v>
      </c>
      <c r="D1637" s="116">
        <v>317.60000000000002</v>
      </c>
      <c r="E1637" s="116">
        <v>317.60000000000002</v>
      </c>
      <c r="F1637" s="116">
        <v>318.55</v>
      </c>
      <c r="G1637">
        <v>56364</v>
      </c>
      <c r="H1637" s="116"/>
      <c r="I1637" s="116"/>
      <c r="L1637" s="170">
        <v>44417</v>
      </c>
      <c r="M1637" s="116">
        <v>317.60000000000002</v>
      </c>
      <c r="N1637" s="116">
        <v>321</v>
      </c>
      <c r="O1637" s="116">
        <v>315</v>
      </c>
      <c r="P1637" s="116">
        <v>317.55</v>
      </c>
      <c r="Q1637" s="116">
        <v>317.60000000000002</v>
      </c>
      <c r="R1637">
        <v>727836</v>
      </c>
    </row>
    <row r="1638" spans="1:18" x14ac:dyDescent="0.25">
      <c r="A1638" s="170">
        <v>44417</v>
      </c>
      <c r="B1638" s="116">
        <v>320.5</v>
      </c>
      <c r="C1638" s="116">
        <v>317.5</v>
      </c>
      <c r="D1638" s="116">
        <v>315.05</v>
      </c>
      <c r="E1638" s="116">
        <v>318.14999999999998</v>
      </c>
      <c r="F1638" s="116">
        <v>317.5</v>
      </c>
      <c r="G1638">
        <v>59174</v>
      </c>
      <c r="H1638" s="116"/>
      <c r="I1638" s="116"/>
      <c r="L1638" s="170">
        <v>44418</v>
      </c>
      <c r="M1638" s="116">
        <v>309.35000000000002</v>
      </c>
      <c r="N1638" s="116">
        <v>318.8</v>
      </c>
      <c r="O1638" s="116">
        <v>307.8</v>
      </c>
      <c r="P1638" s="116">
        <v>317</v>
      </c>
      <c r="Q1638" s="116">
        <v>309.35000000000002</v>
      </c>
      <c r="R1638">
        <v>745912</v>
      </c>
    </row>
    <row r="1639" spans="1:18" x14ac:dyDescent="0.25">
      <c r="A1639" s="170">
        <v>44418</v>
      </c>
      <c r="B1639" s="116">
        <v>318.55</v>
      </c>
      <c r="C1639" s="116">
        <v>309.39999999999998</v>
      </c>
      <c r="D1639" s="116">
        <v>308</v>
      </c>
      <c r="E1639" s="116">
        <v>317.5</v>
      </c>
      <c r="F1639" s="116">
        <v>309.39999999999998</v>
      </c>
      <c r="G1639">
        <v>42544</v>
      </c>
      <c r="H1639" s="116"/>
      <c r="I1639" s="116"/>
      <c r="L1639" s="170">
        <v>44419</v>
      </c>
      <c r="M1639" s="116">
        <v>316.14999999999998</v>
      </c>
      <c r="N1639" s="116">
        <v>318</v>
      </c>
      <c r="O1639" s="116">
        <v>306.55</v>
      </c>
      <c r="P1639" s="116">
        <v>310</v>
      </c>
      <c r="Q1639" s="116">
        <v>316.14999999999998</v>
      </c>
      <c r="R1639">
        <v>1527673</v>
      </c>
    </row>
    <row r="1640" spans="1:18" x14ac:dyDescent="0.25">
      <c r="A1640" s="170">
        <v>44419</v>
      </c>
      <c r="B1640" s="116">
        <v>317.89999999999998</v>
      </c>
      <c r="C1640" s="116">
        <v>316.05</v>
      </c>
      <c r="D1640" s="116">
        <v>306.2</v>
      </c>
      <c r="E1640" s="116">
        <v>311.39999999999998</v>
      </c>
      <c r="F1640" s="116">
        <v>316.05</v>
      </c>
      <c r="G1640">
        <v>133821</v>
      </c>
      <c r="H1640" s="116"/>
      <c r="I1640" s="116"/>
      <c r="L1640" s="170">
        <v>44420</v>
      </c>
      <c r="M1640" s="116">
        <v>319.8</v>
      </c>
      <c r="N1640" s="116">
        <v>321.95</v>
      </c>
      <c r="O1640" s="116">
        <v>315.7</v>
      </c>
      <c r="P1640" s="116">
        <v>319</v>
      </c>
      <c r="Q1640" s="116">
        <v>319.8</v>
      </c>
      <c r="R1640">
        <v>893026</v>
      </c>
    </row>
    <row r="1641" spans="1:18" x14ac:dyDescent="0.25">
      <c r="A1641" s="170">
        <v>44420</v>
      </c>
      <c r="B1641" s="116">
        <v>322.10000000000002</v>
      </c>
      <c r="C1641" s="116">
        <v>319.89999999999998</v>
      </c>
      <c r="D1641" s="116">
        <v>315.89999999999998</v>
      </c>
      <c r="E1641" s="116">
        <v>322.10000000000002</v>
      </c>
      <c r="F1641" s="116">
        <v>319.89999999999998</v>
      </c>
      <c r="G1641">
        <v>66941</v>
      </c>
      <c r="H1641" s="116"/>
      <c r="I1641" s="116"/>
      <c r="L1641" s="170">
        <v>44421</v>
      </c>
      <c r="M1641" s="116">
        <v>320.89999999999998</v>
      </c>
      <c r="N1641" s="116">
        <v>323</v>
      </c>
      <c r="O1641" s="116">
        <v>319.10000000000002</v>
      </c>
      <c r="P1641" s="116">
        <v>320.89999999999998</v>
      </c>
      <c r="Q1641" s="116">
        <v>320.89999999999998</v>
      </c>
      <c r="R1641">
        <v>605873</v>
      </c>
    </row>
    <row r="1642" spans="1:18" x14ac:dyDescent="0.25">
      <c r="A1642" s="170">
        <v>44421</v>
      </c>
      <c r="B1642" s="116">
        <v>322.75</v>
      </c>
      <c r="C1642" s="116">
        <v>320.7</v>
      </c>
      <c r="D1642" s="116">
        <v>319.25</v>
      </c>
      <c r="E1642" s="116">
        <v>319.95</v>
      </c>
      <c r="F1642" s="116">
        <v>320.7</v>
      </c>
      <c r="G1642">
        <v>79107</v>
      </c>
      <c r="H1642" s="116"/>
      <c r="I1642" s="116"/>
      <c r="L1642" s="170">
        <v>44424</v>
      </c>
      <c r="M1642" s="116">
        <v>330.85</v>
      </c>
      <c r="N1642" s="116">
        <v>332.5</v>
      </c>
      <c r="O1642" s="116">
        <v>323.2</v>
      </c>
      <c r="P1642" s="116">
        <v>323.2</v>
      </c>
      <c r="Q1642" s="116">
        <v>330.85</v>
      </c>
      <c r="R1642">
        <v>2768305</v>
      </c>
    </row>
    <row r="1643" spans="1:18" x14ac:dyDescent="0.25">
      <c r="A1643" s="170">
        <v>44424</v>
      </c>
      <c r="B1643" s="116">
        <v>332.5</v>
      </c>
      <c r="C1643" s="116">
        <v>331.1</v>
      </c>
      <c r="D1643" s="116">
        <v>323.25</v>
      </c>
      <c r="E1643" s="116">
        <v>328.9</v>
      </c>
      <c r="F1643" s="116">
        <v>331.1</v>
      </c>
      <c r="G1643">
        <v>120753</v>
      </c>
      <c r="H1643" s="116"/>
      <c r="I1643" s="116"/>
      <c r="L1643" s="170">
        <v>44425</v>
      </c>
      <c r="M1643" s="116">
        <v>317.64999999999998</v>
      </c>
      <c r="N1643" s="116">
        <v>332.9</v>
      </c>
      <c r="O1643" s="116">
        <v>314</v>
      </c>
      <c r="P1643" s="116">
        <v>332.8</v>
      </c>
      <c r="Q1643" s="116">
        <v>317.64999999999998</v>
      </c>
      <c r="R1643">
        <v>2585664</v>
      </c>
    </row>
    <row r="1644" spans="1:18" x14ac:dyDescent="0.25">
      <c r="A1644" s="170">
        <v>44425</v>
      </c>
      <c r="B1644" s="116">
        <v>332.6</v>
      </c>
      <c r="C1644" s="116">
        <v>317.5</v>
      </c>
      <c r="D1644" s="116">
        <v>314.2</v>
      </c>
      <c r="E1644" s="116">
        <v>331.55</v>
      </c>
      <c r="F1644" s="116">
        <v>317.5</v>
      </c>
      <c r="G1644">
        <v>162438</v>
      </c>
      <c r="H1644" s="116"/>
      <c r="I1644" s="116"/>
      <c r="L1644" s="170">
        <v>44426</v>
      </c>
      <c r="M1644" s="116">
        <v>321.25</v>
      </c>
      <c r="N1644" s="116">
        <v>324.95</v>
      </c>
      <c r="O1644" s="116">
        <v>313.3</v>
      </c>
      <c r="P1644" s="116">
        <v>316.5</v>
      </c>
      <c r="Q1644" s="116">
        <v>321.25</v>
      </c>
      <c r="R1644">
        <v>1471950</v>
      </c>
    </row>
    <row r="1645" spans="1:18" x14ac:dyDescent="0.25">
      <c r="A1645" s="170">
        <v>44426</v>
      </c>
      <c r="B1645" s="116">
        <v>325</v>
      </c>
      <c r="C1645" s="116">
        <v>321.64999999999998</v>
      </c>
      <c r="D1645" s="116">
        <v>313.45</v>
      </c>
      <c r="E1645" s="116">
        <v>317</v>
      </c>
      <c r="F1645" s="116">
        <v>321.64999999999998</v>
      </c>
      <c r="G1645">
        <v>63364</v>
      </c>
      <c r="H1645" s="116"/>
      <c r="I1645" s="116"/>
      <c r="L1645" s="170">
        <v>44428</v>
      </c>
      <c r="M1645" s="116">
        <v>308.10000000000002</v>
      </c>
      <c r="N1645" s="116">
        <v>316.8</v>
      </c>
      <c r="O1645" s="116">
        <v>306</v>
      </c>
      <c r="P1645" s="116">
        <v>315.95</v>
      </c>
      <c r="Q1645" s="116">
        <v>308.10000000000002</v>
      </c>
      <c r="R1645">
        <v>1087129</v>
      </c>
    </row>
    <row r="1646" spans="1:18" x14ac:dyDescent="0.25">
      <c r="A1646" s="170">
        <v>44428</v>
      </c>
      <c r="B1646" s="116">
        <v>316.55</v>
      </c>
      <c r="C1646" s="116">
        <v>308.05</v>
      </c>
      <c r="D1646" s="116">
        <v>305.75</v>
      </c>
      <c r="E1646" s="116">
        <v>314.85000000000002</v>
      </c>
      <c r="F1646" s="116">
        <v>308.05</v>
      </c>
      <c r="G1646">
        <v>142338</v>
      </c>
      <c r="H1646" s="116"/>
      <c r="I1646" s="116"/>
      <c r="L1646" s="170">
        <v>44431</v>
      </c>
      <c r="M1646" s="116">
        <v>310.25</v>
      </c>
      <c r="N1646" s="116">
        <v>313.25</v>
      </c>
      <c r="O1646" s="116">
        <v>294.10000000000002</v>
      </c>
      <c r="P1646" s="116">
        <v>310.3</v>
      </c>
      <c r="Q1646" s="116">
        <v>310.25</v>
      </c>
      <c r="R1646">
        <v>2182369</v>
      </c>
    </row>
    <row r="1647" spans="1:18" x14ac:dyDescent="0.25">
      <c r="A1647" s="170">
        <v>44431</v>
      </c>
      <c r="B1647" s="116">
        <v>313.3</v>
      </c>
      <c r="C1647" s="116">
        <v>310.39999999999998</v>
      </c>
      <c r="D1647" s="116">
        <v>294</v>
      </c>
      <c r="E1647" s="116">
        <v>310</v>
      </c>
      <c r="F1647" s="116">
        <v>310.39999999999998</v>
      </c>
      <c r="G1647">
        <v>92591</v>
      </c>
      <c r="H1647" s="116"/>
      <c r="I1647" s="116"/>
      <c r="L1647" s="170">
        <v>44432</v>
      </c>
      <c r="M1647" s="116">
        <v>316.25</v>
      </c>
      <c r="N1647" s="116">
        <v>317.45</v>
      </c>
      <c r="O1647" s="116">
        <v>303.64999999999998</v>
      </c>
      <c r="P1647" s="116">
        <v>312.8</v>
      </c>
      <c r="Q1647" s="116">
        <v>316.25</v>
      </c>
      <c r="R1647">
        <v>1537821</v>
      </c>
    </row>
    <row r="1648" spans="1:18" x14ac:dyDescent="0.25">
      <c r="A1648" s="170">
        <v>44432</v>
      </c>
      <c r="B1648" s="116">
        <v>317.25</v>
      </c>
      <c r="C1648" s="116">
        <v>316.2</v>
      </c>
      <c r="D1648" s="116">
        <v>304.5</v>
      </c>
      <c r="E1648" s="116">
        <v>314.7</v>
      </c>
      <c r="F1648" s="116">
        <v>316.2</v>
      </c>
      <c r="G1648">
        <v>121062</v>
      </c>
      <c r="H1648" s="116"/>
      <c r="I1648" s="116"/>
      <c r="L1648" s="170">
        <v>44433</v>
      </c>
      <c r="M1648" s="116">
        <v>316.05</v>
      </c>
      <c r="N1648" s="116">
        <v>317.5</v>
      </c>
      <c r="O1648" s="116">
        <v>311.45</v>
      </c>
      <c r="P1648" s="116">
        <v>316</v>
      </c>
      <c r="Q1648" s="116">
        <v>316.05</v>
      </c>
      <c r="R1648">
        <v>703209</v>
      </c>
    </row>
    <row r="1649" spans="1:18" x14ac:dyDescent="0.25">
      <c r="A1649" s="170">
        <v>44433</v>
      </c>
      <c r="B1649" s="116">
        <v>317.45</v>
      </c>
      <c r="C1649" s="116">
        <v>316.10000000000002</v>
      </c>
      <c r="D1649" s="116">
        <v>311.45</v>
      </c>
      <c r="E1649" s="116">
        <v>316</v>
      </c>
      <c r="F1649" s="116">
        <v>316.10000000000002</v>
      </c>
      <c r="G1649">
        <v>25582</v>
      </c>
      <c r="H1649" s="116"/>
      <c r="I1649" s="116"/>
      <c r="L1649" s="170">
        <v>44434</v>
      </c>
      <c r="M1649" s="116">
        <v>315.3</v>
      </c>
      <c r="N1649" s="116">
        <v>317</v>
      </c>
      <c r="O1649" s="116">
        <v>312</v>
      </c>
      <c r="P1649" s="116">
        <v>315</v>
      </c>
      <c r="Q1649" s="116">
        <v>315.3</v>
      </c>
      <c r="R1649">
        <v>641303</v>
      </c>
    </row>
    <row r="1650" spans="1:18" x14ac:dyDescent="0.25">
      <c r="A1650" s="170">
        <v>44434</v>
      </c>
      <c r="B1650" s="116">
        <v>316.89999999999998</v>
      </c>
      <c r="C1650" s="116">
        <v>314.89999999999998</v>
      </c>
      <c r="D1650" s="116">
        <v>312.10000000000002</v>
      </c>
      <c r="E1650" s="116">
        <v>316.25</v>
      </c>
      <c r="F1650" s="116">
        <v>314.89999999999998</v>
      </c>
      <c r="G1650">
        <v>45318</v>
      </c>
      <c r="H1650" s="116"/>
      <c r="I1650" s="116"/>
      <c r="L1650" s="170">
        <v>44435</v>
      </c>
      <c r="M1650" s="116">
        <v>318.2</v>
      </c>
      <c r="N1650" s="116">
        <v>320.8</v>
      </c>
      <c r="O1650" s="116">
        <v>313.10000000000002</v>
      </c>
      <c r="P1650" s="116">
        <v>315.05</v>
      </c>
      <c r="Q1650" s="116">
        <v>318.2</v>
      </c>
      <c r="R1650">
        <v>711069</v>
      </c>
    </row>
    <row r="1651" spans="1:18" x14ac:dyDescent="0.25">
      <c r="A1651" s="170">
        <v>44435</v>
      </c>
      <c r="B1651" s="116">
        <v>320.39999999999998</v>
      </c>
      <c r="C1651" s="116">
        <v>318.75</v>
      </c>
      <c r="D1651" s="116">
        <v>313.60000000000002</v>
      </c>
      <c r="E1651" s="116">
        <v>317.89999999999998</v>
      </c>
      <c r="F1651" s="116">
        <v>318.75</v>
      </c>
      <c r="G1651">
        <v>27795</v>
      </c>
      <c r="H1651" s="116"/>
      <c r="I1651" s="116"/>
      <c r="L1651" s="170">
        <v>44438</v>
      </c>
      <c r="M1651" s="116">
        <v>324.05</v>
      </c>
      <c r="N1651" s="116">
        <v>325</v>
      </c>
      <c r="O1651" s="116">
        <v>319.10000000000002</v>
      </c>
      <c r="P1651" s="116">
        <v>321.64999999999998</v>
      </c>
      <c r="Q1651" s="116">
        <v>324.05</v>
      </c>
      <c r="R1651">
        <v>747758</v>
      </c>
    </row>
    <row r="1652" spans="1:18" x14ac:dyDescent="0.25">
      <c r="A1652" s="170">
        <v>44438</v>
      </c>
      <c r="B1652" s="116">
        <v>324.85000000000002</v>
      </c>
      <c r="C1652" s="116">
        <v>323.89999999999998</v>
      </c>
      <c r="D1652" s="116">
        <v>319</v>
      </c>
      <c r="E1652" s="116">
        <v>320</v>
      </c>
      <c r="F1652" s="116">
        <v>323.89999999999998</v>
      </c>
      <c r="G1652">
        <v>91458</v>
      </c>
      <c r="H1652" s="116"/>
      <c r="I1652" s="116"/>
      <c r="L1652" s="170">
        <v>44439</v>
      </c>
      <c r="M1652" s="116">
        <v>321.75</v>
      </c>
      <c r="N1652" s="116">
        <v>325.89999999999998</v>
      </c>
      <c r="O1652" s="116">
        <v>319.05</v>
      </c>
      <c r="P1652" s="116">
        <v>325</v>
      </c>
      <c r="Q1652" s="116">
        <v>321.75</v>
      </c>
      <c r="R1652">
        <v>845627</v>
      </c>
    </row>
    <row r="1653" spans="1:18" x14ac:dyDescent="0.25">
      <c r="A1653" s="170">
        <v>44439</v>
      </c>
      <c r="B1653" s="116">
        <v>326.89999999999998</v>
      </c>
      <c r="C1653" s="116">
        <v>321.89999999999998</v>
      </c>
      <c r="D1653" s="116">
        <v>319</v>
      </c>
      <c r="E1653" s="116">
        <v>326.89999999999998</v>
      </c>
      <c r="F1653" s="116">
        <v>321.89999999999998</v>
      </c>
      <c r="G1653">
        <v>39786</v>
      </c>
      <c r="H1653" s="116"/>
      <c r="I1653" s="116"/>
      <c r="L1653" s="170">
        <v>44440</v>
      </c>
      <c r="M1653" s="116">
        <v>322.75</v>
      </c>
      <c r="N1653" s="116">
        <v>326.7</v>
      </c>
      <c r="O1653" s="116">
        <v>317.7</v>
      </c>
      <c r="P1653" s="116">
        <v>321.75</v>
      </c>
      <c r="Q1653" s="116">
        <v>322.75</v>
      </c>
      <c r="R1653">
        <v>909890</v>
      </c>
    </row>
    <row r="1654" spans="1:18" x14ac:dyDescent="0.25">
      <c r="A1654" s="170">
        <v>44440</v>
      </c>
      <c r="B1654" s="116">
        <v>326.35000000000002</v>
      </c>
      <c r="C1654" s="116">
        <v>322.89999999999998</v>
      </c>
      <c r="D1654" s="116">
        <v>317.64999999999998</v>
      </c>
      <c r="E1654" s="116">
        <v>323.85000000000002</v>
      </c>
      <c r="F1654" s="116">
        <v>322.89999999999998</v>
      </c>
      <c r="G1654">
        <v>68406</v>
      </c>
      <c r="H1654" s="116"/>
      <c r="I1654" s="116"/>
      <c r="L1654" s="170">
        <v>44441</v>
      </c>
      <c r="M1654" s="116">
        <v>325.2</v>
      </c>
      <c r="N1654" s="116">
        <v>326</v>
      </c>
      <c r="O1654" s="116">
        <v>318.39999999999998</v>
      </c>
      <c r="P1654" s="116">
        <v>323</v>
      </c>
      <c r="Q1654" s="116">
        <v>325.2</v>
      </c>
      <c r="R1654">
        <v>1014427</v>
      </c>
    </row>
    <row r="1655" spans="1:18" x14ac:dyDescent="0.25">
      <c r="A1655" s="170">
        <v>44441</v>
      </c>
      <c r="B1655" s="116">
        <v>325.8</v>
      </c>
      <c r="C1655" s="116">
        <v>325.05</v>
      </c>
      <c r="D1655" s="116">
        <v>318.5</v>
      </c>
      <c r="E1655" s="116">
        <v>322.75</v>
      </c>
      <c r="F1655" s="116">
        <v>325.05</v>
      </c>
      <c r="G1655">
        <v>72930</v>
      </c>
      <c r="H1655" s="116"/>
      <c r="I1655" s="116"/>
      <c r="L1655" s="170">
        <v>44442</v>
      </c>
      <c r="M1655" s="116">
        <v>325.05</v>
      </c>
      <c r="N1655" s="116">
        <v>326.89999999999998</v>
      </c>
      <c r="O1655" s="116">
        <v>322.2</v>
      </c>
      <c r="P1655" s="116">
        <v>324.05</v>
      </c>
      <c r="Q1655" s="116">
        <v>325.05</v>
      </c>
      <c r="R1655">
        <v>635352</v>
      </c>
    </row>
    <row r="1656" spans="1:18" x14ac:dyDescent="0.25">
      <c r="A1656" s="170">
        <v>44442</v>
      </c>
      <c r="B1656" s="116">
        <v>326.64999999999998</v>
      </c>
      <c r="C1656" s="116">
        <v>325.14999999999998</v>
      </c>
      <c r="D1656" s="116">
        <v>322.25</v>
      </c>
      <c r="E1656" s="116">
        <v>326</v>
      </c>
      <c r="F1656" s="116">
        <v>325.14999999999998</v>
      </c>
      <c r="G1656">
        <v>28523</v>
      </c>
      <c r="H1656" s="116"/>
      <c r="I1656" s="116"/>
      <c r="L1656" s="170">
        <v>44445</v>
      </c>
      <c r="M1656" s="116">
        <v>328.05</v>
      </c>
      <c r="N1656" s="116">
        <v>329.7</v>
      </c>
      <c r="O1656" s="116">
        <v>321.64999999999998</v>
      </c>
      <c r="P1656" s="116">
        <v>327</v>
      </c>
      <c r="Q1656" s="116">
        <v>328.05</v>
      </c>
      <c r="R1656">
        <v>690323</v>
      </c>
    </row>
    <row r="1657" spans="1:18" x14ac:dyDescent="0.25">
      <c r="A1657" s="170">
        <v>44445</v>
      </c>
      <c r="B1657" s="116">
        <v>329.85</v>
      </c>
      <c r="C1657" s="116">
        <v>327.85</v>
      </c>
      <c r="D1657" s="116">
        <v>321.8</v>
      </c>
      <c r="E1657" s="116">
        <v>326</v>
      </c>
      <c r="F1657" s="116">
        <v>327.85</v>
      </c>
      <c r="G1657">
        <v>86520</v>
      </c>
      <c r="H1657" s="116"/>
      <c r="I1657" s="116"/>
      <c r="L1657" s="170">
        <v>44446</v>
      </c>
      <c r="M1657" s="116">
        <v>328.95</v>
      </c>
      <c r="N1657" s="116">
        <v>330</v>
      </c>
      <c r="O1657" s="116">
        <v>322.60000000000002</v>
      </c>
      <c r="P1657" s="116">
        <v>328.9</v>
      </c>
      <c r="Q1657" s="116">
        <v>328.95</v>
      </c>
      <c r="R1657">
        <v>713935</v>
      </c>
    </row>
    <row r="1658" spans="1:18" x14ac:dyDescent="0.25">
      <c r="A1658" s="170">
        <v>44446</v>
      </c>
      <c r="B1658" s="116">
        <v>329.95</v>
      </c>
      <c r="C1658" s="116">
        <v>328.85</v>
      </c>
      <c r="D1658" s="116">
        <v>322.8</v>
      </c>
      <c r="E1658" s="116">
        <v>327.7</v>
      </c>
      <c r="F1658" s="116">
        <v>328.85</v>
      </c>
      <c r="G1658">
        <v>33737</v>
      </c>
      <c r="H1658" s="116"/>
      <c r="I1658" s="116"/>
      <c r="L1658" s="170">
        <v>44447</v>
      </c>
      <c r="M1658" s="116">
        <v>329.95</v>
      </c>
      <c r="N1658" s="116">
        <v>330.5</v>
      </c>
      <c r="O1658" s="116">
        <v>324.35000000000002</v>
      </c>
      <c r="P1658" s="116">
        <v>328.95</v>
      </c>
      <c r="Q1658" s="116">
        <v>329.95</v>
      </c>
      <c r="R1658">
        <v>611443</v>
      </c>
    </row>
    <row r="1659" spans="1:18" x14ac:dyDescent="0.25">
      <c r="A1659" s="170">
        <v>44447</v>
      </c>
      <c r="B1659" s="116">
        <v>330.45</v>
      </c>
      <c r="C1659" s="116">
        <v>329.7</v>
      </c>
      <c r="D1659" s="116">
        <v>324.39999999999998</v>
      </c>
      <c r="E1659" s="116">
        <v>329.1</v>
      </c>
      <c r="F1659" s="116">
        <v>329.7</v>
      </c>
      <c r="G1659">
        <v>32506</v>
      </c>
      <c r="H1659" s="116"/>
      <c r="I1659" s="116"/>
      <c r="L1659" s="170">
        <v>44448</v>
      </c>
      <c r="M1659" s="116">
        <v>329.45</v>
      </c>
      <c r="N1659" s="116">
        <v>332</v>
      </c>
      <c r="O1659" s="116">
        <v>327.25</v>
      </c>
      <c r="P1659" s="116">
        <v>327.25</v>
      </c>
      <c r="Q1659" s="116">
        <v>329.45</v>
      </c>
      <c r="R1659">
        <v>390563</v>
      </c>
    </row>
    <row r="1660" spans="1:18" x14ac:dyDescent="0.25">
      <c r="A1660" s="170">
        <v>44448</v>
      </c>
      <c r="B1660" s="116">
        <v>331.75</v>
      </c>
      <c r="C1660" s="116">
        <v>328.9</v>
      </c>
      <c r="D1660" s="116">
        <v>327.45</v>
      </c>
      <c r="E1660" s="116">
        <v>329</v>
      </c>
      <c r="F1660" s="116">
        <v>328.9</v>
      </c>
      <c r="G1660">
        <v>33633</v>
      </c>
      <c r="H1660" s="116"/>
      <c r="I1660" s="116"/>
      <c r="L1660" s="170">
        <v>44452</v>
      </c>
      <c r="M1660" s="116">
        <v>335.4</v>
      </c>
      <c r="N1660" s="116">
        <v>337.8</v>
      </c>
      <c r="O1660" s="116">
        <v>325.10000000000002</v>
      </c>
      <c r="P1660" s="116">
        <v>325.5</v>
      </c>
      <c r="Q1660" s="116">
        <v>335.4</v>
      </c>
      <c r="R1660">
        <v>1169181</v>
      </c>
    </row>
    <row r="1661" spans="1:18" x14ac:dyDescent="0.25">
      <c r="A1661" s="170">
        <v>44452</v>
      </c>
      <c r="B1661" s="116">
        <v>337.75</v>
      </c>
      <c r="C1661" s="116">
        <v>335.55</v>
      </c>
      <c r="D1661" s="116">
        <v>315</v>
      </c>
      <c r="E1661" s="116">
        <v>315</v>
      </c>
      <c r="F1661" s="116">
        <v>335.55</v>
      </c>
      <c r="G1661">
        <v>104848</v>
      </c>
      <c r="H1661" s="116"/>
      <c r="I1661" s="116"/>
      <c r="L1661" s="170">
        <v>44453</v>
      </c>
      <c r="M1661" s="116">
        <v>333</v>
      </c>
      <c r="N1661" s="116">
        <v>338.8</v>
      </c>
      <c r="O1661" s="116">
        <v>331.05</v>
      </c>
      <c r="P1661" s="116">
        <v>338</v>
      </c>
      <c r="Q1661" s="116">
        <v>333</v>
      </c>
      <c r="R1661">
        <v>571182</v>
      </c>
    </row>
    <row r="1662" spans="1:18" x14ac:dyDescent="0.25">
      <c r="A1662" s="170">
        <v>44453</v>
      </c>
      <c r="B1662" s="116">
        <v>338.65</v>
      </c>
      <c r="C1662" s="116">
        <v>332.55</v>
      </c>
      <c r="D1662" s="116">
        <v>331.15</v>
      </c>
      <c r="E1662" s="116">
        <v>336.9</v>
      </c>
      <c r="F1662" s="116">
        <v>332.55</v>
      </c>
      <c r="G1662">
        <v>74921</v>
      </c>
      <c r="H1662" s="116"/>
      <c r="I1662" s="116"/>
      <c r="L1662" s="170">
        <v>44454</v>
      </c>
      <c r="M1662" s="116">
        <v>334.45</v>
      </c>
      <c r="N1662" s="116">
        <v>335.9</v>
      </c>
      <c r="O1662" s="116">
        <v>330.5</v>
      </c>
      <c r="P1662" s="116">
        <v>333</v>
      </c>
      <c r="Q1662" s="116">
        <v>334.45</v>
      </c>
      <c r="R1662">
        <v>514511</v>
      </c>
    </row>
    <row r="1663" spans="1:18" x14ac:dyDescent="0.25">
      <c r="A1663" s="170">
        <v>44454</v>
      </c>
      <c r="B1663" s="116">
        <v>335.55</v>
      </c>
      <c r="C1663" s="116">
        <v>334.3</v>
      </c>
      <c r="D1663" s="116">
        <v>330.55</v>
      </c>
      <c r="E1663" s="116">
        <v>335.25</v>
      </c>
      <c r="F1663" s="116">
        <v>334.3</v>
      </c>
      <c r="G1663">
        <v>25344</v>
      </c>
      <c r="H1663" s="116"/>
      <c r="I1663" s="116"/>
      <c r="L1663" s="170">
        <v>44455</v>
      </c>
      <c r="M1663" s="116">
        <v>334.9</v>
      </c>
      <c r="N1663" s="116">
        <v>335.6</v>
      </c>
      <c r="O1663" s="116">
        <v>330.5</v>
      </c>
      <c r="P1663" s="116">
        <v>334.85</v>
      </c>
      <c r="Q1663" s="116">
        <v>334.9</v>
      </c>
      <c r="R1663">
        <v>487050</v>
      </c>
    </row>
    <row r="1664" spans="1:18" x14ac:dyDescent="0.25">
      <c r="A1664" s="170">
        <v>44455</v>
      </c>
      <c r="B1664" s="116">
        <v>335.5</v>
      </c>
      <c r="C1664" s="116">
        <v>334.75</v>
      </c>
      <c r="D1664" s="116">
        <v>330.45</v>
      </c>
      <c r="E1664" s="116">
        <v>331</v>
      </c>
      <c r="F1664" s="116">
        <v>334.75</v>
      </c>
      <c r="G1664">
        <v>29361</v>
      </c>
      <c r="H1664" s="116"/>
      <c r="I1664" s="116"/>
      <c r="L1664" s="170">
        <v>44456</v>
      </c>
      <c r="M1664" s="116">
        <v>334.75</v>
      </c>
      <c r="N1664" s="116">
        <v>335.5</v>
      </c>
      <c r="O1664" s="116">
        <v>328</v>
      </c>
      <c r="P1664" s="116">
        <v>334</v>
      </c>
      <c r="Q1664" s="116">
        <v>334.75</v>
      </c>
      <c r="R1664">
        <v>673375</v>
      </c>
    </row>
    <row r="1665" spans="1:18" x14ac:dyDescent="0.25">
      <c r="A1665" s="170">
        <v>44456</v>
      </c>
      <c r="B1665" s="116">
        <v>336.45</v>
      </c>
      <c r="C1665" s="116">
        <v>334.65</v>
      </c>
      <c r="D1665" s="116">
        <v>328.1</v>
      </c>
      <c r="E1665" s="116">
        <v>336.45</v>
      </c>
      <c r="F1665" s="116">
        <v>334.65</v>
      </c>
      <c r="G1665">
        <v>78874</v>
      </c>
      <c r="H1665" s="116"/>
      <c r="I1665" s="116"/>
      <c r="L1665" s="170">
        <v>44459</v>
      </c>
      <c r="M1665" s="116">
        <v>323.25</v>
      </c>
      <c r="N1665" s="116">
        <v>336.75</v>
      </c>
      <c r="O1665" s="116">
        <v>322</v>
      </c>
      <c r="P1665" s="116">
        <v>322.5</v>
      </c>
      <c r="Q1665" s="116">
        <v>323.25</v>
      </c>
      <c r="R1665">
        <v>989401</v>
      </c>
    </row>
    <row r="1666" spans="1:18" x14ac:dyDescent="0.25">
      <c r="A1666" s="170">
        <v>44459</v>
      </c>
      <c r="B1666" s="116">
        <v>336</v>
      </c>
      <c r="C1666" s="116">
        <v>323.5</v>
      </c>
      <c r="D1666" s="116">
        <v>322</v>
      </c>
      <c r="E1666" s="116">
        <v>326</v>
      </c>
      <c r="F1666" s="116">
        <v>323.5</v>
      </c>
      <c r="G1666">
        <v>136042</v>
      </c>
      <c r="H1666" s="116"/>
      <c r="I1666" s="116"/>
      <c r="L1666" s="170">
        <v>44460</v>
      </c>
      <c r="M1666" s="116">
        <v>318.60000000000002</v>
      </c>
      <c r="N1666" s="116">
        <v>324.39999999999998</v>
      </c>
      <c r="O1666" s="116">
        <v>312.3</v>
      </c>
      <c r="P1666" s="116">
        <v>324.10000000000002</v>
      </c>
      <c r="Q1666" s="116">
        <v>318.60000000000002</v>
      </c>
      <c r="R1666">
        <v>855536</v>
      </c>
    </row>
    <row r="1667" spans="1:18" x14ac:dyDescent="0.25">
      <c r="A1667" s="170">
        <v>44460</v>
      </c>
      <c r="B1667" s="116">
        <v>323.5</v>
      </c>
      <c r="C1667" s="116">
        <v>318.64999999999998</v>
      </c>
      <c r="D1667" s="116">
        <v>312.25</v>
      </c>
      <c r="E1667" s="116">
        <v>321.55</v>
      </c>
      <c r="F1667" s="116">
        <v>318.64999999999998</v>
      </c>
      <c r="G1667">
        <v>69831</v>
      </c>
      <c r="H1667" s="116"/>
      <c r="I1667" s="116"/>
      <c r="L1667" s="170">
        <v>44461</v>
      </c>
      <c r="M1667" s="116">
        <v>317.8</v>
      </c>
      <c r="N1667" s="116">
        <v>319.85000000000002</v>
      </c>
      <c r="O1667" s="116">
        <v>314.39999999999998</v>
      </c>
      <c r="P1667" s="116">
        <v>319.5</v>
      </c>
      <c r="Q1667" s="116">
        <v>317.8</v>
      </c>
      <c r="R1667">
        <v>975106</v>
      </c>
    </row>
    <row r="1668" spans="1:18" x14ac:dyDescent="0.25">
      <c r="A1668" s="170">
        <v>44461</v>
      </c>
      <c r="B1668" s="116">
        <v>319.75</v>
      </c>
      <c r="C1668" s="116">
        <v>317.45</v>
      </c>
      <c r="D1668" s="116">
        <v>314.35000000000002</v>
      </c>
      <c r="E1668" s="116">
        <v>315.5</v>
      </c>
      <c r="F1668" s="116">
        <v>317.45</v>
      </c>
      <c r="G1668">
        <v>53336</v>
      </c>
      <c r="H1668" s="116"/>
      <c r="I1668" s="116"/>
      <c r="L1668" s="170">
        <v>44462</v>
      </c>
      <c r="M1668" s="116">
        <v>322.55</v>
      </c>
      <c r="N1668" s="116">
        <v>324.55</v>
      </c>
      <c r="O1668" s="116">
        <v>319</v>
      </c>
      <c r="P1668" s="116">
        <v>321.89999999999998</v>
      </c>
      <c r="Q1668" s="116">
        <v>322.55</v>
      </c>
      <c r="R1668">
        <v>517633</v>
      </c>
    </row>
    <row r="1669" spans="1:18" x14ac:dyDescent="0.25">
      <c r="A1669" s="170">
        <v>44462</v>
      </c>
      <c r="B1669" s="116">
        <v>324.45</v>
      </c>
      <c r="C1669" s="116">
        <v>322.89999999999998</v>
      </c>
      <c r="D1669" s="116">
        <v>319.45</v>
      </c>
      <c r="E1669" s="116">
        <v>323.89999999999998</v>
      </c>
      <c r="F1669" s="116">
        <v>322.89999999999998</v>
      </c>
      <c r="G1669">
        <v>22824</v>
      </c>
      <c r="H1669" s="116"/>
      <c r="I1669" s="116"/>
      <c r="L1669" s="170">
        <v>44463</v>
      </c>
      <c r="M1669" s="116">
        <v>322.60000000000002</v>
      </c>
      <c r="N1669" s="116">
        <v>325.5</v>
      </c>
      <c r="O1669" s="116">
        <v>319.25</v>
      </c>
      <c r="P1669" s="116">
        <v>324</v>
      </c>
      <c r="Q1669" s="116">
        <v>322.60000000000002</v>
      </c>
      <c r="R1669">
        <v>768446</v>
      </c>
    </row>
    <row r="1670" spans="1:18" x14ac:dyDescent="0.25">
      <c r="A1670" s="170">
        <v>44463</v>
      </c>
      <c r="B1670" s="116">
        <v>325.8</v>
      </c>
      <c r="C1670" s="116">
        <v>322.7</v>
      </c>
      <c r="D1670" s="116">
        <v>319.2</v>
      </c>
      <c r="E1670" s="116">
        <v>322.10000000000002</v>
      </c>
      <c r="F1670" s="116">
        <v>322.7</v>
      </c>
      <c r="G1670">
        <v>70633</v>
      </c>
      <c r="H1670" s="116"/>
      <c r="I1670" s="116"/>
      <c r="L1670" s="170">
        <v>44466</v>
      </c>
      <c r="M1670" s="116">
        <v>321.75</v>
      </c>
      <c r="N1670" s="116">
        <v>324.10000000000002</v>
      </c>
      <c r="O1670" s="116">
        <v>318.64999999999998</v>
      </c>
      <c r="P1670" s="116">
        <v>322.60000000000002</v>
      </c>
      <c r="Q1670" s="116">
        <v>321.75</v>
      </c>
      <c r="R1670">
        <v>601771</v>
      </c>
    </row>
    <row r="1671" spans="1:18" x14ac:dyDescent="0.25">
      <c r="A1671" s="170">
        <v>44466</v>
      </c>
      <c r="B1671" s="116">
        <v>324.05</v>
      </c>
      <c r="C1671" s="116">
        <v>321.25</v>
      </c>
      <c r="D1671" s="116">
        <v>318.60000000000002</v>
      </c>
      <c r="E1671" s="116">
        <v>322.7</v>
      </c>
      <c r="F1671" s="116">
        <v>321.25</v>
      </c>
      <c r="G1671">
        <v>58762</v>
      </c>
      <c r="H1671" s="116"/>
      <c r="I1671" s="116"/>
      <c r="L1671" s="170">
        <v>44467</v>
      </c>
      <c r="M1671" s="116">
        <v>321.7</v>
      </c>
      <c r="N1671" s="116">
        <v>324.39999999999998</v>
      </c>
      <c r="O1671" s="116">
        <v>318.7</v>
      </c>
      <c r="P1671" s="116">
        <v>321</v>
      </c>
      <c r="Q1671" s="116">
        <v>321.7</v>
      </c>
      <c r="R1671">
        <v>626305</v>
      </c>
    </row>
    <row r="1672" spans="1:18" x14ac:dyDescent="0.25">
      <c r="A1672" s="170">
        <v>44467</v>
      </c>
      <c r="B1672" s="116">
        <v>324.55</v>
      </c>
      <c r="C1672" s="116">
        <v>321.8</v>
      </c>
      <c r="D1672" s="116">
        <v>318.7</v>
      </c>
      <c r="E1672" s="116">
        <v>322</v>
      </c>
      <c r="F1672" s="116">
        <v>321.8</v>
      </c>
      <c r="G1672">
        <v>19671</v>
      </c>
      <c r="H1672" s="116"/>
      <c r="I1672" s="116"/>
      <c r="L1672" s="170">
        <v>44468</v>
      </c>
      <c r="M1672" s="116">
        <v>321.85000000000002</v>
      </c>
      <c r="N1672" s="116">
        <v>324.64999999999998</v>
      </c>
      <c r="O1672" s="116">
        <v>318</v>
      </c>
      <c r="P1672" s="116">
        <v>320</v>
      </c>
      <c r="Q1672" s="116">
        <v>321.85000000000002</v>
      </c>
      <c r="R1672">
        <v>1613303</v>
      </c>
    </row>
    <row r="1673" spans="1:18" x14ac:dyDescent="0.25">
      <c r="A1673" s="170">
        <v>44468</v>
      </c>
      <c r="B1673" s="116">
        <v>324.3</v>
      </c>
      <c r="C1673" s="116">
        <v>321</v>
      </c>
      <c r="D1673" s="116">
        <v>318</v>
      </c>
      <c r="E1673" s="116">
        <v>318.10000000000002</v>
      </c>
      <c r="F1673" s="116">
        <v>321</v>
      </c>
      <c r="G1673">
        <v>40646</v>
      </c>
      <c r="H1673" s="116"/>
      <c r="I1673" s="116"/>
      <c r="L1673" s="170">
        <v>44469</v>
      </c>
      <c r="M1673" s="116">
        <v>311.60000000000002</v>
      </c>
      <c r="N1673" s="116">
        <v>321.39999999999998</v>
      </c>
      <c r="O1673" s="116">
        <v>310.10000000000002</v>
      </c>
      <c r="P1673" s="116">
        <v>321.39999999999998</v>
      </c>
      <c r="Q1673" s="116">
        <v>311.60000000000002</v>
      </c>
      <c r="R1673">
        <v>1915795</v>
      </c>
    </row>
    <row r="1674" spans="1:18" x14ac:dyDescent="0.25">
      <c r="A1674" s="170">
        <v>44469</v>
      </c>
      <c r="B1674" s="116">
        <v>321.3</v>
      </c>
      <c r="C1674" s="116">
        <v>311.45</v>
      </c>
      <c r="D1674" s="116">
        <v>310.5</v>
      </c>
      <c r="E1674" s="116">
        <v>321</v>
      </c>
      <c r="F1674" s="116">
        <v>311.45</v>
      </c>
      <c r="G1674">
        <v>104954</v>
      </c>
      <c r="H1674" s="116"/>
      <c r="I1674" s="116"/>
      <c r="L1674" s="170">
        <v>44470</v>
      </c>
      <c r="M1674" s="116">
        <v>306.14999999999998</v>
      </c>
      <c r="N1674" s="116">
        <v>314.5</v>
      </c>
      <c r="O1674" s="116">
        <v>305.39999999999998</v>
      </c>
      <c r="P1674" s="116">
        <v>311.5</v>
      </c>
      <c r="Q1674" s="116">
        <v>306.14999999999998</v>
      </c>
      <c r="R1674">
        <v>2042841</v>
      </c>
    </row>
    <row r="1675" spans="1:18" x14ac:dyDescent="0.25">
      <c r="A1675" s="170">
        <v>44470</v>
      </c>
      <c r="B1675" s="116">
        <v>314.55</v>
      </c>
      <c r="C1675" s="116">
        <v>306.14999999999998</v>
      </c>
      <c r="D1675" s="116">
        <v>305.60000000000002</v>
      </c>
      <c r="E1675" s="116">
        <v>313.5</v>
      </c>
      <c r="F1675" s="116">
        <v>306.14999999999998</v>
      </c>
      <c r="G1675">
        <v>119173</v>
      </c>
      <c r="H1675" s="116"/>
      <c r="I1675" s="116"/>
      <c r="L1675" s="170">
        <v>44473</v>
      </c>
      <c r="M1675" s="116">
        <v>309.75</v>
      </c>
      <c r="N1675" s="116">
        <v>313</v>
      </c>
      <c r="O1675" s="116">
        <v>306.8</v>
      </c>
      <c r="P1675" s="116">
        <v>308.85000000000002</v>
      </c>
      <c r="Q1675" s="116">
        <v>309.75</v>
      </c>
      <c r="R1675">
        <v>1438742</v>
      </c>
    </row>
    <row r="1676" spans="1:18" x14ac:dyDescent="0.25">
      <c r="A1676" s="170">
        <v>44473</v>
      </c>
      <c r="B1676" s="116">
        <v>321.89999999999998</v>
      </c>
      <c r="C1676" s="116">
        <v>311.8</v>
      </c>
      <c r="D1676" s="116">
        <v>307</v>
      </c>
      <c r="E1676" s="116">
        <v>310.7</v>
      </c>
      <c r="F1676" s="116">
        <v>311.8</v>
      </c>
      <c r="G1676">
        <v>88634</v>
      </c>
      <c r="H1676" s="116"/>
      <c r="I1676" s="116"/>
      <c r="L1676" s="170">
        <v>44474</v>
      </c>
      <c r="M1676" s="116">
        <v>312.05</v>
      </c>
      <c r="N1676" s="116">
        <v>315.95</v>
      </c>
      <c r="O1676" s="116">
        <v>311.55</v>
      </c>
      <c r="P1676" s="116">
        <v>311.55</v>
      </c>
      <c r="Q1676" s="116">
        <v>312.05</v>
      </c>
      <c r="R1676">
        <v>1387444</v>
      </c>
    </row>
    <row r="1677" spans="1:18" x14ac:dyDescent="0.25">
      <c r="A1677" s="170">
        <v>44474</v>
      </c>
      <c r="B1677" s="116">
        <v>315.75</v>
      </c>
      <c r="C1677" s="116">
        <v>312</v>
      </c>
      <c r="D1677" s="116">
        <v>311.39999999999998</v>
      </c>
      <c r="E1677" s="116">
        <v>312</v>
      </c>
      <c r="F1677" s="116">
        <v>312</v>
      </c>
      <c r="G1677">
        <v>142534</v>
      </c>
      <c r="H1677" s="116"/>
      <c r="I1677" s="116"/>
      <c r="L1677" s="170">
        <v>44475</v>
      </c>
      <c r="M1677" s="116">
        <v>314.64999999999998</v>
      </c>
      <c r="N1677" s="116">
        <v>315.60000000000002</v>
      </c>
      <c r="O1677" s="116">
        <v>311.75</v>
      </c>
      <c r="P1677" s="116">
        <v>314</v>
      </c>
      <c r="Q1677" s="116">
        <v>314.64999999999998</v>
      </c>
      <c r="R1677">
        <v>764014</v>
      </c>
    </row>
    <row r="1678" spans="1:18" x14ac:dyDescent="0.25">
      <c r="A1678" s="170">
        <v>44475</v>
      </c>
      <c r="B1678" s="116">
        <v>317.39999999999998</v>
      </c>
      <c r="C1678" s="116">
        <v>314.25</v>
      </c>
      <c r="D1678" s="116">
        <v>312</v>
      </c>
      <c r="E1678" s="116">
        <v>317.39999999999998</v>
      </c>
      <c r="F1678" s="116">
        <v>314.25</v>
      </c>
      <c r="G1678">
        <v>33969</v>
      </c>
      <c r="H1678" s="116"/>
      <c r="I1678" s="116"/>
      <c r="L1678" s="170">
        <v>44476</v>
      </c>
      <c r="M1678" s="116">
        <v>313.45</v>
      </c>
      <c r="N1678" s="116">
        <v>316.5</v>
      </c>
      <c r="O1678" s="116">
        <v>312.25</v>
      </c>
      <c r="P1678" s="116">
        <v>315.75</v>
      </c>
      <c r="Q1678" s="116">
        <v>313.45</v>
      </c>
      <c r="R1678">
        <v>664318</v>
      </c>
    </row>
    <row r="1679" spans="1:18" x14ac:dyDescent="0.25">
      <c r="A1679" s="170">
        <v>44476</v>
      </c>
      <c r="B1679" s="116">
        <v>317.95</v>
      </c>
      <c r="C1679" s="116">
        <v>314</v>
      </c>
      <c r="D1679" s="116">
        <v>312.25</v>
      </c>
      <c r="E1679" s="116">
        <v>317.95</v>
      </c>
      <c r="F1679" s="116">
        <v>314</v>
      </c>
      <c r="G1679">
        <v>27115</v>
      </c>
      <c r="H1679" s="116"/>
      <c r="I1679" s="116"/>
      <c r="L1679" s="170">
        <v>44477</v>
      </c>
      <c r="M1679" s="116">
        <v>315.45</v>
      </c>
      <c r="N1679" s="116">
        <v>317.5</v>
      </c>
      <c r="O1679" s="116">
        <v>314</v>
      </c>
      <c r="P1679" s="116">
        <v>316</v>
      </c>
      <c r="Q1679" s="116">
        <v>315.45</v>
      </c>
      <c r="R1679">
        <v>669127</v>
      </c>
    </row>
    <row r="1680" spans="1:18" x14ac:dyDescent="0.25">
      <c r="A1680" s="170">
        <v>44477</v>
      </c>
      <c r="B1680" s="116">
        <v>317.5</v>
      </c>
      <c r="C1680" s="116">
        <v>315.5</v>
      </c>
      <c r="D1680" s="116">
        <v>314</v>
      </c>
      <c r="E1680" s="116">
        <v>315.85000000000002</v>
      </c>
      <c r="F1680" s="116">
        <v>315.5</v>
      </c>
      <c r="G1680">
        <v>89662</v>
      </c>
      <c r="H1680" s="116"/>
      <c r="I1680" s="116"/>
      <c r="L1680" s="170">
        <v>44480</v>
      </c>
      <c r="M1680" s="116">
        <v>315.5</v>
      </c>
      <c r="N1680" s="116">
        <v>318.05</v>
      </c>
      <c r="O1680" s="116">
        <v>314.7</v>
      </c>
      <c r="P1680" s="116">
        <v>317</v>
      </c>
      <c r="Q1680" s="116">
        <v>315.5</v>
      </c>
      <c r="R1680">
        <v>629602</v>
      </c>
    </row>
    <row r="1681" spans="1:18" x14ac:dyDescent="0.25">
      <c r="A1681" s="170">
        <v>44480</v>
      </c>
      <c r="B1681" s="116">
        <v>318.39999999999998</v>
      </c>
      <c r="C1681" s="116">
        <v>315.55</v>
      </c>
      <c r="D1681" s="116">
        <v>314.45</v>
      </c>
      <c r="E1681" s="116">
        <v>318.39999999999998</v>
      </c>
      <c r="F1681" s="116">
        <v>315.55</v>
      </c>
      <c r="G1681">
        <v>83417</v>
      </c>
      <c r="H1681" s="116"/>
      <c r="I1681" s="116"/>
      <c r="L1681" s="170">
        <v>44481</v>
      </c>
      <c r="M1681" s="116">
        <v>318.75</v>
      </c>
      <c r="N1681" s="116">
        <v>319.95</v>
      </c>
      <c r="O1681" s="116">
        <v>313.14999999999998</v>
      </c>
      <c r="P1681" s="116">
        <v>315.95</v>
      </c>
      <c r="Q1681" s="116">
        <v>318.75</v>
      </c>
      <c r="R1681">
        <v>630240</v>
      </c>
    </row>
    <row r="1682" spans="1:18" x14ac:dyDescent="0.25">
      <c r="A1682" s="170">
        <v>44481</v>
      </c>
      <c r="B1682" s="116">
        <v>319.7</v>
      </c>
      <c r="C1682" s="116">
        <v>318.64999999999998</v>
      </c>
      <c r="D1682" s="116">
        <v>313.3</v>
      </c>
      <c r="E1682" s="116">
        <v>316.8</v>
      </c>
      <c r="F1682" s="116">
        <v>318.64999999999998</v>
      </c>
      <c r="G1682">
        <v>75175</v>
      </c>
      <c r="H1682" s="116"/>
      <c r="I1682" s="116"/>
      <c r="L1682" s="170">
        <v>44482</v>
      </c>
      <c r="M1682" s="116">
        <v>332.85</v>
      </c>
      <c r="N1682" s="116">
        <v>341</v>
      </c>
      <c r="O1682" s="116">
        <v>318.2</v>
      </c>
      <c r="P1682" s="116">
        <v>319.3</v>
      </c>
      <c r="Q1682" s="116">
        <v>332.85</v>
      </c>
      <c r="R1682">
        <v>3029449</v>
      </c>
    </row>
    <row r="1683" spans="1:18" x14ac:dyDescent="0.25">
      <c r="A1683" s="170">
        <v>44482</v>
      </c>
      <c r="B1683" s="116">
        <v>340.25</v>
      </c>
      <c r="C1683" s="116">
        <v>333.25</v>
      </c>
      <c r="D1683" s="116">
        <v>318.39999999999998</v>
      </c>
      <c r="E1683" s="116">
        <v>319.3</v>
      </c>
      <c r="F1683" s="116">
        <v>333.25</v>
      </c>
      <c r="G1683">
        <v>135960</v>
      </c>
      <c r="H1683" s="116"/>
      <c r="I1683" s="116"/>
      <c r="L1683" s="170">
        <v>44483</v>
      </c>
      <c r="M1683" s="116">
        <v>346.7</v>
      </c>
      <c r="N1683" s="116">
        <v>361</v>
      </c>
      <c r="O1683" s="116">
        <v>345</v>
      </c>
      <c r="P1683" s="116">
        <v>350</v>
      </c>
      <c r="Q1683" s="116">
        <v>346.7</v>
      </c>
      <c r="R1683">
        <v>9464918</v>
      </c>
    </row>
    <row r="1684" spans="1:18" x14ac:dyDescent="0.25">
      <c r="A1684" s="170">
        <v>44483</v>
      </c>
      <c r="B1684" s="116">
        <v>364.45</v>
      </c>
      <c r="C1684" s="116">
        <v>346.95</v>
      </c>
      <c r="D1684" s="116">
        <v>345.1</v>
      </c>
      <c r="E1684" s="116">
        <v>349.2</v>
      </c>
      <c r="F1684" s="116">
        <v>346.95</v>
      </c>
      <c r="G1684">
        <v>690444</v>
      </c>
      <c r="H1684" s="116"/>
      <c r="I1684" s="116"/>
      <c r="L1684" s="170">
        <v>44487</v>
      </c>
      <c r="M1684" s="116">
        <v>387.65</v>
      </c>
      <c r="N1684" s="116">
        <v>408.6</v>
      </c>
      <c r="O1684" s="116">
        <v>367.5</v>
      </c>
      <c r="P1684" s="116">
        <v>372</v>
      </c>
      <c r="Q1684" s="116">
        <v>387.65</v>
      </c>
      <c r="R1684">
        <v>8782614</v>
      </c>
    </row>
    <row r="1685" spans="1:18" x14ac:dyDescent="0.25">
      <c r="A1685" s="170">
        <v>44487</v>
      </c>
      <c r="B1685" s="116">
        <v>407.9</v>
      </c>
      <c r="C1685" s="116">
        <v>387.55</v>
      </c>
      <c r="D1685" s="116">
        <v>365</v>
      </c>
      <c r="E1685" s="116">
        <v>365.3</v>
      </c>
      <c r="F1685" s="116">
        <v>387.55</v>
      </c>
      <c r="G1685">
        <v>824701</v>
      </c>
      <c r="H1685" s="116"/>
      <c r="I1685" s="116"/>
      <c r="L1685" s="170">
        <v>44488</v>
      </c>
      <c r="M1685" s="116">
        <v>369.3</v>
      </c>
      <c r="N1685" s="116">
        <v>392.4</v>
      </c>
      <c r="O1685" s="116">
        <v>365</v>
      </c>
      <c r="P1685" s="116">
        <v>390.2</v>
      </c>
      <c r="Q1685" s="116">
        <v>369.3</v>
      </c>
      <c r="R1685">
        <v>2858310</v>
      </c>
    </row>
    <row r="1686" spans="1:18" x14ac:dyDescent="0.25">
      <c r="A1686" s="170">
        <v>44488</v>
      </c>
      <c r="B1686" s="116">
        <v>392.5</v>
      </c>
      <c r="C1686" s="116">
        <v>369.15</v>
      </c>
      <c r="D1686" s="116">
        <v>365</v>
      </c>
      <c r="E1686" s="116">
        <v>388.5</v>
      </c>
      <c r="F1686" s="116">
        <v>369.15</v>
      </c>
      <c r="G1686">
        <v>203601</v>
      </c>
      <c r="H1686" s="116"/>
      <c r="I1686" s="116"/>
      <c r="L1686" s="170">
        <v>44489</v>
      </c>
      <c r="M1686" s="116">
        <v>359.9</v>
      </c>
      <c r="N1686" s="116">
        <v>369</v>
      </c>
      <c r="O1686" s="116">
        <v>350.55</v>
      </c>
      <c r="P1686" s="116">
        <v>369</v>
      </c>
      <c r="Q1686" s="116">
        <v>359.9</v>
      </c>
      <c r="R1686">
        <v>1981348</v>
      </c>
    </row>
    <row r="1687" spans="1:18" x14ac:dyDescent="0.25">
      <c r="A1687" s="170">
        <v>44489</v>
      </c>
      <c r="B1687" s="116">
        <v>371.8</v>
      </c>
      <c r="C1687" s="116">
        <v>359.7</v>
      </c>
      <c r="D1687" s="116">
        <v>350.65</v>
      </c>
      <c r="E1687" s="116">
        <v>371.8</v>
      </c>
      <c r="F1687" s="116">
        <v>359.7</v>
      </c>
      <c r="G1687">
        <v>98957</v>
      </c>
      <c r="H1687" s="116"/>
      <c r="I1687" s="116"/>
      <c r="L1687" s="170">
        <v>44490</v>
      </c>
      <c r="M1687" s="116">
        <v>342.05</v>
      </c>
      <c r="N1687" s="116">
        <v>369.7</v>
      </c>
      <c r="O1687" s="116">
        <v>340</v>
      </c>
      <c r="P1687" s="116">
        <v>364</v>
      </c>
      <c r="Q1687" s="116">
        <v>342.05</v>
      </c>
      <c r="R1687">
        <v>2189697</v>
      </c>
    </row>
    <row r="1688" spans="1:18" x14ac:dyDescent="0.25">
      <c r="A1688" s="170">
        <v>44490</v>
      </c>
      <c r="B1688" s="116">
        <v>369.65</v>
      </c>
      <c r="C1688" s="116">
        <v>342.7</v>
      </c>
      <c r="D1688" s="116">
        <v>340</v>
      </c>
      <c r="E1688" s="116">
        <v>360</v>
      </c>
      <c r="F1688" s="116">
        <v>342.7</v>
      </c>
      <c r="G1688">
        <v>97927</v>
      </c>
      <c r="H1688" s="116"/>
      <c r="I1688" s="116"/>
      <c r="L1688" s="170">
        <v>44491</v>
      </c>
      <c r="M1688" s="116">
        <v>322.35000000000002</v>
      </c>
      <c r="N1688" s="116">
        <v>347.45</v>
      </c>
      <c r="O1688" s="116">
        <v>315.7</v>
      </c>
      <c r="P1688" s="116">
        <v>343.9</v>
      </c>
      <c r="Q1688" s="116">
        <v>322.35000000000002</v>
      </c>
      <c r="R1688">
        <v>3860723</v>
      </c>
    </row>
    <row r="1689" spans="1:18" x14ac:dyDescent="0.25">
      <c r="A1689" s="170">
        <v>44491</v>
      </c>
      <c r="B1689" s="116">
        <v>347.65</v>
      </c>
      <c r="C1689" s="116">
        <v>322.39999999999998</v>
      </c>
      <c r="D1689" s="116">
        <v>315.75</v>
      </c>
      <c r="E1689" s="116">
        <v>342.55</v>
      </c>
      <c r="F1689" s="116">
        <v>322.39999999999998</v>
      </c>
      <c r="G1689">
        <v>349283</v>
      </c>
      <c r="H1689" s="116"/>
      <c r="I1689" s="116"/>
      <c r="L1689" s="170">
        <v>44494</v>
      </c>
      <c r="M1689" s="116">
        <v>323</v>
      </c>
      <c r="N1689" s="116">
        <v>331.4</v>
      </c>
      <c r="O1689" s="116">
        <v>317.10000000000002</v>
      </c>
      <c r="P1689" s="116">
        <v>322.35000000000002</v>
      </c>
      <c r="Q1689" s="116">
        <v>323</v>
      </c>
      <c r="R1689">
        <v>1885013</v>
      </c>
    </row>
    <row r="1690" spans="1:18" x14ac:dyDescent="0.25">
      <c r="A1690" s="170">
        <v>44494</v>
      </c>
      <c r="B1690" s="116">
        <v>331.25</v>
      </c>
      <c r="C1690" s="116">
        <v>323.14999999999998</v>
      </c>
      <c r="D1690" s="116">
        <v>317.05</v>
      </c>
      <c r="E1690" s="116">
        <v>323.05</v>
      </c>
      <c r="F1690" s="116">
        <v>323.14999999999998</v>
      </c>
      <c r="G1690">
        <v>162799</v>
      </c>
      <c r="H1690" s="116"/>
      <c r="I1690" s="116"/>
      <c r="L1690" s="170">
        <v>44495</v>
      </c>
      <c r="M1690" s="116">
        <v>323.2</v>
      </c>
      <c r="N1690" s="116">
        <v>327.5</v>
      </c>
      <c r="O1690" s="116">
        <v>322</v>
      </c>
      <c r="P1690" s="116">
        <v>323.95</v>
      </c>
      <c r="Q1690" s="116">
        <v>323.2</v>
      </c>
      <c r="R1690">
        <v>828215</v>
      </c>
    </row>
    <row r="1691" spans="1:18" x14ac:dyDescent="0.25">
      <c r="A1691" s="170">
        <v>44495</v>
      </c>
      <c r="B1691" s="116">
        <v>327.2</v>
      </c>
      <c r="C1691" s="116">
        <v>323.35000000000002</v>
      </c>
      <c r="D1691" s="116">
        <v>322</v>
      </c>
      <c r="E1691" s="116">
        <v>327</v>
      </c>
      <c r="F1691" s="116">
        <v>323.35000000000002</v>
      </c>
      <c r="G1691">
        <v>66308</v>
      </c>
      <c r="H1691" s="116"/>
      <c r="I1691" s="116"/>
      <c r="L1691" s="170">
        <v>44496</v>
      </c>
      <c r="M1691" s="116">
        <v>323.85000000000002</v>
      </c>
      <c r="N1691" s="116">
        <v>330.95</v>
      </c>
      <c r="O1691" s="116">
        <v>321</v>
      </c>
      <c r="P1691" s="116">
        <v>324</v>
      </c>
      <c r="Q1691" s="116">
        <v>323.85000000000002</v>
      </c>
      <c r="R1691">
        <v>1132806</v>
      </c>
    </row>
    <row r="1692" spans="1:18" x14ac:dyDescent="0.25">
      <c r="A1692" s="170">
        <v>44496</v>
      </c>
      <c r="B1692" s="116">
        <v>330.6</v>
      </c>
      <c r="C1692" s="116">
        <v>323.89999999999998</v>
      </c>
      <c r="D1692" s="116">
        <v>321.2</v>
      </c>
      <c r="E1692" s="116">
        <v>327</v>
      </c>
      <c r="F1692" s="116">
        <v>323.89999999999998</v>
      </c>
      <c r="G1692">
        <v>107789</v>
      </c>
      <c r="H1692" s="116"/>
      <c r="I1692" s="116"/>
      <c r="L1692" s="170">
        <v>44497</v>
      </c>
      <c r="M1692" s="116">
        <v>317.64999999999998</v>
      </c>
      <c r="N1692" s="116">
        <v>322.60000000000002</v>
      </c>
      <c r="O1692" s="116">
        <v>316.10000000000002</v>
      </c>
      <c r="P1692" s="116">
        <v>322.60000000000002</v>
      </c>
      <c r="Q1692" s="116">
        <v>317.64999999999998</v>
      </c>
      <c r="R1692">
        <v>824077</v>
      </c>
    </row>
    <row r="1693" spans="1:18" x14ac:dyDescent="0.25">
      <c r="A1693" s="170">
        <v>44497</v>
      </c>
      <c r="B1693" s="116">
        <v>324.95</v>
      </c>
      <c r="C1693" s="116">
        <v>317.7</v>
      </c>
      <c r="D1693" s="116">
        <v>316.2</v>
      </c>
      <c r="E1693" s="116">
        <v>324.95</v>
      </c>
      <c r="F1693" s="116">
        <v>317.7</v>
      </c>
      <c r="G1693">
        <v>88011</v>
      </c>
      <c r="H1693" s="116"/>
      <c r="I1693" s="116"/>
      <c r="L1693" s="170">
        <v>44498</v>
      </c>
      <c r="M1693" s="116">
        <v>311.35000000000002</v>
      </c>
      <c r="N1693" s="116">
        <v>318.89999999999998</v>
      </c>
      <c r="O1693" s="116">
        <v>309.75</v>
      </c>
      <c r="P1693" s="116">
        <v>318</v>
      </c>
      <c r="Q1693" s="116">
        <v>311.35000000000002</v>
      </c>
      <c r="R1693">
        <v>851684</v>
      </c>
    </row>
    <row r="1694" spans="1:18" x14ac:dyDescent="0.25">
      <c r="A1694" s="170">
        <v>44498</v>
      </c>
      <c r="B1694" s="116">
        <v>318.2</v>
      </c>
      <c r="C1694" s="116">
        <v>311.45</v>
      </c>
      <c r="D1694" s="116">
        <v>310</v>
      </c>
      <c r="E1694" s="116">
        <v>316.10000000000002</v>
      </c>
      <c r="F1694" s="116">
        <v>311.45</v>
      </c>
      <c r="G1694">
        <v>90082</v>
      </c>
      <c r="H1694" s="116"/>
      <c r="I1694" s="116"/>
      <c r="L1694" s="170">
        <v>44501</v>
      </c>
      <c r="M1694" s="116">
        <v>315.45</v>
      </c>
      <c r="N1694" s="116">
        <v>318.8</v>
      </c>
      <c r="O1694" s="116">
        <v>312.55</v>
      </c>
      <c r="P1694" s="116">
        <v>314.89999999999998</v>
      </c>
      <c r="Q1694" s="116">
        <v>315.45</v>
      </c>
      <c r="R1694">
        <v>545266</v>
      </c>
    </row>
    <row r="1695" spans="1:18" x14ac:dyDescent="0.25">
      <c r="A1695" s="170">
        <v>44501</v>
      </c>
      <c r="B1695" s="116">
        <v>319.14999999999998</v>
      </c>
      <c r="C1695" s="116">
        <v>315.45</v>
      </c>
      <c r="D1695" s="116">
        <v>312.3</v>
      </c>
      <c r="E1695" s="116">
        <v>312.3</v>
      </c>
      <c r="F1695" s="116">
        <v>315.45</v>
      </c>
      <c r="G1695">
        <v>43231</v>
      </c>
      <c r="H1695" s="116"/>
      <c r="I1695" s="116"/>
      <c r="L1695" s="170">
        <v>44502</v>
      </c>
      <c r="M1695" s="116">
        <v>314.8</v>
      </c>
      <c r="N1695" s="116">
        <v>318.5</v>
      </c>
      <c r="O1695" s="116">
        <v>314.10000000000002</v>
      </c>
      <c r="P1695" s="116">
        <v>318.14999999999998</v>
      </c>
      <c r="Q1695" s="116">
        <v>314.8</v>
      </c>
      <c r="R1695">
        <v>490874</v>
      </c>
    </row>
    <row r="1696" spans="1:18" x14ac:dyDescent="0.25">
      <c r="A1696" s="170">
        <v>44502</v>
      </c>
      <c r="B1696" s="116">
        <v>318.10000000000002</v>
      </c>
      <c r="C1696" s="116">
        <v>314.55</v>
      </c>
      <c r="D1696" s="116">
        <v>314</v>
      </c>
      <c r="E1696" s="116">
        <v>318</v>
      </c>
      <c r="F1696" s="116">
        <v>314.55</v>
      </c>
      <c r="G1696">
        <v>23874</v>
      </c>
      <c r="H1696" s="116"/>
      <c r="I1696" s="116"/>
      <c r="L1696" s="170">
        <v>44503</v>
      </c>
      <c r="M1696" s="116">
        <v>315.75</v>
      </c>
      <c r="N1696" s="116">
        <v>317.45</v>
      </c>
      <c r="O1696" s="116">
        <v>313.39999999999998</v>
      </c>
      <c r="P1696" s="116">
        <v>315.5</v>
      </c>
      <c r="Q1696" s="116">
        <v>315.75</v>
      </c>
      <c r="R1696">
        <v>441908</v>
      </c>
    </row>
    <row r="1697" spans="1:18" x14ac:dyDescent="0.25">
      <c r="A1697" s="170">
        <v>44503</v>
      </c>
      <c r="B1697" s="116">
        <v>317.5</v>
      </c>
      <c r="C1697" s="116">
        <v>315.45</v>
      </c>
      <c r="D1697" s="116">
        <v>313.45</v>
      </c>
      <c r="E1697" s="116">
        <v>315</v>
      </c>
      <c r="F1697" s="116">
        <v>315.45</v>
      </c>
      <c r="G1697">
        <v>28797</v>
      </c>
      <c r="H1697" s="116"/>
      <c r="I1697" s="116"/>
      <c r="L1697" s="170">
        <v>44504</v>
      </c>
      <c r="M1697" s="116">
        <v>318.55</v>
      </c>
      <c r="N1697" s="116">
        <v>319.5</v>
      </c>
      <c r="O1697" s="116">
        <v>317.10000000000002</v>
      </c>
      <c r="P1697" s="116">
        <v>318</v>
      </c>
      <c r="Q1697" s="116">
        <v>318.55</v>
      </c>
      <c r="R1697">
        <v>141805</v>
      </c>
    </row>
    <row r="1698" spans="1:18" x14ac:dyDescent="0.25">
      <c r="A1698" s="170">
        <v>44504</v>
      </c>
      <c r="B1698" s="116">
        <v>319.95</v>
      </c>
      <c r="C1698" s="116">
        <v>318.85000000000002</v>
      </c>
      <c r="D1698" s="116">
        <v>317.55</v>
      </c>
      <c r="E1698" s="116">
        <v>319.95</v>
      </c>
      <c r="F1698" s="116">
        <v>318.85000000000002</v>
      </c>
      <c r="G1698">
        <v>11327</v>
      </c>
      <c r="H1698" s="116"/>
      <c r="I1698" s="116"/>
      <c r="L1698" s="170">
        <v>44508</v>
      </c>
      <c r="M1698" s="116">
        <v>320.64999999999998</v>
      </c>
      <c r="N1698" s="116">
        <v>323</v>
      </c>
      <c r="O1698" s="116">
        <v>315.75</v>
      </c>
      <c r="P1698" s="116">
        <v>321</v>
      </c>
      <c r="Q1698" s="116">
        <v>320.64999999999998</v>
      </c>
      <c r="R1698">
        <v>443669</v>
      </c>
    </row>
    <row r="1699" spans="1:18" x14ac:dyDescent="0.25">
      <c r="A1699" s="170">
        <v>44508</v>
      </c>
      <c r="B1699" s="116">
        <v>323</v>
      </c>
      <c r="C1699" s="116">
        <v>320.45</v>
      </c>
      <c r="D1699" s="116">
        <v>315.89999999999998</v>
      </c>
      <c r="E1699" s="116">
        <v>321</v>
      </c>
      <c r="F1699" s="116">
        <v>320.45</v>
      </c>
      <c r="G1699">
        <v>52461</v>
      </c>
      <c r="H1699" s="116"/>
      <c r="I1699" s="116"/>
      <c r="L1699" s="170">
        <v>44509</v>
      </c>
      <c r="M1699" s="116">
        <v>317</v>
      </c>
      <c r="N1699" s="116">
        <v>322.75</v>
      </c>
      <c r="O1699" s="116">
        <v>315.25</v>
      </c>
      <c r="P1699" s="116">
        <v>322.3</v>
      </c>
      <c r="Q1699" s="116">
        <v>317</v>
      </c>
      <c r="R1699">
        <v>711829</v>
      </c>
    </row>
    <row r="1700" spans="1:18" x14ac:dyDescent="0.25">
      <c r="A1700" s="170">
        <v>44509</v>
      </c>
      <c r="B1700" s="116">
        <v>323</v>
      </c>
      <c r="C1700" s="116">
        <v>317.10000000000002</v>
      </c>
      <c r="D1700" s="116">
        <v>315.45</v>
      </c>
      <c r="E1700" s="116">
        <v>323</v>
      </c>
      <c r="F1700" s="116">
        <v>317.10000000000002</v>
      </c>
      <c r="G1700">
        <v>29542</v>
      </c>
      <c r="H1700" s="116"/>
      <c r="I1700" s="116"/>
      <c r="L1700" s="170">
        <v>44510</v>
      </c>
      <c r="M1700" s="116">
        <v>316.25</v>
      </c>
      <c r="N1700" s="116">
        <v>318.5</v>
      </c>
      <c r="O1700" s="116">
        <v>315</v>
      </c>
      <c r="P1700" s="116">
        <v>317</v>
      </c>
      <c r="Q1700" s="116">
        <v>316.25</v>
      </c>
      <c r="R1700">
        <v>424368</v>
      </c>
    </row>
    <row r="1701" spans="1:18" x14ac:dyDescent="0.25">
      <c r="A1701" s="170">
        <v>44510</v>
      </c>
      <c r="B1701" s="116">
        <v>318.5</v>
      </c>
      <c r="C1701" s="116">
        <v>316.25</v>
      </c>
      <c r="D1701" s="116">
        <v>315.55</v>
      </c>
      <c r="E1701" s="116">
        <v>317.10000000000002</v>
      </c>
      <c r="F1701" s="116">
        <v>316.25</v>
      </c>
      <c r="G1701">
        <v>83670</v>
      </c>
      <c r="H1701" s="116"/>
      <c r="I1701" s="116"/>
      <c r="L1701" s="170">
        <v>44511</v>
      </c>
      <c r="M1701" s="116">
        <v>319.5</v>
      </c>
      <c r="N1701" s="116">
        <v>323.89999999999998</v>
      </c>
      <c r="O1701" s="116">
        <v>317</v>
      </c>
      <c r="P1701" s="116">
        <v>317</v>
      </c>
      <c r="Q1701" s="116">
        <v>319.5</v>
      </c>
      <c r="R1701">
        <v>1091464</v>
      </c>
    </row>
    <row r="1702" spans="1:18" x14ac:dyDescent="0.25">
      <c r="A1702" s="170">
        <v>44511</v>
      </c>
      <c r="B1702" s="116">
        <v>323.45</v>
      </c>
      <c r="C1702" s="116">
        <v>319.5</v>
      </c>
      <c r="D1702" s="116">
        <v>317.3</v>
      </c>
      <c r="E1702" s="116">
        <v>319</v>
      </c>
      <c r="F1702" s="116">
        <v>319.5</v>
      </c>
      <c r="G1702">
        <v>85222</v>
      </c>
      <c r="H1702" s="116"/>
      <c r="I1702" s="116"/>
      <c r="L1702" s="170">
        <v>44512</v>
      </c>
      <c r="M1702" s="116">
        <v>324.05</v>
      </c>
      <c r="N1702" s="116">
        <v>324.95</v>
      </c>
      <c r="O1702" s="116">
        <v>318.75</v>
      </c>
      <c r="P1702" s="116">
        <v>321.5</v>
      </c>
      <c r="Q1702" s="116">
        <v>324.05</v>
      </c>
      <c r="R1702">
        <v>760512</v>
      </c>
    </row>
    <row r="1703" spans="1:18" x14ac:dyDescent="0.25">
      <c r="A1703" s="170">
        <v>44512</v>
      </c>
      <c r="B1703" s="116">
        <v>324.85000000000002</v>
      </c>
      <c r="C1703" s="116">
        <v>324</v>
      </c>
      <c r="D1703" s="116">
        <v>319</v>
      </c>
      <c r="E1703" s="116">
        <v>322.89999999999998</v>
      </c>
      <c r="F1703" s="116">
        <v>324</v>
      </c>
      <c r="G1703">
        <v>91849</v>
      </c>
      <c r="H1703" s="116"/>
      <c r="I1703" s="116"/>
      <c r="L1703" s="170">
        <v>44515</v>
      </c>
      <c r="M1703" s="116">
        <v>328.45</v>
      </c>
      <c r="N1703" s="116">
        <v>330</v>
      </c>
      <c r="O1703" s="116">
        <v>319.25</v>
      </c>
      <c r="P1703" s="116">
        <v>323</v>
      </c>
      <c r="Q1703" s="116">
        <v>328.45</v>
      </c>
      <c r="R1703">
        <v>1464062</v>
      </c>
    </row>
    <row r="1704" spans="1:18" x14ac:dyDescent="0.25">
      <c r="A1704" s="170">
        <v>44515</v>
      </c>
      <c r="B1704" s="116">
        <v>329.8</v>
      </c>
      <c r="C1704" s="116">
        <v>328.25</v>
      </c>
      <c r="D1704" s="116">
        <v>318.60000000000002</v>
      </c>
      <c r="E1704" s="116">
        <v>324.95</v>
      </c>
      <c r="F1704" s="116">
        <v>328.25</v>
      </c>
      <c r="G1704">
        <v>73184</v>
      </c>
      <c r="H1704" s="116"/>
      <c r="I1704" s="116"/>
      <c r="L1704" s="170">
        <v>44516</v>
      </c>
      <c r="M1704" s="116">
        <v>329.55</v>
      </c>
      <c r="N1704" s="116">
        <v>331.15</v>
      </c>
      <c r="O1704" s="116">
        <v>324.60000000000002</v>
      </c>
      <c r="P1704" s="116">
        <v>328.45</v>
      </c>
      <c r="Q1704" s="116">
        <v>329.55</v>
      </c>
      <c r="R1704">
        <v>902964</v>
      </c>
    </row>
    <row r="1705" spans="1:18" x14ac:dyDescent="0.25">
      <c r="A1705" s="170">
        <v>44516</v>
      </c>
      <c r="B1705" s="116">
        <v>331.05</v>
      </c>
      <c r="C1705" s="116">
        <v>329.75</v>
      </c>
      <c r="D1705" s="116">
        <v>324.60000000000002</v>
      </c>
      <c r="E1705" s="116">
        <v>330</v>
      </c>
      <c r="F1705" s="116">
        <v>329.75</v>
      </c>
      <c r="G1705">
        <v>46618</v>
      </c>
      <c r="H1705" s="116"/>
      <c r="I1705" s="116"/>
      <c r="L1705" s="170">
        <v>44517</v>
      </c>
      <c r="M1705" s="116">
        <v>332.65</v>
      </c>
      <c r="N1705" s="116">
        <v>334</v>
      </c>
      <c r="O1705" s="116">
        <v>328</v>
      </c>
      <c r="P1705" s="116">
        <v>330</v>
      </c>
      <c r="Q1705" s="116">
        <v>332.65</v>
      </c>
      <c r="R1705">
        <v>870444</v>
      </c>
    </row>
    <row r="1706" spans="1:18" x14ac:dyDescent="0.25">
      <c r="A1706" s="170">
        <v>44517</v>
      </c>
      <c r="B1706" s="116">
        <v>334</v>
      </c>
      <c r="C1706" s="116">
        <v>332.65</v>
      </c>
      <c r="D1706" s="116">
        <v>327.85</v>
      </c>
      <c r="E1706" s="116">
        <v>329.95</v>
      </c>
      <c r="F1706" s="116">
        <v>332.65</v>
      </c>
      <c r="G1706">
        <v>99215</v>
      </c>
      <c r="H1706" s="116"/>
      <c r="I1706" s="116"/>
      <c r="L1706" s="170">
        <v>44518</v>
      </c>
      <c r="M1706" s="116">
        <v>322.95</v>
      </c>
      <c r="N1706" s="116">
        <v>345</v>
      </c>
      <c r="O1706" s="116">
        <v>319.8</v>
      </c>
      <c r="P1706" s="116">
        <v>336.05</v>
      </c>
      <c r="Q1706" s="116">
        <v>322.95</v>
      </c>
      <c r="R1706">
        <v>9391701</v>
      </c>
    </row>
    <row r="1707" spans="1:18" x14ac:dyDescent="0.25">
      <c r="A1707" s="170">
        <v>44518</v>
      </c>
      <c r="B1707" s="116">
        <v>344.9</v>
      </c>
      <c r="C1707" s="116">
        <v>323.10000000000002</v>
      </c>
      <c r="D1707" s="116">
        <v>319.64999999999998</v>
      </c>
      <c r="E1707" s="116">
        <v>335</v>
      </c>
      <c r="F1707" s="116">
        <v>323.10000000000002</v>
      </c>
      <c r="G1707">
        <v>564948</v>
      </c>
      <c r="H1707" s="116"/>
      <c r="I1707" s="116"/>
      <c r="L1707" s="170">
        <v>44522</v>
      </c>
      <c r="M1707" s="116">
        <v>318.8</v>
      </c>
      <c r="N1707" s="116">
        <v>323</v>
      </c>
      <c r="O1707" s="116">
        <v>310.95</v>
      </c>
      <c r="P1707" s="116">
        <v>310.95</v>
      </c>
      <c r="Q1707" s="116">
        <v>318.8</v>
      </c>
      <c r="R1707">
        <v>1309404</v>
      </c>
    </row>
    <row r="1708" spans="1:18" x14ac:dyDescent="0.25">
      <c r="A1708" s="170">
        <v>44522</v>
      </c>
      <c r="B1708" s="116">
        <v>322.14999999999998</v>
      </c>
      <c r="C1708" s="116">
        <v>318.7</v>
      </c>
      <c r="D1708" s="116">
        <v>312.35000000000002</v>
      </c>
      <c r="E1708" s="116">
        <v>319</v>
      </c>
      <c r="F1708" s="116">
        <v>318.7</v>
      </c>
      <c r="G1708">
        <v>138216</v>
      </c>
      <c r="H1708" s="116"/>
      <c r="I1708" s="116"/>
      <c r="L1708" s="170">
        <v>44523</v>
      </c>
      <c r="M1708" s="116">
        <v>326.7</v>
      </c>
      <c r="N1708" s="116">
        <v>329.45</v>
      </c>
      <c r="O1708" s="116">
        <v>316.55</v>
      </c>
      <c r="P1708" s="116">
        <v>326.05</v>
      </c>
      <c r="Q1708" s="116">
        <v>326.7</v>
      </c>
      <c r="R1708">
        <v>1738021</v>
      </c>
    </row>
    <row r="1709" spans="1:18" x14ac:dyDescent="0.25">
      <c r="A1709" s="170">
        <v>44523</v>
      </c>
      <c r="B1709" s="116">
        <v>329</v>
      </c>
      <c r="C1709" s="116">
        <v>326.7</v>
      </c>
      <c r="D1709" s="116">
        <v>316.55</v>
      </c>
      <c r="E1709" s="116">
        <v>325</v>
      </c>
      <c r="F1709" s="116">
        <v>326.7</v>
      </c>
      <c r="G1709">
        <v>94472</v>
      </c>
      <c r="H1709" s="116"/>
      <c r="I1709" s="116"/>
      <c r="L1709" s="170">
        <v>44524</v>
      </c>
      <c r="M1709" s="116">
        <v>330.25</v>
      </c>
      <c r="N1709" s="116">
        <v>331.6</v>
      </c>
      <c r="O1709" s="116">
        <v>325.35000000000002</v>
      </c>
      <c r="P1709" s="116">
        <v>329</v>
      </c>
      <c r="Q1709" s="116">
        <v>330.25</v>
      </c>
      <c r="R1709">
        <v>736909</v>
      </c>
    </row>
    <row r="1710" spans="1:18" x14ac:dyDescent="0.25">
      <c r="A1710" s="170">
        <v>44524</v>
      </c>
      <c r="B1710" s="116">
        <v>331.4</v>
      </c>
      <c r="C1710" s="116">
        <v>330.05</v>
      </c>
      <c r="D1710" s="116">
        <v>325.35000000000002</v>
      </c>
      <c r="E1710" s="116">
        <v>330</v>
      </c>
      <c r="F1710" s="116">
        <v>330.05</v>
      </c>
      <c r="G1710">
        <v>64360</v>
      </c>
      <c r="H1710" s="116"/>
      <c r="I1710" s="116"/>
      <c r="L1710" s="170">
        <v>44525</v>
      </c>
      <c r="M1710" s="116">
        <v>331.65</v>
      </c>
      <c r="N1710" s="116">
        <v>335</v>
      </c>
      <c r="O1710" s="116">
        <v>326</v>
      </c>
      <c r="P1710" s="116">
        <v>330.25</v>
      </c>
      <c r="Q1710" s="116">
        <v>331.65</v>
      </c>
      <c r="R1710">
        <v>755057</v>
      </c>
    </row>
    <row r="1711" spans="1:18" x14ac:dyDescent="0.25">
      <c r="A1711" s="170">
        <v>44525</v>
      </c>
      <c r="B1711" s="116">
        <v>334.95</v>
      </c>
      <c r="C1711" s="116">
        <v>331.5</v>
      </c>
      <c r="D1711" s="116">
        <v>326.10000000000002</v>
      </c>
      <c r="E1711" s="116">
        <v>326.10000000000002</v>
      </c>
      <c r="F1711" s="116">
        <v>331.5</v>
      </c>
      <c r="G1711">
        <v>38497</v>
      </c>
      <c r="H1711" s="116"/>
      <c r="I1711" s="116"/>
      <c r="L1711" s="170">
        <v>44526</v>
      </c>
      <c r="M1711" s="116">
        <v>330.3</v>
      </c>
      <c r="N1711" s="116">
        <v>334</v>
      </c>
      <c r="O1711" s="116">
        <v>324</v>
      </c>
      <c r="P1711" s="116">
        <v>330</v>
      </c>
      <c r="Q1711" s="116">
        <v>330.3</v>
      </c>
      <c r="R1711">
        <v>1380003</v>
      </c>
    </row>
    <row r="1712" spans="1:18" x14ac:dyDescent="0.25">
      <c r="A1712" s="170">
        <v>44526</v>
      </c>
      <c r="B1712" s="116">
        <v>333.8</v>
      </c>
      <c r="C1712" s="116">
        <v>329.85</v>
      </c>
      <c r="D1712" s="116">
        <v>324</v>
      </c>
      <c r="E1712" s="116">
        <v>331.5</v>
      </c>
      <c r="F1712" s="116">
        <v>329.85</v>
      </c>
      <c r="G1712">
        <v>63058</v>
      </c>
      <c r="H1712" s="116"/>
      <c r="I1712" s="116"/>
      <c r="L1712" s="170">
        <v>44529</v>
      </c>
      <c r="M1712" s="116">
        <v>329.85</v>
      </c>
      <c r="N1712" s="116">
        <v>331.9</v>
      </c>
      <c r="O1712" s="116">
        <v>322.5</v>
      </c>
      <c r="P1712" s="116">
        <v>330.9</v>
      </c>
      <c r="Q1712" s="116">
        <v>329.85</v>
      </c>
      <c r="R1712">
        <v>921006</v>
      </c>
    </row>
    <row r="1713" spans="1:18" x14ac:dyDescent="0.25">
      <c r="A1713" s="170">
        <v>44529</v>
      </c>
      <c r="B1713" s="116">
        <v>332.8</v>
      </c>
      <c r="C1713" s="116">
        <v>329.75</v>
      </c>
      <c r="D1713" s="116">
        <v>322.55</v>
      </c>
      <c r="E1713" s="116">
        <v>332.8</v>
      </c>
      <c r="F1713" s="116">
        <v>329.75</v>
      </c>
      <c r="G1713">
        <v>82054</v>
      </c>
      <c r="H1713" s="116"/>
      <c r="I1713" s="116"/>
      <c r="L1713" s="170">
        <v>44530</v>
      </c>
      <c r="M1713" s="116">
        <v>333.05</v>
      </c>
      <c r="N1713" s="116">
        <v>333.9</v>
      </c>
      <c r="O1713" s="116">
        <v>325.95</v>
      </c>
      <c r="P1713" s="116">
        <v>329</v>
      </c>
      <c r="Q1713" s="116">
        <v>333.05</v>
      </c>
      <c r="R1713">
        <v>1291897</v>
      </c>
    </row>
    <row r="1714" spans="1:18" x14ac:dyDescent="0.25">
      <c r="A1714" s="170">
        <v>44530</v>
      </c>
      <c r="B1714" s="116">
        <v>333.9</v>
      </c>
      <c r="C1714" s="116">
        <v>333</v>
      </c>
      <c r="D1714" s="116">
        <v>326</v>
      </c>
      <c r="E1714" s="116">
        <v>330</v>
      </c>
      <c r="F1714" s="116">
        <v>333</v>
      </c>
      <c r="G1714">
        <v>112536</v>
      </c>
      <c r="H1714" s="116"/>
      <c r="I1714" s="116"/>
      <c r="L1714" s="170">
        <v>44531</v>
      </c>
      <c r="M1714" s="116">
        <v>332.6</v>
      </c>
      <c r="N1714" s="116">
        <v>335.8</v>
      </c>
      <c r="O1714" s="116">
        <v>328.8</v>
      </c>
      <c r="P1714" s="116">
        <v>333.4</v>
      </c>
      <c r="Q1714" s="116">
        <v>332.6</v>
      </c>
      <c r="R1714">
        <v>630349</v>
      </c>
    </row>
    <row r="1715" spans="1:18" x14ac:dyDescent="0.25">
      <c r="A1715" s="170">
        <v>44531</v>
      </c>
      <c r="B1715" s="116">
        <v>335.4</v>
      </c>
      <c r="C1715" s="116">
        <v>332.45</v>
      </c>
      <c r="D1715" s="116">
        <v>329</v>
      </c>
      <c r="E1715" s="116">
        <v>334.4</v>
      </c>
      <c r="F1715" s="116">
        <v>332.45</v>
      </c>
      <c r="G1715">
        <v>29491</v>
      </c>
      <c r="H1715" s="116"/>
      <c r="I1715" s="116"/>
      <c r="L1715" s="170">
        <v>44532</v>
      </c>
      <c r="M1715" s="116">
        <v>333.3</v>
      </c>
      <c r="N1715" s="116">
        <v>334.85</v>
      </c>
      <c r="O1715" s="116">
        <v>329.05</v>
      </c>
      <c r="P1715" s="116">
        <v>330</v>
      </c>
      <c r="Q1715" s="116">
        <v>333.3</v>
      </c>
      <c r="R1715">
        <v>490104</v>
      </c>
    </row>
    <row r="1716" spans="1:18" x14ac:dyDescent="0.25">
      <c r="A1716" s="170">
        <v>44532</v>
      </c>
      <c r="B1716" s="116">
        <v>334.65</v>
      </c>
      <c r="C1716" s="116">
        <v>333.15</v>
      </c>
      <c r="D1716" s="116">
        <v>329.3</v>
      </c>
      <c r="E1716" s="116">
        <v>332.9</v>
      </c>
      <c r="F1716" s="116">
        <v>333.15</v>
      </c>
      <c r="G1716">
        <v>20646</v>
      </c>
      <c r="H1716" s="116"/>
      <c r="I1716" s="116"/>
      <c r="L1716" s="170">
        <v>44533</v>
      </c>
      <c r="M1716" s="116">
        <v>347.65</v>
      </c>
      <c r="N1716" s="116">
        <v>350</v>
      </c>
      <c r="O1716" s="116">
        <v>340.05</v>
      </c>
      <c r="P1716" s="116">
        <v>345.1</v>
      </c>
      <c r="Q1716" s="116">
        <v>347.65</v>
      </c>
      <c r="R1716">
        <v>3532515</v>
      </c>
    </row>
    <row r="1717" spans="1:18" x14ac:dyDescent="0.25">
      <c r="A1717" s="170">
        <v>44533</v>
      </c>
      <c r="B1717" s="116">
        <v>350</v>
      </c>
      <c r="C1717" s="116">
        <v>347.5</v>
      </c>
      <c r="D1717" s="116">
        <v>339.55</v>
      </c>
      <c r="E1717" s="116">
        <v>343.2</v>
      </c>
      <c r="F1717" s="116">
        <v>347.5</v>
      </c>
      <c r="G1717">
        <v>157229</v>
      </c>
      <c r="H1717" s="116"/>
      <c r="I1717" s="116"/>
      <c r="L1717" s="170">
        <v>44536</v>
      </c>
      <c r="M1717" s="116">
        <v>349</v>
      </c>
      <c r="N1717" s="116">
        <v>352.7</v>
      </c>
      <c r="O1717" s="116">
        <v>345.6</v>
      </c>
      <c r="P1717" s="116">
        <v>351.45</v>
      </c>
      <c r="Q1717" s="116">
        <v>349</v>
      </c>
      <c r="R1717">
        <v>1984752</v>
      </c>
    </row>
    <row r="1718" spans="1:18" x14ac:dyDescent="0.25">
      <c r="A1718" s="170">
        <v>44536</v>
      </c>
      <c r="B1718" s="116">
        <v>352.35</v>
      </c>
      <c r="C1718" s="116">
        <v>348.8</v>
      </c>
      <c r="D1718" s="116">
        <v>345.85</v>
      </c>
      <c r="E1718" s="116">
        <v>351.1</v>
      </c>
      <c r="F1718" s="116">
        <v>348.8</v>
      </c>
      <c r="G1718">
        <v>106881</v>
      </c>
      <c r="H1718" s="116"/>
      <c r="I1718" s="116"/>
      <c r="L1718" s="170">
        <v>44537</v>
      </c>
      <c r="M1718" s="116">
        <v>353.6</v>
      </c>
      <c r="N1718" s="116">
        <v>355</v>
      </c>
      <c r="O1718" s="116">
        <v>350.55</v>
      </c>
      <c r="P1718" s="116">
        <v>354</v>
      </c>
      <c r="Q1718" s="116">
        <v>353.6</v>
      </c>
      <c r="R1718">
        <v>1291881</v>
      </c>
    </row>
    <row r="1719" spans="1:18" x14ac:dyDescent="0.25">
      <c r="A1719" s="170">
        <v>44537</v>
      </c>
      <c r="B1719" s="116">
        <v>355</v>
      </c>
      <c r="C1719" s="116">
        <v>353.45</v>
      </c>
      <c r="D1719" s="116">
        <v>350.85</v>
      </c>
      <c r="E1719" s="116">
        <v>354.45</v>
      </c>
      <c r="F1719" s="116">
        <v>353.45</v>
      </c>
      <c r="G1719">
        <v>123417</v>
      </c>
      <c r="H1719" s="116"/>
      <c r="I1719" s="116"/>
      <c r="L1719" s="170">
        <v>44538</v>
      </c>
      <c r="M1719" s="116">
        <v>361.75</v>
      </c>
      <c r="N1719" s="116">
        <v>363.75</v>
      </c>
      <c r="O1719" s="116">
        <v>355.2</v>
      </c>
      <c r="P1719" s="116">
        <v>357</v>
      </c>
      <c r="Q1719" s="116">
        <v>361.75</v>
      </c>
      <c r="R1719">
        <v>4226137</v>
      </c>
    </row>
    <row r="1720" spans="1:18" x14ac:dyDescent="0.25">
      <c r="A1720" s="170">
        <v>44538</v>
      </c>
      <c r="B1720" s="116">
        <v>363.95</v>
      </c>
      <c r="C1720" s="116">
        <v>361.8</v>
      </c>
      <c r="D1720" s="116">
        <v>355.35</v>
      </c>
      <c r="E1720" s="116">
        <v>355.9</v>
      </c>
      <c r="F1720" s="116">
        <v>361.8</v>
      </c>
      <c r="G1720">
        <v>192014</v>
      </c>
      <c r="H1720" s="116"/>
      <c r="I1720" s="116"/>
      <c r="L1720" s="170">
        <v>44539</v>
      </c>
      <c r="M1720" s="116">
        <v>367.2</v>
      </c>
      <c r="N1720" s="116">
        <v>368.35</v>
      </c>
      <c r="O1720" s="116">
        <v>363.6</v>
      </c>
      <c r="P1720" s="116">
        <v>364.55</v>
      </c>
      <c r="Q1720" s="116">
        <v>367.2</v>
      </c>
      <c r="R1720">
        <v>2019400</v>
      </c>
    </row>
    <row r="1721" spans="1:18" x14ac:dyDescent="0.25">
      <c r="A1721" s="170">
        <v>44539</v>
      </c>
      <c r="B1721" s="116">
        <v>367.95</v>
      </c>
      <c r="C1721" s="116">
        <v>367.05</v>
      </c>
      <c r="D1721" s="116">
        <v>363.45</v>
      </c>
      <c r="E1721" s="116">
        <v>365</v>
      </c>
      <c r="F1721" s="116">
        <v>367.05</v>
      </c>
      <c r="G1721">
        <v>189696</v>
      </c>
      <c r="H1721" s="116"/>
      <c r="I1721" s="116"/>
      <c r="L1721" s="170">
        <v>44540</v>
      </c>
      <c r="M1721" s="116">
        <v>365.45</v>
      </c>
      <c r="N1721" s="116">
        <v>368.25</v>
      </c>
      <c r="O1721" s="116">
        <v>363.3</v>
      </c>
      <c r="P1721" s="116">
        <v>368</v>
      </c>
      <c r="Q1721" s="116">
        <v>365.45</v>
      </c>
      <c r="R1721">
        <v>1345835</v>
      </c>
    </row>
    <row r="1722" spans="1:18" x14ac:dyDescent="0.25">
      <c r="A1722" s="170">
        <v>44540</v>
      </c>
      <c r="B1722" s="116">
        <v>370</v>
      </c>
      <c r="C1722" s="116">
        <v>365.55</v>
      </c>
      <c r="D1722" s="116">
        <v>363.5</v>
      </c>
      <c r="E1722" s="116">
        <v>370</v>
      </c>
      <c r="F1722" s="116">
        <v>365.55</v>
      </c>
      <c r="G1722">
        <v>105554</v>
      </c>
      <c r="H1722" s="116"/>
      <c r="I1722" s="116"/>
      <c r="L1722" s="170">
        <v>44543</v>
      </c>
      <c r="M1722" s="116">
        <v>367.95</v>
      </c>
      <c r="N1722" s="116">
        <v>369.85</v>
      </c>
      <c r="O1722" s="116">
        <v>364.4</v>
      </c>
      <c r="P1722" s="116">
        <v>369.8</v>
      </c>
      <c r="Q1722" s="116">
        <v>367.95</v>
      </c>
      <c r="R1722">
        <v>1464889</v>
      </c>
    </row>
    <row r="1723" spans="1:18" x14ac:dyDescent="0.25">
      <c r="A1723" s="170">
        <v>44543</v>
      </c>
      <c r="B1723" s="116">
        <v>369.6</v>
      </c>
      <c r="C1723" s="116">
        <v>367.85</v>
      </c>
      <c r="D1723" s="116">
        <v>364.5</v>
      </c>
      <c r="E1723" s="116">
        <v>368.5</v>
      </c>
      <c r="F1723" s="116">
        <v>367.85</v>
      </c>
      <c r="G1723">
        <v>231483</v>
      </c>
      <c r="H1723" s="116"/>
      <c r="I1723" s="116"/>
      <c r="L1723" s="170">
        <v>44544</v>
      </c>
      <c r="M1723" s="116">
        <v>338.6</v>
      </c>
      <c r="N1723" s="116">
        <v>352.05</v>
      </c>
      <c r="O1723" s="116">
        <v>333.15</v>
      </c>
      <c r="P1723" s="116">
        <v>349.8</v>
      </c>
      <c r="Q1723" s="116">
        <v>338.6</v>
      </c>
      <c r="R1723">
        <v>2717685</v>
      </c>
    </row>
    <row r="1724" spans="1:18" x14ac:dyDescent="0.25">
      <c r="A1724" s="170">
        <v>44544</v>
      </c>
      <c r="B1724" s="116">
        <v>352.05</v>
      </c>
      <c r="C1724" s="116">
        <v>338.75</v>
      </c>
      <c r="D1724" s="116">
        <v>333.15</v>
      </c>
      <c r="E1724" s="116">
        <v>349.8</v>
      </c>
      <c r="F1724" s="116">
        <v>338.75</v>
      </c>
      <c r="G1724">
        <v>107217</v>
      </c>
      <c r="H1724" s="116"/>
      <c r="I1724" s="116"/>
      <c r="L1724" s="170">
        <v>44545</v>
      </c>
      <c r="M1724" s="116">
        <v>333</v>
      </c>
      <c r="N1724" s="116">
        <v>341.9</v>
      </c>
      <c r="O1724" s="116">
        <v>332</v>
      </c>
      <c r="P1724" s="116">
        <v>339.95</v>
      </c>
      <c r="Q1724" s="116">
        <v>333</v>
      </c>
      <c r="R1724">
        <v>873355</v>
      </c>
    </row>
    <row r="1725" spans="1:18" x14ac:dyDescent="0.25">
      <c r="A1725" s="170">
        <v>44545</v>
      </c>
      <c r="B1725" s="116">
        <v>341.5</v>
      </c>
      <c r="C1725" s="116">
        <v>333</v>
      </c>
      <c r="D1725" s="116">
        <v>332</v>
      </c>
      <c r="E1725" s="116">
        <v>338.7</v>
      </c>
      <c r="F1725" s="116">
        <v>333</v>
      </c>
      <c r="G1725">
        <v>92750</v>
      </c>
      <c r="H1725" s="116"/>
      <c r="I1725" s="116"/>
      <c r="L1725" s="170">
        <v>44546</v>
      </c>
      <c r="M1725" s="116">
        <v>323.8</v>
      </c>
      <c r="N1725" s="116">
        <v>335</v>
      </c>
      <c r="O1725" s="116">
        <v>323</v>
      </c>
      <c r="P1725" s="116">
        <v>333</v>
      </c>
      <c r="Q1725" s="116">
        <v>323.8</v>
      </c>
      <c r="R1725">
        <v>1180628</v>
      </c>
    </row>
    <row r="1726" spans="1:18" x14ac:dyDescent="0.25">
      <c r="A1726" s="170">
        <v>44546</v>
      </c>
      <c r="B1726" s="116">
        <v>334.9</v>
      </c>
      <c r="C1726" s="116">
        <v>324</v>
      </c>
      <c r="D1726" s="116">
        <v>323.2</v>
      </c>
      <c r="E1726" s="116">
        <v>331.65</v>
      </c>
      <c r="F1726" s="116">
        <v>324</v>
      </c>
      <c r="G1726">
        <v>125449</v>
      </c>
      <c r="H1726" s="116"/>
      <c r="I1726" s="116"/>
      <c r="L1726" s="170">
        <v>44547</v>
      </c>
      <c r="M1726" s="116">
        <v>313.39999999999998</v>
      </c>
      <c r="N1726" s="116">
        <v>327.5</v>
      </c>
      <c r="O1726" s="116">
        <v>311.5</v>
      </c>
      <c r="P1726" s="116">
        <v>325.55</v>
      </c>
      <c r="Q1726" s="116">
        <v>313.39999999999998</v>
      </c>
      <c r="R1726">
        <v>1424154</v>
      </c>
    </row>
    <row r="1727" spans="1:18" x14ac:dyDescent="0.25">
      <c r="A1727" s="170">
        <v>44547</v>
      </c>
      <c r="B1727" s="116">
        <v>328.5</v>
      </c>
      <c r="C1727" s="116">
        <v>313.35000000000002</v>
      </c>
      <c r="D1727" s="116">
        <v>311.5</v>
      </c>
      <c r="E1727" s="116">
        <v>328.5</v>
      </c>
      <c r="F1727" s="116">
        <v>313.35000000000002</v>
      </c>
      <c r="G1727">
        <v>110136</v>
      </c>
      <c r="H1727" s="116"/>
      <c r="I1727" s="116"/>
      <c r="L1727" s="170">
        <v>44550</v>
      </c>
      <c r="M1727" s="116">
        <v>310.89999999999998</v>
      </c>
      <c r="N1727" s="116">
        <v>313.39999999999998</v>
      </c>
      <c r="O1727" s="116">
        <v>305.75</v>
      </c>
      <c r="P1727" s="116">
        <v>313.39999999999998</v>
      </c>
      <c r="Q1727" s="116">
        <v>310.89999999999998</v>
      </c>
      <c r="R1727">
        <v>933224</v>
      </c>
    </row>
    <row r="1728" spans="1:18" x14ac:dyDescent="0.25">
      <c r="A1728" s="170">
        <v>44550</v>
      </c>
      <c r="B1728" s="116">
        <v>312.85000000000002</v>
      </c>
      <c r="C1728" s="116">
        <v>310.75</v>
      </c>
      <c r="D1728" s="116">
        <v>306</v>
      </c>
      <c r="E1728" s="116">
        <v>312.85000000000002</v>
      </c>
      <c r="F1728" s="116">
        <v>310.75</v>
      </c>
      <c r="G1728">
        <v>67639</v>
      </c>
      <c r="H1728" s="116"/>
      <c r="I1728" s="116"/>
      <c r="L1728" s="170">
        <v>44551</v>
      </c>
      <c r="M1728" s="116">
        <v>312.85000000000002</v>
      </c>
      <c r="N1728" s="116">
        <v>319.5</v>
      </c>
      <c r="O1728" s="116">
        <v>310.55</v>
      </c>
      <c r="P1728" s="116">
        <v>310.55</v>
      </c>
      <c r="Q1728" s="116">
        <v>312.85000000000002</v>
      </c>
      <c r="R1728">
        <v>658526</v>
      </c>
    </row>
    <row r="1729" spans="1:18" x14ac:dyDescent="0.25">
      <c r="A1729" s="170">
        <v>44551</v>
      </c>
      <c r="B1729" s="116">
        <v>319.3</v>
      </c>
      <c r="C1729" s="116">
        <v>313.14999999999998</v>
      </c>
      <c r="D1729" s="116">
        <v>311</v>
      </c>
      <c r="E1729" s="116">
        <v>311</v>
      </c>
      <c r="F1729" s="116">
        <v>313.14999999999998</v>
      </c>
      <c r="G1729">
        <v>56271</v>
      </c>
      <c r="H1729" s="116"/>
      <c r="I1729" s="116"/>
      <c r="L1729" s="170">
        <v>44552</v>
      </c>
      <c r="M1729" s="116">
        <v>312.14999999999998</v>
      </c>
      <c r="N1729" s="116">
        <v>316.64999999999998</v>
      </c>
      <c r="O1729" s="116">
        <v>309.14999999999998</v>
      </c>
      <c r="P1729" s="116">
        <v>314.3</v>
      </c>
      <c r="Q1729" s="116">
        <v>312.14999999999998</v>
      </c>
      <c r="R1729">
        <v>696814</v>
      </c>
    </row>
    <row r="1730" spans="1:18" x14ac:dyDescent="0.25">
      <c r="A1730" s="170">
        <v>44552</v>
      </c>
      <c r="B1730" s="116">
        <v>318.45</v>
      </c>
      <c r="C1730" s="116">
        <v>312.3</v>
      </c>
      <c r="D1730" s="116">
        <v>309.2</v>
      </c>
      <c r="E1730" s="116">
        <v>318.45</v>
      </c>
      <c r="F1730" s="116">
        <v>312.3</v>
      </c>
      <c r="G1730">
        <v>68548</v>
      </c>
      <c r="H1730" s="116"/>
      <c r="I1730" s="116"/>
      <c r="L1730" s="170">
        <v>44553</v>
      </c>
      <c r="M1730" s="116">
        <v>315.05</v>
      </c>
      <c r="N1730" s="116">
        <v>319.35000000000002</v>
      </c>
      <c r="O1730" s="116">
        <v>313</v>
      </c>
      <c r="P1730" s="116">
        <v>315.95</v>
      </c>
      <c r="Q1730" s="116">
        <v>315.05</v>
      </c>
      <c r="R1730">
        <v>649236</v>
      </c>
    </row>
    <row r="1731" spans="1:18" x14ac:dyDescent="0.25">
      <c r="A1731" s="170">
        <v>44553</v>
      </c>
      <c r="B1731" s="116">
        <v>319.39999999999998</v>
      </c>
      <c r="C1731" s="116">
        <v>315.10000000000002</v>
      </c>
      <c r="D1731" s="116">
        <v>313.39999999999998</v>
      </c>
      <c r="E1731" s="116">
        <v>316.45</v>
      </c>
      <c r="F1731" s="116">
        <v>315.10000000000002</v>
      </c>
      <c r="G1731">
        <v>68501</v>
      </c>
      <c r="H1731" s="116"/>
      <c r="I1731" s="116"/>
      <c r="L1731" s="170">
        <v>44554</v>
      </c>
      <c r="M1731" s="116">
        <v>313.64999999999998</v>
      </c>
      <c r="N1731" s="116">
        <v>317.89999999999998</v>
      </c>
      <c r="O1731" s="116">
        <v>312.3</v>
      </c>
      <c r="P1731" s="116">
        <v>317.5</v>
      </c>
      <c r="Q1731" s="116">
        <v>313.64999999999998</v>
      </c>
      <c r="R1731">
        <v>368237</v>
      </c>
    </row>
    <row r="1732" spans="1:18" x14ac:dyDescent="0.25">
      <c r="A1732" s="170">
        <v>44554</v>
      </c>
      <c r="B1732" s="116">
        <v>319.39999999999998</v>
      </c>
      <c r="C1732" s="116">
        <v>313.64999999999998</v>
      </c>
      <c r="D1732" s="116">
        <v>312.25</v>
      </c>
      <c r="E1732" s="116">
        <v>319.39999999999998</v>
      </c>
      <c r="F1732" s="116">
        <v>313.64999999999998</v>
      </c>
      <c r="G1732">
        <v>59395</v>
      </c>
      <c r="H1732" s="116"/>
      <c r="I1732" s="116"/>
      <c r="L1732" s="170">
        <v>44557</v>
      </c>
      <c r="M1732" s="116">
        <v>315.45</v>
      </c>
      <c r="N1732" s="116">
        <v>316.5</v>
      </c>
      <c r="O1732" s="116">
        <v>310.8</v>
      </c>
      <c r="P1732" s="116">
        <v>313.60000000000002</v>
      </c>
      <c r="Q1732" s="116">
        <v>315.45</v>
      </c>
      <c r="R1732">
        <v>381503</v>
      </c>
    </row>
    <row r="1733" spans="1:18" x14ac:dyDescent="0.25">
      <c r="A1733" s="170">
        <v>44557</v>
      </c>
      <c r="B1733" s="116">
        <v>316.45</v>
      </c>
      <c r="C1733" s="116">
        <v>315.60000000000002</v>
      </c>
      <c r="D1733" s="116">
        <v>310.60000000000002</v>
      </c>
      <c r="E1733" s="116">
        <v>313</v>
      </c>
      <c r="F1733" s="116">
        <v>315.60000000000002</v>
      </c>
      <c r="G1733">
        <v>43280</v>
      </c>
      <c r="H1733" s="116"/>
      <c r="I1733" s="116"/>
      <c r="L1733" s="170">
        <v>44558</v>
      </c>
      <c r="M1733" s="116">
        <v>317</v>
      </c>
      <c r="N1733" s="116">
        <v>318</v>
      </c>
      <c r="O1733" s="116">
        <v>316</v>
      </c>
      <c r="P1733" s="116">
        <v>317</v>
      </c>
      <c r="Q1733" s="116">
        <v>317</v>
      </c>
      <c r="R1733">
        <v>244343</v>
      </c>
    </row>
    <row r="1734" spans="1:18" x14ac:dyDescent="0.25">
      <c r="A1734" s="170">
        <v>44558</v>
      </c>
      <c r="B1734" s="116">
        <v>318</v>
      </c>
      <c r="C1734" s="116">
        <v>317</v>
      </c>
      <c r="D1734" s="116">
        <v>315.64999999999998</v>
      </c>
      <c r="E1734" s="116">
        <v>315.64999999999998</v>
      </c>
      <c r="F1734" s="116">
        <v>317</v>
      </c>
      <c r="G1734">
        <v>36597</v>
      </c>
      <c r="H1734" s="116"/>
      <c r="I1734" s="116"/>
      <c r="L1734" s="170">
        <v>44559</v>
      </c>
      <c r="M1734" s="116">
        <v>315.7</v>
      </c>
      <c r="N1734" s="116">
        <v>320.3</v>
      </c>
      <c r="O1734" s="116">
        <v>315.05</v>
      </c>
      <c r="P1734" s="116">
        <v>318.8</v>
      </c>
      <c r="Q1734" s="116">
        <v>315.7</v>
      </c>
      <c r="R1734">
        <v>362907</v>
      </c>
    </row>
    <row r="1735" spans="1:18" x14ac:dyDescent="0.25">
      <c r="A1735" s="170">
        <v>44559</v>
      </c>
      <c r="B1735" s="116">
        <v>320.35000000000002</v>
      </c>
      <c r="C1735" s="116">
        <v>315.7</v>
      </c>
      <c r="D1735" s="116">
        <v>315</v>
      </c>
      <c r="E1735" s="116">
        <v>318.75</v>
      </c>
      <c r="F1735" s="116">
        <v>315.7</v>
      </c>
      <c r="G1735">
        <v>42972</v>
      </c>
      <c r="H1735" s="116"/>
      <c r="I1735" s="116"/>
      <c r="L1735" s="170">
        <v>44560</v>
      </c>
      <c r="M1735" s="116">
        <v>315.64999999999998</v>
      </c>
      <c r="N1735" s="116">
        <v>318</v>
      </c>
      <c r="O1735" s="116">
        <v>315</v>
      </c>
      <c r="P1735" s="116">
        <v>315.7</v>
      </c>
      <c r="Q1735" s="116">
        <v>315.64999999999998</v>
      </c>
      <c r="R1735">
        <v>220544</v>
      </c>
    </row>
    <row r="1736" spans="1:18" x14ac:dyDescent="0.25">
      <c r="A1736" s="170">
        <v>44560</v>
      </c>
      <c r="B1736" s="116">
        <v>318</v>
      </c>
      <c r="C1736" s="116">
        <v>315.64999999999998</v>
      </c>
      <c r="D1736" s="116">
        <v>315</v>
      </c>
      <c r="E1736" s="116">
        <v>316</v>
      </c>
      <c r="F1736" s="116">
        <v>315.64999999999998</v>
      </c>
      <c r="G1736">
        <v>30440</v>
      </c>
      <c r="H1736" s="116"/>
      <c r="I1736" s="116"/>
      <c r="L1736" s="170">
        <v>44561</v>
      </c>
      <c r="M1736" s="116">
        <v>316.8</v>
      </c>
      <c r="N1736" s="116">
        <v>318.35000000000002</v>
      </c>
      <c r="O1736" s="116">
        <v>316.05</v>
      </c>
      <c r="P1736" s="116">
        <v>317</v>
      </c>
      <c r="Q1736" s="116">
        <v>316.8</v>
      </c>
      <c r="R1736">
        <v>262845</v>
      </c>
    </row>
    <row r="1737" spans="1:18" x14ac:dyDescent="0.25">
      <c r="A1737" s="170">
        <v>44561</v>
      </c>
      <c r="B1737" s="116">
        <v>318</v>
      </c>
      <c r="C1737" s="116">
        <v>316.8</v>
      </c>
      <c r="D1737" s="116">
        <v>316.25</v>
      </c>
      <c r="E1737" s="116">
        <v>317</v>
      </c>
      <c r="F1737" s="116">
        <v>316.8</v>
      </c>
      <c r="G1737">
        <v>43451</v>
      </c>
      <c r="H1737" s="116"/>
      <c r="I1737" s="116"/>
      <c r="L1737" s="170">
        <v>44564</v>
      </c>
      <c r="M1737" s="116">
        <v>319.60000000000002</v>
      </c>
      <c r="N1737" s="116">
        <v>320</v>
      </c>
      <c r="O1737" s="116">
        <v>316.85000000000002</v>
      </c>
      <c r="P1737" s="116">
        <v>316.95</v>
      </c>
      <c r="Q1737" s="116">
        <v>319.60000000000002</v>
      </c>
      <c r="R1737">
        <v>297955</v>
      </c>
    </row>
    <row r="1738" spans="1:18" x14ac:dyDescent="0.25">
      <c r="A1738" s="170">
        <v>44564</v>
      </c>
      <c r="B1738" s="116">
        <v>320</v>
      </c>
      <c r="C1738" s="116">
        <v>319.60000000000002</v>
      </c>
      <c r="D1738" s="116">
        <v>317.05</v>
      </c>
      <c r="E1738" s="116">
        <v>318</v>
      </c>
      <c r="F1738" s="116">
        <v>319.60000000000002</v>
      </c>
      <c r="G1738">
        <v>47158</v>
      </c>
      <c r="H1738" s="116"/>
      <c r="I1738" s="116"/>
      <c r="L1738" s="170">
        <v>44565</v>
      </c>
      <c r="M1738" s="116">
        <v>330.55</v>
      </c>
      <c r="N1738" s="116">
        <v>334.5</v>
      </c>
      <c r="O1738" s="116">
        <v>326.5</v>
      </c>
      <c r="P1738" s="116">
        <v>331.7</v>
      </c>
      <c r="Q1738" s="116">
        <v>330.55</v>
      </c>
      <c r="R1738">
        <v>2498082</v>
      </c>
    </row>
    <row r="1739" spans="1:18" x14ac:dyDescent="0.25">
      <c r="A1739" s="170">
        <v>44565</v>
      </c>
      <c r="B1739" s="116">
        <v>334.1</v>
      </c>
      <c r="C1739" s="116">
        <v>331.2</v>
      </c>
      <c r="D1739" s="116">
        <v>325.10000000000002</v>
      </c>
      <c r="E1739" s="116">
        <v>325.10000000000002</v>
      </c>
      <c r="F1739" s="116">
        <v>331.2</v>
      </c>
      <c r="G1739">
        <v>133163</v>
      </c>
      <c r="H1739" s="116"/>
      <c r="I1739" s="116"/>
      <c r="L1739" s="170">
        <v>44566</v>
      </c>
      <c r="M1739" s="116">
        <v>331.95</v>
      </c>
      <c r="N1739" s="116">
        <v>333.2</v>
      </c>
      <c r="O1739" s="116">
        <v>326.10000000000002</v>
      </c>
      <c r="P1739" s="116">
        <v>329.8</v>
      </c>
      <c r="Q1739" s="116">
        <v>331.95</v>
      </c>
      <c r="R1739">
        <v>565040</v>
      </c>
    </row>
    <row r="1740" spans="1:18" x14ac:dyDescent="0.25">
      <c r="A1740" s="170">
        <v>44566</v>
      </c>
      <c r="B1740" s="116">
        <v>333</v>
      </c>
      <c r="C1740" s="116">
        <v>331.7</v>
      </c>
      <c r="D1740" s="116">
        <v>326.14999999999998</v>
      </c>
      <c r="E1740" s="116">
        <v>326.14999999999998</v>
      </c>
      <c r="F1740" s="116">
        <v>331.7</v>
      </c>
      <c r="G1740">
        <v>72657</v>
      </c>
      <c r="H1740" s="116"/>
      <c r="I1740" s="116"/>
      <c r="L1740" s="170">
        <v>44567</v>
      </c>
      <c r="M1740" s="116">
        <v>331.45</v>
      </c>
      <c r="N1740" s="116">
        <v>332.5</v>
      </c>
      <c r="O1740" s="116">
        <v>328</v>
      </c>
      <c r="P1740" s="116">
        <v>331</v>
      </c>
      <c r="Q1740" s="116">
        <v>331.45</v>
      </c>
      <c r="R1740">
        <v>349833</v>
      </c>
    </row>
    <row r="1741" spans="1:18" x14ac:dyDescent="0.25">
      <c r="A1741" s="170">
        <v>44567</v>
      </c>
      <c r="B1741" s="116">
        <v>332.25</v>
      </c>
      <c r="C1741" s="116">
        <v>331.45</v>
      </c>
      <c r="D1741" s="116">
        <v>327.14999999999998</v>
      </c>
      <c r="E1741" s="116">
        <v>327.14999999999998</v>
      </c>
      <c r="F1741" s="116">
        <v>331.45</v>
      </c>
      <c r="G1741">
        <v>22098</v>
      </c>
      <c r="H1741" s="116"/>
      <c r="I1741" s="116"/>
      <c r="L1741" s="170">
        <v>44568</v>
      </c>
      <c r="M1741" s="116">
        <v>333</v>
      </c>
      <c r="N1741" s="116">
        <v>334.1</v>
      </c>
      <c r="O1741" s="116">
        <v>328.4</v>
      </c>
      <c r="P1741" s="116">
        <v>333</v>
      </c>
      <c r="Q1741" s="116">
        <v>333</v>
      </c>
      <c r="R1741">
        <v>417489</v>
      </c>
    </row>
    <row r="1742" spans="1:18" x14ac:dyDescent="0.25">
      <c r="A1742" s="170">
        <v>44568</v>
      </c>
      <c r="B1742" s="116">
        <v>334</v>
      </c>
      <c r="C1742" s="116">
        <v>332.9</v>
      </c>
      <c r="D1742" s="116">
        <v>328.3</v>
      </c>
      <c r="E1742" s="116">
        <v>333</v>
      </c>
      <c r="F1742" s="116">
        <v>332.9</v>
      </c>
      <c r="G1742">
        <v>57631</v>
      </c>
      <c r="H1742" s="116"/>
      <c r="I1742" s="116"/>
      <c r="L1742" s="170">
        <v>44571</v>
      </c>
      <c r="M1742" s="116">
        <v>330.45</v>
      </c>
      <c r="N1742" s="116">
        <v>334.95</v>
      </c>
      <c r="O1742" s="116">
        <v>329.5</v>
      </c>
      <c r="P1742" s="116">
        <v>334</v>
      </c>
      <c r="Q1742" s="116">
        <v>330.45</v>
      </c>
      <c r="R1742">
        <v>326601</v>
      </c>
    </row>
    <row r="1743" spans="1:18" x14ac:dyDescent="0.25">
      <c r="A1743" s="170">
        <v>44571</v>
      </c>
      <c r="B1743" s="116">
        <v>335.8</v>
      </c>
      <c r="C1743" s="116">
        <v>330.75</v>
      </c>
      <c r="D1743" s="116">
        <v>329.7</v>
      </c>
      <c r="E1743" s="116">
        <v>335.8</v>
      </c>
      <c r="F1743" s="116">
        <v>330.75</v>
      </c>
      <c r="G1743">
        <v>32785</v>
      </c>
      <c r="H1743" s="116"/>
      <c r="I1743" s="116"/>
      <c r="L1743" s="170">
        <v>44572</v>
      </c>
      <c r="M1743" s="116">
        <v>326.75</v>
      </c>
      <c r="N1743" s="116">
        <v>329.45</v>
      </c>
      <c r="O1743" s="116">
        <v>323.85000000000002</v>
      </c>
      <c r="P1743" s="116">
        <v>324</v>
      </c>
      <c r="Q1743" s="116">
        <v>326.75</v>
      </c>
      <c r="R1743">
        <v>381278</v>
      </c>
    </row>
    <row r="1744" spans="1:18" x14ac:dyDescent="0.25">
      <c r="A1744" s="170">
        <v>44572</v>
      </c>
      <c r="B1744" s="116">
        <v>329.35</v>
      </c>
      <c r="C1744" s="116">
        <v>326.5</v>
      </c>
      <c r="D1744" s="116">
        <v>324.7</v>
      </c>
      <c r="E1744" s="116">
        <v>327.9</v>
      </c>
      <c r="F1744" s="116">
        <v>326.5</v>
      </c>
      <c r="G1744">
        <v>64826</v>
      </c>
      <c r="H1744" s="116"/>
      <c r="I1744" s="116"/>
      <c r="L1744" s="170">
        <v>44573</v>
      </c>
      <c r="M1744" s="116">
        <v>330.7</v>
      </c>
      <c r="N1744" s="116">
        <v>331.75</v>
      </c>
      <c r="O1744" s="116">
        <v>327</v>
      </c>
      <c r="P1744" s="116">
        <v>328</v>
      </c>
      <c r="Q1744" s="116">
        <v>330.7</v>
      </c>
      <c r="R1744">
        <v>405320</v>
      </c>
    </row>
    <row r="1745" spans="1:18" x14ac:dyDescent="0.25">
      <c r="A1745" s="170">
        <v>44573</v>
      </c>
      <c r="B1745" s="116">
        <v>332.15</v>
      </c>
      <c r="C1745" s="116">
        <v>330.5</v>
      </c>
      <c r="D1745" s="116">
        <v>325.5</v>
      </c>
      <c r="E1745" s="116">
        <v>325.5</v>
      </c>
      <c r="F1745" s="116">
        <v>330.5</v>
      </c>
      <c r="G1745">
        <v>34862</v>
      </c>
      <c r="H1745" s="116"/>
      <c r="I1745" s="116"/>
      <c r="L1745" s="170">
        <v>44574</v>
      </c>
      <c r="M1745" s="116">
        <v>331.4</v>
      </c>
      <c r="N1745" s="116">
        <v>333</v>
      </c>
      <c r="O1745" s="116">
        <v>330.05</v>
      </c>
      <c r="P1745" s="116">
        <v>330.1</v>
      </c>
      <c r="Q1745" s="116">
        <v>331.4</v>
      </c>
      <c r="R1745">
        <v>291606</v>
      </c>
    </row>
    <row r="1746" spans="1:18" x14ac:dyDescent="0.25">
      <c r="A1746" s="170">
        <v>44574</v>
      </c>
      <c r="B1746" s="116">
        <v>333.15</v>
      </c>
      <c r="C1746" s="116">
        <v>331.55</v>
      </c>
      <c r="D1746" s="116">
        <v>330.2</v>
      </c>
      <c r="E1746" s="116">
        <v>330.6</v>
      </c>
      <c r="F1746" s="116">
        <v>331.55</v>
      </c>
      <c r="G1746">
        <v>32120</v>
      </c>
      <c r="H1746" s="116"/>
      <c r="I1746" s="116"/>
      <c r="L1746" s="170">
        <v>44575</v>
      </c>
      <c r="M1746" s="116">
        <v>330</v>
      </c>
      <c r="N1746" s="116">
        <v>332.65</v>
      </c>
      <c r="O1746" s="116">
        <v>328.3</v>
      </c>
      <c r="P1746" s="116">
        <v>331.95</v>
      </c>
      <c r="Q1746" s="116">
        <v>330</v>
      </c>
      <c r="R1746">
        <v>220490</v>
      </c>
    </row>
    <row r="1747" spans="1:18" x14ac:dyDescent="0.25">
      <c r="A1747" s="170">
        <v>44575</v>
      </c>
      <c r="B1747" s="116">
        <v>332.6</v>
      </c>
      <c r="C1747" s="116">
        <v>329.75</v>
      </c>
      <c r="D1747" s="116">
        <v>328</v>
      </c>
      <c r="E1747" s="116">
        <v>331.55</v>
      </c>
      <c r="F1747" s="116">
        <v>329.75</v>
      </c>
      <c r="G1747">
        <v>35409</v>
      </c>
      <c r="H1747" s="116"/>
      <c r="I1747" s="116"/>
      <c r="L1747" s="170">
        <v>44578</v>
      </c>
      <c r="M1747" s="116">
        <v>327.5</v>
      </c>
      <c r="N1747" s="116">
        <v>329.95</v>
      </c>
      <c r="O1747" s="116">
        <v>327</v>
      </c>
      <c r="P1747" s="116">
        <v>328.1</v>
      </c>
      <c r="Q1747" s="116">
        <v>327.5</v>
      </c>
      <c r="R1747">
        <v>285705</v>
      </c>
    </row>
    <row r="1748" spans="1:18" x14ac:dyDescent="0.25">
      <c r="A1748" s="170">
        <v>44578</v>
      </c>
      <c r="B1748" s="116">
        <v>329.95</v>
      </c>
      <c r="C1748" s="116">
        <v>327.60000000000002</v>
      </c>
      <c r="D1748" s="116">
        <v>327.10000000000002</v>
      </c>
      <c r="E1748" s="116">
        <v>328</v>
      </c>
      <c r="F1748" s="116">
        <v>327.60000000000002</v>
      </c>
      <c r="G1748">
        <v>23545</v>
      </c>
      <c r="H1748" s="116"/>
      <c r="I1748" s="116"/>
      <c r="L1748" s="170">
        <v>44579</v>
      </c>
      <c r="M1748" s="116">
        <v>325.8</v>
      </c>
      <c r="N1748" s="116">
        <v>329.9</v>
      </c>
      <c r="O1748" s="116">
        <v>325.10000000000002</v>
      </c>
      <c r="P1748" s="116">
        <v>329.9</v>
      </c>
      <c r="Q1748" s="116">
        <v>325.8</v>
      </c>
      <c r="R1748">
        <v>243633</v>
      </c>
    </row>
    <row r="1749" spans="1:18" x14ac:dyDescent="0.25">
      <c r="A1749" s="170">
        <v>44579</v>
      </c>
      <c r="B1749" s="116">
        <v>330</v>
      </c>
      <c r="C1749" s="116">
        <v>325.75</v>
      </c>
      <c r="D1749" s="116">
        <v>325</v>
      </c>
      <c r="E1749" s="116">
        <v>330</v>
      </c>
      <c r="F1749" s="116">
        <v>325.75</v>
      </c>
      <c r="G1749">
        <v>45204</v>
      </c>
      <c r="H1749" s="116"/>
      <c r="I1749" s="116"/>
      <c r="L1749" s="170">
        <v>44580</v>
      </c>
      <c r="M1749" s="116">
        <v>324.2</v>
      </c>
      <c r="N1749" s="116">
        <v>328.55</v>
      </c>
      <c r="O1749" s="116">
        <v>323</v>
      </c>
      <c r="P1749" s="116">
        <v>326</v>
      </c>
      <c r="Q1749" s="116">
        <v>324.2</v>
      </c>
      <c r="R1749">
        <v>292701</v>
      </c>
    </row>
    <row r="1750" spans="1:18" x14ac:dyDescent="0.25">
      <c r="A1750" s="170">
        <v>44580</v>
      </c>
      <c r="B1750" s="116">
        <v>328.9</v>
      </c>
      <c r="C1750" s="116">
        <v>324.5</v>
      </c>
      <c r="D1750" s="116">
        <v>323</v>
      </c>
      <c r="E1750" s="116">
        <v>328.9</v>
      </c>
      <c r="F1750" s="116">
        <v>324.5</v>
      </c>
      <c r="G1750">
        <v>18691</v>
      </c>
      <c r="H1750" s="116"/>
      <c r="I1750" s="116"/>
      <c r="L1750" s="170">
        <v>44581</v>
      </c>
      <c r="M1750" s="116">
        <v>322.2</v>
      </c>
      <c r="N1750" s="116">
        <v>327.60000000000002</v>
      </c>
      <c r="O1750" s="116">
        <v>319.60000000000002</v>
      </c>
      <c r="P1750" s="116">
        <v>325</v>
      </c>
      <c r="Q1750" s="116">
        <v>322.2</v>
      </c>
      <c r="R1750">
        <v>398781</v>
      </c>
    </row>
    <row r="1751" spans="1:18" x14ac:dyDescent="0.25">
      <c r="A1751" s="170">
        <v>44581</v>
      </c>
      <c r="B1751" s="116">
        <v>327.5</v>
      </c>
      <c r="C1751" s="116">
        <v>322.2</v>
      </c>
      <c r="D1751" s="116">
        <v>319.7</v>
      </c>
      <c r="E1751" s="116">
        <v>324.55</v>
      </c>
      <c r="F1751" s="116">
        <v>322.2</v>
      </c>
      <c r="G1751">
        <v>48011</v>
      </c>
      <c r="H1751" s="116"/>
      <c r="I1751" s="116"/>
      <c r="L1751" s="170">
        <v>44582</v>
      </c>
      <c r="M1751" s="116">
        <v>326</v>
      </c>
      <c r="N1751" s="116">
        <v>329.4</v>
      </c>
      <c r="O1751" s="116">
        <v>316.8</v>
      </c>
      <c r="P1751" s="116">
        <v>322.2</v>
      </c>
      <c r="Q1751" s="116">
        <v>326</v>
      </c>
      <c r="R1751">
        <v>2227785</v>
      </c>
    </row>
    <row r="1752" spans="1:18" x14ac:dyDescent="0.25">
      <c r="A1752" s="170">
        <v>44582</v>
      </c>
      <c r="B1752" s="116">
        <v>329.1</v>
      </c>
      <c r="C1752" s="116">
        <v>326</v>
      </c>
      <c r="D1752" s="116">
        <v>316.64999999999998</v>
      </c>
      <c r="E1752" s="116">
        <v>324</v>
      </c>
      <c r="F1752" s="116">
        <v>326</v>
      </c>
      <c r="G1752">
        <v>195930</v>
      </c>
      <c r="H1752" s="116"/>
      <c r="I1752" s="116"/>
      <c r="L1752" s="170">
        <v>44585</v>
      </c>
      <c r="M1752" s="116">
        <v>316.55</v>
      </c>
      <c r="N1752" s="116">
        <v>326.7</v>
      </c>
      <c r="O1752" s="116">
        <v>312.5</v>
      </c>
      <c r="P1752" s="116">
        <v>326.60000000000002</v>
      </c>
      <c r="Q1752" s="116">
        <v>316.55</v>
      </c>
      <c r="R1752">
        <v>697303</v>
      </c>
    </row>
    <row r="1753" spans="1:18" x14ac:dyDescent="0.25">
      <c r="A1753" s="170">
        <v>44585</v>
      </c>
      <c r="B1753" s="116">
        <v>326.45</v>
      </c>
      <c r="C1753" s="116">
        <v>316.10000000000002</v>
      </c>
      <c r="D1753" s="116">
        <v>312.14999999999998</v>
      </c>
      <c r="E1753" s="116">
        <v>326</v>
      </c>
      <c r="F1753" s="116">
        <v>316.10000000000002</v>
      </c>
      <c r="G1753">
        <v>136017</v>
      </c>
      <c r="H1753" s="116"/>
      <c r="I1753" s="116"/>
      <c r="L1753" s="170">
        <v>44586</v>
      </c>
      <c r="M1753" s="116">
        <v>312.25</v>
      </c>
      <c r="N1753" s="116">
        <v>319.5</v>
      </c>
      <c r="O1753" s="116">
        <v>308</v>
      </c>
      <c r="P1753" s="116">
        <v>314.10000000000002</v>
      </c>
      <c r="Q1753" s="116">
        <v>312.25</v>
      </c>
      <c r="R1753">
        <v>707511</v>
      </c>
    </row>
    <row r="1754" spans="1:18" x14ac:dyDescent="0.25">
      <c r="A1754" s="170">
        <v>44586</v>
      </c>
      <c r="B1754" s="116">
        <v>319.55</v>
      </c>
      <c r="C1754" s="116">
        <v>312.45</v>
      </c>
      <c r="D1754" s="116">
        <v>308.39999999999998</v>
      </c>
      <c r="E1754" s="116">
        <v>316.55</v>
      </c>
      <c r="F1754" s="116">
        <v>312.45</v>
      </c>
      <c r="G1754">
        <v>58968</v>
      </c>
      <c r="H1754" s="116"/>
      <c r="I1754" s="116"/>
      <c r="L1754" s="170">
        <v>44588</v>
      </c>
      <c r="M1754" s="116">
        <v>312.95</v>
      </c>
      <c r="N1754" s="116">
        <v>317</v>
      </c>
      <c r="O1754" s="116">
        <v>309.5</v>
      </c>
      <c r="P1754" s="116">
        <v>309.5</v>
      </c>
      <c r="Q1754" s="116">
        <v>312.95</v>
      </c>
      <c r="R1754">
        <v>599365</v>
      </c>
    </row>
    <row r="1755" spans="1:18" x14ac:dyDescent="0.25">
      <c r="A1755" s="170">
        <v>44588</v>
      </c>
      <c r="B1755" s="116">
        <v>316.89999999999998</v>
      </c>
      <c r="C1755" s="116">
        <v>312.85000000000002</v>
      </c>
      <c r="D1755" s="116">
        <v>310.10000000000002</v>
      </c>
      <c r="E1755" s="116">
        <v>312.5</v>
      </c>
      <c r="F1755" s="116">
        <v>312.85000000000002</v>
      </c>
      <c r="G1755">
        <v>96063</v>
      </c>
      <c r="H1755" s="116"/>
      <c r="I1755" s="116"/>
      <c r="L1755" s="170">
        <v>44589</v>
      </c>
      <c r="M1755" s="116">
        <v>315.35000000000002</v>
      </c>
      <c r="N1755" s="116">
        <v>319.39999999999998</v>
      </c>
      <c r="O1755" s="116">
        <v>314.39999999999998</v>
      </c>
      <c r="P1755" s="116">
        <v>314.95</v>
      </c>
      <c r="Q1755" s="116">
        <v>315.35000000000002</v>
      </c>
      <c r="R1755">
        <v>377815</v>
      </c>
    </row>
    <row r="1756" spans="1:18" x14ac:dyDescent="0.25">
      <c r="A1756" s="170">
        <v>44589</v>
      </c>
      <c r="B1756" s="116">
        <v>319.39999999999998</v>
      </c>
      <c r="C1756" s="116">
        <v>315.25</v>
      </c>
      <c r="D1756" s="116">
        <v>314.60000000000002</v>
      </c>
      <c r="E1756" s="116">
        <v>318.89999999999998</v>
      </c>
      <c r="F1756" s="116">
        <v>315.25</v>
      </c>
      <c r="G1756">
        <v>40573</v>
      </c>
      <c r="H1756" s="116"/>
      <c r="I1756" s="116"/>
      <c r="L1756" s="170">
        <v>44592</v>
      </c>
      <c r="M1756" s="116">
        <v>315.45</v>
      </c>
      <c r="N1756" s="116">
        <v>318.55</v>
      </c>
      <c r="O1756" s="116">
        <v>315</v>
      </c>
      <c r="P1756" s="116">
        <v>316.25</v>
      </c>
      <c r="Q1756" s="116">
        <v>315.45</v>
      </c>
      <c r="R1756">
        <v>264966</v>
      </c>
    </row>
    <row r="1757" spans="1:18" x14ac:dyDescent="0.25">
      <c r="A1757" s="170">
        <v>44592</v>
      </c>
      <c r="B1757" s="116">
        <v>319.89999999999998</v>
      </c>
      <c r="C1757" s="116">
        <v>315.5</v>
      </c>
      <c r="D1757" s="116">
        <v>315</v>
      </c>
      <c r="E1757" s="116">
        <v>319.89999999999998</v>
      </c>
      <c r="F1757" s="116">
        <v>315.5</v>
      </c>
      <c r="G1757">
        <v>24069</v>
      </c>
      <c r="H1757" s="116"/>
      <c r="I1757" s="116"/>
      <c r="L1757" s="170">
        <v>44593</v>
      </c>
      <c r="M1757" s="116">
        <v>318</v>
      </c>
      <c r="N1757" s="116">
        <v>318.75</v>
      </c>
      <c r="O1757" s="116">
        <v>314.75</v>
      </c>
      <c r="P1757" s="116">
        <v>316.60000000000002</v>
      </c>
      <c r="Q1757" s="116">
        <v>318</v>
      </c>
      <c r="R1757">
        <v>336321</v>
      </c>
    </row>
    <row r="1758" spans="1:18" x14ac:dyDescent="0.25">
      <c r="A1758" s="170">
        <v>44593</v>
      </c>
      <c r="B1758" s="116">
        <v>318.95</v>
      </c>
      <c r="C1758" s="116">
        <v>318</v>
      </c>
      <c r="D1758" s="116">
        <v>314.89999999999998</v>
      </c>
      <c r="E1758" s="116">
        <v>318.2</v>
      </c>
      <c r="F1758" s="116">
        <v>318</v>
      </c>
      <c r="G1758">
        <v>69394</v>
      </c>
      <c r="H1758" s="116"/>
      <c r="I1758" s="116"/>
      <c r="L1758" s="170">
        <v>44594</v>
      </c>
      <c r="M1758" s="116">
        <v>320.45</v>
      </c>
      <c r="N1758" s="116">
        <v>321.60000000000002</v>
      </c>
      <c r="O1758" s="116">
        <v>319.25</v>
      </c>
      <c r="P1758" s="116">
        <v>321</v>
      </c>
      <c r="Q1758" s="116">
        <v>320.45</v>
      </c>
      <c r="R1758">
        <v>237138</v>
      </c>
    </row>
    <row r="1759" spans="1:18" x14ac:dyDescent="0.25">
      <c r="A1759" s="170">
        <v>44594</v>
      </c>
      <c r="B1759" s="116">
        <v>324</v>
      </c>
      <c r="C1759" s="116">
        <v>320.64999999999998</v>
      </c>
      <c r="D1759" s="116">
        <v>319.45</v>
      </c>
      <c r="E1759" s="116">
        <v>324</v>
      </c>
      <c r="F1759" s="116">
        <v>320.64999999999998</v>
      </c>
      <c r="G1759">
        <v>13278</v>
      </c>
      <c r="H1759" s="116"/>
      <c r="I1759" s="116"/>
      <c r="L1759" s="170">
        <v>44595</v>
      </c>
      <c r="M1759" s="116">
        <v>323.3</v>
      </c>
      <c r="N1759" s="116">
        <v>326.5</v>
      </c>
      <c r="O1759" s="116">
        <v>321</v>
      </c>
      <c r="P1759" s="116">
        <v>321.85000000000002</v>
      </c>
      <c r="Q1759" s="116">
        <v>323.3</v>
      </c>
      <c r="R1759">
        <v>619741</v>
      </c>
    </row>
    <row r="1760" spans="1:18" x14ac:dyDescent="0.25">
      <c r="A1760" s="170">
        <v>44595</v>
      </c>
      <c r="B1760" s="116">
        <v>326.39999999999998</v>
      </c>
      <c r="C1760" s="116">
        <v>323.64999999999998</v>
      </c>
      <c r="D1760" s="116">
        <v>321</v>
      </c>
      <c r="E1760" s="116">
        <v>322</v>
      </c>
      <c r="F1760" s="116">
        <v>323.64999999999998</v>
      </c>
      <c r="G1760">
        <v>63069</v>
      </c>
      <c r="H1760" s="116"/>
      <c r="I1760" s="116"/>
      <c r="L1760" s="170">
        <v>44596</v>
      </c>
      <c r="M1760" s="116">
        <v>329.65</v>
      </c>
      <c r="N1760" s="116">
        <v>330.9</v>
      </c>
      <c r="O1760" s="116">
        <v>321.85000000000002</v>
      </c>
      <c r="P1760" s="116">
        <v>325</v>
      </c>
      <c r="Q1760" s="116">
        <v>329.65</v>
      </c>
      <c r="R1760">
        <v>826825</v>
      </c>
    </row>
    <row r="1761" spans="1:18" x14ac:dyDescent="0.25">
      <c r="A1761" s="170">
        <v>44596</v>
      </c>
      <c r="B1761" s="116">
        <v>330.6</v>
      </c>
      <c r="C1761" s="116">
        <v>329.55</v>
      </c>
      <c r="D1761" s="116">
        <v>322.05</v>
      </c>
      <c r="E1761" s="116">
        <v>324</v>
      </c>
      <c r="F1761" s="116">
        <v>329.55</v>
      </c>
      <c r="G1761">
        <v>89231</v>
      </c>
      <c r="H1761" s="116"/>
      <c r="I1761" s="116"/>
      <c r="L1761" s="170">
        <v>44599</v>
      </c>
      <c r="M1761" s="116">
        <v>334.05</v>
      </c>
      <c r="N1761" s="116">
        <v>335.9</v>
      </c>
      <c r="O1761" s="116">
        <v>329.7</v>
      </c>
      <c r="P1761" s="116">
        <v>330.45</v>
      </c>
      <c r="Q1761" s="116">
        <v>334.05</v>
      </c>
      <c r="R1761">
        <v>1048595</v>
      </c>
    </row>
    <row r="1762" spans="1:18" x14ac:dyDescent="0.25">
      <c r="A1762" s="170">
        <v>44599</v>
      </c>
      <c r="B1762" s="116">
        <v>335.95</v>
      </c>
      <c r="C1762" s="116">
        <v>333.9</v>
      </c>
      <c r="D1762" s="116">
        <v>329.7</v>
      </c>
      <c r="E1762" s="116">
        <v>332</v>
      </c>
      <c r="F1762" s="116">
        <v>333.9</v>
      </c>
      <c r="G1762">
        <v>79879</v>
      </c>
      <c r="H1762" s="116"/>
      <c r="I1762" s="116"/>
      <c r="L1762" s="170">
        <v>44600</v>
      </c>
      <c r="M1762" s="116">
        <v>327.3</v>
      </c>
      <c r="N1762" s="116">
        <v>337.4</v>
      </c>
      <c r="O1762" s="116">
        <v>324.89999999999998</v>
      </c>
      <c r="P1762" s="116">
        <v>336.2</v>
      </c>
      <c r="Q1762" s="116">
        <v>327.3</v>
      </c>
      <c r="R1762">
        <v>667055</v>
      </c>
    </row>
    <row r="1763" spans="1:18" x14ac:dyDescent="0.25">
      <c r="A1763" s="170">
        <v>44600</v>
      </c>
      <c r="B1763" s="116">
        <v>338</v>
      </c>
      <c r="C1763" s="116">
        <v>327.25</v>
      </c>
      <c r="D1763" s="116">
        <v>324.85000000000002</v>
      </c>
      <c r="E1763" s="116">
        <v>338</v>
      </c>
      <c r="F1763" s="116">
        <v>327.25</v>
      </c>
      <c r="G1763">
        <v>43051</v>
      </c>
      <c r="H1763" s="116"/>
      <c r="I1763" s="116"/>
      <c r="L1763" s="170">
        <v>44601</v>
      </c>
      <c r="M1763" s="116">
        <v>331.7</v>
      </c>
      <c r="N1763" s="116">
        <v>334.5</v>
      </c>
      <c r="O1763" s="116">
        <v>326.05</v>
      </c>
      <c r="P1763" s="116">
        <v>329.9</v>
      </c>
      <c r="Q1763" s="116">
        <v>331.7</v>
      </c>
      <c r="R1763">
        <v>434764</v>
      </c>
    </row>
    <row r="1764" spans="1:18" x14ac:dyDescent="0.25">
      <c r="A1764" s="170">
        <v>44601</v>
      </c>
      <c r="B1764" s="116">
        <v>334.85</v>
      </c>
      <c r="C1764" s="116">
        <v>331.75</v>
      </c>
      <c r="D1764" s="116">
        <v>328</v>
      </c>
      <c r="E1764" s="116">
        <v>334.85</v>
      </c>
      <c r="F1764" s="116">
        <v>331.75</v>
      </c>
      <c r="G1764">
        <v>20394</v>
      </c>
      <c r="H1764" s="116"/>
      <c r="I1764" s="116"/>
      <c r="L1764" s="170">
        <v>44602</v>
      </c>
      <c r="M1764" s="116">
        <v>331.8</v>
      </c>
      <c r="N1764" s="116">
        <v>338</v>
      </c>
      <c r="O1764" s="116">
        <v>331.05</v>
      </c>
      <c r="P1764" s="116">
        <v>334</v>
      </c>
      <c r="Q1764" s="116">
        <v>331.8</v>
      </c>
      <c r="R1764">
        <v>691056</v>
      </c>
    </row>
    <row r="1765" spans="1:18" x14ac:dyDescent="0.25">
      <c r="A1765" s="170">
        <v>44602</v>
      </c>
      <c r="B1765" s="116">
        <v>337.85</v>
      </c>
      <c r="C1765" s="116">
        <v>331.6</v>
      </c>
      <c r="D1765" s="116">
        <v>330.85</v>
      </c>
      <c r="E1765" s="116">
        <v>332.15</v>
      </c>
      <c r="F1765" s="116">
        <v>331.6</v>
      </c>
      <c r="G1765">
        <v>73843</v>
      </c>
      <c r="H1765" s="116"/>
      <c r="I1765" s="116"/>
      <c r="L1765" s="170">
        <v>44603</v>
      </c>
      <c r="M1765" s="116">
        <v>327.05</v>
      </c>
      <c r="N1765" s="116">
        <v>331.35</v>
      </c>
      <c r="O1765" s="116">
        <v>326</v>
      </c>
      <c r="P1765" s="116">
        <v>328</v>
      </c>
      <c r="Q1765" s="116">
        <v>327.05</v>
      </c>
      <c r="R1765">
        <v>275139</v>
      </c>
    </row>
    <row r="1766" spans="1:18" x14ac:dyDescent="0.25">
      <c r="A1766" s="170">
        <v>44603</v>
      </c>
      <c r="B1766" s="116">
        <v>331</v>
      </c>
      <c r="C1766" s="116">
        <v>327.25</v>
      </c>
      <c r="D1766" s="116">
        <v>326.14999999999998</v>
      </c>
      <c r="E1766" s="116">
        <v>330.9</v>
      </c>
      <c r="F1766" s="116">
        <v>327.25</v>
      </c>
      <c r="G1766">
        <v>15800</v>
      </c>
      <c r="H1766" s="116"/>
      <c r="I1766" s="116"/>
      <c r="L1766" s="170">
        <v>44606</v>
      </c>
      <c r="M1766" s="116">
        <v>313.7</v>
      </c>
      <c r="N1766" s="116">
        <v>323.75</v>
      </c>
      <c r="O1766" s="116">
        <v>310</v>
      </c>
      <c r="P1766" s="116">
        <v>321</v>
      </c>
      <c r="Q1766" s="116">
        <v>313.7</v>
      </c>
      <c r="R1766">
        <v>510584</v>
      </c>
    </row>
    <row r="1767" spans="1:18" x14ac:dyDescent="0.25">
      <c r="A1767" s="170">
        <v>44606</v>
      </c>
      <c r="B1767" s="116">
        <v>322.89999999999998</v>
      </c>
      <c r="C1767" s="116">
        <v>314</v>
      </c>
      <c r="D1767" s="116">
        <v>311.14999999999998</v>
      </c>
      <c r="E1767" s="116">
        <v>316</v>
      </c>
      <c r="F1767" s="116">
        <v>314</v>
      </c>
      <c r="G1767">
        <v>78098</v>
      </c>
      <c r="H1767" s="116"/>
      <c r="I1767" s="116"/>
      <c r="L1767" s="170">
        <v>44607</v>
      </c>
      <c r="M1767" s="116">
        <v>315.10000000000002</v>
      </c>
      <c r="N1767" s="116">
        <v>316.35000000000002</v>
      </c>
      <c r="O1767" s="116">
        <v>309.75</v>
      </c>
      <c r="P1767" s="116">
        <v>315</v>
      </c>
      <c r="Q1767" s="116">
        <v>315.10000000000002</v>
      </c>
      <c r="R1767">
        <v>480791</v>
      </c>
    </row>
    <row r="1768" spans="1:18" x14ac:dyDescent="0.25">
      <c r="A1768" s="170">
        <v>44607</v>
      </c>
      <c r="B1768" s="116">
        <v>316.5</v>
      </c>
      <c r="C1768" s="116">
        <v>315.05</v>
      </c>
      <c r="D1768" s="116">
        <v>310</v>
      </c>
      <c r="E1768" s="116">
        <v>315.5</v>
      </c>
      <c r="F1768" s="116">
        <v>315.05</v>
      </c>
      <c r="G1768">
        <v>58248</v>
      </c>
      <c r="H1768" s="116"/>
      <c r="I1768" s="116"/>
      <c r="L1768" s="170">
        <v>44608</v>
      </c>
      <c r="M1768" s="116">
        <v>317.5</v>
      </c>
      <c r="N1768" s="116">
        <v>319.89999999999998</v>
      </c>
      <c r="O1768" s="116">
        <v>312.75</v>
      </c>
      <c r="P1768" s="116">
        <v>315.75</v>
      </c>
      <c r="Q1768" s="116">
        <v>317.5</v>
      </c>
      <c r="R1768">
        <v>639949</v>
      </c>
    </row>
    <row r="1769" spans="1:18" x14ac:dyDescent="0.25">
      <c r="A1769" s="170">
        <v>44608</v>
      </c>
      <c r="B1769" s="116">
        <v>324.7</v>
      </c>
      <c r="C1769" s="116">
        <v>317.39999999999998</v>
      </c>
      <c r="D1769" s="116">
        <v>312.64999999999998</v>
      </c>
      <c r="E1769" s="116">
        <v>324.7</v>
      </c>
      <c r="F1769" s="116">
        <v>317.39999999999998</v>
      </c>
      <c r="G1769">
        <v>31549</v>
      </c>
      <c r="H1769" s="116"/>
      <c r="I1769" s="116"/>
      <c r="L1769" s="170">
        <v>44609</v>
      </c>
      <c r="M1769" s="116">
        <v>316.55</v>
      </c>
      <c r="N1769" s="116">
        <v>321.95</v>
      </c>
      <c r="O1769" s="116">
        <v>315</v>
      </c>
      <c r="P1769" s="116">
        <v>318.10000000000002</v>
      </c>
      <c r="Q1769" s="116">
        <v>316.55</v>
      </c>
      <c r="R1769">
        <v>346779</v>
      </c>
    </row>
    <row r="1770" spans="1:18" x14ac:dyDescent="0.25">
      <c r="A1770" s="170">
        <v>44609</v>
      </c>
      <c r="B1770" s="116">
        <v>321.7</v>
      </c>
      <c r="C1770" s="116">
        <v>316.45</v>
      </c>
      <c r="D1770" s="116">
        <v>315.55</v>
      </c>
      <c r="E1770" s="116">
        <v>319.75</v>
      </c>
      <c r="F1770" s="116">
        <v>316.45</v>
      </c>
      <c r="G1770">
        <v>17848</v>
      </c>
      <c r="H1770" s="116"/>
      <c r="I1770" s="116"/>
      <c r="L1770" s="170">
        <v>44610</v>
      </c>
      <c r="M1770" s="116">
        <v>317.25</v>
      </c>
      <c r="N1770" s="116">
        <v>319.5</v>
      </c>
      <c r="O1770" s="116">
        <v>316</v>
      </c>
      <c r="P1770" s="116">
        <v>316.55</v>
      </c>
      <c r="Q1770" s="116">
        <v>317.25</v>
      </c>
      <c r="R1770">
        <v>231662</v>
      </c>
    </row>
    <row r="1771" spans="1:18" x14ac:dyDescent="0.25">
      <c r="A1771" s="170">
        <v>44610</v>
      </c>
      <c r="B1771" s="116">
        <v>319.3</v>
      </c>
      <c r="C1771" s="116">
        <v>317.2</v>
      </c>
      <c r="D1771" s="116">
        <v>316.05</v>
      </c>
      <c r="E1771" s="116">
        <v>316.5</v>
      </c>
      <c r="F1771" s="116">
        <v>317.2</v>
      </c>
      <c r="G1771">
        <v>11451</v>
      </c>
      <c r="H1771" s="116"/>
      <c r="I1771" s="116"/>
      <c r="L1771" s="170">
        <v>44613</v>
      </c>
      <c r="M1771" s="116">
        <v>312.35000000000002</v>
      </c>
      <c r="N1771" s="116">
        <v>316.45</v>
      </c>
      <c r="O1771" s="116">
        <v>310.8</v>
      </c>
      <c r="P1771" s="116">
        <v>315</v>
      </c>
      <c r="Q1771" s="116">
        <v>312.35000000000002</v>
      </c>
      <c r="R1771">
        <v>230960</v>
      </c>
    </row>
    <row r="1772" spans="1:18" x14ac:dyDescent="0.25">
      <c r="A1772" s="170">
        <v>44613</v>
      </c>
      <c r="B1772" s="116">
        <v>321.8</v>
      </c>
      <c r="C1772" s="116">
        <v>312.3</v>
      </c>
      <c r="D1772" s="116">
        <v>310.95</v>
      </c>
      <c r="E1772" s="116">
        <v>321.8</v>
      </c>
      <c r="F1772" s="116">
        <v>312.3</v>
      </c>
      <c r="G1772">
        <v>23085</v>
      </c>
      <c r="H1772" s="116"/>
      <c r="I1772" s="116"/>
      <c r="L1772" s="170">
        <v>44614</v>
      </c>
      <c r="M1772" s="116">
        <v>309.2</v>
      </c>
      <c r="N1772" s="116">
        <v>311.05</v>
      </c>
      <c r="O1772" s="116">
        <v>299.55</v>
      </c>
      <c r="P1772" s="116">
        <v>308.7</v>
      </c>
      <c r="Q1772" s="116">
        <v>309.2</v>
      </c>
      <c r="R1772">
        <v>627968</v>
      </c>
    </row>
    <row r="1773" spans="1:18" x14ac:dyDescent="0.25">
      <c r="A1773" s="170">
        <v>44614</v>
      </c>
      <c r="B1773" s="116">
        <v>311</v>
      </c>
      <c r="C1773" s="116">
        <v>309.39999999999998</v>
      </c>
      <c r="D1773" s="116">
        <v>299.85000000000002</v>
      </c>
      <c r="E1773" s="116">
        <v>308</v>
      </c>
      <c r="F1773" s="116">
        <v>309.39999999999998</v>
      </c>
      <c r="G1773">
        <v>33518</v>
      </c>
      <c r="H1773" s="116"/>
      <c r="I1773" s="116"/>
      <c r="L1773" s="170">
        <v>44615</v>
      </c>
      <c r="M1773" s="116">
        <v>312.95</v>
      </c>
      <c r="N1773" s="116">
        <v>334.75</v>
      </c>
      <c r="O1773" s="116">
        <v>312</v>
      </c>
      <c r="P1773" s="116">
        <v>312.55</v>
      </c>
      <c r="Q1773" s="116">
        <v>312.95</v>
      </c>
      <c r="R1773">
        <v>382356</v>
      </c>
    </row>
    <row r="1774" spans="1:18" x14ac:dyDescent="0.25">
      <c r="A1774" s="170">
        <v>44615</v>
      </c>
      <c r="B1774" s="116">
        <v>323.3</v>
      </c>
      <c r="C1774" s="116">
        <v>313.25</v>
      </c>
      <c r="D1774" s="116">
        <v>312</v>
      </c>
      <c r="E1774" s="116">
        <v>312</v>
      </c>
      <c r="F1774" s="116">
        <v>313.25</v>
      </c>
      <c r="G1774">
        <v>38848</v>
      </c>
      <c r="H1774" s="116"/>
      <c r="I1774" s="116"/>
      <c r="L1774" s="170">
        <v>44616</v>
      </c>
      <c r="M1774" s="116">
        <v>298.7</v>
      </c>
      <c r="N1774" s="116">
        <v>309.3</v>
      </c>
      <c r="O1774" s="116">
        <v>296.05</v>
      </c>
      <c r="P1774" s="116">
        <v>306</v>
      </c>
      <c r="Q1774" s="116">
        <v>298.7</v>
      </c>
      <c r="R1774">
        <v>733004</v>
      </c>
    </row>
    <row r="1775" spans="1:18" x14ac:dyDescent="0.25">
      <c r="A1775" s="170">
        <v>44616</v>
      </c>
      <c r="B1775" s="116">
        <v>309</v>
      </c>
      <c r="C1775" s="116">
        <v>297.64999999999998</v>
      </c>
      <c r="D1775" s="116">
        <v>295.60000000000002</v>
      </c>
      <c r="E1775" s="116">
        <v>303</v>
      </c>
      <c r="F1775" s="116">
        <v>297.64999999999998</v>
      </c>
      <c r="G1775">
        <v>105075</v>
      </c>
      <c r="H1775" s="116"/>
      <c r="I1775" s="116"/>
      <c r="L1775" s="170">
        <v>44617</v>
      </c>
      <c r="M1775" s="116">
        <v>310.35000000000002</v>
      </c>
      <c r="N1775" s="116">
        <v>312</v>
      </c>
      <c r="O1775" s="116">
        <v>302.25</v>
      </c>
      <c r="P1775" s="116">
        <v>302.25</v>
      </c>
      <c r="Q1775" s="116">
        <v>310.35000000000002</v>
      </c>
      <c r="R1775">
        <v>378004</v>
      </c>
    </row>
    <row r="1776" spans="1:18" x14ac:dyDescent="0.25">
      <c r="A1776" s="170">
        <v>44617</v>
      </c>
      <c r="B1776" s="116">
        <v>312.10000000000002</v>
      </c>
      <c r="C1776" s="116">
        <v>310.35000000000002</v>
      </c>
      <c r="D1776" s="116">
        <v>299</v>
      </c>
      <c r="E1776" s="116">
        <v>299</v>
      </c>
      <c r="F1776" s="116">
        <v>310.35000000000002</v>
      </c>
      <c r="G1776">
        <v>16971</v>
      </c>
      <c r="H1776" s="116"/>
      <c r="I1776" s="116"/>
      <c r="L1776" s="170">
        <v>44620</v>
      </c>
      <c r="M1776" s="116">
        <v>311.95</v>
      </c>
      <c r="N1776" s="116">
        <v>314.5</v>
      </c>
      <c r="O1776" s="116">
        <v>306</v>
      </c>
      <c r="P1776" s="116">
        <v>309.25</v>
      </c>
      <c r="Q1776" s="116">
        <v>311.95</v>
      </c>
      <c r="R1776">
        <v>471318</v>
      </c>
    </row>
    <row r="1777" spans="1:18" x14ac:dyDescent="0.25">
      <c r="A1777" s="170">
        <v>44620</v>
      </c>
      <c r="B1777" s="116">
        <v>314.25</v>
      </c>
      <c r="C1777" s="116">
        <v>311.8</v>
      </c>
      <c r="D1777" s="116">
        <v>305.85000000000002</v>
      </c>
      <c r="E1777" s="116">
        <v>309</v>
      </c>
      <c r="F1777" s="116">
        <v>311.8</v>
      </c>
      <c r="G1777">
        <v>40328</v>
      </c>
      <c r="H1777" s="116"/>
      <c r="I1777" s="116"/>
      <c r="L1777" s="170">
        <v>44622</v>
      </c>
      <c r="M1777" s="116">
        <v>351.75</v>
      </c>
      <c r="N1777" s="116">
        <v>360</v>
      </c>
      <c r="O1777" s="116">
        <v>311.39999999999998</v>
      </c>
      <c r="P1777" s="116">
        <v>311.39999999999998</v>
      </c>
      <c r="Q1777" s="116">
        <v>351.75</v>
      </c>
      <c r="R1777">
        <v>9273376</v>
      </c>
    </row>
    <row r="1778" spans="1:18" x14ac:dyDescent="0.25">
      <c r="A1778" s="170">
        <v>44622</v>
      </c>
      <c r="B1778" s="116">
        <v>359.9</v>
      </c>
      <c r="C1778" s="116">
        <v>351.7</v>
      </c>
      <c r="D1778" s="116">
        <v>311.5</v>
      </c>
      <c r="E1778" s="116">
        <v>313.05</v>
      </c>
      <c r="F1778" s="116">
        <v>351.7</v>
      </c>
      <c r="G1778">
        <v>346794</v>
      </c>
      <c r="H1778" s="116"/>
      <c r="I1778" s="116"/>
      <c r="L1778" s="170">
        <v>44623</v>
      </c>
      <c r="M1778" s="116">
        <v>340.4</v>
      </c>
      <c r="N1778" s="116">
        <v>371.7</v>
      </c>
      <c r="O1778" s="116">
        <v>336.85</v>
      </c>
      <c r="P1778" s="116">
        <v>360</v>
      </c>
      <c r="Q1778" s="116">
        <v>340.4</v>
      </c>
      <c r="R1778">
        <v>8389106</v>
      </c>
    </row>
    <row r="1779" spans="1:18" x14ac:dyDescent="0.25">
      <c r="A1779" s="170">
        <v>44623</v>
      </c>
      <c r="B1779" s="116">
        <v>372.15</v>
      </c>
      <c r="C1779" s="116">
        <v>340</v>
      </c>
      <c r="D1779" s="116">
        <v>335.15</v>
      </c>
      <c r="E1779" s="116">
        <v>359</v>
      </c>
      <c r="F1779" s="116">
        <v>340</v>
      </c>
      <c r="G1779">
        <v>506753</v>
      </c>
      <c r="H1779" s="116"/>
      <c r="I1779" s="116"/>
      <c r="L1779" s="170">
        <v>44624</v>
      </c>
      <c r="M1779" s="116">
        <v>321.3</v>
      </c>
      <c r="N1779" s="116">
        <v>349.9</v>
      </c>
      <c r="O1779" s="116">
        <v>318</v>
      </c>
      <c r="P1779" s="116">
        <v>340</v>
      </c>
      <c r="Q1779" s="116">
        <v>321.3</v>
      </c>
      <c r="R1779">
        <v>4485873</v>
      </c>
    </row>
    <row r="1780" spans="1:18" x14ac:dyDescent="0.25">
      <c r="A1780" s="170">
        <v>44624</v>
      </c>
      <c r="B1780" s="116">
        <v>349.9</v>
      </c>
      <c r="C1780" s="116">
        <v>321.2</v>
      </c>
      <c r="D1780" s="116">
        <v>318.14999999999998</v>
      </c>
      <c r="E1780" s="116">
        <v>338.8</v>
      </c>
      <c r="F1780" s="116">
        <v>321.2</v>
      </c>
      <c r="G1780">
        <v>186167</v>
      </c>
      <c r="H1780" s="116"/>
      <c r="I1780" s="116"/>
      <c r="L1780" s="170">
        <v>44627</v>
      </c>
      <c r="M1780" s="116">
        <v>319.45</v>
      </c>
      <c r="N1780" s="116">
        <v>330.7</v>
      </c>
      <c r="O1780" s="116">
        <v>315.5</v>
      </c>
      <c r="P1780" s="116">
        <v>322.10000000000002</v>
      </c>
      <c r="Q1780" s="116">
        <v>319.45</v>
      </c>
      <c r="R1780">
        <v>3370332</v>
      </c>
    </row>
    <row r="1781" spans="1:18" x14ac:dyDescent="0.25">
      <c r="A1781" s="170">
        <v>44627</v>
      </c>
      <c r="B1781" s="116">
        <v>330.45</v>
      </c>
      <c r="C1781" s="116">
        <v>319.60000000000002</v>
      </c>
      <c r="D1781" s="116">
        <v>315.89999999999998</v>
      </c>
      <c r="E1781" s="116">
        <v>324.7</v>
      </c>
      <c r="F1781" s="116">
        <v>319.60000000000002</v>
      </c>
      <c r="G1781">
        <v>148391</v>
      </c>
      <c r="H1781" s="116"/>
      <c r="I1781" s="116"/>
      <c r="L1781" s="170">
        <v>44628</v>
      </c>
      <c r="M1781" s="116">
        <v>322.39999999999998</v>
      </c>
      <c r="N1781" s="116">
        <v>337.9</v>
      </c>
      <c r="O1781" s="116">
        <v>316.60000000000002</v>
      </c>
      <c r="P1781" s="116">
        <v>326</v>
      </c>
      <c r="Q1781" s="116">
        <v>322.39999999999998</v>
      </c>
      <c r="R1781">
        <v>6205251</v>
      </c>
    </row>
    <row r="1782" spans="1:18" x14ac:dyDescent="0.25">
      <c r="A1782" s="170">
        <v>44628</v>
      </c>
      <c r="B1782" s="116">
        <v>337.6</v>
      </c>
      <c r="C1782" s="116">
        <v>322.14999999999998</v>
      </c>
      <c r="D1782" s="116">
        <v>317</v>
      </c>
      <c r="E1782" s="116">
        <v>325</v>
      </c>
      <c r="F1782" s="116">
        <v>322.14999999999998</v>
      </c>
      <c r="G1782">
        <v>355847</v>
      </c>
      <c r="H1782" s="116"/>
      <c r="I1782" s="116"/>
      <c r="L1782" s="170">
        <v>44629</v>
      </c>
      <c r="M1782" s="116">
        <v>316.95</v>
      </c>
      <c r="N1782" s="116">
        <v>329.3</v>
      </c>
      <c r="O1782" s="116">
        <v>316.5</v>
      </c>
      <c r="P1782" s="116">
        <v>328.5</v>
      </c>
      <c r="Q1782" s="116">
        <v>316.95</v>
      </c>
      <c r="R1782">
        <v>1982633</v>
      </c>
    </row>
    <row r="1783" spans="1:18" x14ac:dyDescent="0.25">
      <c r="A1783" s="170">
        <v>44629</v>
      </c>
      <c r="B1783" s="116">
        <v>329.15</v>
      </c>
      <c r="C1783" s="116">
        <v>317</v>
      </c>
      <c r="D1783" s="116">
        <v>316.5</v>
      </c>
      <c r="E1783" s="116">
        <v>328</v>
      </c>
      <c r="F1783" s="116">
        <v>317</v>
      </c>
      <c r="G1783">
        <v>67537</v>
      </c>
      <c r="H1783" s="116"/>
      <c r="I1783" s="116"/>
      <c r="L1783" s="170">
        <v>44630</v>
      </c>
      <c r="M1783" s="116">
        <v>312.89999999999998</v>
      </c>
      <c r="N1783" s="116">
        <v>319.7</v>
      </c>
      <c r="O1783" s="116">
        <v>312.05</v>
      </c>
      <c r="P1783" s="116">
        <v>316.60000000000002</v>
      </c>
      <c r="Q1783" s="116">
        <v>312.89999999999998</v>
      </c>
      <c r="R1783">
        <v>1670847</v>
      </c>
    </row>
    <row r="1784" spans="1:18" x14ac:dyDescent="0.25">
      <c r="A1784" s="170">
        <v>44630</v>
      </c>
      <c r="B1784" s="116">
        <v>320.55</v>
      </c>
      <c r="C1784" s="116">
        <v>312.95</v>
      </c>
      <c r="D1784" s="116">
        <v>312.35000000000002</v>
      </c>
      <c r="E1784" s="116">
        <v>318</v>
      </c>
      <c r="F1784" s="116">
        <v>312.95</v>
      </c>
      <c r="G1784">
        <v>120634</v>
      </c>
      <c r="H1784" s="116"/>
      <c r="I1784" s="116"/>
      <c r="L1784" s="170">
        <v>44631</v>
      </c>
      <c r="M1784" s="116">
        <v>313.14999999999998</v>
      </c>
      <c r="N1784" s="116">
        <v>315.10000000000002</v>
      </c>
      <c r="O1784" s="116">
        <v>309.3</v>
      </c>
      <c r="P1784" s="116">
        <v>315.05</v>
      </c>
      <c r="Q1784" s="116">
        <v>313.14999999999998</v>
      </c>
      <c r="R1784">
        <v>1373085</v>
      </c>
    </row>
    <row r="1785" spans="1:18" x14ac:dyDescent="0.25">
      <c r="A1785" s="170">
        <v>44631</v>
      </c>
      <c r="B1785" s="116">
        <v>315.10000000000002</v>
      </c>
      <c r="C1785" s="116">
        <v>313</v>
      </c>
      <c r="D1785" s="116">
        <v>309.45</v>
      </c>
      <c r="E1785" s="116">
        <v>315</v>
      </c>
      <c r="F1785" s="116">
        <v>313</v>
      </c>
      <c r="G1785">
        <v>127728</v>
      </c>
      <c r="H1785" s="116"/>
      <c r="I1785" s="116"/>
      <c r="L1785" s="170">
        <v>44634</v>
      </c>
      <c r="M1785" s="116">
        <v>309.85000000000002</v>
      </c>
      <c r="N1785" s="116">
        <v>315</v>
      </c>
      <c r="O1785" s="116">
        <v>309.10000000000002</v>
      </c>
      <c r="P1785" s="116">
        <v>313</v>
      </c>
      <c r="Q1785" s="116">
        <v>309.85000000000002</v>
      </c>
      <c r="R1785">
        <v>855693</v>
      </c>
    </row>
    <row r="1786" spans="1:18" x14ac:dyDescent="0.25">
      <c r="A1786" s="170">
        <v>44634</v>
      </c>
      <c r="B1786" s="116">
        <v>316.7</v>
      </c>
      <c r="C1786" s="116">
        <v>309.8</v>
      </c>
      <c r="D1786" s="116">
        <v>309</v>
      </c>
      <c r="E1786" s="116">
        <v>316.7</v>
      </c>
      <c r="F1786" s="116">
        <v>309.8</v>
      </c>
      <c r="G1786">
        <v>38219</v>
      </c>
      <c r="H1786" s="116"/>
      <c r="I1786" s="116"/>
      <c r="L1786" s="170">
        <v>44635</v>
      </c>
      <c r="M1786" s="116">
        <v>305.5</v>
      </c>
      <c r="N1786" s="116">
        <v>311.85000000000002</v>
      </c>
      <c r="O1786" s="116">
        <v>305</v>
      </c>
      <c r="P1786" s="116">
        <v>310.89999999999998</v>
      </c>
      <c r="Q1786" s="116">
        <v>305.5</v>
      </c>
      <c r="R1786">
        <v>973924</v>
      </c>
    </row>
    <row r="1787" spans="1:18" x14ac:dyDescent="0.25">
      <c r="A1787" s="170">
        <v>44635</v>
      </c>
      <c r="B1787" s="116">
        <v>311.95</v>
      </c>
      <c r="C1787" s="116">
        <v>305.64999999999998</v>
      </c>
      <c r="D1787" s="116">
        <v>305.05</v>
      </c>
      <c r="E1787" s="116">
        <v>309.55</v>
      </c>
      <c r="F1787" s="116">
        <v>305.64999999999998</v>
      </c>
      <c r="G1787">
        <v>59820</v>
      </c>
      <c r="H1787" s="116"/>
      <c r="I1787" s="116"/>
      <c r="L1787" s="170">
        <v>44636</v>
      </c>
      <c r="M1787" s="116">
        <v>309.95</v>
      </c>
      <c r="N1787" s="116">
        <v>313.64999999999998</v>
      </c>
      <c r="O1787" s="116">
        <v>308</v>
      </c>
      <c r="P1787" s="116">
        <v>308</v>
      </c>
      <c r="Q1787" s="116">
        <v>309.95</v>
      </c>
      <c r="R1787">
        <v>1119742</v>
      </c>
    </row>
    <row r="1788" spans="1:18" x14ac:dyDescent="0.25">
      <c r="A1788" s="170">
        <v>44636</v>
      </c>
      <c r="B1788" s="116">
        <v>313.60000000000002</v>
      </c>
      <c r="C1788" s="116">
        <v>309.95</v>
      </c>
      <c r="D1788" s="116">
        <v>308.85000000000002</v>
      </c>
      <c r="E1788" s="116">
        <v>309.75</v>
      </c>
      <c r="F1788" s="116">
        <v>309.95</v>
      </c>
      <c r="G1788">
        <v>65907</v>
      </c>
      <c r="H1788" s="116"/>
      <c r="I1788" s="116"/>
      <c r="L1788" s="170">
        <v>44637</v>
      </c>
      <c r="M1788" s="116">
        <v>310.05</v>
      </c>
      <c r="N1788" s="116">
        <v>314.89999999999998</v>
      </c>
      <c r="O1788" s="116">
        <v>309.10000000000002</v>
      </c>
      <c r="P1788" s="116">
        <v>312.05</v>
      </c>
      <c r="Q1788" s="116">
        <v>310.05</v>
      </c>
      <c r="R1788">
        <v>1297589</v>
      </c>
    </row>
    <row r="1789" spans="1:18" x14ac:dyDescent="0.25">
      <c r="A1789" s="170">
        <v>44637</v>
      </c>
      <c r="B1789" s="116">
        <v>314.39999999999998</v>
      </c>
      <c r="C1789" s="116">
        <v>310</v>
      </c>
      <c r="D1789" s="116">
        <v>309.10000000000002</v>
      </c>
      <c r="E1789" s="116">
        <v>313.8</v>
      </c>
      <c r="F1789" s="116">
        <v>310</v>
      </c>
      <c r="G1789">
        <v>70690</v>
      </c>
      <c r="H1789" s="116"/>
      <c r="I1789" s="116"/>
      <c r="L1789" s="170">
        <v>44641</v>
      </c>
      <c r="M1789" s="116">
        <v>311.39999999999998</v>
      </c>
      <c r="N1789" s="116">
        <v>314.7</v>
      </c>
      <c r="O1789" s="116">
        <v>310.64999999999998</v>
      </c>
      <c r="P1789" s="116">
        <v>312</v>
      </c>
      <c r="Q1789" s="116">
        <v>311.39999999999998</v>
      </c>
      <c r="R1789">
        <v>1053117</v>
      </c>
    </row>
    <row r="1790" spans="1:18" x14ac:dyDescent="0.25">
      <c r="A1790" s="170">
        <v>44641</v>
      </c>
      <c r="B1790" s="116">
        <v>314.89999999999998</v>
      </c>
      <c r="C1790" s="116">
        <v>311.3</v>
      </c>
      <c r="D1790" s="116">
        <v>310.10000000000002</v>
      </c>
      <c r="E1790" s="116">
        <v>310.10000000000002</v>
      </c>
      <c r="F1790" s="116">
        <v>311.3</v>
      </c>
      <c r="G1790">
        <v>29483</v>
      </c>
      <c r="H1790" s="116"/>
      <c r="I1790" s="116"/>
      <c r="L1790" s="170">
        <v>44642</v>
      </c>
      <c r="M1790" s="116">
        <v>313</v>
      </c>
      <c r="N1790" s="116">
        <v>315</v>
      </c>
      <c r="O1790" s="116">
        <v>311.45</v>
      </c>
      <c r="P1790" s="116">
        <v>313.25</v>
      </c>
      <c r="Q1790" s="116">
        <v>313</v>
      </c>
      <c r="R1790">
        <v>1178316</v>
      </c>
    </row>
    <row r="1791" spans="1:18" x14ac:dyDescent="0.25">
      <c r="A1791" s="170">
        <v>44642</v>
      </c>
      <c r="B1791" s="116">
        <v>315</v>
      </c>
      <c r="C1791" s="116">
        <v>313.14999999999998</v>
      </c>
      <c r="D1791" s="116">
        <v>311.5</v>
      </c>
      <c r="E1791" s="116">
        <v>314.8</v>
      </c>
      <c r="F1791" s="116">
        <v>313.14999999999998</v>
      </c>
      <c r="G1791">
        <v>30080</v>
      </c>
      <c r="H1791" s="116"/>
      <c r="I1791" s="116"/>
      <c r="L1791" s="170">
        <v>44643</v>
      </c>
      <c r="M1791" s="116">
        <v>311</v>
      </c>
      <c r="N1791" s="116">
        <v>314.5</v>
      </c>
      <c r="O1791" s="116">
        <v>310</v>
      </c>
      <c r="P1791" s="116">
        <v>313.10000000000002</v>
      </c>
      <c r="Q1791" s="116">
        <v>311</v>
      </c>
      <c r="R1791">
        <v>1050024</v>
      </c>
    </row>
    <row r="1792" spans="1:18" x14ac:dyDescent="0.25">
      <c r="A1792" s="170">
        <v>44643</v>
      </c>
      <c r="B1792" s="116">
        <v>314.8</v>
      </c>
      <c r="C1792" s="116">
        <v>310.85000000000002</v>
      </c>
      <c r="D1792" s="116">
        <v>310.05</v>
      </c>
      <c r="E1792" s="116">
        <v>314.2</v>
      </c>
      <c r="F1792" s="116">
        <v>310.85000000000002</v>
      </c>
      <c r="G1792">
        <v>138461</v>
      </c>
      <c r="H1792" s="116"/>
      <c r="I1792" s="116"/>
      <c r="L1792" s="170">
        <v>44644</v>
      </c>
      <c r="M1792" s="116">
        <v>311.05</v>
      </c>
      <c r="N1792" s="116">
        <v>318.89999999999998</v>
      </c>
      <c r="O1792" s="116">
        <v>310.39999999999998</v>
      </c>
      <c r="P1792" s="116">
        <v>315</v>
      </c>
      <c r="Q1792" s="116">
        <v>311.05</v>
      </c>
      <c r="R1792">
        <v>2043996</v>
      </c>
    </row>
    <row r="1793" spans="1:18" x14ac:dyDescent="0.25">
      <c r="A1793" s="170">
        <v>44644</v>
      </c>
      <c r="B1793" s="116">
        <v>318.85000000000002</v>
      </c>
      <c r="C1793" s="116">
        <v>311.05</v>
      </c>
      <c r="D1793" s="116">
        <v>310.5</v>
      </c>
      <c r="E1793" s="116">
        <v>312.60000000000002</v>
      </c>
      <c r="F1793" s="116">
        <v>311.05</v>
      </c>
      <c r="G1793">
        <v>49665</v>
      </c>
      <c r="H1793" s="116"/>
      <c r="I1793" s="116"/>
      <c r="L1793" s="170">
        <v>44645</v>
      </c>
      <c r="M1793" s="116">
        <v>310.8</v>
      </c>
      <c r="N1793" s="116">
        <v>313.39999999999998</v>
      </c>
      <c r="O1793" s="116">
        <v>310.3</v>
      </c>
      <c r="P1793" s="116">
        <v>313</v>
      </c>
      <c r="Q1793" s="116">
        <v>310.8</v>
      </c>
      <c r="R1793">
        <v>852759</v>
      </c>
    </row>
    <row r="1794" spans="1:18" x14ac:dyDescent="0.25">
      <c r="A1794" s="170">
        <v>44645</v>
      </c>
      <c r="B1794" s="116">
        <v>313.60000000000002</v>
      </c>
      <c r="C1794" s="116">
        <v>310.95</v>
      </c>
      <c r="D1794" s="116">
        <v>310.35000000000002</v>
      </c>
      <c r="E1794" s="116">
        <v>313.10000000000002</v>
      </c>
      <c r="F1794" s="116">
        <v>310.95</v>
      </c>
      <c r="G1794">
        <v>69571</v>
      </c>
      <c r="H1794" s="116"/>
      <c r="I1794" s="116"/>
      <c r="L1794" s="170">
        <v>44648</v>
      </c>
      <c r="M1794" s="116">
        <v>310</v>
      </c>
      <c r="N1794" s="116">
        <v>313.39999999999998</v>
      </c>
      <c r="O1794" s="116">
        <v>309.10000000000002</v>
      </c>
      <c r="P1794" s="116">
        <v>313.39999999999998</v>
      </c>
      <c r="Q1794" s="116">
        <v>310</v>
      </c>
      <c r="R1794">
        <v>959106</v>
      </c>
    </row>
    <row r="1795" spans="1:18" x14ac:dyDescent="0.25">
      <c r="A1795" s="170">
        <v>44648</v>
      </c>
      <c r="B1795" s="116">
        <v>313.25</v>
      </c>
      <c r="C1795" s="116">
        <v>310.05</v>
      </c>
      <c r="D1795" s="116">
        <v>309.3</v>
      </c>
      <c r="E1795" s="116">
        <v>310.75</v>
      </c>
      <c r="F1795" s="116">
        <v>310.05</v>
      </c>
      <c r="G1795">
        <v>120063</v>
      </c>
      <c r="H1795" s="116"/>
      <c r="I1795" s="116"/>
      <c r="L1795" s="170">
        <v>44649</v>
      </c>
      <c r="M1795" s="116">
        <v>309.85000000000002</v>
      </c>
      <c r="N1795" s="116">
        <v>312.7</v>
      </c>
      <c r="O1795" s="116">
        <v>306.05</v>
      </c>
      <c r="P1795" s="116">
        <v>312</v>
      </c>
      <c r="Q1795" s="116">
        <v>309.85000000000002</v>
      </c>
      <c r="R1795">
        <v>1291346</v>
      </c>
    </row>
    <row r="1796" spans="1:18" x14ac:dyDescent="0.25">
      <c r="A1796" s="170">
        <v>44649</v>
      </c>
      <c r="B1796" s="116">
        <v>312</v>
      </c>
      <c r="C1796" s="116">
        <v>310.10000000000002</v>
      </c>
      <c r="D1796" s="116">
        <v>306.5</v>
      </c>
      <c r="E1796" s="116">
        <v>310.05</v>
      </c>
      <c r="F1796" s="116">
        <v>310.10000000000002</v>
      </c>
      <c r="G1796">
        <v>87649</v>
      </c>
      <c r="H1796" s="116"/>
      <c r="I1796" s="116"/>
      <c r="L1796" s="170">
        <v>44650</v>
      </c>
      <c r="M1796" s="116">
        <v>311.2</v>
      </c>
      <c r="N1796" s="116">
        <v>312.5</v>
      </c>
      <c r="O1796" s="116">
        <v>310</v>
      </c>
      <c r="P1796" s="116">
        <v>310</v>
      </c>
      <c r="Q1796" s="116">
        <v>311.2</v>
      </c>
      <c r="R1796">
        <v>722629</v>
      </c>
    </row>
    <row r="1797" spans="1:18" x14ac:dyDescent="0.25">
      <c r="A1797" s="170">
        <v>44650</v>
      </c>
      <c r="B1797" s="116">
        <v>312.39999999999998</v>
      </c>
      <c r="C1797" s="116">
        <v>311.14999999999998</v>
      </c>
      <c r="D1797" s="116">
        <v>308</v>
      </c>
      <c r="E1797" s="116">
        <v>308</v>
      </c>
      <c r="F1797" s="116">
        <v>311.14999999999998</v>
      </c>
      <c r="G1797">
        <v>53329</v>
      </c>
      <c r="H1797" s="116"/>
      <c r="I1797" s="116"/>
      <c r="L1797" s="170">
        <v>44651</v>
      </c>
      <c r="M1797" s="116">
        <v>310.14999999999998</v>
      </c>
      <c r="N1797" s="116">
        <v>314.3</v>
      </c>
      <c r="O1797" s="116">
        <v>308.2</v>
      </c>
      <c r="P1797" s="116">
        <v>312.5</v>
      </c>
      <c r="Q1797" s="116">
        <v>310.14999999999998</v>
      </c>
      <c r="R1797">
        <v>1148619</v>
      </c>
    </row>
    <row r="1798" spans="1:18" x14ac:dyDescent="0.25">
      <c r="A1798" s="170">
        <v>44651</v>
      </c>
      <c r="B1798" s="116">
        <v>314.25</v>
      </c>
      <c r="C1798" s="116">
        <v>309.7</v>
      </c>
      <c r="D1798" s="116">
        <v>308.60000000000002</v>
      </c>
      <c r="E1798" s="116">
        <v>308.75</v>
      </c>
      <c r="F1798" s="116">
        <v>309.7</v>
      </c>
      <c r="G1798">
        <v>33361</v>
      </c>
      <c r="H1798" s="116"/>
      <c r="I1798" s="116"/>
      <c r="L1798" s="170">
        <v>44652</v>
      </c>
      <c r="M1798" s="116">
        <v>320.64999999999998</v>
      </c>
      <c r="N1798" s="116">
        <v>321.55</v>
      </c>
      <c r="O1798" s="116">
        <v>309.95</v>
      </c>
      <c r="P1798" s="116">
        <v>311.55</v>
      </c>
      <c r="Q1798" s="116">
        <v>320.64999999999998</v>
      </c>
      <c r="R1798">
        <v>1339271</v>
      </c>
    </row>
    <row r="1799" spans="1:18" x14ac:dyDescent="0.25">
      <c r="A1799" s="170">
        <v>44652</v>
      </c>
      <c r="B1799" s="116">
        <v>321.64999999999998</v>
      </c>
      <c r="C1799" s="116">
        <v>320.5</v>
      </c>
      <c r="D1799" s="116">
        <v>310.35000000000002</v>
      </c>
      <c r="E1799" s="116">
        <v>312.95</v>
      </c>
      <c r="F1799" s="116">
        <v>320.5</v>
      </c>
      <c r="G1799">
        <v>44405</v>
      </c>
      <c r="H1799" s="116"/>
      <c r="I1799" s="116"/>
      <c r="L1799" s="170">
        <v>44655</v>
      </c>
      <c r="M1799" s="116">
        <v>325.05</v>
      </c>
      <c r="N1799" s="116">
        <v>326.8</v>
      </c>
      <c r="O1799" s="116">
        <v>321.25</v>
      </c>
      <c r="P1799" s="116">
        <v>323.5</v>
      </c>
      <c r="Q1799" s="116">
        <v>325.05</v>
      </c>
      <c r="R1799">
        <v>797433</v>
      </c>
    </row>
    <row r="1800" spans="1:18" x14ac:dyDescent="0.25">
      <c r="A1800" s="170">
        <v>44655</v>
      </c>
      <c r="B1800" s="116">
        <v>325.55</v>
      </c>
      <c r="C1800" s="116">
        <v>324.95</v>
      </c>
      <c r="D1800" s="116">
        <v>320.60000000000002</v>
      </c>
      <c r="E1800" s="116">
        <v>320.60000000000002</v>
      </c>
      <c r="F1800" s="116">
        <v>324.95</v>
      </c>
      <c r="G1800">
        <v>58415</v>
      </c>
      <c r="H1800" s="116"/>
      <c r="I1800" s="116"/>
      <c r="L1800" s="170">
        <v>44656</v>
      </c>
      <c r="M1800" s="116">
        <v>332.85</v>
      </c>
      <c r="N1800" s="116">
        <v>336</v>
      </c>
      <c r="O1800" s="116">
        <v>325.05</v>
      </c>
      <c r="P1800" s="116">
        <v>330</v>
      </c>
      <c r="Q1800" s="116">
        <v>332.85</v>
      </c>
      <c r="R1800">
        <v>2069155</v>
      </c>
    </row>
    <row r="1801" spans="1:18" x14ac:dyDescent="0.25">
      <c r="A1801" s="170">
        <v>44656</v>
      </c>
      <c r="B1801" s="116">
        <v>335.85</v>
      </c>
      <c r="C1801" s="116">
        <v>332.8</v>
      </c>
      <c r="D1801" s="116">
        <v>325.2</v>
      </c>
      <c r="E1801" s="116">
        <v>331.55</v>
      </c>
      <c r="F1801" s="116">
        <v>332.8</v>
      </c>
      <c r="G1801">
        <v>100334</v>
      </c>
      <c r="H1801" s="116"/>
      <c r="I1801" s="116"/>
      <c r="L1801" s="170">
        <v>44657</v>
      </c>
      <c r="M1801" s="116">
        <v>333.4</v>
      </c>
      <c r="N1801" s="116">
        <v>335</v>
      </c>
      <c r="O1801" s="116">
        <v>327</v>
      </c>
      <c r="P1801" s="116">
        <v>332</v>
      </c>
      <c r="Q1801" s="116">
        <v>333.4</v>
      </c>
      <c r="R1801">
        <v>732422</v>
      </c>
    </row>
    <row r="1802" spans="1:18" x14ac:dyDescent="0.25">
      <c r="A1802" s="170">
        <v>44657</v>
      </c>
      <c r="B1802" s="116">
        <v>335.1</v>
      </c>
      <c r="C1802" s="116">
        <v>333.3</v>
      </c>
      <c r="D1802" s="116">
        <v>328</v>
      </c>
      <c r="E1802" s="116">
        <v>330</v>
      </c>
      <c r="F1802" s="116">
        <v>333.3</v>
      </c>
      <c r="G1802">
        <v>37778</v>
      </c>
      <c r="H1802" s="116"/>
      <c r="I1802" s="116"/>
      <c r="L1802" s="170">
        <v>44658</v>
      </c>
      <c r="M1802" s="116">
        <v>337.4</v>
      </c>
      <c r="N1802" s="116">
        <v>338</v>
      </c>
      <c r="O1802" s="116">
        <v>332.1</v>
      </c>
      <c r="P1802" s="116">
        <v>333</v>
      </c>
      <c r="Q1802" s="116">
        <v>337.4</v>
      </c>
      <c r="R1802">
        <v>982237</v>
      </c>
    </row>
    <row r="1803" spans="1:18" x14ac:dyDescent="0.25">
      <c r="A1803" s="170">
        <v>44658</v>
      </c>
      <c r="B1803" s="116">
        <v>338.2</v>
      </c>
      <c r="C1803" s="116">
        <v>337.2</v>
      </c>
      <c r="D1803" s="116">
        <v>332</v>
      </c>
      <c r="E1803" s="116">
        <v>335.95</v>
      </c>
      <c r="F1803" s="116">
        <v>337.2</v>
      </c>
      <c r="G1803">
        <v>45420</v>
      </c>
      <c r="H1803" s="116"/>
      <c r="I1803" s="116"/>
      <c r="L1803" s="170">
        <v>44659</v>
      </c>
      <c r="M1803" s="116">
        <v>338.75</v>
      </c>
      <c r="N1803" s="116">
        <v>340.8</v>
      </c>
      <c r="O1803" s="116">
        <v>333.8</v>
      </c>
      <c r="P1803" s="116">
        <v>337</v>
      </c>
      <c r="Q1803" s="116">
        <v>338.75</v>
      </c>
      <c r="R1803">
        <v>890129</v>
      </c>
    </row>
    <row r="1804" spans="1:18" x14ac:dyDescent="0.25">
      <c r="A1804" s="170">
        <v>44659</v>
      </c>
      <c r="B1804" s="116">
        <v>340.8</v>
      </c>
      <c r="C1804" s="116">
        <v>338.8</v>
      </c>
      <c r="D1804" s="116">
        <v>333.8</v>
      </c>
      <c r="E1804" s="116">
        <v>339.8</v>
      </c>
      <c r="F1804" s="116">
        <v>338.8</v>
      </c>
      <c r="G1804">
        <v>50658</v>
      </c>
      <c r="H1804" s="116"/>
      <c r="I1804" s="116"/>
      <c r="L1804" s="170">
        <v>44662</v>
      </c>
      <c r="M1804" s="116">
        <v>348.55</v>
      </c>
      <c r="N1804" s="116">
        <v>349</v>
      </c>
      <c r="O1804" s="116">
        <v>338</v>
      </c>
      <c r="P1804" s="116">
        <v>340</v>
      </c>
      <c r="Q1804" s="116">
        <v>348.55</v>
      </c>
      <c r="R1804">
        <v>1506518</v>
      </c>
    </row>
    <row r="1805" spans="1:18" x14ac:dyDescent="0.25">
      <c r="A1805" s="170">
        <v>44662</v>
      </c>
      <c r="B1805" s="116">
        <v>349</v>
      </c>
      <c r="C1805" s="116">
        <v>348.3</v>
      </c>
      <c r="D1805" s="116">
        <v>338.2</v>
      </c>
      <c r="E1805" s="116">
        <v>338.2</v>
      </c>
      <c r="F1805" s="116">
        <v>348.3</v>
      </c>
      <c r="G1805">
        <v>209449</v>
      </c>
      <c r="H1805" s="116"/>
      <c r="I1805" s="116"/>
      <c r="L1805" s="170">
        <v>44663</v>
      </c>
      <c r="M1805" s="116">
        <v>340.35</v>
      </c>
      <c r="N1805" s="116">
        <v>348.05</v>
      </c>
      <c r="O1805" s="116">
        <v>337.1</v>
      </c>
      <c r="P1805" s="116">
        <v>348</v>
      </c>
      <c r="Q1805" s="116">
        <v>340.35</v>
      </c>
      <c r="R1805">
        <v>712314</v>
      </c>
    </row>
    <row r="1806" spans="1:18" x14ac:dyDescent="0.25">
      <c r="A1806" s="170">
        <v>44663</v>
      </c>
      <c r="B1806" s="116">
        <v>348.4</v>
      </c>
      <c r="C1806" s="116">
        <v>340.45</v>
      </c>
      <c r="D1806" s="116">
        <v>337.35</v>
      </c>
      <c r="E1806" s="116">
        <v>348.3</v>
      </c>
      <c r="F1806" s="116">
        <v>340.45</v>
      </c>
      <c r="G1806">
        <v>49688</v>
      </c>
      <c r="H1806" s="116"/>
      <c r="I1806" s="116"/>
      <c r="L1806" s="170">
        <v>44664</v>
      </c>
      <c r="M1806" s="116">
        <v>352.45</v>
      </c>
      <c r="N1806" s="116">
        <v>356.75</v>
      </c>
      <c r="O1806" s="116">
        <v>345.4</v>
      </c>
      <c r="P1806" s="116">
        <v>345.45</v>
      </c>
      <c r="Q1806" s="116">
        <v>352.45</v>
      </c>
      <c r="R1806">
        <v>3585186</v>
      </c>
    </row>
    <row r="1807" spans="1:18" x14ac:dyDescent="0.25">
      <c r="A1807" s="170">
        <v>44664</v>
      </c>
      <c r="B1807" s="116">
        <v>356.7</v>
      </c>
      <c r="C1807" s="116">
        <v>352.4</v>
      </c>
      <c r="D1807" s="116">
        <v>345</v>
      </c>
      <c r="E1807" s="116">
        <v>346</v>
      </c>
      <c r="F1807" s="116">
        <v>352.4</v>
      </c>
      <c r="G1807">
        <v>248736</v>
      </c>
      <c r="H1807" s="116"/>
      <c r="I1807" s="116"/>
      <c r="L1807" s="170">
        <v>44669</v>
      </c>
      <c r="M1807" s="116">
        <v>344.05</v>
      </c>
      <c r="N1807" s="116">
        <v>351.65</v>
      </c>
      <c r="O1807" s="116">
        <v>343</v>
      </c>
      <c r="P1807" s="116">
        <v>351.65</v>
      </c>
      <c r="Q1807" s="116">
        <v>344.05</v>
      </c>
      <c r="R1807">
        <v>543920</v>
      </c>
    </row>
    <row r="1808" spans="1:18" x14ac:dyDescent="0.25">
      <c r="A1808" s="170">
        <v>44669</v>
      </c>
      <c r="B1808" s="116">
        <v>352.6</v>
      </c>
      <c r="C1808" s="116">
        <v>344.2</v>
      </c>
      <c r="D1808" s="116">
        <v>343</v>
      </c>
      <c r="E1808" s="116">
        <v>352.6</v>
      </c>
      <c r="F1808" s="116">
        <v>344.2</v>
      </c>
      <c r="G1808">
        <v>39184</v>
      </c>
      <c r="H1808" s="116"/>
      <c r="I1808" s="116"/>
      <c r="L1808" s="170">
        <v>44670</v>
      </c>
      <c r="M1808" s="116">
        <v>341.45</v>
      </c>
      <c r="N1808" s="116">
        <v>350</v>
      </c>
      <c r="O1808" s="116">
        <v>333.1</v>
      </c>
      <c r="P1808" s="116">
        <v>348.5</v>
      </c>
      <c r="Q1808" s="116">
        <v>341.45</v>
      </c>
      <c r="R1808">
        <v>543960</v>
      </c>
    </row>
    <row r="1809" spans="1:18" x14ac:dyDescent="0.25">
      <c r="A1809" s="170">
        <v>44670</v>
      </c>
      <c r="B1809" s="116">
        <v>349.95</v>
      </c>
      <c r="C1809" s="116">
        <v>340.45</v>
      </c>
      <c r="D1809" s="116">
        <v>333.4</v>
      </c>
      <c r="E1809" s="116">
        <v>344.2</v>
      </c>
      <c r="F1809" s="116">
        <v>340.45</v>
      </c>
      <c r="G1809">
        <v>65958</v>
      </c>
      <c r="H1809" s="116"/>
      <c r="I1809" s="116"/>
      <c r="L1809" s="170">
        <v>44671</v>
      </c>
      <c r="M1809" s="116">
        <v>347.45</v>
      </c>
      <c r="N1809" s="116">
        <v>349.9</v>
      </c>
      <c r="O1809" s="116">
        <v>342.05</v>
      </c>
      <c r="P1809" s="116">
        <v>342.05</v>
      </c>
      <c r="Q1809" s="116">
        <v>347.45</v>
      </c>
      <c r="R1809">
        <v>534452</v>
      </c>
    </row>
    <row r="1810" spans="1:18" x14ac:dyDescent="0.25">
      <c r="A1810" s="170">
        <v>44671</v>
      </c>
      <c r="B1810" s="116">
        <v>349.95</v>
      </c>
      <c r="C1810" s="116">
        <v>347.3</v>
      </c>
      <c r="D1810" s="116">
        <v>341.25</v>
      </c>
      <c r="E1810" s="116">
        <v>344.8</v>
      </c>
      <c r="F1810" s="116">
        <v>347.3</v>
      </c>
      <c r="G1810">
        <v>28255</v>
      </c>
      <c r="H1810" s="116"/>
      <c r="I1810" s="116"/>
      <c r="L1810" s="170">
        <v>44672</v>
      </c>
      <c r="M1810" s="116">
        <v>349.8</v>
      </c>
      <c r="N1810" s="116">
        <v>350.9</v>
      </c>
      <c r="O1810" s="116">
        <v>344.3</v>
      </c>
      <c r="P1810" s="116">
        <v>347.4</v>
      </c>
      <c r="Q1810" s="116">
        <v>349.8</v>
      </c>
      <c r="R1810">
        <v>599962</v>
      </c>
    </row>
    <row r="1811" spans="1:18" x14ac:dyDescent="0.25">
      <c r="A1811" s="170">
        <v>44672</v>
      </c>
      <c r="B1811" s="116">
        <v>350.8</v>
      </c>
      <c r="C1811" s="116">
        <v>349.7</v>
      </c>
      <c r="D1811" s="116">
        <v>344.7</v>
      </c>
      <c r="E1811" s="116">
        <v>347.45</v>
      </c>
      <c r="F1811" s="116">
        <v>349.7</v>
      </c>
      <c r="G1811">
        <v>29322</v>
      </c>
      <c r="H1811" s="116"/>
      <c r="I1811" s="116"/>
      <c r="L1811" s="170">
        <v>44673</v>
      </c>
      <c r="M1811" s="116">
        <v>345.35</v>
      </c>
      <c r="N1811" s="116">
        <v>353.9</v>
      </c>
      <c r="O1811" s="116">
        <v>341.55</v>
      </c>
      <c r="P1811" s="116">
        <v>349.4</v>
      </c>
      <c r="Q1811" s="116">
        <v>345.35</v>
      </c>
      <c r="R1811">
        <v>1924985</v>
      </c>
    </row>
    <row r="1812" spans="1:18" x14ac:dyDescent="0.25">
      <c r="A1812" s="170">
        <v>44673</v>
      </c>
      <c r="B1812" s="116">
        <v>353.75</v>
      </c>
      <c r="C1812" s="116">
        <v>344.9</v>
      </c>
      <c r="D1812" s="116">
        <v>341.75</v>
      </c>
      <c r="E1812" s="116">
        <v>349.5</v>
      </c>
      <c r="F1812" s="116">
        <v>344.9</v>
      </c>
      <c r="G1812">
        <v>76111</v>
      </c>
      <c r="H1812" s="116"/>
      <c r="I1812" s="116"/>
      <c r="L1812" s="170">
        <v>44676</v>
      </c>
      <c r="M1812" s="116">
        <v>322.85000000000002</v>
      </c>
      <c r="N1812" s="116">
        <v>342.5</v>
      </c>
      <c r="O1812" s="116">
        <v>321.85000000000002</v>
      </c>
      <c r="P1812" s="116">
        <v>342.5</v>
      </c>
      <c r="Q1812" s="116">
        <v>322.85000000000002</v>
      </c>
      <c r="R1812">
        <v>1840008</v>
      </c>
    </row>
    <row r="1813" spans="1:18" x14ac:dyDescent="0.25">
      <c r="A1813" s="170">
        <v>44676</v>
      </c>
      <c r="B1813" s="116">
        <v>344.7</v>
      </c>
      <c r="C1813" s="116">
        <v>323</v>
      </c>
      <c r="D1813" s="116">
        <v>322</v>
      </c>
      <c r="E1813" s="116">
        <v>344.7</v>
      </c>
      <c r="F1813" s="116">
        <v>323</v>
      </c>
      <c r="G1813">
        <v>94290</v>
      </c>
      <c r="H1813" s="116"/>
      <c r="I1813" s="116"/>
      <c r="L1813" s="170">
        <v>44677</v>
      </c>
      <c r="M1813" s="116">
        <v>322.95</v>
      </c>
      <c r="N1813" s="116">
        <v>327.7</v>
      </c>
      <c r="O1813" s="116">
        <v>316.25</v>
      </c>
      <c r="P1813" s="116">
        <v>323.05</v>
      </c>
      <c r="Q1813" s="116">
        <v>322.95</v>
      </c>
      <c r="R1813">
        <v>1762087</v>
      </c>
    </row>
    <row r="1814" spans="1:18" x14ac:dyDescent="0.25">
      <c r="A1814" s="170">
        <v>44677</v>
      </c>
      <c r="B1814" s="116">
        <v>327.75</v>
      </c>
      <c r="C1814" s="116">
        <v>323.05</v>
      </c>
      <c r="D1814" s="116">
        <v>316.10000000000002</v>
      </c>
      <c r="E1814" s="116">
        <v>324.7</v>
      </c>
      <c r="F1814" s="116">
        <v>323.05</v>
      </c>
      <c r="G1814">
        <v>115829</v>
      </c>
      <c r="H1814" s="116"/>
      <c r="I1814" s="116"/>
      <c r="L1814" s="170">
        <v>44678</v>
      </c>
      <c r="M1814" s="116">
        <v>318.14999999999998</v>
      </c>
      <c r="N1814" s="116">
        <v>322.8</v>
      </c>
      <c r="O1814" s="116">
        <v>314.55</v>
      </c>
      <c r="P1814" s="116">
        <v>318.2</v>
      </c>
      <c r="Q1814" s="116">
        <v>318.14999999999998</v>
      </c>
      <c r="R1814">
        <v>1364198</v>
      </c>
    </row>
    <row r="1815" spans="1:18" x14ac:dyDescent="0.25">
      <c r="A1815" s="170">
        <v>44678</v>
      </c>
      <c r="B1815" s="116">
        <v>322.64999999999998</v>
      </c>
      <c r="C1815" s="116">
        <v>318.35000000000002</v>
      </c>
      <c r="D1815" s="116">
        <v>314.64999999999998</v>
      </c>
      <c r="E1815" s="116">
        <v>320</v>
      </c>
      <c r="F1815" s="116">
        <v>318.35000000000002</v>
      </c>
      <c r="G1815">
        <v>49448</v>
      </c>
      <c r="H1815" s="116"/>
      <c r="I1815" s="116"/>
      <c r="L1815" s="170">
        <v>44679</v>
      </c>
      <c r="M1815" s="116">
        <v>321.55</v>
      </c>
      <c r="N1815" s="116">
        <v>324</v>
      </c>
      <c r="O1815" s="116">
        <v>315.55</v>
      </c>
      <c r="P1815" s="116">
        <v>323</v>
      </c>
      <c r="Q1815" s="116">
        <v>321.55</v>
      </c>
      <c r="R1815">
        <v>1015521</v>
      </c>
    </row>
    <row r="1816" spans="1:18" x14ac:dyDescent="0.25">
      <c r="A1816" s="170">
        <v>44679</v>
      </c>
      <c r="B1816" s="116">
        <v>323.89999999999998</v>
      </c>
      <c r="C1816" s="116">
        <v>321.55</v>
      </c>
      <c r="D1816" s="116">
        <v>315.64999999999998</v>
      </c>
      <c r="E1816" s="116">
        <v>318.35000000000002</v>
      </c>
      <c r="F1816" s="116">
        <v>321.55</v>
      </c>
      <c r="G1816">
        <v>37684</v>
      </c>
      <c r="H1816" s="116"/>
      <c r="I1816" s="116"/>
      <c r="L1816" s="170">
        <v>44680</v>
      </c>
      <c r="M1816" s="116">
        <v>321.89999999999998</v>
      </c>
      <c r="N1816" s="116">
        <v>324.7</v>
      </c>
      <c r="O1816" s="116">
        <v>317.60000000000002</v>
      </c>
      <c r="P1816" s="116">
        <v>323</v>
      </c>
      <c r="Q1816" s="116">
        <v>321.89999999999998</v>
      </c>
      <c r="R1816">
        <v>838605</v>
      </c>
    </row>
    <row r="1817" spans="1:18" x14ac:dyDescent="0.25">
      <c r="A1817" s="170">
        <v>44680</v>
      </c>
      <c r="B1817" s="116">
        <v>324.25</v>
      </c>
      <c r="C1817" s="116">
        <v>322</v>
      </c>
      <c r="D1817" s="116">
        <v>317.85000000000002</v>
      </c>
      <c r="E1817" s="116">
        <v>322.10000000000002</v>
      </c>
      <c r="F1817" s="116">
        <v>322</v>
      </c>
      <c r="G1817">
        <v>47353</v>
      </c>
      <c r="H1817" s="116"/>
      <c r="I1817" s="116"/>
      <c r="L1817" s="170">
        <v>44683</v>
      </c>
      <c r="M1817" s="116">
        <v>323.35000000000002</v>
      </c>
      <c r="N1817" s="116">
        <v>328.8</v>
      </c>
      <c r="O1817" s="116">
        <v>316.05</v>
      </c>
      <c r="P1817" s="116">
        <v>321.85000000000002</v>
      </c>
      <c r="Q1817" s="116">
        <v>323.35000000000002</v>
      </c>
      <c r="R1817">
        <v>699894</v>
      </c>
    </row>
    <row r="1818" spans="1:18" x14ac:dyDescent="0.25">
      <c r="A1818" s="170">
        <v>44683</v>
      </c>
      <c r="B1818" s="116">
        <v>326.05</v>
      </c>
      <c r="C1818" s="116">
        <v>322.64999999999998</v>
      </c>
      <c r="D1818" s="116">
        <v>316.10000000000002</v>
      </c>
      <c r="E1818" s="116">
        <v>318.5</v>
      </c>
      <c r="F1818" s="116">
        <v>322.64999999999998</v>
      </c>
      <c r="G1818">
        <v>42481</v>
      </c>
      <c r="H1818" s="116"/>
      <c r="I1818" s="116"/>
      <c r="L1818" s="170">
        <v>44685</v>
      </c>
      <c r="M1818" s="116">
        <v>315.85000000000002</v>
      </c>
      <c r="N1818" s="116">
        <v>325</v>
      </c>
      <c r="O1818" s="116">
        <v>314</v>
      </c>
      <c r="P1818" s="116">
        <v>323.35000000000002</v>
      </c>
      <c r="Q1818" s="116">
        <v>315.85000000000002</v>
      </c>
      <c r="R1818">
        <v>612426</v>
      </c>
    </row>
    <row r="1819" spans="1:18" x14ac:dyDescent="0.25">
      <c r="A1819" s="170">
        <v>44685</v>
      </c>
      <c r="B1819" s="116">
        <v>324.95</v>
      </c>
      <c r="C1819" s="116">
        <v>315.89999999999998</v>
      </c>
      <c r="D1819" s="116">
        <v>314</v>
      </c>
      <c r="E1819" s="116">
        <v>322.14999999999998</v>
      </c>
      <c r="F1819" s="116">
        <v>315.89999999999998</v>
      </c>
      <c r="G1819">
        <v>33415</v>
      </c>
      <c r="H1819" s="116"/>
      <c r="I1819" s="116"/>
      <c r="L1819" s="170">
        <v>44686</v>
      </c>
      <c r="M1819" s="116">
        <v>311</v>
      </c>
      <c r="N1819" s="116">
        <v>320.95</v>
      </c>
      <c r="O1819" s="116">
        <v>310.14999999999998</v>
      </c>
      <c r="P1819" s="116">
        <v>318.2</v>
      </c>
      <c r="Q1819" s="116">
        <v>311</v>
      </c>
      <c r="R1819">
        <v>548685</v>
      </c>
    </row>
    <row r="1820" spans="1:18" x14ac:dyDescent="0.25">
      <c r="A1820" s="170">
        <v>44686</v>
      </c>
      <c r="B1820" s="116">
        <v>320.95</v>
      </c>
      <c r="C1820" s="116">
        <v>311.05</v>
      </c>
      <c r="D1820" s="116">
        <v>310.3</v>
      </c>
      <c r="E1820" s="116">
        <v>319.8</v>
      </c>
      <c r="F1820" s="116">
        <v>311.05</v>
      </c>
      <c r="G1820">
        <v>35351</v>
      </c>
      <c r="H1820" s="116"/>
      <c r="I1820" s="116"/>
      <c r="L1820" s="170">
        <v>44687</v>
      </c>
      <c r="M1820" s="116">
        <v>304.8</v>
      </c>
      <c r="N1820" s="116">
        <v>309.45</v>
      </c>
      <c r="O1820" s="116">
        <v>301.35000000000002</v>
      </c>
      <c r="P1820" s="116">
        <v>306.10000000000002</v>
      </c>
      <c r="Q1820" s="116">
        <v>304.8</v>
      </c>
      <c r="R1820">
        <v>741272</v>
      </c>
    </row>
    <row r="1821" spans="1:18" x14ac:dyDescent="0.25">
      <c r="A1821" s="170">
        <v>44687</v>
      </c>
      <c r="B1821" s="116">
        <v>309.55</v>
      </c>
      <c r="C1821" s="116">
        <v>305</v>
      </c>
      <c r="D1821" s="116">
        <v>301.5</v>
      </c>
      <c r="E1821" s="116">
        <v>307</v>
      </c>
      <c r="F1821" s="116">
        <v>305</v>
      </c>
      <c r="G1821">
        <v>98441</v>
      </c>
      <c r="H1821" s="116"/>
      <c r="I1821" s="116"/>
      <c r="L1821" s="170">
        <v>44690</v>
      </c>
      <c r="M1821" s="116">
        <v>309.05</v>
      </c>
      <c r="N1821" s="116">
        <v>311.45</v>
      </c>
      <c r="O1821" s="116">
        <v>301.60000000000002</v>
      </c>
      <c r="P1821" s="116">
        <v>304</v>
      </c>
      <c r="Q1821" s="116">
        <v>309.05</v>
      </c>
      <c r="R1821">
        <v>625988</v>
      </c>
    </row>
    <row r="1822" spans="1:18" x14ac:dyDescent="0.25">
      <c r="A1822" s="170">
        <v>44690</v>
      </c>
      <c r="B1822" s="116">
        <v>311.2</v>
      </c>
      <c r="C1822" s="116">
        <v>309.25</v>
      </c>
      <c r="D1822" s="116">
        <v>301.05</v>
      </c>
      <c r="E1822" s="116">
        <v>303.2</v>
      </c>
      <c r="F1822" s="116">
        <v>309.25</v>
      </c>
      <c r="G1822">
        <v>73798</v>
      </c>
      <c r="H1822" s="116"/>
      <c r="I1822" s="116"/>
      <c r="L1822" s="170">
        <v>44691</v>
      </c>
      <c r="M1822" s="116">
        <v>300.95</v>
      </c>
      <c r="N1822" s="116">
        <v>308.75</v>
      </c>
      <c r="O1822" s="116">
        <v>299.55</v>
      </c>
      <c r="P1822" s="116">
        <v>305.05</v>
      </c>
      <c r="Q1822" s="116">
        <v>300.95</v>
      </c>
      <c r="R1822">
        <v>562023</v>
      </c>
    </row>
    <row r="1823" spans="1:18" x14ac:dyDescent="0.25">
      <c r="A1823" s="170">
        <v>44691</v>
      </c>
      <c r="B1823" s="116">
        <v>308.8</v>
      </c>
      <c r="C1823" s="116">
        <v>301.10000000000002</v>
      </c>
      <c r="D1823" s="116">
        <v>300</v>
      </c>
      <c r="E1823" s="116">
        <v>308</v>
      </c>
      <c r="F1823" s="116">
        <v>301.10000000000002</v>
      </c>
      <c r="G1823">
        <v>56779</v>
      </c>
      <c r="H1823" s="116"/>
      <c r="I1823" s="116"/>
      <c r="L1823" s="170">
        <v>44692</v>
      </c>
      <c r="M1823" s="116">
        <v>295.45</v>
      </c>
      <c r="N1823" s="116">
        <v>303.60000000000002</v>
      </c>
      <c r="O1823" s="116">
        <v>287</v>
      </c>
      <c r="P1823" s="116">
        <v>300.14999999999998</v>
      </c>
      <c r="Q1823" s="116">
        <v>295.45</v>
      </c>
      <c r="R1823">
        <v>873285</v>
      </c>
    </row>
    <row r="1824" spans="1:18" x14ac:dyDescent="0.25">
      <c r="A1824" s="170">
        <v>44692</v>
      </c>
      <c r="B1824" s="116">
        <v>303.8</v>
      </c>
      <c r="C1824" s="116">
        <v>296.25</v>
      </c>
      <c r="D1824" s="116">
        <v>287.10000000000002</v>
      </c>
      <c r="E1824" s="116">
        <v>301.14999999999998</v>
      </c>
      <c r="F1824" s="116">
        <v>296.25</v>
      </c>
      <c r="G1824">
        <v>86413</v>
      </c>
      <c r="H1824" s="116"/>
      <c r="I1824" s="116"/>
      <c r="L1824" s="170">
        <v>44693</v>
      </c>
      <c r="M1824" s="116">
        <v>286.14999999999998</v>
      </c>
      <c r="N1824" s="116">
        <v>293.3</v>
      </c>
      <c r="O1824" s="116">
        <v>285.14999999999998</v>
      </c>
      <c r="P1824" s="116">
        <v>292.35000000000002</v>
      </c>
      <c r="Q1824" s="116">
        <v>286.14999999999998</v>
      </c>
      <c r="R1824">
        <v>548950</v>
      </c>
    </row>
    <row r="1825" spans="1:18" x14ac:dyDescent="0.25">
      <c r="A1825" s="170">
        <v>44693</v>
      </c>
      <c r="B1825" s="116">
        <v>293.64999999999998</v>
      </c>
      <c r="C1825" s="116">
        <v>286.45</v>
      </c>
      <c r="D1825" s="116">
        <v>285.3</v>
      </c>
      <c r="E1825" s="116">
        <v>293</v>
      </c>
      <c r="F1825" s="116">
        <v>286.45</v>
      </c>
      <c r="G1825">
        <v>51279</v>
      </c>
      <c r="H1825" s="116"/>
      <c r="I1825" s="116"/>
      <c r="L1825" s="170">
        <v>44694</v>
      </c>
      <c r="M1825" s="116">
        <v>284.55</v>
      </c>
      <c r="N1825" s="116">
        <v>294.55</v>
      </c>
      <c r="O1825" s="116">
        <v>283</v>
      </c>
      <c r="P1825" s="116">
        <v>289</v>
      </c>
      <c r="Q1825" s="116">
        <v>284.55</v>
      </c>
      <c r="R1825">
        <v>415655</v>
      </c>
    </row>
    <row r="1826" spans="1:18" x14ac:dyDescent="0.25">
      <c r="A1826" s="170">
        <v>44694</v>
      </c>
      <c r="B1826" s="116">
        <v>294.55</v>
      </c>
      <c r="C1826" s="116">
        <v>284.7</v>
      </c>
      <c r="D1826" s="116">
        <v>283.10000000000002</v>
      </c>
      <c r="E1826" s="116">
        <v>290</v>
      </c>
      <c r="F1826" s="116">
        <v>284.7</v>
      </c>
      <c r="G1826">
        <v>48722</v>
      </c>
      <c r="H1826" s="116"/>
      <c r="I1826" s="116"/>
      <c r="L1826" s="170">
        <v>44697</v>
      </c>
      <c r="M1826" s="116">
        <v>282.25</v>
      </c>
      <c r="N1826" s="116">
        <v>288.3</v>
      </c>
      <c r="O1826" s="116">
        <v>278.95</v>
      </c>
      <c r="P1826" s="116">
        <v>284.7</v>
      </c>
      <c r="Q1826" s="116">
        <v>282.25</v>
      </c>
      <c r="R1826">
        <v>448904</v>
      </c>
    </row>
    <row r="1827" spans="1:18" x14ac:dyDescent="0.25">
      <c r="A1827" s="170">
        <v>44697</v>
      </c>
      <c r="B1827" s="116">
        <v>288.14999999999998</v>
      </c>
      <c r="C1827" s="116">
        <v>282.25</v>
      </c>
      <c r="D1827" s="116">
        <v>279</v>
      </c>
      <c r="E1827" s="116">
        <v>284.35000000000002</v>
      </c>
      <c r="F1827" s="116">
        <v>282.25</v>
      </c>
      <c r="G1827">
        <v>53375</v>
      </c>
      <c r="H1827" s="116"/>
      <c r="I1827" s="116"/>
      <c r="L1827" s="170">
        <v>44698</v>
      </c>
      <c r="M1827" s="116">
        <v>293.8</v>
      </c>
      <c r="N1827" s="116">
        <v>296.3</v>
      </c>
      <c r="O1827" s="116">
        <v>284.25</v>
      </c>
      <c r="P1827" s="116">
        <v>286.5</v>
      </c>
      <c r="Q1827" s="116">
        <v>293.8</v>
      </c>
      <c r="R1827">
        <v>821541</v>
      </c>
    </row>
    <row r="1828" spans="1:18" x14ac:dyDescent="0.25">
      <c r="A1828" s="170">
        <v>44698</v>
      </c>
      <c r="B1828" s="116">
        <v>296.35000000000002</v>
      </c>
      <c r="C1828" s="116">
        <v>293.95</v>
      </c>
      <c r="D1828" s="116">
        <v>284.95</v>
      </c>
      <c r="E1828" s="116">
        <v>284.95</v>
      </c>
      <c r="F1828" s="116">
        <v>293.95</v>
      </c>
      <c r="G1828">
        <v>84053</v>
      </c>
      <c r="H1828" s="116"/>
      <c r="I1828" s="116"/>
      <c r="L1828" s="170">
        <v>44699</v>
      </c>
      <c r="M1828" s="116">
        <v>291</v>
      </c>
      <c r="N1828" s="116">
        <v>298</v>
      </c>
      <c r="O1828" s="116">
        <v>290.35000000000002</v>
      </c>
      <c r="P1828" s="116">
        <v>297</v>
      </c>
      <c r="Q1828" s="116">
        <v>291</v>
      </c>
      <c r="R1828">
        <v>371423</v>
      </c>
    </row>
    <row r="1829" spans="1:18" x14ac:dyDescent="0.25">
      <c r="A1829" s="170">
        <v>44699</v>
      </c>
      <c r="B1829" s="116">
        <v>298.5</v>
      </c>
      <c r="C1829" s="116">
        <v>290.95</v>
      </c>
      <c r="D1829" s="116">
        <v>290.35000000000002</v>
      </c>
      <c r="E1829" s="116">
        <v>298.5</v>
      </c>
      <c r="F1829" s="116">
        <v>290.95</v>
      </c>
      <c r="G1829">
        <v>34788</v>
      </c>
      <c r="H1829" s="116"/>
      <c r="I1829" s="116"/>
      <c r="L1829" s="170">
        <v>44700</v>
      </c>
      <c r="M1829" s="116">
        <v>285.45</v>
      </c>
      <c r="N1829" s="116">
        <v>290.7</v>
      </c>
      <c r="O1829" s="116">
        <v>282.7</v>
      </c>
      <c r="P1829" s="116">
        <v>286.89999999999998</v>
      </c>
      <c r="Q1829" s="116">
        <v>285.45</v>
      </c>
      <c r="R1829">
        <v>339233</v>
      </c>
    </row>
    <row r="1830" spans="1:18" x14ac:dyDescent="0.25">
      <c r="A1830" s="170">
        <v>44700</v>
      </c>
      <c r="B1830" s="116">
        <v>290.60000000000002</v>
      </c>
      <c r="C1830" s="116">
        <v>285.35000000000002</v>
      </c>
      <c r="D1830" s="116">
        <v>282.60000000000002</v>
      </c>
      <c r="E1830" s="116">
        <v>289.95</v>
      </c>
      <c r="F1830" s="116">
        <v>285.35000000000002</v>
      </c>
      <c r="G1830">
        <v>29111</v>
      </c>
      <c r="H1830" s="116"/>
      <c r="I1830" s="116"/>
      <c r="L1830" s="170">
        <v>44701</v>
      </c>
      <c r="M1830" s="116">
        <v>293.64999999999998</v>
      </c>
      <c r="N1830" s="116">
        <v>296.85000000000002</v>
      </c>
      <c r="O1830" s="116">
        <v>290.10000000000002</v>
      </c>
      <c r="P1830" s="116">
        <v>291.14999999999998</v>
      </c>
      <c r="Q1830" s="116">
        <v>293.64999999999998</v>
      </c>
      <c r="R1830">
        <v>591646</v>
      </c>
    </row>
    <row r="1831" spans="1:18" x14ac:dyDescent="0.25">
      <c r="A1831" s="170">
        <v>44701</v>
      </c>
      <c r="B1831" s="116">
        <v>296.89999999999998</v>
      </c>
      <c r="C1831" s="116">
        <v>294.2</v>
      </c>
      <c r="D1831" s="116">
        <v>290.2</v>
      </c>
      <c r="E1831" s="116">
        <v>293.85000000000002</v>
      </c>
      <c r="F1831" s="116">
        <v>294.2</v>
      </c>
      <c r="G1831">
        <v>42834</v>
      </c>
      <c r="H1831" s="116"/>
      <c r="I1831" s="116"/>
      <c r="L1831" s="170">
        <v>44704</v>
      </c>
      <c r="M1831" s="116">
        <v>299.25</v>
      </c>
      <c r="N1831" s="116">
        <v>300</v>
      </c>
      <c r="O1831" s="116">
        <v>286.2</v>
      </c>
      <c r="P1831" s="116">
        <v>292</v>
      </c>
      <c r="Q1831" s="116">
        <v>299.25</v>
      </c>
      <c r="R1831">
        <v>741139</v>
      </c>
    </row>
    <row r="1832" spans="1:18" x14ac:dyDescent="0.25">
      <c r="A1832" s="170">
        <v>44704</v>
      </c>
      <c r="B1832" s="116">
        <v>299.8</v>
      </c>
      <c r="C1832" s="116">
        <v>298.55</v>
      </c>
      <c r="D1832" s="116">
        <v>286.25</v>
      </c>
      <c r="E1832" s="116">
        <v>290.2</v>
      </c>
      <c r="F1832" s="116">
        <v>298.55</v>
      </c>
      <c r="G1832">
        <v>45550</v>
      </c>
      <c r="H1832" s="116"/>
      <c r="I1832" s="116"/>
      <c r="L1832" s="170">
        <v>44705</v>
      </c>
      <c r="M1832" s="116">
        <v>295.39999999999998</v>
      </c>
      <c r="N1832" s="116">
        <v>304.95</v>
      </c>
      <c r="O1832" s="116">
        <v>292.3</v>
      </c>
      <c r="P1832" s="116">
        <v>300</v>
      </c>
      <c r="Q1832" s="116">
        <v>295.39999999999998</v>
      </c>
      <c r="R1832">
        <v>365786</v>
      </c>
    </row>
    <row r="1833" spans="1:18" x14ac:dyDescent="0.25">
      <c r="A1833" s="170">
        <v>44705</v>
      </c>
      <c r="B1833" s="116">
        <v>304.55</v>
      </c>
      <c r="C1833" s="116">
        <v>295.75</v>
      </c>
      <c r="D1833" s="116">
        <v>293</v>
      </c>
      <c r="E1833" s="116">
        <v>300</v>
      </c>
      <c r="F1833" s="116">
        <v>295.75</v>
      </c>
      <c r="G1833">
        <v>20901</v>
      </c>
      <c r="H1833" s="116"/>
      <c r="I1833" s="116"/>
      <c r="L1833" s="170">
        <v>44706</v>
      </c>
      <c r="M1833" s="116">
        <v>304.5</v>
      </c>
      <c r="N1833" s="116">
        <v>318</v>
      </c>
      <c r="O1833" s="116">
        <v>290.2</v>
      </c>
      <c r="P1833" s="116">
        <v>295.5</v>
      </c>
      <c r="Q1833" s="116">
        <v>304.5</v>
      </c>
      <c r="R1833">
        <v>5949768</v>
      </c>
    </row>
    <row r="1834" spans="1:18" x14ac:dyDescent="0.25">
      <c r="A1834" s="170">
        <v>44706</v>
      </c>
      <c r="B1834" s="116">
        <v>317.3</v>
      </c>
      <c r="C1834" s="116">
        <v>305.05</v>
      </c>
      <c r="D1834" s="116">
        <v>290.5</v>
      </c>
      <c r="E1834" s="116">
        <v>296.95</v>
      </c>
      <c r="F1834" s="116">
        <v>305.05</v>
      </c>
      <c r="G1834">
        <v>334558</v>
      </c>
      <c r="H1834" s="116"/>
      <c r="I1834" s="116"/>
      <c r="L1834" s="170">
        <v>44707</v>
      </c>
      <c r="M1834" s="116">
        <v>299.2</v>
      </c>
      <c r="N1834" s="116">
        <v>315</v>
      </c>
      <c r="O1834" s="116">
        <v>295.10000000000002</v>
      </c>
      <c r="P1834" s="116">
        <v>309.5</v>
      </c>
      <c r="Q1834" s="116">
        <v>299.2</v>
      </c>
      <c r="R1834">
        <v>1752641</v>
      </c>
    </row>
    <row r="1835" spans="1:18" x14ac:dyDescent="0.25">
      <c r="A1835" s="170">
        <v>44707</v>
      </c>
      <c r="B1835" s="116">
        <v>315</v>
      </c>
      <c r="C1835" s="116">
        <v>299.05</v>
      </c>
      <c r="D1835" s="116">
        <v>295</v>
      </c>
      <c r="E1835" s="116">
        <v>311</v>
      </c>
      <c r="F1835" s="116">
        <v>299.05</v>
      </c>
      <c r="G1835">
        <v>110881</v>
      </c>
      <c r="H1835" s="116"/>
      <c r="I1835" s="116"/>
      <c r="L1835" s="170">
        <v>44708</v>
      </c>
      <c r="M1835" s="116">
        <v>296.3</v>
      </c>
      <c r="N1835" s="116">
        <v>303</v>
      </c>
      <c r="O1835" s="116">
        <v>295.39999999999998</v>
      </c>
      <c r="P1835" s="116">
        <v>302.39999999999998</v>
      </c>
      <c r="Q1835" s="116">
        <v>296.3</v>
      </c>
      <c r="R1835">
        <v>439604</v>
      </c>
    </row>
    <row r="1836" spans="1:18" x14ac:dyDescent="0.25">
      <c r="A1836" s="170">
        <v>44708</v>
      </c>
      <c r="B1836" s="116">
        <v>303</v>
      </c>
      <c r="C1836" s="116">
        <v>296.3</v>
      </c>
      <c r="D1836" s="116">
        <v>295.85000000000002</v>
      </c>
      <c r="E1836" s="116">
        <v>302</v>
      </c>
      <c r="F1836" s="116">
        <v>296.3</v>
      </c>
      <c r="G1836">
        <v>22037</v>
      </c>
      <c r="H1836" s="116"/>
      <c r="I1836" s="116"/>
      <c r="L1836" s="170">
        <v>44711</v>
      </c>
      <c r="M1836" s="116">
        <v>298.3</v>
      </c>
      <c r="N1836" s="116">
        <v>299.60000000000002</v>
      </c>
      <c r="O1836" s="116">
        <v>296.64999999999998</v>
      </c>
      <c r="P1836" s="116">
        <v>299.3</v>
      </c>
      <c r="Q1836" s="116">
        <v>298.3</v>
      </c>
      <c r="R1836">
        <v>247360</v>
      </c>
    </row>
    <row r="1837" spans="1:18" x14ac:dyDescent="0.25">
      <c r="A1837" s="170">
        <v>44711</v>
      </c>
      <c r="B1837" s="116">
        <v>303.7</v>
      </c>
      <c r="C1837" s="116">
        <v>298.3</v>
      </c>
      <c r="D1837" s="116">
        <v>296.85000000000002</v>
      </c>
      <c r="E1837" s="116">
        <v>303.7</v>
      </c>
      <c r="F1837" s="116">
        <v>298.3</v>
      </c>
      <c r="G1837">
        <v>25083</v>
      </c>
      <c r="H1837" s="116"/>
      <c r="I1837" s="116"/>
      <c r="L1837" s="170">
        <v>44712</v>
      </c>
      <c r="M1837" s="116">
        <v>300.95</v>
      </c>
      <c r="N1837" s="116">
        <v>304.5</v>
      </c>
      <c r="O1837" s="116">
        <v>296</v>
      </c>
      <c r="P1837" s="116">
        <v>297.85000000000002</v>
      </c>
      <c r="Q1837" s="116">
        <v>300.95</v>
      </c>
      <c r="R1837">
        <v>382712</v>
      </c>
    </row>
    <row r="1838" spans="1:18" x14ac:dyDescent="0.25">
      <c r="A1838" s="170">
        <v>44712</v>
      </c>
      <c r="B1838" s="116">
        <v>304.10000000000002</v>
      </c>
      <c r="C1838" s="116">
        <v>301.10000000000002</v>
      </c>
      <c r="D1838" s="116">
        <v>295.2</v>
      </c>
      <c r="E1838" s="116">
        <v>295.2</v>
      </c>
      <c r="F1838" s="116">
        <v>301.10000000000002</v>
      </c>
      <c r="G1838">
        <v>37274</v>
      </c>
      <c r="H1838" s="116"/>
      <c r="I1838" s="116"/>
      <c r="L1838" s="170">
        <v>44713</v>
      </c>
      <c r="M1838" s="116">
        <v>310</v>
      </c>
      <c r="N1838" s="116">
        <v>311.64999999999998</v>
      </c>
      <c r="O1838" s="116">
        <v>303.05</v>
      </c>
      <c r="P1838" s="116">
        <v>304</v>
      </c>
      <c r="Q1838" s="116">
        <v>310</v>
      </c>
      <c r="R1838">
        <v>708301</v>
      </c>
    </row>
    <row r="1839" spans="1:18" x14ac:dyDescent="0.25">
      <c r="A1839" s="170">
        <v>44713</v>
      </c>
      <c r="B1839" s="116">
        <v>311.5</v>
      </c>
      <c r="C1839" s="116">
        <v>309.89999999999998</v>
      </c>
      <c r="D1839" s="116">
        <v>303.5</v>
      </c>
      <c r="E1839" s="116">
        <v>304.5</v>
      </c>
      <c r="F1839" s="116">
        <v>309.89999999999998</v>
      </c>
      <c r="G1839">
        <v>76180</v>
      </c>
      <c r="H1839" s="116"/>
      <c r="I1839" s="116"/>
      <c r="L1839" s="170">
        <v>44714</v>
      </c>
      <c r="M1839" s="116">
        <v>305.8</v>
      </c>
      <c r="N1839" s="116">
        <v>310</v>
      </c>
      <c r="O1839" s="116">
        <v>304.35000000000002</v>
      </c>
      <c r="P1839" s="116">
        <v>309</v>
      </c>
      <c r="Q1839" s="116">
        <v>305.8</v>
      </c>
      <c r="R1839">
        <v>264475</v>
      </c>
    </row>
    <row r="1840" spans="1:18" x14ac:dyDescent="0.25">
      <c r="A1840" s="170">
        <v>44714</v>
      </c>
      <c r="B1840" s="116">
        <v>311.10000000000002</v>
      </c>
      <c r="C1840" s="116">
        <v>305.60000000000002</v>
      </c>
      <c r="D1840" s="116">
        <v>304.35000000000002</v>
      </c>
      <c r="E1840" s="116">
        <v>311.10000000000002</v>
      </c>
      <c r="F1840" s="116">
        <v>305.60000000000002</v>
      </c>
      <c r="G1840">
        <v>14012</v>
      </c>
      <c r="H1840" s="116"/>
      <c r="I1840" s="116"/>
      <c r="L1840" s="170">
        <v>44715</v>
      </c>
      <c r="M1840" s="116">
        <v>299.7</v>
      </c>
      <c r="N1840" s="116">
        <v>308.60000000000002</v>
      </c>
      <c r="O1840" s="116">
        <v>298.85000000000002</v>
      </c>
      <c r="P1840" s="116">
        <v>307.39999999999998</v>
      </c>
      <c r="Q1840" s="116">
        <v>299.7</v>
      </c>
      <c r="R1840">
        <v>344104</v>
      </c>
    </row>
    <row r="1841" spans="1:18" x14ac:dyDescent="0.25">
      <c r="A1841" s="170">
        <v>44715</v>
      </c>
      <c r="B1841" s="116">
        <v>308.35000000000002</v>
      </c>
      <c r="C1841" s="116">
        <v>299.7</v>
      </c>
      <c r="D1841" s="116">
        <v>298.95</v>
      </c>
      <c r="E1841" s="116">
        <v>308.05</v>
      </c>
      <c r="F1841" s="116">
        <v>299.7</v>
      </c>
      <c r="G1841">
        <v>19149</v>
      </c>
      <c r="H1841" s="116"/>
      <c r="I1841" s="116"/>
      <c r="L1841" s="170">
        <v>44718</v>
      </c>
      <c r="M1841" s="116">
        <v>299.55</v>
      </c>
      <c r="N1841" s="116">
        <v>301.3</v>
      </c>
      <c r="O1841" s="116">
        <v>296.64999999999998</v>
      </c>
      <c r="P1841" s="116">
        <v>299.5</v>
      </c>
      <c r="Q1841" s="116">
        <v>299.55</v>
      </c>
      <c r="R1841">
        <v>154736</v>
      </c>
    </row>
    <row r="1842" spans="1:18" x14ac:dyDescent="0.25">
      <c r="A1842" s="170">
        <v>44718</v>
      </c>
      <c r="B1842" s="116">
        <v>301.2</v>
      </c>
      <c r="C1842" s="116">
        <v>299.39999999999998</v>
      </c>
      <c r="D1842" s="116">
        <v>296.75</v>
      </c>
      <c r="E1842" s="116">
        <v>299.5</v>
      </c>
      <c r="F1842" s="116">
        <v>299.39999999999998</v>
      </c>
      <c r="G1842">
        <v>19149</v>
      </c>
      <c r="H1842" s="116"/>
      <c r="I1842" s="116"/>
      <c r="L1842" s="170">
        <v>44719</v>
      </c>
      <c r="M1842" s="116">
        <v>301.8</v>
      </c>
      <c r="N1842" s="116">
        <v>307</v>
      </c>
      <c r="O1842" s="116">
        <v>299.89999999999998</v>
      </c>
      <c r="P1842" s="116">
        <v>299.89999999999998</v>
      </c>
      <c r="Q1842" s="116">
        <v>301.8</v>
      </c>
      <c r="R1842">
        <v>607057</v>
      </c>
    </row>
    <row r="1843" spans="1:18" x14ac:dyDescent="0.25">
      <c r="A1843" s="170">
        <v>44719</v>
      </c>
      <c r="B1843" s="116">
        <v>307.14999999999998</v>
      </c>
      <c r="C1843" s="116">
        <v>301.60000000000002</v>
      </c>
      <c r="D1843" s="116">
        <v>300</v>
      </c>
      <c r="E1843" s="116">
        <v>301</v>
      </c>
      <c r="F1843" s="116">
        <v>301.60000000000002</v>
      </c>
      <c r="G1843">
        <v>16438</v>
      </c>
      <c r="H1843" s="116"/>
      <c r="I1843" s="116"/>
      <c r="L1843" s="170">
        <v>44720</v>
      </c>
      <c r="M1843" s="116">
        <v>297.7</v>
      </c>
      <c r="N1843" s="116">
        <v>302.85000000000002</v>
      </c>
      <c r="O1843" s="116">
        <v>297.2</v>
      </c>
      <c r="P1843" s="116">
        <v>302.8</v>
      </c>
      <c r="Q1843" s="116">
        <v>297.7</v>
      </c>
      <c r="R1843">
        <v>261209</v>
      </c>
    </row>
    <row r="1844" spans="1:18" x14ac:dyDescent="0.25">
      <c r="A1844" s="170">
        <v>44720</v>
      </c>
      <c r="B1844" s="116">
        <v>302.60000000000002</v>
      </c>
      <c r="C1844" s="116">
        <v>297.75</v>
      </c>
      <c r="D1844" s="116">
        <v>297.2</v>
      </c>
      <c r="E1844" s="116">
        <v>302.39999999999998</v>
      </c>
      <c r="F1844" s="116">
        <v>297.75</v>
      </c>
      <c r="G1844">
        <v>9454</v>
      </c>
      <c r="H1844" s="116"/>
      <c r="I1844" s="116"/>
      <c r="L1844" s="170">
        <v>44721</v>
      </c>
      <c r="M1844" s="116">
        <v>292.45</v>
      </c>
      <c r="N1844" s="116">
        <v>300</v>
      </c>
      <c r="O1844" s="116">
        <v>291.45</v>
      </c>
      <c r="P1844" s="116">
        <v>295.2</v>
      </c>
      <c r="Q1844" s="116">
        <v>292.45</v>
      </c>
      <c r="R1844">
        <v>514985</v>
      </c>
    </row>
    <row r="1845" spans="1:18" x14ac:dyDescent="0.25">
      <c r="A1845" s="170">
        <v>44721</v>
      </c>
      <c r="B1845" s="116">
        <v>300</v>
      </c>
      <c r="C1845" s="116">
        <v>292.39999999999998</v>
      </c>
      <c r="D1845" s="116">
        <v>291.5</v>
      </c>
      <c r="E1845" s="116">
        <v>297</v>
      </c>
      <c r="F1845" s="116">
        <v>292.39999999999998</v>
      </c>
      <c r="G1845">
        <v>39260</v>
      </c>
      <c r="H1845" s="116"/>
      <c r="I1845" s="116"/>
      <c r="L1845" s="170">
        <v>44722</v>
      </c>
      <c r="M1845" s="116">
        <v>289.64999999999998</v>
      </c>
      <c r="N1845" s="116">
        <v>297.95</v>
      </c>
      <c r="O1845" s="116">
        <v>287.85000000000002</v>
      </c>
      <c r="P1845" s="116">
        <v>292.45</v>
      </c>
      <c r="Q1845" s="116">
        <v>289.64999999999998</v>
      </c>
      <c r="R1845">
        <v>1034256</v>
      </c>
    </row>
    <row r="1846" spans="1:18" x14ac:dyDescent="0.25">
      <c r="A1846" s="170">
        <v>44722</v>
      </c>
      <c r="B1846" s="116">
        <v>297.5</v>
      </c>
      <c r="C1846" s="116">
        <v>289.7</v>
      </c>
      <c r="D1846" s="116">
        <v>288</v>
      </c>
      <c r="E1846" s="116">
        <v>293</v>
      </c>
      <c r="F1846" s="116">
        <v>289.7</v>
      </c>
      <c r="G1846">
        <v>40068</v>
      </c>
      <c r="H1846" s="116"/>
      <c r="I1846" s="116"/>
      <c r="L1846" s="170">
        <v>44725</v>
      </c>
      <c r="M1846" s="116">
        <v>280.55</v>
      </c>
      <c r="N1846" s="116">
        <v>288</v>
      </c>
      <c r="O1846" s="116">
        <v>276.25</v>
      </c>
      <c r="P1846" s="116">
        <v>284.05</v>
      </c>
      <c r="Q1846" s="116">
        <v>280.55</v>
      </c>
      <c r="R1846">
        <v>586014</v>
      </c>
    </row>
    <row r="1847" spans="1:18" x14ac:dyDescent="0.25">
      <c r="A1847" s="170">
        <v>44725</v>
      </c>
      <c r="B1847" s="116">
        <v>288.2</v>
      </c>
      <c r="C1847" s="116">
        <v>280.45</v>
      </c>
      <c r="D1847" s="116">
        <v>276.35000000000002</v>
      </c>
      <c r="E1847" s="116">
        <v>286.39999999999998</v>
      </c>
      <c r="F1847" s="116">
        <v>280.45</v>
      </c>
      <c r="G1847">
        <v>60852</v>
      </c>
      <c r="H1847" s="116"/>
      <c r="I1847" s="116"/>
      <c r="L1847" s="170">
        <v>44726</v>
      </c>
      <c r="M1847" s="116">
        <v>277.25</v>
      </c>
      <c r="N1847" s="116">
        <v>287.10000000000002</v>
      </c>
      <c r="O1847" s="116">
        <v>271.10000000000002</v>
      </c>
      <c r="P1847" s="116">
        <v>276.39999999999998</v>
      </c>
      <c r="Q1847" s="116">
        <v>277.25</v>
      </c>
      <c r="R1847">
        <v>589705</v>
      </c>
    </row>
    <row r="1848" spans="1:18" x14ac:dyDescent="0.25">
      <c r="A1848" s="170">
        <v>44726</v>
      </c>
      <c r="B1848" s="116">
        <v>281.75</v>
      </c>
      <c r="C1848" s="116">
        <v>275</v>
      </c>
      <c r="D1848" s="116">
        <v>271.2</v>
      </c>
      <c r="E1848" s="116">
        <v>275</v>
      </c>
      <c r="F1848" s="116">
        <v>275</v>
      </c>
      <c r="G1848">
        <v>44039</v>
      </c>
      <c r="H1848" s="116"/>
      <c r="I1848" s="116"/>
      <c r="L1848" s="170">
        <v>44727</v>
      </c>
      <c r="M1848" s="116">
        <v>280.89999999999998</v>
      </c>
      <c r="N1848" s="116">
        <v>289.10000000000002</v>
      </c>
      <c r="O1848" s="116">
        <v>278.14999999999998</v>
      </c>
      <c r="P1848" s="116">
        <v>280</v>
      </c>
      <c r="Q1848" s="116">
        <v>280.89999999999998</v>
      </c>
      <c r="R1848">
        <v>543382</v>
      </c>
    </row>
    <row r="1849" spans="1:18" x14ac:dyDescent="0.25">
      <c r="A1849" s="170">
        <v>44727</v>
      </c>
      <c r="B1849" s="116">
        <v>285.7</v>
      </c>
      <c r="C1849" s="116">
        <v>281.3</v>
      </c>
      <c r="D1849" s="116">
        <v>278.75</v>
      </c>
      <c r="E1849" s="116">
        <v>280.85000000000002</v>
      </c>
      <c r="F1849" s="116">
        <v>281.3</v>
      </c>
      <c r="G1849">
        <v>32052</v>
      </c>
      <c r="H1849" s="116"/>
      <c r="I1849" s="116"/>
      <c r="L1849" s="170">
        <v>44728</v>
      </c>
      <c r="M1849" s="116">
        <v>275.05</v>
      </c>
      <c r="N1849" s="116">
        <v>290.85000000000002</v>
      </c>
      <c r="O1849" s="116">
        <v>270</v>
      </c>
      <c r="P1849" s="116">
        <v>284</v>
      </c>
      <c r="Q1849" s="116">
        <v>275.05</v>
      </c>
      <c r="R1849">
        <v>969370</v>
      </c>
    </row>
    <row r="1850" spans="1:18" x14ac:dyDescent="0.25">
      <c r="A1850" s="170">
        <v>44728</v>
      </c>
      <c r="B1850" s="116">
        <v>290.75</v>
      </c>
      <c r="C1850" s="116">
        <v>274.85000000000002</v>
      </c>
      <c r="D1850" s="116">
        <v>270.25</v>
      </c>
      <c r="E1850" s="116">
        <v>285</v>
      </c>
      <c r="F1850" s="116">
        <v>274.85000000000002</v>
      </c>
      <c r="G1850">
        <v>73963</v>
      </c>
      <c r="H1850" s="116"/>
      <c r="I1850" s="116"/>
      <c r="L1850" s="170">
        <v>44729</v>
      </c>
      <c r="M1850" s="116">
        <v>265.85000000000002</v>
      </c>
      <c r="N1850" s="116">
        <v>275.95</v>
      </c>
      <c r="O1850" s="116">
        <v>262.89999999999998</v>
      </c>
      <c r="P1850" s="116">
        <v>274.85000000000002</v>
      </c>
      <c r="Q1850" s="116">
        <v>265.85000000000002</v>
      </c>
      <c r="R1850">
        <v>543481</v>
      </c>
    </row>
    <row r="1851" spans="1:18" x14ac:dyDescent="0.25">
      <c r="A1851" s="170">
        <v>44729</v>
      </c>
      <c r="B1851" s="116">
        <v>275.5</v>
      </c>
      <c r="C1851" s="116">
        <v>267.05</v>
      </c>
      <c r="D1851" s="116">
        <v>263</v>
      </c>
      <c r="E1851" s="116">
        <v>274</v>
      </c>
      <c r="F1851" s="116">
        <v>267.05</v>
      </c>
      <c r="G1851">
        <v>31962</v>
      </c>
      <c r="H1851" s="116"/>
      <c r="I1851" s="116"/>
      <c r="L1851" s="170">
        <v>44732</v>
      </c>
      <c r="M1851" s="116">
        <v>257.7</v>
      </c>
      <c r="N1851" s="116">
        <v>268.5</v>
      </c>
      <c r="O1851" s="116">
        <v>253.45</v>
      </c>
      <c r="P1851" s="116">
        <v>268</v>
      </c>
      <c r="Q1851" s="116">
        <v>257.7</v>
      </c>
      <c r="R1851">
        <v>584569</v>
      </c>
    </row>
    <row r="1852" spans="1:18" x14ac:dyDescent="0.25">
      <c r="A1852" s="170">
        <v>44732</v>
      </c>
      <c r="B1852" s="116">
        <v>268.3</v>
      </c>
      <c r="C1852" s="116">
        <v>256.95</v>
      </c>
      <c r="D1852" s="116">
        <v>254</v>
      </c>
      <c r="E1852" s="116">
        <v>264.25</v>
      </c>
      <c r="F1852" s="116">
        <v>256.95</v>
      </c>
      <c r="G1852">
        <v>78145</v>
      </c>
      <c r="H1852" s="116"/>
      <c r="I1852" s="116"/>
      <c r="L1852" s="170">
        <v>44733</v>
      </c>
      <c r="M1852" s="116">
        <v>263.55</v>
      </c>
      <c r="N1852" s="116">
        <v>267.14999999999998</v>
      </c>
      <c r="O1852" s="116">
        <v>258.05</v>
      </c>
      <c r="P1852" s="116">
        <v>259.10000000000002</v>
      </c>
      <c r="Q1852" s="116">
        <v>263.55</v>
      </c>
      <c r="R1852">
        <v>634830</v>
      </c>
    </row>
    <row r="1853" spans="1:18" x14ac:dyDescent="0.25">
      <c r="A1853" s="170">
        <v>44733</v>
      </c>
      <c r="B1853" s="116">
        <v>267</v>
      </c>
      <c r="C1853" s="116">
        <v>263.5</v>
      </c>
      <c r="D1853" s="116">
        <v>258</v>
      </c>
      <c r="E1853" s="116">
        <v>258</v>
      </c>
      <c r="F1853" s="116">
        <v>263.5</v>
      </c>
      <c r="G1853">
        <v>38520</v>
      </c>
      <c r="H1853" s="116"/>
      <c r="I1853" s="116"/>
      <c r="L1853" s="170">
        <v>44734</v>
      </c>
      <c r="M1853" s="116">
        <v>247.6</v>
      </c>
      <c r="N1853" s="116">
        <v>262.25</v>
      </c>
      <c r="O1853" s="116">
        <v>245.25</v>
      </c>
      <c r="P1853" s="116">
        <v>262</v>
      </c>
      <c r="Q1853" s="116">
        <v>247.6</v>
      </c>
      <c r="R1853">
        <v>668130</v>
      </c>
    </row>
    <row r="1854" spans="1:18" x14ac:dyDescent="0.25">
      <c r="A1854" s="170">
        <v>44734</v>
      </c>
      <c r="B1854" s="116">
        <v>267.89999999999998</v>
      </c>
      <c r="C1854" s="116">
        <v>247.8</v>
      </c>
      <c r="D1854" s="116">
        <v>245.4</v>
      </c>
      <c r="E1854" s="116">
        <v>267.89999999999998</v>
      </c>
      <c r="F1854" s="116">
        <v>247.8</v>
      </c>
      <c r="G1854">
        <v>33763</v>
      </c>
      <c r="H1854" s="116"/>
      <c r="I1854" s="116"/>
      <c r="L1854" s="170">
        <v>44735</v>
      </c>
      <c r="M1854" s="116">
        <v>250.35</v>
      </c>
      <c r="N1854" s="116">
        <v>252.25</v>
      </c>
      <c r="O1854" s="116">
        <v>246</v>
      </c>
      <c r="P1854" s="116">
        <v>248.2</v>
      </c>
      <c r="Q1854" s="116">
        <v>250.35</v>
      </c>
      <c r="R1854">
        <v>395882</v>
      </c>
    </row>
    <row r="1855" spans="1:18" x14ac:dyDescent="0.25">
      <c r="A1855" s="170">
        <v>44735</v>
      </c>
      <c r="B1855" s="116">
        <v>252.2</v>
      </c>
      <c r="C1855" s="116">
        <v>250.15</v>
      </c>
      <c r="D1855" s="116">
        <v>246</v>
      </c>
      <c r="E1855" s="116">
        <v>249.6</v>
      </c>
      <c r="F1855" s="116">
        <v>250.15</v>
      </c>
      <c r="G1855">
        <v>40509</v>
      </c>
      <c r="H1855" s="116"/>
      <c r="I1855" s="116"/>
      <c r="L1855" s="170">
        <v>44736</v>
      </c>
      <c r="M1855" s="116">
        <v>246.55</v>
      </c>
      <c r="N1855" s="116">
        <v>256.75</v>
      </c>
      <c r="O1855" s="116">
        <v>245.1</v>
      </c>
      <c r="P1855" s="116">
        <v>252.4</v>
      </c>
      <c r="Q1855" s="116">
        <v>246.55</v>
      </c>
      <c r="R1855">
        <v>798772</v>
      </c>
    </row>
    <row r="1856" spans="1:18" x14ac:dyDescent="0.25">
      <c r="A1856" s="170">
        <v>44736</v>
      </c>
      <c r="B1856" s="116">
        <v>256.7</v>
      </c>
      <c r="C1856" s="116">
        <v>246.6</v>
      </c>
      <c r="D1856" s="116">
        <v>245.25</v>
      </c>
      <c r="E1856" s="116">
        <v>250.15</v>
      </c>
      <c r="F1856" s="116">
        <v>246.6</v>
      </c>
      <c r="G1856">
        <v>34180</v>
      </c>
      <c r="H1856" s="116"/>
      <c r="I1856" s="116"/>
      <c r="L1856" s="170">
        <v>44739</v>
      </c>
      <c r="M1856" s="116">
        <v>246.1</v>
      </c>
      <c r="N1856" s="116">
        <v>251.75</v>
      </c>
      <c r="O1856" s="116">
        <v>245.3</v>
      </c>
      <c r="P1856" s="116">
        <v>250</v>
      </c>
      <c r="Q1856" s="116">
        <v>246.1</v>
      </c>
      <c r="R1856">
        <v>735020</v>
      </c>
    </row>
    <row r="1857" spans="1:18" x14ac:dyDescent="0.25">
      <c r="A1857" s="170">
        <v>44739</v>
      </c>
      <c r="B1857" s="116">
        <v>252</v>
      </c>
      <c r="C1857" s="116">
        <v>246.1</v>
      </c>
      <c r="D1857" s="116">
        <v>245.45</v>
      </c>
      <c r="E1857" s="116">
        <v>248.2</v>
      </c>
      <c r="F1857" s="116">
        <v>246.1</v>
      </c>
      <c r="G1857">
        <v>59258</v>
      </c>
      <c r="H1857" s="116"/>
      <c r="I1857" s="116"/>
      <c r="L1857" s="170">
        <v>44740</v>
      </c>
      <c r="M1857" s="116">
        <v>251.2</v>
      </c>
      <c r="N1857" s="116">
        <v>252.5</v>
      </c>
      <c r="O1857" s="116">
        <v>246.1</v>
      </c>
      <c r="P1857" s="116">
        <v>246.4</v>
      </c>
      <c r="Q1857" s="116">
        <v>251.2</v>
      </c>
      <c r="R1857">
        <v>298402</v>
      </c>
    </row>
    <row r="1858" spans="1:18" x14ac:dyDescent="0.25">
      <c r="A1858" s="170">
        <v>44740</v>
      </c>
      <c r="B1858" s="116">
        <v>252.45</v>
      </c>
      <c r="C1858" s="116">
        <v>251.25</v>
      </c>
      <c r="D1858" s="116">
        <v>246.15</v>
      </c>
      <c r="E1858" s="116">
        <v>246.75</v>
      </c>
      <c r="F1858" s="116">
        <v>251.25</v>
      </c>
      <c r="G1858">
        <v>45807</v>
      </c>
      <c r="H1858" s="116"/>
      <c r="I1858" s="116"/>
      <c r="L1858" s="170">
        <v>44741</v>
      </c>
      <c r="M1858" s="116">
        <v>253.5</v>
      </c>
      <c r="N1858" s="116">
        <v>257</v>
      </c>
      <c r="O1858" s="116">
        <v>248.5</v>
      </c>
      <c r="P1858" s="116">
        <v>250.5</v>
      </c>
      <c r="Q1858" s="116">
        <v>253.5</v>
      </c>
      <c r="R1858">
        <v>491018</v>
      </c>
    </row>
    <row r="1859" spans="1:18" x14ac:dyDescent="0.25">
      <c r="A1859" s="170">
        <v>44741</v>
      </c>
      <c r="B1859" s="116">
        <v>256.8</v>
      </c>
      <c r="C1859" s="116">
        <v>253.65</v>
      </c>
      <c r="D1859" s="116">
        <v>248.4</v>
      </c>
      <c r="E1859" s="116">
        <v>251</v>
      </c>
      <c r="F1859" s="116">
        <v>253.65</v>
      </c>
      <c r="G1859">
        <v>48596</v>
      </c>
      <c r="H1859" s="116"/>
      <c r="I1859" s="116"/>
      <c r="L1859" s="170">
        <v>44742</v>
      </c>
      <c r="M1859" s="116">
        <v>249.35</v>
      </c>
      <c r="N1859" s="116">
        <v>255.45</v>
      </c>
      <c r="O1859" s="116">
        <v>248.55</v>
      </c>
      <c r="P1859" s="116">
        <v>253.5</v>
      </c>
      <c r="Q1859" s="116">
        <v>249.35</v>
      </c>
      <c r="R1859">
        <v>249341</v>
      </c>
    </row>
    <row r="1860" spans="1:18" x14ac:dyDescent="0.25">
      <c r="A1860" s="170">
        <v>44742</v>
      </c>
      <c r="B1860" s="116">
        <v>255.9</v>
      </c>
      <c r="C1860" s="116">
        <v>249.4</v>
      </c>
      <c r="D1860" s="116">
        <v>248.5</v>
      </c>
      <c r="E1860" s="116">
        <v>255.9</v>
      </c>
      <c r="F1860" s="116">
        <v>249.4</v>
      </c>
      <c r="G1860">
        <v>45464</v>
      </c>
      <c r="H1860" s="116"/>
      <c r="I1860" s="116"/>
      <c r="L1860" s="170">
        <v>44743</v>
      </c>
      <c r="M1860" s="116">
        <v>247.55</v>
      </c>
      <c r="N1860" s="116">
        <v>249</v>
      </c>
      <c r="O1860" s="116">
        <v>245.35</v>
      </c>
      <c r="P1860" s="116">
        <v>246</v>
      </c>
      <c r="Q1860" s="116">
        <v>247.55</v>
      </c>
      <c r="R1860">
        <v>310474</v>
      </c>
    </row>
    <row r="1861" spans="1:18" x14ac:dyDescent="0.25">
      <c r="A1861" s="170">
        <v>44743</v>
      </c>
      <c r="B1861" s="116">
        <v>249.4</v>
      </c>
      <c r="C1861" s="116">
        <v>247.45</v>
      </c>
      <c r="D1861" s="116">
        <v>245</v>
      </c>
      <c r="E1861" s="116">
        <v>249.4</v>
      </c>
      <c r="F1861" s="116">
        <v>247.45</v>
      </c>
      <c r="G1861">
        <v>30609</v>
      </c>
      <c r="H1861" s="116"/>
      <c r="I1861" s="116"/>
      <c r="L1861" s="170">
        <v>44746</v>
      </c>
      <c r="M1861" s="116">
        <v>247.85</v>
      </c>
      <c r="N1861" s="116">
        <v>253</v>
      </c>
      <c r="O1861" s="116">
        <v>245.8</v>
      </c>
      <c r="P1861" s="116">
        <v>248.45</v>
      </c>
      <c r="Q1861" s="116">
        <v>247.85</v>
      </c>
      <c r="R1861">
        <v>332384</v>
      </c>
    </row>
    <row r="1862" spans="1:18" x14ac:dyDescent="0.25">
      <c r="A1862" s="170">
        <v>44746</v>
      </c>
      <c r="B1862" s="116">
        <v>252.9</v>
      </c>
      <c r="C1862" s="116">
        <v>248</v>
      </c>
      <c r="D1862" s="116">
        <v>246.35</v>
      </c>
      <c r="E1862" s="116">
        <v>248</v>
      </c>
      <c r="F1862" s="116">
        <v>248</v>
      </c>
      <c r="G1862">
        <v>18252</v>
      </c>
      <c r="H1862" s="116"/>
      <c r="I1862" s="116"/>
      <c r="L1862" s="170">
        <v>44747</v>
      </c>
      <c r="M1862" s="116">
        <v>248.6</v>
      </c>
      <c r="N1862" s="116">
        <v>251.75</v>
      </c>
      <c r="O1862" s="116">
        <v>248</v>
      </c>
      <c r="P1862" s="116">
        <v>248.35</v>
      </c>
      <c r="Q1862" s="116">
        <v>248.6</v>
      </c>
      <c r="R1862">
        <v>277978</v>
      </c>
    </row>
    <row r="1863" spans="1:18" x14ac:dyDescent="0.25">
      <c r="A1863" s="170">
        <v>44747</v>
      </c>
      <c r="B1863" s="116">
        <v>251.65</v>
      </c>
      <c r="C1863" s="116">
        <v>248.55</v>
      </c>
      <c r="D1863" s="116">
        <v>248</v>
      </c>
      <c r="E1863" s="116">
        <v>248.2</v>
      </c>
      <c r="F1863" s="116">
        <v>248.55</v>
      </c>
      <c r="G1863">
        <v>31045</v>
      </c>
      <c r="H1863" s="116"/>
      <c r="I1863" s="116"/>
      <c r="L1863" s="170">
        <v>44748</v>
      </c>
      <c r="M1863" s="116">
        <v>247.05</v>
      </c>
      <c r="N1863" s="116">
        <v>249</v>
      </c>
      <c r="O1863" s="116">
        <v>242.05</v>
      </c>
      <c r="P1863" s="116">
        <v>247.9</v>
      </c>
      <c r="Q1863" s="116">
        <v>247.05</v>
      </c>
      <c r="R1863">
        <v>356748</v>
      </c>
    </row>
    <row r="1864" spans="1:18" x14ac:dyDescent="0.25">
      <c r="A1864" s="170">
        <v>44748</v>
      </c>
      <c r="B1864" s="116">
        <v>249.9</v>
      </c>
      <c r="C1864" s="116">
        <v>247.35</v>
      </c>
      <c r="D1864" s="116">
        <v>242.4</v>
      </c>
      <c r="E1864" s="116">
        <v>249.9</v>
      </c>
      <c r="F1864" s="116">
        <v>247.35</v>
      </c>
      <c r="G1864">
        <v>27158</v>
      </c>
      <c r="H1864" s="116"/>
      <c r="I1864" s="116"/>
      <c r="L1864" s="170">
        <v>44749</v>
      </c>
      <c r="M1864" s="116">
        <v>256.5</v>
      </c>
      <c r="N1864" s="116">
        <v>257.89999999999998</v>
      </c>
      <c r="O1864" s="116">
        <v>248.45</v>
      </c>
      <c r="P1864" s="116">
        <v>248.45</v>
      </c>
      <c r="Q1864" s="116">
        <v>256.5</v>
      </c>
      <c r="R1864">
        <v>589216</v>
      </c>
    </row>
    <row r="1865" spans="1:18" x14ac:dyDescent="0.25">
      <c r="A1865" s="170">
        <v>44749</v>
      </c>
      <c r="B1865" s="116">
        <v>257.95</v>
      </c>
      <c r="C1865" s="116">
        <v>256.5</v>
      </c>
      <c r="D1865" s="116">
        <v>247.35</v>
      </c>
      <c r="E1865" s="116">
        <v>247.35</v>
      </c>
      <c r="F1865" s="116">
        <v>256.5</v>
      </c>
      <c r="G1865">
        <v>71908</v>
      </c>
      <c r="H1865" s="116"/>
      <c r="I1865" s="116"/>
      <c r="L1865" s="170">
        <v>44750</v>
      </c>
      <c r="M1865" s="116">
        <v>263.05</v>
      </c>
      <c r="N1865" s="116">
        <v>266.7</v>
      </c>
      <c r="O1865" s="116">
        <v>261.10000000000002</v>
      </c>
      <c r="P1865" s="116">
        <v>266.7</v>
      </c>
      <c r="Q1865" s="116">
        <v>263.05</v>
      </c>
      <c r="R1865">
        <v>980999</v>
      </c>
    </row>
    <row r="1866" spans="1:18" x14ac:dyDescent="0.25">
      <c r="A1866" s="170">
        <v>44750</v>
      </c>
      <c r="B1866" s="116">
        <v>266</v>
      </c>
      <c r="C1866" s="116">
        <v>262.95</v>
      </c>
      <c r="D1866" s="116">
        <v>261</v>
      </c>
      <c r="E1866" s="116">
        <v>265</v>
      </c>
      <c r="F1866" s="116">
        <v>262.95</v>
      </c>
      <c r="G1866">
        <v>100435</v>
      </c>
      <c r="H1866" s="116"/>
      <c r="I1866" s="116"/>
      <c r="L1866" s="170">
        <v>44753</v>
      </c>
      <c r="M1866" s="116">
        <v>271.39999999999998</v>
      </c>
      <c r="N1866" s="116">
        <v>271.89999999999998</v>
      </c>
      <c r="O1866" s="116">
        <v>263.05</v>
      </c>
      <c r="P1866" s="116">
        <v>263.05</v>
      </c>
      <c r="Q1866" s="116">
        <v>271.39999999999998</v>
      </c>
      <c r="R1866">
        <v>761611</v>
      </c>
    </row>
    <row r="1867" spans="1:18" x14ac:dyDescent="0.25">
      <c r="A1867" s="170">
        <v>44753</v>
      </c>
      <c r="B1867" s="116">
        <v>272</v>
      </c>
      <c r="C1867" s="116">
        <v>271.5</v>
      </c>
      <c r="D1867" s="116">
        <v>263.55</v>
      </c>
      <c r="E1867" s="116">
        <v>266</v>
      </c>
      <c r="F1867" s="116">
        <v>271.5</v>
      </c>
      <c r="G1867">
        <v>61071</v>
      </c>
      <c r="H1867" s="116"/>
      <c r="I1867" s="116"/>
      <c r="L1867" s="170">
        <v>44754</v>
      </c>
      <c r="M1867" s="116">
        <v>267.75</v>
      </c>
      <c r="N1867" s="116">
        <v>273.45</v>
      </c>
      <c r="O1867" s="116">
        <v>266.25</v>
      </c>
      <c r="P1867" s="116">
        <v>272.85000000000002</v>
      </c>
      <c r="Q1867" s="116">
        <v>267.75</v>
      </c>
      <c r="R1867">
        <v>779193</v>
      </c>
    </row>
    <row r="1868" spans="1:18" x14ac:dyDescent="0.25">
      <c r="A1868" s="170">
        <v>44754</v>
      </c>
      <c r="B1868" s="116">
        <v>275</v>
      </c>
      <c r="C1868" s="116">
        <v>268</v>
      </c>
      <c r="D1868" s="116">
        <v>266.25</v>
      </c>
      <c r="E1868" s="116">
        <v>272</v>
      </c>
      <c r="F1868" s="116">
        <v>268</v>
      </c>
      <c r="G1868">
        <v>90293</v>
      </c>
      <c r="H1868" s="116"/>
      <c r="I1868" s="116"/>
      <c r="L1868" s="170">
        <v>44755</v>
      </c>
      <c r="M1868" s="116">
        <v>271.64999999999998</v>
      </c>
      <c r="N1868" s="116">
        <v>273.14999999999998</v>
      </c>
      <c r="O1868" s="116">
        <v>268.5</v>
      </c>
      <c r="P1868" s="116">
        <v>271</v>
      </c>
      <c r="Q1868" s="116">
        <v>271.64999999999998</v>
      </c>
      <c r="R1868">
        <v>780303</v>
      </c>
    </row>
    <row r="1869" spans="1:18" x14ac:dyDescent="0.25">
      <c r="A1869" s="170">
        <v>44755</v>
      </c>
      <c r="B1869" s="116">
        <v>273.05</v>
      </c>
      <c r="C1869" s="116">
        <v>271.85000000000002</v>
      </c>
      <c r="D1869" s="116">
        <v>268.64999999999998</v>
      </c>
      <c r="E1869" s="116">
        <v>271.64999999999998</v>
      </c>
      <c r="F1869" s="116">
        <v>271.85000000000002</v>
      </c>
      <c r="G1869">
        <v>59541</v>
      </c>
      <c r="H1869" s="116"/>
      <c r="I1869" s="116"/>
      <c r="L1869" s="170">
        <v>44756</v>
      </c>
      <c r="M1869" s="116">
        <v>283.7</v>
      </c>
      <c r="N1869" s="116">
        <v>288</v>
      </c>
      <c r="O1869" s="116">
        <v>280</v>
      </c>
      <c r="P1869" s="116">
        <v>284</v>
      </c>
      <c r="Q1869" s="116">
        <v>283.7</v>
      </c>
      <c r="R1869">
        <v>6466717</v>
      </c>
    </row>
    <row r="1870" spans="1:18" x14ac:dyDescent="0.25">
      <c r="A1870" s="170">
        <v>44756</v>
      </c>
      <c r="B1870" s="116">
        <v>288</v>
      </c>
      <c r="C1870" s="116">
        <v>283.64999999999998</v>
      </c>
      <c r="D1870" s="116">
        <v>280.10000000000002</v>
      </c>
      <c r="E1870" s="116">
        <v>282.95</v>
      </c>
      <c r="F1870" s="116">
        <v>283.64999999999998</v>
      </c>
      <c r="G1870">
        <v>442532</v>
      </c>
      <c r="H1870" s="116"/>
      <c r="I1870" s="116"/>
      <c r="L1870" s="170">
        <v>44757</v>
      </c>
      <c r="M1870" s="116">
        <v>285.35000000000002</v>
      </c>
      <c r="N1870" s="116">
        <v>287</v>
      </c>
      <c r="O1870" s="116">
        <v>283.25</v>
      </c>
      <c r="P1870" s="116">
        <v>287</v>
      </c>
      <c r="Q1870" s="116">
        <v>285.35000000000002</v>
      </c>
      <c r="R1870">
        <v>1663756</v>
      </c>
    </row>
    <row r="1871" spans="1:18" x14ac:dyDescent="0.25">
      <c r="A1871" s="170">
        <v>44757</v>
      </c>
      <c r="B1871" s="116">
        <v>287.7</v>
      </c>
      <c r="C1871" s="116">
        <v>285.35000000000002</v>
      </c>
      <c r="D1871" s="116">
        <v>283.39999999999998</v>
      </c>
      <c r="E1871" s="116">
        <v>287.7</v>
      </c>
      <c r="F1871" s="116">
        <v>285.35000000000002</v>
      </c>
      <c r="G1871">
        <v>171996</v>
      </c>
      <c r="H1871" s="116"/>
      <c r="I1871" s="116"/>
      <c r="L1871" s="170">
        <v>44760</v>
      </c>
      <c r="M1871" s="116">
        <v>293.39999999999998</v>
      </c>
      <c r="N1871" s="116">
        <v>294.85000000000002</v>
      </c>
      <c r="O1871" s="116">
        <v>288.64999999999998</v>
      </c>
      <c r="P1871" s="116">
        <v>289</v>
      </c>
      <c r="Q1871" s="116">
        <v>293.39999999999998</v>
      </c>
      <c r="R1871">
        <v>1941113</v>
      </c>
    </row>
    <row r="1872" spans="1:18" x14ac:dyDescent="0.25">
      <c r="A1872" s="170">
        <v>44760</v>
      </c>
      <c r="B1872" s="116">
        <v>295</v>
      </c>
      <c r="C1872" s="116">
        <v>293.55</v>
      </c>
      <c r="D1872" s="116">
        <v>288.55</v>
      </c>
      <c r="E1872" s="116">
        <v>290</v>
      </c>
      <c r="F1872" s="116">
        <v>293.55</v>
      </c>
      <c r="G1872">
        <v>211660</v>
      </c>
      <c r="H1872" s="116"/>
      <c r="I1872" s="116"/>
      <c r="L1872" s="170">
        <v>44761</v>
      </c>
      <c r="M1872" s="116">
        <v>298.64999999999998</v>
      </c>
      <c r="N1872" s="116">
        <v>299.75</v>
      </c>
      <c r="O1872" s="116">
        <v>293.5</v>
      </c>
      <c r="P1872" s="116">
        <v>295</v>
      </c>
      <c r="Q1872" s="116">
        <v>298.64999999999998</v>
      </c>
      <c r="R1872">
        <v>2560461</v>
      </c>
    </row>
    <row r="1873" spans="1:18" x14ac:dyDescent="0.25">
      <c r="A1873" s="170">
        <v>44761</v>
      </c>
      <c r="B1873" s="116">
        <v>299.5</v>
      </c>
      <c r="C1873" s="116">
        <v>298.60000000000002</v>
      </c>
      <c r="D1873" s="116">
        <v>294.10000000000002</v>
      </c>
      <c r="E1873" s="116">
        <v>295</v>
      </c>
      <c r="F1873" s="116">
        <v>298.60000000000002</v>
      </c>
      <c r="G1873">
        <v>228554</v>
      </c>
      <c r="H1873" s="116"/>
      <c r="I1873" s="116"/>
      <c r="L1873" s="170">
        <v>44762</v>
      </c>
      <c r="M1873" s="116">
        <v>278.85000000000002</v>
      </c>
      <c r="N1873" s="116">
        <v>283</v>
      </c>
      <c r="O1873" s="116">
        <v>276.7</v>
      </c>
      <c r="P1873" s="116">
        <v>280</v>
      </c>
      <c r="Q1873" s="116">
        <v>278.85000000000002</v>
      </c>
      <c r="R1873">
        <v>3156045</v>
      </c>
    </row>
    <row r="1874" spans="1:18" x14ac:dyDescent="0.25">
      <c r="A1874" s="170">
        <v>44762</v>
      </c>
      <c r="B1874" s="116">
        <v>283.14999999999998</v>
      </c>
      <c r="C1874" s="116">
        <v>279</v>
      </c>
      <c r="D1874" s="116">
        <v>276.75</v>
      </c>
      <c r="E1874" s="116">
        <v>282.3</v>
      </c>
      <c r="F1874" s="116">
        <v>279</v>
      </c>
      <c r="G1874">
        <v>140036</v>
      </c>
      <c r="H1874" s="116"/>
      <c r="I1874" s="116"/>
      <c r="L1874" s="170">
        <v>44763</v>
      </c>
      <c r="M1874" s="116">
        <v>283</v>
      </c>
      <c r="N1874" s="116">
        <v>286.8</v>
      </c>
      <c r="O1874" s="116">
        <v>275.95</v>
      </c>
      <c r="P1874" s="116">
        <v>279</v>
      </c>
      <c r="Q1874" s="116">
        <v>283</v>
      </c>
      <c r="R1874">
        <v>2947592</v>
      </c>
    </row>
    <row r="1875" spans="1:18" x14ac:dyDescent="0.25">
      <c r="A1875" s="170">
        <v>44763</v>
      </c>
      <c r="B1875" s="116">
        <v>286.75</v>
      </c>
      <c r="C1875" s="116">
        <v>283</v>
      </c>
      <c r="D1875" s="116">
        <v>275.75</v>
      </c>
      <c r="E1875" s="116">
        <v>277.55</v>
      </c>
      <c r="F1875" s="116">
        <v>283</v>
      </c>
      <c r="G1875">
        <v>261487</v>
      </c>
      <c r="H1875" s="116"/>
      <c r="I1875" s="116"/>
      <c r="L1875" s="170">
        <v>44764</v>
      </c>
      <c r="M1875" s="116">
        <v>277.25</v>
      </c>
      <c r="N1875" s="116">
        <v>285.14999999999998</v>
      </c>
      <c r="O1875" s="116">
        <v>276.5</v>
      </c>
      <c r="P1875" s="116">
        <v>285</v>
      </c>
      <c r="Q1875" s="116">
        <v>277.25</v>
      </c>
      <c r="R1875">
        <v>1416962</v>
      </c>
    </row>
    <row r="1876" spans="1:18" x14ac:dyDescent="0.25">
      <c r="A1876" s="170">
        <v>44764</v>
      </c>
      <c r="B1876" s="116">
        <v>285.14999999999998</v>
      </c>
      <c r="C1876" s="116">
        <v>277.3</v>
      </c>
      <c r="D1876" s="116">
        <v>276.5</v>
      </c>
      <c r="E1876" s="116">
        <v>284.64999999999998</v>
      </c>
      <c r="F1876" s="116">
        <v>277.3</v>
      </c>
      <c r="G1876">
        <v>161087</v>
      </c>
      <c r="H1876" s="116"/>
      <c r="I1876" s="116"/>
      <c r="L1876" s="170">
        <v>44767</v>
      </c>
      <c r="M1876" s="116">
        <v>273.05</v>
      </c>
      <c r="N1876" s="116">
        <v>277.7</v>
      </c>
      <c r="O1876" s="116">
        <v>272.3</v>
      </c>
      <c r="P1876" s="116">
        <v>276.85000000000002</v>
      </c>
      <c r="Q1876" s="116">
        <v>273.05</v>
      </c>
      <c r="R1876">
        <v>752631</v>
      </c>
    </row>
    <row r="1877" spans="1:18" x14ac:dyDescent="0.25">
      <c r="A1877" s="170">
        <v>44767</v>
      </c>
      <c r="B1877" s="116">
        <v>278.95</v>
      </c>
      <c r="C1877" s="116">
        <v>272.95</v>
      </c>
      <c r="D1877" s="116">
        <v>272.2</v>
      </c>
      <c r="E1877" s="116">
        <v>278.95</v>
      </c>
      <c r="F1877" s="116">
        <v>272.95</v>
      </c>
      <c r="G1877">
        <v>97181</v>
      </c>
      <c r="H1877" s="116"/>
      <c r="I1877" s="116"/>
      <c r="L1877" s="170">
        <v>44768</v>
      </c>
      <c r="M1877" s="116">
        <v>265.89999999999998</v>
      </c>
      <c r="N1877" s="116">
        <v>273.25</v>
      </c>
      <c r="O1877" s="116">
        <v>265</v>
      </c>
      <c r="P1877" s="116">
        <v>273.25</v>
      </c>
      <c r="Q1877" s="116">
        <v>265.89999999999998</v>
      </c>
      <c r="R1877">
        <v>593234</v>
      </c>
    </row>
    <row r="1878" spans="1:18" x14ac:dyDescent="0.25">
      <c r="A1878" s="170">
        <v>44768</v>
      </c>
      <c r="B1878" s="116">
        <v>273</v>
      </c>
      <c r="C1878" s="116">
        <v>265.89999999999998</v>
      </c>
      <c r="D1878" s="116">
        <v>265</v>
      </c>
      <c r="E1878" s="116">
        <v>272.95</v>
      </c>
      <c r="F1878" s="116">
        <v>265.89999999999998</v>
      </c>
      <c r="G1878">
        <v>65271</v>
      </c>
      <c r="H1878" s="116"/>
      <c r="I1878" s="116"/>
      <c r="L1878" s="170">
        <v>44769</v>
      </c>
      <c r="M1878" s="116">
        <v>262.95</v>
      </c>
      <c r="N1878" s="116">
        <v>265.2</v>
      </c>
      <c r="O1878" s="116">
        <v>260.3</v>
      </c>
      <c r="P1878" s="116">
        <v>265</v>
      </c>
      <c r="Q1878" s="116">
        <v>262.95</v>
      </c>
      <c r="R1878">
        <v>655614</v>
      </c>
    </row>
    <row r="1879" spans="1:18" x14ac:dyDescent="0.25">
      <c r="A1879" s="170">
        <v>44769</v>
      </c>
      <c r="B1879" s="116">
        <v>266</v>
      </c>
      <c r="C1879" s="116">
        <v>263.14999999999998</v>
      </c>
      <c r="D1879" s="116">
        <v>260.5</v>
      </c>
      <c r="E1879" s="116">
        <v>266</v>
      </c>
      <c r="F1879" s="116">
        <v>263.14999999999998</v>
      </c>
      <c r="G1879">
        <v>80537</v>
      </c>
      <c r="H1879" s="116"/>
      <c r="I1879" s="116"/>
      <c r="L1879" s="170">
        <v>44770</v>
      </c>
      <c r="M1879" s="116">
        <v>264.5</v>
      </c>
      <c r="N1879" s="116">
        <v>267.14999999999998</v>
      </c>
      <c r="O1879" s="116">
        <v>262.60000000000002</v>
      </c>
      <c r="P1879" s="116">
        <v>263</v>
      </c>
      <c r="Q1879" s="116">
        <v>264.5</v>
      </c>
      <c r="R1879">
        <v>494063</v>
      </c>
    </row>
    <row r="1880" spans="1:18" x14ac:dyDescent="0.25">
      <c r="A1880" s="170">
        <v>44770</v>
      </c>
      <c r="B1880" s="116">
        <v>267.45</v>
      </c>
      <c r="C1880" s="116">
        <v>264.7</v>
      </c>
      <c r="D1880" s="116">
        <v>262.5</v>
      </c>
      <c r="E1880" s="116">
        <v>267.45</v>
      </c>
      <c r="F1880" s="116">
        <v>264.7</v>
      </c>
      <c r="G1880">
        <v>74714</v>
      </c>
      <c r="H1880" s="116"/>
      <c r="I1880" s="116"/>
      <c r="L1880" s="170">
        <v>44771</v>
      </c>
      <c r="M1880" s="116">
        <v>269.7</v>
      </c>
      <c r="N1880" s="116">
        <v>270.2</v>
      </c>
      <c r="O1880" s="116">
        <v>266</v>
      </c>
      <c r="P1880" s="116">
        <v>266.64999999999998</v>
      </c>
      <c r="Q1880" s="116">
        <v>269.7</v>
      </c>
      <c r="R1880">
        <v>588967</v>
      </c>
    </row>
    <row r="1881" spans="1:18" x14ac:dyDescent="0.25">
      <c r="A1881" s="170">
        <v>44771</v>
      </c>
      <c r="B1881" s="116">
        <v>270</v>
      </c>
      <c r="C1881" s="116">
        <v>269.8</v>
      </c>
      <c r="D1881" s="116">
        <v>265.55</v>
      </c>
      <c r="E1881" s="116">
        <v>269.60000000000002</v>
      </c>
      <c r="F1881" s="116">
        <v>269.8</v>
      </c>
      <c r="G1881">
        <v>92785</v>
      </c>
      <c r="H1881" s="116"/>
      <c r="I1881" s="116"/>
      <c r="L1881" s="170">
        <v>44774</v>
      </c>
      <c r="M1881" s="116">
        <v>272.39999999999998</v>
      </c>
      <c r="N1881" s="116">
        <v>273.75</v>
      </c>
      <c r="O1881" s="116">
        <v>270.35000000000002</v>
      </c>
      <c r="P1881" s="116">
        <v>272.25</v>
      </c>
      <c r="Q1881" s="116">
        <v>272.39999999999998</v>
      </c>
      <c r="R1881">
        <v>494511</v>
      </c>
    </row>
    <row r="1882" spans="1:18" x14ac:dyDescent="0.25">
      <c r="A1882" s="170">
        <v>44774</v>
      </c>
      <c r="B1882" s="116">
        <v>273.85000000000002</v>
      </c>
      <c r="C1882" s="116">
        <v>272.35000000000002</v>
      </c>
      <c r="D1882" s="116">
        <v>270.39999999999998</v>
      </c>
      <c r="E1882" s="116">
        <v>273.25</v>
      </c>
      <c r="F1882" s="116">
        <v>272.35000000000002</v>
      </c>
      <c r="G1882">
        <v>77006</v>
      </c>
      <c r="H1882" s="116"/>
      <c r="I1882" s="116"/>
      <c r="L1882" s="170">
        <v>44775</v>
      </c>
      <c r="M1882" s="116">
        <v>271.14999999999998</v>
      </c>
      <c r="N1882" s="116">
        <v>272.2</v>
      </c>
      <c r="O1882" s="116">
        <v>269.14999999999998</v>
      </c>
      <c r="P1882" s="116">
        <v>270</v>
      </c>
      <c r="Q1882" s="116">
        <v>271.14999999999998</v>
      </c>
      <c r="R1882">
        <v>403498</v>
      </c>
    </row>
    <row r="1883" spans="1:18" x14ac:dyDescent="0.25">
      <c r="A1883" s="170">
        <v>44775</v>
      </c>
      <c r="B1883" s="116">
        <v>272.39999999999998</v>
      </c>
      <c r="C1883" s="116">
        <v>271.2</v>
      </c>
      <c r="D1883" s="116">
        <v>269.3</v>
      </c>
      <c r="E1883" s="116">
        <v>272.39999999999998</v>
      </c>
      <c r="F1883" s="116">
        <v>271.2</v>
      </c>
      <c r="G1883">
        <v>26402</v>
      </c>
      <c r="H1883" s="116"/>
      <c r="I1883" s="116"/>
      <c r="L1883" s="170">
        <v>44776</v>
      </c>
      <c r="M1883" s="116">
        <v>269.39999999999998</v>
      </c>
      <c r="N1883" s="116">
        <v>273</v>
      </c>
      <c r="O1883" s="116">
        <v>268.10000000000002</v>
      </c>
      <c r="P1883" s="116">
        <v>271.25</v>
      </c>
      <c r="Q1883" s="116">
        <v>269.39999999999998</v>
      </c>
      <c r="R1883">
        <v>313021</v>
      </c>
    </row>
    <row r="1884" spans="1:18" x14ac:dyDescent="0.25">
      <c r="A1884" s="170">
        <v>44776</v>
      </c>
      <c r="B1884" s="116">
        <v>273</v>
      </c>
      <c r="C1884" s="116">
        <v>269.55</v>
      </c>
      <c r="D1884" s="116">
        <v>268.2</v>
      </c>
      <c r="E1884" s="116">
        <v>269.75</v>
      </c>
      <c r="F1884" s="116">
        <v>269.55</v>
      </c>
      <c r="G1884">
        <v>57551</v>
      </c>
      <c r="H1884" s="116"/>
      <c r="I1884" s="116"/>
      <c r="L1884" s="170">
        <v>44777</v>
      </c>
      <c r="M1884" s="116">
        <v>271.14999999999998</v>
      </c>
      <c r="N1884" s="116">
        <v>272.64999999999998</v>
      </c>
      <c r="O1884" s="116">
        <v>266.85000000000002</v>
      </c>
      <c r="P1884" s="116">
        <v>271.39999999999998</v>
      </c>
      <c r="Q1884" s="116">
        <v>271.14999999999998</v>
      </c>
      <c r="R1884">
        <v>434407</v>
      </c>
    </row>
    <row r="1885" spans="1:18" x14ac:dyDescent="0.25">
      <c r="A1885" s="170">
        <v>44777</v>
      </c>
      <c r="B1885" s="116">
        <v>272.7</v>
      </c>
      <c r="C1885" s="116">
        <v>270.95</v>
      </c>
      <c r="D1885" s="116">
        <v>266.85000000000002</v>
      </c>
      <c r="E1885" s="116">
        <v>272.7</v>
      </c>
      <c r="F1885" s="116">
        <v>270.95</v>
      </c>
      <c r="G1885">
        <v>62436</v>
      </c>
      <c r="H1885" s="116"/>
      <c r="I1885" s="116"/>
      <c r="L1885" s="170">
        <v>44778</v>
      </c>
      <c r="M1885" s="116">
        <v>271.89999999999998</v>
      </c>
      <c r="N1885" s="116">
        <v>276.3</v>
      </c>
      <c r="O1885" s="116">
        <v>270</v>
      </c>
      <c r="P1885" s="116">
        <v>274.95</v>
      </c>
      <c r="Q1885" s="116">
        <v>271.89999999999998</v>
      </c>
      <c r="R1885">
        <v>690443</v>
      </c>
    </row>
    <row r="1886" spans="1:18" x14ac:dyDescent="0.25">
      <c r="A1886" s="170">
        <v>44778</v>
      </c>
      <c r="B1886" s="116">
        <v>276.2</v>
      </c>
      <c r="C1886" s="116">
        <v>272.25</v>
      </c>
      <c r="D1886" s="116">
        <v>270.10000000000002</v>
      </c>
      <c r="E1886" s="116">
        <v>273.2</v>
      </c>
      <c r="F1886" s="116">
        <v>272.25</v>
      </c>
      <c r="G1886">
        <v>33478</v>
      </c>
      <c r="H1886" s="116"/>
      <c r="I1886" s="116"/>
      <c r="L1886" s="170">
        <v>44781</v>
      </c>
      <c r="M1886" s="116">
        <v>271.39999999999998</v>
      </c>
      <c r="N1886" s="116">
        <v>274</v>
      </c>
      <c r="O1886" s="116">
        <v>270.3</v>
      </c>
      <c r="P1886" s="116">
        <v>273.60000000000002</v>
      </c>
      <c r="Q1886" s="116">
        <v>271.39999999999998</v>
      </c>
      <c r="R1886">
        <v>344207</v>
      </c>
    </row>
    <row r="1887" spans="1:18" x14ac:dyDescent="0.25">
      <c r="A1887" s="170">
        <v>44781</v>
      </c>
      <c r="B1887" s="116">
        <v>274.39999999999998</v>
      </c>
      <c r="C1887" s="116">
        <v>271.35000000000002</v>
      </c>
      <c r="D1887" s="116">
        <v>270.25</v>
      </c>
      <c r="E1887" s="116">
        <v>274.39999999999998</v>
      </c>
      <c r="F1887" s="116">
        <v>271.35000000000002</v>
      </c>
      <c r="G1887">
        <v>49817</v>
      </c>
      <c r="H1887" s="116"/>
      <c r="I1887" s="116"/>
      <c r="L1887" s="170">
        <v>44783</v>
      </c>
      <c r="M1887" s="116">
        <v>272.7</v>
      </c>
      <c r="N1887" s="116">
        <v>275.10000000000002</v>
      </c>
      <c r="O1887" s="116">
        <v>270.5</v>
      </c>
      <c r="P1887" s="116">
        <v>271.89999999999998</v>
      </c>
      <c r="Q1887" s="116">
        <v>272.7</v>
      </c>
      <c r="R1887">
        <v>539114</v>
      </c>
    </row>
    <row r="1888" spans="1:18" x14ac:dyDescent="0.25">
      <c r="A1888" s="170">
        <v>44783</v>
      </c>
      <c r="B1888" s="116">
        <v>275.10000000000002</v>
      </c>
      <c r="C1888" s="116">
        <v>272.8</v>
      </c>
      <c r="D1888" s="116">
        <v>270.60000000000002</v>
      </c>
      <c r="E1888" s="116">
        <v>271.05</v>
      </c>
      <c r="F1888" s="116">
        <v>272.8</v>
      </c>
      <c r="G1888">
        <v>26530</v>
      </c>
      <c r="H1888" s="116"/>
      <c r="I1888" s="116"/>
      <c r="L1888" s="170">
        <v>44784</v>
      </c>
      <c r="M1888" s="116">
        <v>272.89999999999998</v>
      </c>
      <c r="N1888" s="116">
        <v>277.3</v>
      </c>
      <c r="O1888" s="116">
        <v>272.5</v>
      </c>
      <c r="P1888" s="116">
        <v>276</v>
      </c>
      <c r="Q1888" s="116">
        <v>272.89999999999998</v>
      </c>
      <c r="R1888">
        <v>577857</v>
      </c>
    </row>
    <row r="1889" spans="1:18" x14ac:dyDescent="0.25">
      <c r="A1889" s="170">
        <v>44784</v>
      </c>
      <c r="B1889" s="116">
        <v>276.8</v>
      </c>
      <c r="C1889" s="116">
        <v>272.8</v>
      </c>
      <c r="D1889" s="116">
        <v>272.39999999999998</v>
      </c>
      <c r="E1889" s="116">
        <v>274.45</v>
      </c>
      <c r="F1889" s="116">
        <v>272.8</v>
      </c>
      <c r="G1889">
        <v>51781</v>
      </c>
      <c r="H1889" s="116"/>
      <c r="I1889" s="116"/>
      <c r="L1889" s="170">
        <v>44785</v>
      </c>
      <c r="M1889" s="116">
        <v>273.7</v>
      </c>
      <c r="N1889" s="116">
        <v>276.5</v>
      </c>
      <c r="O1889" s="116">
        <v>273</v>
      </c>
      <c r="P1889" s="116">
        <v>273.10000000000002</v>
      </c>
      <c r="Q1889" s="116">
        <v>273.7</v>
      </c>
      <c r="R1889">
        <v>867326</v>
      </c>
    </row>
    <row r="1890" spans="1:18" x14ac:dyDescent="0.25">
      <c r="A1890" s="170">
        <v>44785</v>
      </c>
      <c r="B1890" s="116">
        <v>276.45</v>
      </c>
      <c r="C1890" s="116">
        <v>273.75</v>
      </c>
      <c r="D1890" s="116">
        <v>273.10000000000002</v>
      </c>
      <c r="E1890" s="116">
        <v>273.14999999999998</v>
      </c>
      <c r="F1890" s="116">
        <v>273.75</v>
      </c>
      <c r="G1890">
        <v>26742</v>
      </c>
      <c r="H1890" s="116"/>
      <c r="I1890" s="116"/>
      <c r="L1890" s="170">
        <v>44789</v>
      </c>
      <c r="M1890" s="116">
        <v>293.2</v>
      </c>
      <c r="N1890" s="116">
        <v>302</v>
      </c>
      <c r="O1890" s="116">
        <v>271.5</v>
      </c>
      <c r="P1890" s="116">
        <v>273</v>
      </c>
      <c r="Q1890" s="116">
        <v>293.2</v>
      </c>
      <c r="R1890">
        <v>5158878</v>
      </c>
    </row>
    <row r="1891" spans="1:18" x14ac:dyDescent="0.25">
      <c r="A1891" s="170">
        <v>44789</v>
      </c>
      <c r="B1891" s="116">
        <v>301.5</v>
      </c>
      <c r="C1891" s="116">
        <v>292.3</v>
      </c>
      <c r="D1891" s="116">
        <v>271.45</v>
      </c>
      <c r="E1891" s="116">
        <v>275</v>
      </c>
      <c r="F1891" s="116">
        <v>292.3</v>
      </c>
      <c r="G1891">
        <v>444067</v>
      </c>
      <c r="H1891" s="116"/>
      <c r="I1891" s="116"/>
      <c r="L1891" s="170">
        <v>44790</v>
      </c>
      <c r="M1891" s="116">
        <v>285.60000000000002</v>
      </c>
      <c r="N1891" s="116">
        <v>298</v>
      </c>
      <c r="O1891" s="116">
        <v>284</v>
      </c>
      <c r="P1891" s="116">
        <v>296.3</v>
      </c>
      <c r="Q1891" s="116">
        <v>285.60000000000002</v>
      </c>
      <c r="R1891">
        <v>2997649</v>
      </c>
    </row>
    <row r="1892" spans="1:18" x14ac:dyDescent="0.25">
      <c r="A1892" s="170">
        <v>44790</v>
      </c>
      <c r="B1892" s="116">
        <v>298.39999999999998</v>
      </c>
      <c r="C1892" s="116">
        <v>285.64999999999998</v>
      </c>
      <c r="D1892" s="116">
        <v>284.14999999999998</v>
      </c>
      <c r="E1892" s="116">
        <v>296.7</v>
      </c>
      <c r="F1892" s="116">
        <v>285.64999999999998</v>
      </c>
      <c r="G1892">
        <v>172875</v>
      </c>
      <c r="H1892" s="116"/>
      <c r="I1892" s="116"/>
      <c r="L1892" s="170">
        <v>44791</v>
      </c>
      <c r="M1892" s="116">
        <v>282.85000000000002</v>
      </c>
      <c r="N1892" s="116">
        <v>288.8</v>
      </c>
      <c r="O1892" s="116">
        <v>282.2</v>
      </c>
      <c r="P1892" s="116">
        <v>285</v>
      </c>
      <c r="Q1892" s="116">
        <v>282.85000000000002</v>
      </c>
      <c r="R1892">
        <v>1443038</v>
      </c>
    </row>
    <row r="1893" spans="1:18" x14ac:dyDescent="0.25">
      <c r="A1893" s="170">
        <v>44791</v>
      </c>
      <c r="B1893" s="116">
        <v>288.5</v>
      </c>
      <c r="C1893" s="116">
        <v>282.89999999999998</v>
      </c>
      <c r="D1893" s="116">
        <v>282.14999999999998</v>
      </c>
      <c r="E1893" s="116">
        <v>285.64999999999998</v>
      </c>
      <c r="F1893" s="116">
        <v>282.89999999999998</v>
      </c>
      <c r="G1893">
        <v>127597</v>
      </c>
      <c r="H1893" s="116"/>
      <c r="I1893" s="116"/>
      <c r="L1893" s="170">
        <v>44792</v>
      </c>
      <c r="M1893" s="116">
        <v>280</v>
      </c>
      <c r="N1893" s="116">
        <v>283.75</v>
      </c>
      <c r="O1893" s="116">
        <v>277</v>
      </c>
      <c r="P1893" s="116">
        <v>282.89999999999998</v>
      </c>
      <c r="Q1893" s="116">
        <v>280</v>
      </c>
      <c r="R1893">
        <v>992701</v>
      </c>
    </row>
    <row r="1894" spans="1:18" x14ac:dyDescent="0.25">
      <c r="A1894" s="170">
        <v>44792</v>
      </c>
      <c r="B1894" s="116">
        <v>283.55</v>
      </c>
      <c r="C1894" s="116">
        <v>280.10000000000002</v>
      </c>
      <c r="D1894" s="116">
        <v>277.10000000000002</v>
      </c>
      <c r="E1894" s="116">
        <v>282.89999999999998</v>
      </c>
      <c r="F1894" s="116">
        <v>280.10000000000002</v>
      </c>
      <c r="G1894">
        <v>163945</v>
      </c>
      <c r="H1894" s="116"/>
      <c r="I1894" s="116"/>
      <c r="L1894" s="170">
        <v>44795</v>
      </c>
      <c r="M1894" s="116">
        <v>279.2</v>
      </c>
      <c r="N1894" s="116">
        <v>283.89999999999998</v>
      </c>
      <c r="O1894" s="116">
        <v>275.05</v>
      </c>
      <c r="P1894" s="116">
        <v>281.5</v>
      </c>
      <c r="Q1894" s="116">
        <v>279.2</v>
      </c>
      <c r="R1894">
        <v>772130</v>
      </c>
    </row>
    <row r="1895" spans="1:18" x14ac:dyDescent="0.25">
      <c r="A1895" s="170">
        <v>44795</v>
      </c>
      <c r="B1895" s="116">
        <v>283.8</v>
      </c>
      <c r="C1895" s="116">
        <v>279.2</v>
      </c>
      <c r="D1895" s="116">
        <v>275.05</v>
      </c>
      <c r="E1895" s="116">
        <v>282</v>
      </c>
      <c r="F1895" s="116">
        <v>279.2</v>
      </c>
      <c r="G1895">
        <v>157311</v>
      </c>
      <c r="H1895" s="116"/>
      <c r="I1895" s="116"/>
      <c r="L1895" s="170">
        <v>44796</v>
      </c>
      <c r="M1895" s="116">
        <v>282.5</v>
      </c>
      <c r="N1895" s="116">
        <v>284.2</v>
      </c>
      <c r="O1895" s="116">
        <v>276.25</v>
      </c>
      <c r="P1895" s="116">
        <v>277</v>
      </c>
      <c r="Q1895" s="116">
        <v>282.5</v>
      </c>
      <c r="R1895">
        <v>885701</v>
      </c>
    </row>
    <row r="1896" spans="1:18" x14ac:dyDescent="0.25">
      <c r="A1896" s="170">
        <v>44796</v>
      </c>
      <c r="B1896" s="116">
        <v>284.25</v>
      </c>
      <c r="C1896" s="116">
        <v>282.60000000000002</v>
      </c>
      <c r="D1896" s="116">
        <v>275.55</v>
      </c>
      <c r="E1896" s="116">
        <v>275.55</v>
      </c>
      <c r="F1896" s="116">
        <v>282.60000000000002</v>
      </c>
      <c r="G1896">
        <v>98535</v>
      </c>
      <c r="H1896" s="116"/>
      <c r="I1896" s="116"/>
      <c r="L1896" s="170">
        <v>44797</v>
      </c>
      <c r="M1896" s="116">
        <v>282.45</v>
      </c>
      <c r="N1896" s="116">
        <v>291.35000000000002</v>
      </c>
      <c r="O1896" s="116">
        <v>280.85000000000002</v>
      </c>
      <c r="P1896" s="116">
        <v>281.64999999999998</v>
      </c>
      <c r="Q1896" s="116">
        <v>282.45</v>
      </c>
      <c r="R1896">
        <v>791395</v>
      </c>
    </row>
    <row r="1897" spans="1:18" x14ac:dyDescent="0.25">
      <c r="A1897" s="170">
        <v>44797</v>
      </c>
      <c r="B1897" s="116">
        <v>291</v>
      </c>
      <c r="C1897" s="116">
        <v>282.5</v>
      </c>
      <c r="D1897" s="116">
        <v>280.7</v>
      </c>
      <c r="E1897" s="116">
        <v>282.8</v>
      </c>
      <c r="F1897" s="116">
        <v>282.5</v>
      </c>
      <c r="G1897">
        <v>112866</v>
      </c>
      <c r="H1897" s="116"/>
      <c r="I1897" s="116"/>
      <c r="L1897" s="170">
        <v>44798</v>
      </c>
      <c r="M1897" s="116">
        <v>281.60000000000002</v>
      </c>
      <c r="N1897" s="116">
        <v>284.8</v>
      </c>
      <c r="O1897" s="116">
        <v>280.14999999999998</v>
      </c>
      <c r="P1897" s="116">
        <v>282.5</v>
      </c>
      <c r="Q1897" s="116">
        <v>281.60000000000002</v>
      </c>
      <c r="R1897">
        <v>369250</v>
      </c>
    </row>
    <row r="1898" spans="1:18" x14ac:dyDescent="0.25">
      <c r="A1898" s="170">
        <v>44798</v>
      </c>
      <c r="B1898" s="116">
        <v>284.75</v>
      </c>
      <c r="C1898" s="116">
        <v>281.45</v>
      </c>
      <c r="D1898" s="116">
        <v>280.25</v>
      </c>
      <c r="E1898" s="116">
        <v>283.39999999999998</v>
      </c>
      <c r="F1898" s="116">
        <v>281.45</v>
      </c>
      <c r="G1898">
        <v>54185</v>
      </c>
      <c r="H1898" s="116"/>
      <c r="I1898" s="116"/>
      <c r="L1898" s="170">
        <v>44799</v>
      </c>
      <c r="M1898" s="116">
        <v>285.14999999999998</v>
      </c>
      <c r="N1898" s="116">
        <v>286.45</v>
      </c>
      <c r="O1898" s="116">
        <v>282</v>
      </c>
      <c r="P1898" s="116">
        <v>282.3</v>
      </c>
      <c r="Q1898" s="116">
        <v>285.14999999999998</v>
      </c>
      <c r="R1898">
        <v>638190</v>
      </c>
    </row>
    <row r="1899" spans="1:18" x14ac:dyDescent="0.25">
      <c r="A1899" s="170">
        <v>44799</v>
      </c>
      <c r="B1899" s="116">
        <v>286.35000000000002</v>
      </c>
      <c r="C1899" s="116">
        <v>285.3</v>
      </c>
      <c r="D1899" s="116">
        <v>282</v>
      </c>
      <c r="E1899" s="116">
        <v>284.64999999999998</v>
      </c>
      <c r="F1899" s="116">
        <v>285.3</v>
      </c>
      <c r="G1899">
        <v>20929</v>
      </c>
      <c r="H1899" s="116"/>
      <c r="I1899" s="116"/>
      <c r="L1899" s="170">
        <v>44802</v>
      </c>
      <c r="M1899" s="116">
        <v>284.7</v>
      </c>
      <c r="N1899" s="116">
        <v>287</v>
      </c>
      <c r="O1899" s="116">
        <v>278.45</v>
      </c>
      <c r="P1899" s="116">
        <v>279.89999999999998</v>
      </c>
      <c r="Q1899" s="116">
        <v>284.7</v>
      </c>
      <c r="R1899">
        <v>713986</v>
      </c>
    </row>
    <row r="1900" spans="1:18" x14ac:dyDescent="0.25">
      <c r="A1900" s="170">
        <v>44802</v>
      </c>
      <c r="B1900" s="116">
        <v>286.95</v>
      </c>
      <c r="C1900" s="116">
        <v>284.7</v>
      </c>
      <c r="D1900" s="116">
        <v>271</v>
      </c>
      <c r="E1900" s="116">
        <v>271</v>
      </c>
      <c r="F1900" s="116">
        <v>284.7</v>
      </c>
      <c r="G1900">
        <v>123335</v>
      </c>
      <c r="H1900" s="116"/>
      <c r="I1900" s="116"/>
      <c r="L1900" s="170">
        <v>44803</v>
      </c>
      <c r="M1900" s="116">
        <v>285</v>
      </c>
      <c r="N1900" s="116">
        <v>287.95</v>
      </c>
      <c r="O1900" s="116">
        <v>280.35000000000002</v>
      </c>
      <c r="P1900" s="116">
        <v>286.2</v>
      </c>
      <c r="Q1900" s="116">
        <v>285</v>
      </c>
      <c r="R1900">
        <v>457643</v>
      </c>
    </row>
    <row r="1901" spans="1:18" x14ac:dyDescent="0.25">
      <c r="A1901" s="170">
        <v>44803</v>
      </c>
      <c r="B1901" s="116">
        <v>287.7</v>
      </c>
      <c r="C1901" s="116">
        <v>285.39999999999998</v>
      </c>
      <c r="D1901" s="116">
        <v>283.64999999999998</v>
      </c>
      <c r="E1901" s="116">
        <v>284.89999999999998</v>
      </c>
      <c r="F1901" s="116">
        <v>285.39999999999998</v>
      </c>
      <c r="G1901">
        <v>69332</v>
      </c>
      <c r="H1901" s="116"/>
      <c r="I1901" s="116"/>
      <c r="L1901" s="170">
        <v>44805</v>
      </c>
      <c r="M1901" s="116">
        <v>284.35000000000002</v>
      </c>
      <c r="N1901" s="116">
        <v>287.2</v>
      </c>
      <c r="O1901" s="116">
        <v>283</v>
      </c>
      <c r="P1901" s="116">
        <v>285</v>
      </c>
      <c r="Q1901" s="116">
        <v>284.35000000000002</v>
      </c>
      <c r="R1901">
        <v>453578</v>
      </c>
    </row>
    <row r="1902" spans="1:18" x14ac:dyDescent="0.25">
      <c r="A1902" s="170">
        <v>44805</v>
      </c>
      <c r="B1902" s="116">
        <v>287</v>
      </c>
      <c r="C1902" s="116">
        <v>284.5</v>
      </c>
      <c r="D1902" s="116">
        <v>283.14999999999998</v>
      </c>
      <c r="E1902" s="116">
        <v>284.5</v>
      </c>
      <c r="F1902" s="116">
        <v>284.5</v>
      </c>
      <c r="G1902">
        <v>73376</v>
      </c>
      <c r="H1902" s="116"/>
      <c r="I1902" s="116"/>
      <c r="L1902" s="170">
        <v>44806</v>
      </c>
      <c r="M1902" s="116">
        <v>285.39999999999998</v>
      </c>
      <c r="N1902" s="116">
        <v>289.3</v>
      </c>
      <c r="O1902" s="116">
        <v>284</v>
      </c>
      <c r="P1902" s="116">
        <v>288.89999999999998</v>
      </c>
      <c r="Q1902" s="116">
        <v>285.39999999999998</v>
      </c>
      <c r="R1902">
        <v>873457</v>
      </c>
    </row>
    <row r="1903" spans="1:18" x14ac:dyDescent="0.25">
      <c r="A1903" s="170">
        <v>44806</v>
      </c>
      <c r="B1903" s="116">
        <v>289</v>
      </c>
      <c r="C1903" s="116">
        <v>285.35000000000002</v>
      </c>
      <c r="D1903" s="116">
        <v>284.39999999999998</v>
      </c>
      <c r="E1903" s="116">
        <v>289</v>
      </c>
      <c r="F1903" s="116">
        <v>285.35000000000002</v>
      </c>
      <c r="G1903">
        <v>100202</v>
      </c>
      <c r="H1903" s="116"/>
      <c r="I1903" s="116"/>
      <c r="L1903" s="170">
        <v>44809</v>
      </c>
      <c r="M1903" s="116">
        <v>287.45</v>
      </c>
      <c r="N1903" s="116">
        <v>290.3</v>
      </c>
      <c r="O1903" s="116">
        <v>285</v>
      </c>
      <c r="P1903" s="116">
        <v>288</v>
      </c>
      <c r="Q1903" s="116">
        <v>287.45</v>
      </c>
      <c r="R1903">
        <v>706524</v>
      </c>
    </row>
    <row r="1904" spans="1:18" x14ac:dyDescent="0.25">
      <c r="A1904" s="170">
        <v>44809</v>
      </c>
      <c r="B1904" s="116">
        <v>290.14999999999998</v>
      </c>
      <c r="C1904" s="116">
        <v>287.55</v>
      </c>
      <c r="D1904" s="116">
        <v>285.35000000000002</v>
      </c>
      <c r="E1904" s="116">
        <v>288.5</v>
      </c>
      <c r="F1904" s="116">
        <v>287.55</v>
      </c>
      <c r="G1904">
        <v>54336</v>
      </c>
      <c r="H1904" s="116"/>
      <c r="I1904" s="116"/>
      <c r="L1904" s="170">
        <v>44810</v>
      </c>
      <c r="M1904" s="116">
        <v>287</v>
      </c>
      <c r="N1904" s="116">
        <v>289.75</v>
      </c>
      <c r="O1904" s="116">
        <v>286.3</v>
      </c>
      <c r="P1904" s="116">
        <v>287.45</v>
      </c>
      <c r="Q1904" s="116">
        <v>287</v>
      </c>
      <c r="R1904">
        <v>437294</v>
      </c>
    </row>
    <row r="1905" spans="1:18" x14ac:dyDescent="0.25">
      <c r="A1905" s="170">
        <v>44810</v>
      </c>
      <c r="B1905" s="116">
        <v>289.7</v>
      </c>
      <c r="C1905" s="116">
        <v>287.14999999999998</v>
      </c>
      <c r="D1905" s="116">
        <v>286.35000000000002</v>
      </c>
      <c r="E1905" s="116">
        <v>288</v>
      </c>
      <c r="F1905" s="116">
        <v>287.14999999999998</v>
      </c>
      <c r="G1905">
        <v>66085</v>
      </c>
      <c r="H1905" s="116"/>
      <c r="I1905" s="116"/>
      <c r="L1905" s="170">
        <v>44811</v>
      </c>
      <c r="M1905" s="116">
        <v>287.60000000000002</v>
      </c>
      <c r="N1905" s="116">
        <v>289.8</v>
      </c>
      <c r="O1905" s="116">
        <v>285.5</v>
      </c>
      <c r="P1905" s="116">
        <v>286.75</v>
      </c>
      <c r="Q1905" s="116">
        <v>287.60000000000002</v>
      </c>
      <c r="R1905">
        <v>326092</v>
      </c>
    </row>
    <row r="1906" spans="1:18" x14ac:dyDescent="0.25">
      <c r="A1906" s="170">
        <v>44811</v>
      </c>
      <c r="B1906" s="116">
        <v>289.55</v>
      </c>
      <c r="C1906" s="116">
        <v>287.55</v>
      </c>
      <c r="D1906" s="116">
        <v>285.85000000000002</v>
      </c>
      <c r="E1906" s="116">
        <v>286</v>
      </c>
      <c r="F1906" s="116">
        <v>287.55</v>
      </c>
      <c r="G1906">
        <v>43240</v>
      </c>
      <c r="H1906" s="116"/>
      <c r="I1906" s="116"/>
      <c r="L1906" s="170">
        <v>44812</v>
      </c>
      <c r="M1906" s="116">
        <v>288.64999999999998</v>
      </c>
      <c r="N1906" s="116">
        <v>289.95</v>
      </c>
      <c r="O1906" s="116">
        <v>286.5</v>
      </c>
      <c r="P1906" s="116">
        <v>289</v>
      </c>
      <c r="Q1906" s="116">
        <v>288.64999999999998</v>
      </c>
      <c r="R1906">
        <v>685165</v>
      </c>
    </row>
    <row r="1907" spans="1:18" x14ac:dyDescent="0.25">
      <c r="A1907" s="170">
        <v>44812</v>
      </c>
      <c r="B1907" s="116">
        <v>289.85000000000002</v>
      </c>
      <c r="C1907" s="116">
        <v>288.7</v>
      </c>
      <c r="D1907" s="116">
        <v>287</v>
      </c>
      <c r="E1907" s="116">
        <v>287.55</v>
      </c>
      <c r="F1907" s="116">
        <v>288.7</v>
      </c>
      <c r="G1907">
        <v>29997</v>
      </c>
      <c r="H1907" s="116"/>
      <c r="I1907" s="116"/>
      <c r="L1907" s="170">
        <v>44813</v>
      </c>
      <c r="M1907" s="116">
        <v>289.55</v>
      </c>
      <c r="N1907" s="116">
        <v>292</v>
      </c>
      <c r="O1907" s="116">
        <v>288.2</v>
      </c>
      <c r="P1907" s="116">
        <v>290</v>
      </c>
      <c r="Q1907" s="116">
        <v>289.55</v>
      </c>
      <c r="R1907">
        <v>527012</v>
      </c>
    </row>
    <row r="1908" spans="1:18" x14ac:dyDescent="0.25">
      <c r="A1908" s="170">
        <v>44813</v>
      </c>
      <c r="B1908" s="116">
        <v>291.89999999999998</v>
      </c>
      <c r="C1908" s="116">
        <v>289.45</v>
      </c>
      <c r="D1908" s="116">
        <v>288.3</v>
      </c>
      <c r="E1908" s="116">
        <v>288.7</v>
      </c>
      <c r="F1908" s="116">
        <v>289.45</v>
      </c>
      <c r="G1908">
        <v>89899</v>
      </c>
      <c r="H1908" s="116"/>
      <c r="I1908" s="116"/>
      <c r="L1908" s="170">
        <v>44816</v>
      </c>
      <c r="M1908" s="116">
        <v>289.45</v>
      </c>
      <c r="N1908" s="116">
        <v>295</v>
      </c>
      <c r="O1908" s="116">
        <v>288.3</v>
      </c>
      <c r="P1908" s="116">
        <v>290.3</v>
      </c>
      <c r="Q1908" s="116">
        <v>289.45</v>
      </c>
      <c r="R1908">
        <v>662532</v>
      </c>
    </row>
    <row r="1909" spans="1:18" x14ac:dyDescent="0.25">
      <c r="A1909" s="170">
        <v>44816</v>
      </c>
      <c r="B1909" s="116">
        <v>294.95</v>
      </c>
      <c r="C1909" s="116">
        <v>289.60000000000002</v>
      </c>
      <c r="D1909" s="116">
        <v>288.35000000000002</v>
      </c>
      <c r="E1909" s="116">
        <v>290</v>
      </c>
      <c r="F1909" s="116">
        <v>289.60000000000002</v>
      </c>
      <c r="G1909">
        <v>52255</v>
      </c>
      <c r="H1909" s="116"/>
      <c r="I1909" s="116"/>
      <c r="L1909" s="170">
        <v>44817</v>
      </c>
      <c r="M1909" s="116">
        <v>288.45</v>
      </c>
      <c r="N1909" s="116">
        <v>293</v>
      </c>
      <c r="O1909" s="116">
        <v>288</v>
      </c>
      <c r="P1909" s="116">
        <v>293</v>
      </c>
      <c r="Q1909" s="116">
        <v>288.45</v>
      </c>
      <c r="R1909">
        <v>490769</v>
      </c>
    </row>
    <row r="1910" spans="1:18" x14ac:dyDescent="0.25">
      <c r="A1910" s="170">
        <v>44817</v>
      </c>
      <c r="B1910" s="116">
        <v>292.39999999999998</v>
      </c>
      <c r="C1910" s="116">
        <v>288.60000000000002</v>
      </c>
      <c r="D1910" s="116">
        <v>288.10000000000002</v>
      </c>
      <c r="E1910" s="116">
        <v>291</v>
      </c>
      <c r="F1910" s="116">
        <v>288.60000000000002</v>
      </c>
      <c r="G1910">
        <v>61429</v>
      </c>
      <c r="H1910" s="116"/>
      <c r="I1910" s="116"/>
      <c r="L1910" s="170">
        <v>44818</v>
      </c>
      <c r="M1910" s="116">
        <v>289.75</v>
      </c>
      <c r="N1910" s="116">
        <v>295</v>
      </c>
      <c r="O1910" s="116">
        <v>283.5</v>
      </c>
      <c r="P1910" s="116">
        <v>283.5</v>
      </c>
      <c r="Q1910" s="116">
        <v>289.75</v>
      </c>
      <c r="R1910">
        <v>1343291</v>
      </c>
    </row>
    <row r="1911" spans="1:18" x14ac:dyDescent="0.25">
      <c r="A1911" s="170">
        <v>44818</v>
      </c>
      <c r="B1911" s="116">
        <v>295</v>
      </c>
      <c r="C1911" s="116">
        <v>289.8</v>
      </c>
      <c r="D1911" s="116">
        <v>284</v>
      </c>
      <c r="E1911" s="116">
        <v>285.64999999999998</v>
      </c>
      <c r="F1911" s="116">
        <v>289.8</v>
      </c>
      <c r="G1911">
        <v>178712</v>
      </c>
      <c r="H1911" s="116"/>
      <c r="I1911" s="116"/>
      <c r="L1911" s="170">
        <v>44819</v>
      </c>
      <c r="M1911" s="116">
        <v>290.75</v>
      </c>
      <c r="N1911" s="116">
        <v>291.89999999999998</v>
      </c>
      <c r="O1911" s="116">
        <v>287.3</v>
      </c>
      <c r="P1911" s="116">
        <v>291.75</v>
      </c>
      <c r="Q1911" s="116">
        <v>290.75</v>
      </c>
      <c r="R1911">
        <v>561891</v>
      </c>
    </row>
    <row r="1912" spans="1:18" x14ac:dyDescent="0.25">
      <c r="A1912" s="170">
        <v>44819</v>
      </c>
      <c r="B1912" s="116">
        <v>291.89999999999998</v>
      </c>
      <c r="C1912" s="116">
        <v>290.5</v>
      </c>
      <c r="D1912" s="116">
        <v>287.35000000000002</v>
      </c>
      <c r="E1912" s="116">
        <v>290.2</v>
      </c>
      <c r="F1912" s="116">
        <v>290.5</v>
      </c>
      <c r="G1912">
        <v>61540</v>
      </c>
      <c r="H1912" s="116"/>
      <c r="I1912" s="116"/>
      <c r="L1912" s="170">
        <v>44820</v>
      </c>
      <c r="M1912" s="116">
        <v>281.3</v>
      </c>
      <c r="N1912" s="116">
        <v>291</v>
      </c>
      <c r="O1912" s="116">
        <v>278.60000000000002</v>
      </c>
      <c r="P1912" s="116">
        <v>288.3</v>
      </c>
      <c r="Q1912" s="116">
        <v>281.3</v>
      </c>
      <c r="R1912">
        <v>855108</v>
      </c>
    </row>
    <row r="1913" spans="1:18" x14ac:dyDescent="0.25">
      <c r="A1913" s="170">
        <v>44820</v>
      </c>
      <c r="B1913" s="116">
        <v>290.89999999999998</v>
      </c>
      <c r="C1913" s="116">
        <v>281.10000000000002</v>
      </c>
      <c r="D1913" s="116">
        <v>278.64999999999998</v>
      </c>
      <c r="E1913" s="116">
        <v>288</v>
      </c>
      <c r="F1913" s="116">
        <v>281.10000000000002</v>
      </c>
      <c r="G1913">
        <v>37748</v>
      </c>
      <c r="H1913" s="116"/>
      <c r="I1913" s="116"/>
      <c r="L1913" s="170">
        <v>44823</v>
      </c>
      <c r="M1913" s="116">
        <v>275.39999999999998</v>
      </c>
      <c r="N1913" s="116">
        <v>283.75</v>
      </c>
      <c r="O1913" s="116">
        <v>274.64999999999998</v>
      </c>
      <c r="P1913" s="116">
        <v>283.75</v>
      </c>
      <c r="Q1913" s="116">
        <v>275.39999999999998</v>
      </c>
      <c r="R1913">
        <v>538419</v>
      </c>
    </row>
    <row r="1914" spans="1:18" x14ac:dyDescent="0.25">
      <c r="A1914" s="170">
        <v>44823</v>
      </c>
      <c r="B1914" s="116">
        <v>284.89999999999998</v>
      </c>
      <c r="C1914" s="116">
        <v>275.45</v>
      </c>
      <c r="D1914" s="116">
        <v>275</v>
      </c>
      <c r="E1914" s="116">
        <v>284.89999999999998</v>
      </c>
      <c r="F1914" s="116">
        <v>275.45</v>
      </c>
      <c r="G1914">
        <v>39348</v>
      </c>
      <c r="H1914" s="116"/>
      <c r="I1914" s="116"/>
      <c r="L1914" s="170">
        <v>44824</v>
      </c>
      <c r="M1914" s="116">
        <v>278.8</v>
      </c>
      <c r="N1914" s="116">
        <v>281.2</v>
      </c>
      <c r="O1914" s="116">
        <v>275.5</v>
      </c>
      <c r="P1914" s="116">
        <v>276</v>
      </c>
      <c r="Q1914" s="116">
        <v>278.8</v>
      </c>
      <c r="R1914">
        <v>354395</v>
      </c>
    </row>
    <row r="1915" spans="1:18" x14ac:dyDescent="0.25">
      <c r="A1915" s="170">
        <v>44824</v>
      </c>
      <c r="B1915" s="116">
        <v>280.95</v>
      </c>
      <c r="C1915" s="116">
        <v>278.89999999999998</v>
      </c>
      <c r="D1915" s="116">
        <v>275.2</v>
      </c>
      <c r="E1915" s="116">
        <v>275.2</v>
      </c>
      <c r="F1915" s="116">
        <v>278.89999999999998</v>
      </c>
      <c r="G1915">
        <v>38117</v>
      </c>
      <c r="H1915" s="116"/>
      <c r="I1915" s="116"/>
      <c r="L1915" s="170">
        <v>44825</v>
      </c>
      <c r="M1915" s="116">
        <v>281.14999999999998</v>
      </c>
      <c r="N1915" s="116">
        <v>281.89999999999998</v>
      </c>
      <c r="O1915" s="116">
        <v>277.60000000000002</v>
      </c>
      <c r="P1915" s="116">
        <v>278.8</v>
      </c>
      <c r="Q1915" s="116">
        <v>281.14999999999998</v>
      </c>
      <c r="R1915">
        <v>271931</v>
      </c>
    </row>
    <row r="1916" spans="1:18" x14ac:dyDescent="0.25">
      <c r="A1916" s="170">
        <v>44825</v>
      </c>
      <c r="B1916" s="116">
        <v>281.8</v>
      </c>
      <c r="C1916" s="116">
        <v>280.89999999999998</v>
      </c>
      <c r="D1916" s="116">
        <v>277.55</v>
      </c>
      <c r="E1916" s="116">
        <v>279.7</v>
      </c>
      <c r="F1916" s="116">
        <v>280.89999999999998</v>
      </c>
      <c r="G1916">
        <v>39871</v>
      </c>
      <c r="H1916" s="116"/>
      <c r="I1916" s="116"/>
      <c r="L1916" s="170">
        <v>44826</v>
      </c>
      <c r="M1916" s="116">
        <v>282.35000000000002</v>
      </c>
      <c r="N1916" s="116">
        <v>282.95</v>
      </c>
      <c r="O1916" s="116">
        <v>279.05</v>
      </c>
      <c r="P1916" s="116">
        <v>281.14999999999998</v>
      </c>
      <c r="Q1916" s="116">
        <v>282.35000000000002</v>
      </c>
      <c r="R1916">
        <v>270528</v>
      </c>
    </row>
    <row r="1917" spans="1:18" x14ac:dyDescent="0.25">
      <c r="A1917" s="170">
        <v>44826</v>
      </c>
      <c r="B1917" s="116">
        <v>283</v>
      </c>
      <c r="C1917" s="116">
        <v>282.25</v>
      </c>
      <c r="D1917" s="116">
        <v>279.05</v>
      </c>
      <c r="E1917" s="116">
        <v>280</v>
      </c>
      <c r="F1917" s="116">
        <v>282.25</v>
      </c>
      <c r="G1917">
        <v>15184</v>
      </c>
      <c r="H1917" s="116"/>
      <c r="I1917" s="116"/>
      <c r="L1917" s="170">
        <v>44827</v>
      </c>
      <c r="M1917" s="116">
        <v>278.39999999999998</v>
      </c>
      <c r="N1917" s="116">
        <v>284.7</v>
      </c>
      <c r="O1917" s="116">
        <v>278</v>
      </c>
      <c r="P1917" s="116">
        <v>282.35000000000002</v>
      </c>
      <c r="Q1917" s="116">
        <v>278.39999999999998</v>
      </c>
      <c r="R1917">
        <v>308887</v>
      </c>
    </row>
    <row r="1918" spans="1:18" x14ac:dyDescent="0.25">
      <c r="A1918" s="170">
        <v>44827</v>
      </c>
      <c r="B1918" s="116">
        <v>286.75</v>
      </c>
      <c r="C1918" s="116">
        <v>278.39999999999998</v>
      </c>
      <c r="D1918" s="116">
        <v>278</v>
      </c>
      <c r="E1918" s="116">
        <v>286.75</v>
      </c>
      <c r="F1918" s="116">
        <v>278.39999999999998</v>
      </c>
      <c r="G1918">
        <v>20350</v>
      </c>
      <c r="H1918" s="116"/>
      <c r="I1918" s="116"/>
      <c r="L1918" s="170">
        <v>44830</v>
      </c>
      <c r="M1918" s="116">
        <v>272.45</v>
      </c>
      <c r="N1918" s="116">
        <v>276</v>
      </c>
      <c r="O1918" s="116">
        <v>269</v>
      </c>
      <c r="P1918" s="116">
        <v>276</v>
      </c>
      <c r="Q1918" s="116">
        <v>272.45</v>
      </c>
      <c r="R1918">
        <v>296586</v>
      </c>
    </row>
    <row r="1919" spans="1:18" x14ac:dyDescent="0.25">
      <c r="A1919" s="170">
        <v>44830</v>
      </c>
      <c r="B1919" s="116">
        <v>277.5</v>
      </c>
      <c r="C1919" s="116">
        <v>272.25</v>
      </c>
      <c r="D1919" s="116">
        <v>269.05</v>
      </c>
      <c r="E1919" s="116">
        <v>277.5</v>
      </c>
      <c r="F1919" s="116">
        <v>272.25</v>
      </c>
      <c r="G1919">
        <v>55025</v>
      </c>
      <c r="H1919" s="116"/>
      <c r="I1919" s="116"/>
      <c r="L1919" s="170">
        <v>44831</v>
      </c>
      <c r="M1919" s="116">
        <v>274</v>
      </c>
      <c r="N1919" s="116">
        <v>276.10000000000002</v>
      </c>
      <c r="O1919" s="116">
        <v>272</v>
      </c>
      <c r="P1919" s="116">
        <v>275</v>
      </c>
      <c r="Q1919" s="116">
        <v>274</v>
      </c>
      <c r="R1919">
        <v>217422</v>
      </c>
    </row>
    <row r="1920" spans="1:18" x14ac:dyDescent="0.25">
      <c r="A1920" s="170">
        <v>44831</v>
      </c>
      <c r="B1920" s="116">
        <v>276.14999999999998</v>
      </c>
      <c r="C1920" s="116">
        <v>273.95</v>
      </c>
      <c r="D1920" s="116">
        <v>272.05</v>
      </c>
      <c r="E1920" s="116">
        <v>272.5</v>
      </c>
      <c r="F1920" s="116">
        <v>273.95</v>
      </c>
      <c r="G1920">
        <v>13355</v>
      </c>
      <c r="H1920" s="116"/>
      <c r="I1920" s="116"/>
      <c r="L1920" s="170">
        <v>44832</v>
      </c>
      <c r="M1920" s="116">
        <v>266.10000000000002</v>
      </c>
      <c r="N1920" s="116">
        <v>273.5</v>
      </c>
      <c r="O1920" s="116">
        <v>262.64999999999998</v>
      </c>
      <c r="P1920" s="116">
        <v>271.55</v>
      </c>
      <c r="Q1920" s="116">
        <v>266.10000000000002</v>
      </c>
      <c r="R1920">
        <v>308238</v>
      </c>
    </row>
    <row r="1921" spans="1:18" x14ac:dyDescent="0.25">
      <c r="A1921" s="170">
        <v>44832</v>
      </c>
      <c r="B1921" s="116">
        <v>273.5</v>
      </c>
      <c r="C1921" s="116">
        <v>266.8</v>
      </c>
      <c r="D1921" s="116">
        <v>262.95</v>
      </c>
      <c r="E1921" s="116">
        <v>270.35000000000002</v>
      </c>
      <c r="F1921" s="116">
        <v>266.8</v>
      </c>
      <c r="G1921">
        <v>25018</v>
      </c>
      <c r="H1921" s="116"/>
      <c r="I1921" s="116"/>
      <c r="L1921" s="170">
        <v>44833</v>
      </c>
      <c r="M1921" s="116">
        <v>267.85000000000002</v>
      </c>
      <c r="N1921" s="116">
        <v>272.45</v>
      </c>
      <c r="O1921" s="116">
        <v>266.14999999999998</v>
      </c>
      <c r="P1921" s="116">
        <v>268.3</v>
      </c>
      <c r="Q1921" s="116">
        <v>267.85000000000002</v>
      </c>
      <c r="R1921">
        <v>215429</v>
      </c>
    </row>
    <row r="1922" spans="1:18" x14ac:dyDescent="0.25">
      <c r="A1922" s="170">
        <v>44833</v>
      </c>
      <c r="B1922" s="116">
        <v>270.89999999999998</v>
      </c>
      <c r="C1922" s="116">
        <v>267.85000000000002</v>
      </c>
      <c r="D1922" s="116">
        <v>266.39999999999998</v>
      </c>
      <c r="E1922" s="116">
        <v>268</v>
      </c>
      <c r="F1922" s="116">
        <v>267.85000000000002</v>
      </c>
      <c r="G1922">
        <v>33802</v>
      </c>
      <c r="H1922" s="116"/>
      <c r="I1922" s="116"/>
      <c r="L1922" s="170">
        <v>44834</v>
      </c>
      <c r="M1922" s="116">
        <v>267.2</v>
      </c>
      <c r="N1922" s="116">
        <v>270</v>
      </c>
      <c r="O1922" s="116">
        <v>266.5</v>
      </c>
      <c r="P1922" s="116">
        <v>267.85000000000002</v>
      </c>
      <c r="Q1922" s="116">
        <v>267.2</v>
      </c>
      <c r="R1922">
        <v>459950</v>
      </c>
    </row>
    <row r="1923" spans="1:18" x14ac:dyDescent="0.25">
      <c r="A1923" s="170">
        <v>44834</v>
      </c>
      <c r="B1923" s="116">
        <v>270</v>
      </c>
      <c r="C1923" s="116">
        <v>267.2</v>
      </c>
      <c r="D1923" s="116">
        <v>266.39999999999998</v>
      </c>
      <c r="E1923" s="116">
        <v>268</v>
      </c>
      <c r="F1923" s="116">
        <v>267.2</v>
      </c>
      <c r="G1923">
        <v>48980</v>
      </c>
      <c r="H1923" s="116"/>
      <c r="I1923" s="116"/>
      <c r="L1923" s="170">
        <v>44837</v>
      </c>
      <c r="M1923" s="116">
        <v>266.05</v>
      </c>
      <c r="N1923" s="116">
        <v>269.35000000000002</v>
      </c>
      <c r="O1923" s="116">
        <v>264</v>
      </c>
      <c r="P1923" s="116">
        <v>267.2</v>
      </c>
      <c r="Q1923" s="116">
        <v>266.05</v>
      </c>
      <c r="R1923">
        <v>342434</v>
      </c>
    </row>
    <row r="1924" spans="1:18" x14ac:dyDescent="0.25">
      <c r="A1924" s="170">
        <v>44837</v>
      </c>
      <c r="B1924" s="116">
        <v>269.39999999999998</v>
      </c>
      <c r="C1924" s="116">
        <v>265.55</v>
      </c>
      <c r="D1924" s="116">
        <v>264.5</v>
      </c>
      <c r="E1924" s="116">
        <v>268.95</v>
      </c>
      <c r="F1924" s="116">
        <v>265.55</v>
      </c>
      <c r="G1924">
        <v>36384</v>
      </c>
      <c r="H1924" s="116"/>
      <c r="I1924" s="116"/>
      <c r="L1924" s="170">
        <v>44838</v>
      </c>
      <c r="M1924" s="116">
        <v>272.35000000000002</v>
      </c>
      <c r="N1924" s="116">
        <v>275</v>
      </c>
      <c r="O1924" s="116">
        <v>266.14999999999998</v>
      </c>
      <c r="P1924" s="116">
        <v>275</v>
      </c>
      <c r="Q1924" s="116">
        <v>272.35000000000002</v>
      </c>
      <c r="R1924">
        <v>1136013</v>
      </c>
    </row>
    <row r="1925" spans="1:18" x14ac:dyDescent="0.25">
      <c r="A1925" s="170">
        <v>44838</v>
      </c>
      <c r="B1925" s="116">
        <v>276.10000000000002</v>
      </c>
      <c r="C1925" s="116">
        <v>272.10000000000002</v>
      </c>
      <c r="D1925" s="116">
        <v>266.2</v>
      </c>
      <c r="E1925" s="116">
        <v>272.35000000000002</v>
      </c>
      <c r="F1925" s="116">
        <v>272.10000000000002</v>
      </c>
      <c r="G1925">
        <v>60278</v>
      </c>
      <c r="H1925" s="116"/>
      <c r="I1925" s="116"/>
      <c r="L1925" s="170">
        <v>44840</v>
      </c>
      <c r="M1925" s="116">
        <v>284.55</v>
      </c>
      <c r="N1925" s="116">
        <v>285.3</v>
      </c>
      <c r="O1925" s="116">
        <v>274.25</v>
      </c>
      <c r="P1925" s="116">
        <v>276.7</v>
      </c>
      <c r="Q1925" s="116">
        <v>284.55</v>
      </c>
      <c r="R1925">
        <v>1178145</v>
      </c>
    </row>
    <row r="1926" spans="1:18" x14ac:dyDescent="0.25">
      <c r="A1926" s="170">
        <v>44840</v>
      </c>
      <c r="B1926" s="116">
        <v>285.25</v>
      </c>
      <c r="C1926" s="116">
        <v>284.3</v>
      </c>
      <c r="D1926" s="116">
        <v>274</v>
      </c>
      <c r="E1926" s="116">
        <v>274</v>
      </c>
      <c r="F1926" s="116">
        <v>284.3</v>
      </c>
      <c r="G1926">
        <v>58227</v>
      </c>
      <c r="H1926" s="116"/>
      <c r="I1926" s="116"/>
      <c r="L1926" s="170">
        <v>44841</v>
      </c>
      <c r="M1926" s="116">
        <v>287.8</v>
      </c>
      <c r="N1926" s="116">
        <v>288.39999999999998</v>
      </c>
      <c r="O1926" s="116">
        <v>280.2</v>
      </c>
      <c r="P1926" s="116">
        <v>283.35000000000002</v>
      </c>
      <c r="Q1926" s="116">
        <v>287.8</v>
      </c>
      <c r="R1926">
        <v>550838</v>
      </c>
    </row>
    <row r="1927" spans="1:18" x14ac:dyDescent="0.25">
      <c r="A1927" s="170">
        <v>44841</v>
      </c>
      <c r="B1927" s="116">
        <v>288.25</v>
      </c>
      <c r="C1927" s="116">
        <v>287.75</v>
      </c>
      <c r="D1927" s="116">
        <v>280.45</v>
      </c>
      <c r="E1927" s="116">
        <v>281.8</v>
      </c>
      <c r="F1927" s="116">
        <v>287.75</v>
      </c>
      <c r="G1927">
        <v>22908</v>
      </c>
      <c r="H1927" s="116"/>
      <c r="I1927" s="116"/>
      <c r="L1927" s="170">
        <v>44844</v>
      </c>
      <c r="M1927" s="116">
        <v>289.75</v>
      </c>
      <c r="N1927" s="116">
        <v>290.45</v>
      </c>
      <c r="O1927" s="116">
        <v>282.45</v>
      </c>
      <c r="P1927" s="116">
        <v>285</v>
      </c>
      <c r="Q1927" s="116">
        <v>289.75</v>
      </c>
      <c r="R1927">
        <v>433434</v>
      </c>
    </row>
    <row r="1928" spans="1:18" x14ac:dyDescent="0.25">
      <c r="A1928" s="170">
        <v>44844</v>
      </c>
      <c r="B1928" s="116">
        <v>290.5</v>
      </c>
      <c r="C1928" s="116">
        <v>289.85000000000002</v>
      </c>
      <c r="D1928" s="116">
        <v>282.5</v>
      </c>
      <c r="E1928" s="116">
        <v>286.3</v>
      </c>
      <c r="F1928" s="116">
        <v>289.85000000000002</v>
      </c>
      <c r="G1928">
        <v>22163</v>
      </c>
      <c r="H1928" s="116"/>
      <c r="I1928" s="116"/>
      <c r="L1928" s="170">
        <v>44845</v>
      </c>
      <c r="M1928" s="116">
        <v>286.89999999999998</v>
      </c>
      <c r="N1928" s="116">
        <v>290.60000000000002</v>
      </c>
      <c r="O1928" s="116">
        <v>282.25</v>
      </c>
      <c r="P1928" s="116">
        <v>289.75</v>
      </c>
      <c r="Q1928" s="116">
        <v>286.89999999999998</v>
      </c>
      <c r="R1928">
        <v>639022</v>
      </c>
    </row>
    <row r="1929" spans="1:18" x14ac:dyDescent="0.25">
      <c r="A1929" s="170">
        <v>44845</v>
      </c>
      <c r="B1929" s="116">
        <v>289.75</v>
      </c>
      <c r="C1929" s="116">
        <v>286.60000000000002</v>
      </c>
      <c r="D1929" s="116">
        <v>282.3</v>
      </c>
      <c r="E1929" s="116">
        <v>289</v>
      </c>
      <c r="F1929" s="116">
        <v>286.60000000000002</v>
      </c>
      <c r="G1929">
        <v>47286</v>
      </c>
      <c r="H1929" s="116"/>
      <c r="I1929" s="116"/>
      <c r="L1929" s="170">
        <v>44846</v>
      </c>
      <c r="M1929" s="116">
        <v>289.45</v>
      </c>
      <c r="N1929" s="116">
        <v>289.8</v>
      </c>
      <c r="O1929" s="116">
        <v>282.89999999999998</v>
      </c>
      <c r="P1929" s="116">
        <v>286.89999999999998</v>
      </c>
      <c r="Q1929" s="116">
        <v>289.45</v>
      </c>
      <c r="R1929">
        <v>414835</v>
      </c>
    </row>
    <row r="1930" spans="1:18" x14ac:dyDescent="0.25">
      <c r="A1930" s="170">
        <v>44846</v>
      </c>
      <c r="B1930" s="116">
        <v>289.8</v>
      </c>
      <c r="C1930" s="116">
        <v>289.3</v>
      </c>
      <c r="D1930" s="116">
        <v>282.8</v>
      </c>
      <c r="E1930" s="116">
        <v>286.10000000000002</v>
      </c>
      <c r="F1930" s="116">
        <v>289.3</v>
      </c>
      <c r="G1930">
        <v>22512</v>
      </c>
      <c r="H1930" s="116"/>
      <c r="I1930" s="116"/>
      <c r="L1930" s="170">
        <v>44847</v>
      </c>
      <c r="M1930" s="116">
        <v>289.14999999999998</v>
      </c>
      <c r="N1930" s="116">
        <v>289.75</v>
      </c>
      <c r="O1930" s="116">
        <v>284.25</v>
      </c>
      <c r="P1930" s="116">
        <v>289.3</v>
      </c>
      <c r="Q1930" s="116">
        <v>289.14999999999998</v>
      </c>
      <c r="R1930">
        <v>312524</v>
      </c>
    </row>
    <row r="1931" spans="1:18" x14ac:dyDescent="0.25">
      <c r="A1931" s="170">
        <v>44847</v>
      </c>
      <c r="B1931" s="116">
        <v>290</v>
      </c>
      <c r="C1931" s="116">
        <v>289.10000000000002</v>
      </c>
      <c r="D1931" s="116">
        <v>284.45</v>
      </c>
      <c r="E1931" s="116">
        <v>286.14999999999998</v>
      </c>
      <c r="F1931" s="116">
        <v>289.10000000000002</v>
      </c>
      <c r="G1931">
        <v>16394</v>
      </c>
      <c r="H1931" s="116"/>
      <c r="I1931" s="116"/>
      <c r="L1931" s="170">
        <v>44848</v>
      </c>
      <c r="M1931" s="116">
        <v>285.14999999999998</v>
      </c>
      <c r="N1931" s="116">
        <v>292.75</v>
      </c>
      <c r="O1931" s="116">
        <v>284</v>
      </c>
      <c r="P1931" s="116">
        <v>291</v>
      </c>
      <c r="Q1931" s="116">
        <v>285.14999999999998</v>
      </c>
      <c r="R1931">
        <v>280350</v>
      </c>
    </row>
    <row r="1932" spans="1:18" x14ac:dyDescent="0.25">
      <c r="A1932" s="170">
        <v>44848</v>
      </c>
      <c r="B1932" s="116">
        <v>292</v>
      </c>
      <c r="C1932" s="116">
        <v>285.35000000000002</v>
      </c>
      <c r="D1932" s="116">
        <v>284.25</v>
      </c>
      <c r="E1932" s="116">
        <v>291.5</v>
      </c>
      <c r="F1932" s="116">
        <v>285.35000000000002</v>
      </c>
      <c r="G1932">
        <v>19861</v>
      </c>
      <c r="H1932" s="116"/>
      <c r="I1932" s="116"/>
      <c r="L1932" s="170">
        <v>44851</v>
      </c>
      <c r="M1932" s="116">
        <v>276.89999999999998</v>
      </c>
      <c r="N1932" s="116">
        <v>285.14999999999998</v>
      </c>
      <c r="O1932" s="116">
        <v>276</v>
      </c>
      <c r="P1932" s="116">
        <v>285</v>
      </c>
      <c r="Q1932" s="116">
        <v>276.89999999999998</v>
      </c>
      <c r="R1932">
        <v>373337</v>
      </c>
    </row>
    <row r="1933" spans="1:18" x14ac:dyDescent="0.25">
      <c r="A1933" s="170">
        <v>44851</v>
      </c>
      <c r="B1933" s="116">
        <v>285</v>
      </c>
      <c r="C1933" s="116">
        <v>277.05</v>
      </c>
      <c r="D1933" s="116">
        <v>276.2</v>
      </c>
      <c r="E1933" s="116">
        <v>285</v>
      </c>
      <c r="F1933" s="116">
        <v>277.05</v>
      </c>
      <c r="G1933">
        <v>39545</v>
      </c>
      <c r="H1933" s="116"/>
      <c r="I1933" s="116"/>
      <c r="L1933" s="170">
        <v>44852</v>
      </c>
      <c r="M1933" s="116">
        <v>280.55</v>
      </c>
      <c r="N1933" s="116">
        <v>281</v>
      </c>
      <c r="O1933" s="116">
        <v>277.85000000000002</v>
      </c>
      <c r="P1933" s="116">
        <v>277.89999999999998</v>
      </c>
      <c r="Q1933" s="116">
        <v>280.55</v>
      </c>
      <c r="R1933">
        <v>305689</v>
      </c>
    </row>
    <row r="1934" spans="1:18" x14ac:dyDescent="0.25">
      <c r="A1934" s="170">
        <v>44852</v>
      </c>
      <c r="B1934" s="116">
        <v>284.85000000000002</v>
      </c>
      <c r="C1934" s="116">
        <v>280.60000000000002</v>
      </c>
      <c r="D1934" s="116">
        <v>277.95</v>
      </c>
      <c r="E1934" s="116">
        <v>279.89999999999998</v>
      </c>
      <c r="F1934" s="116">
        <v>280.60000000000002</v>
      </c>
      <c r="G1934">
        <v>27952</v>
      </c>
      <c r="H1934" s="116"/>
      <c r="I1934" s="116"/>
      <c r="L1934" s="170">
        <v>44853</v>
      </c>
      <c r="M1934" s="116">
        <v>281.45</v>
      </c>
      <c r="N1934" s="116">
        <v>284.89999999999998</v>
      </c>
      <c r="O1934" s="116">
        <v>280</v>
      </c>
      <c r="P1934" s="116">
        <v>280</v>
      </c>
      <c r="Q1934" s="116">
        <v>281.45</v>
      </c>
      <c r="R1934">
        <v>237621</v>
      </c>
    </row>
    <row r="1935" spans="1:18" x14ac:dyDescent="0.25">
      <c r="A1935" s="170">
        <v>44853</v>
      </c>
      <c r="B1935" s="116">
        <v>284.64999999999998</v>
      </c>
      <c r="C1935" s="116">
        <v>281.5</v>
      </c>
      <c r="D1935" s="116">
        <v>280.14999999999998</v>
      </c>
      <c r="E1935" s="116">
        <v>280.60000000000002</v>
      </c>
      <c r="F1935" s="116">
        <v>281.5</v>
      </c>
      <c r="G1935">
        <v>28870</v>
      </c>
      <c r="H1935" s="116"/>
      <c r="I1935" s="116"/>
      <c r="L1935" s="170">
        <v>44854</v>
      </c>
      <c r="M1935" s="116">
        <v>278.35000000000002</v>
      </c>
      <c r="N1935" s="116">
        <v>281</v>
      </c>
      <c r="O1935" s="116">
        <v>277.2</v>
      </c>
      <c r="P1935" s="116">
        <v>279.25</v>
      </c>
      <c r="Q1935" s="116">
        <v>278.35000000000002</v>
      </c>
      <c r="R1935">
        <v>234039</v>
      </c>
    </row>
    <row r="1936" spans="1:18" x14ac:dyDescent="0.25">
      <c r="A1936" s="170">
        <v>44854</v>
      </c>
      <c r="B1936" s="116">
        <v>281.5</v>
      </c>
      <c r="C1936" s="116">
        <v>278.55</v>
      </c>
      <c r="D1936" s="116">
        <v>277.14999999999998</v>
      </c>
      <c r="E1936" s="116">
        <v>281.5</v>
      </c>
      <c r="F1936" s="116">
        <v>278.55</v>
      </c>
      <c r="G1936">
        <v>27246</v>
      </c>
      <c r="H1936" s="116"/>
      <c r="I1936" s="116"/>
      <c r="L1936" s="170">
        <v>44855</v>
      </c>
      <c r="M1936" s="116">
        <v>281.14999999999998</v>
      </c>
      <c r="N1936" s="116">
        <v>283.7</v>
      </c>
      <c r="O1936" s="116">
        <v>278.10000000000002</v>
      </c>
      <c r="P1936" s="116">
        <v>278.95</v>
      </c>
      <c r="Q1936" s="116">
        <v>281.14999999999998</v>
      </c>
      <c r="R1936">
        <v>653505</v>
      </c>
    </row>
    <row r="1937" spans="1:18" x14ac:dyDescent="0.25">
      <c r="A1937" s="170">
        <v>44855</v>
      </c>
      <c r="B1937" s="116">
        <v>283.25</v>
      </c>
      <c r="C1937" s="116">
        <v>281</v>
      </c>
      <c r="D1937" s="116">
        <v>278.10000000000002</v>
      </c>
      <c r="E1937" s="116">
        <v>279.8</v>
      </c>
      <c r="F1937" s="116">
        <v>281</v>
      </c>
      <c r="G1937">
        <v>51777</v>
      </c>
      <c r="H1937" s="116"/>
      <c r="I1937" s="116"/>
      <c r="L1937" s="170">
        <v>44858</v>
      </c>
      <c r="M1937" s="116">
        <v>283.25</v>
      </c>
      <c r="N1937" s="116">
        <v>283.75</v>
      </c>
      <c r="O1937" s="116">
        <v>281.3</v>
      </c>
      <c r="P1937" s="116">
        <v>283</v>
      </c>
      <c r="Q1937" s="116">
        <v>283.25</v>
      </c>
      <c r="R1937">
        <v>123463</v>
      </c>
    </row>
    <row r="1938" spans="1:18" x14ac:dyDescent="0.25">
      <c r="A1938" s="170">
        <v>44858</v>
      </c>
      <c r="B1938" s="116">
        <v>283.85000000000002</v>
      </c>
      <c r="C1938" s="116">
        <v>283.25</v>
      </c>
      <c r="D1938" s="116">
        <v>281.60000000000002</v>
      </c>
      <c r="E1938" s="116">
        <v>282.05</v>
      </c>
      <c r="F1938" s="116">
        <v>283.25</v>
      </c>
      <c r="G1938">
        <v>10405</v>
      </c>
      <c r="H1938" s="116"/>
      <c r="I1938" s="116"/>
      <c r="L1938" s="170">
        <v>44859</v>
      </c>
      <c r="M1938" s="116">
        <v>284.2</v>
      </c>
      <c r="N1938" s="116">
        <v>284.7</v>
      </c>
      <c r="O1938" s="116">
        <v>280.55</v>
      </c>
      <c r="P1938" s="116">
        <v>283</v>
      </c>
      <c r="Q1938" s="116">
        <v>284.2</v>
      </c>
      <c r="R1938">
        <v>287573</v>
      </c>
    </row>
    <row r="1939" spans="1:18" x14ac:dyDescent="0.25">
      <c r="A1939" s="170">
        <v>44859</v>
      </c>
      <c r="B1939" s="116">
        <v>284.89999999999998</v>
      </c>
      <c r="C1939" s="116">
        <v>284</v>
      </c>
      <c r="D1939" s="116">
        <v>280.8</v>
      </c>
      <c r="E1939" s="116">
        <v>283.25</v>
      </c>
      <c r="F1939" s="116">
        <v>284</v>
      </c>
      <c r="G1939">
        <v>29550</v>
      </c>
      <c r="H1939" s="116"/>
      <c r="I1939" s="116"/>
      <c r="L1939" s="170">
        <v>44861</v>
      </c>
      <c r="M1939" s="116">
        <v>284.10000000000002</v>
      </c>
      <c r="N1939" s="116">
        <v>287.8</v>
      </c>
      <c r="O1939" s="116">
        <v>283.10000000000002</v>
      </c>
      <c r="P1939" s="116">
        <v>286</v>
      </c>
      <c r="Q1939" s="116">
        <v>284.10000000000002</v>
      </c>
      <c r="R1939">
        <v>284662</v>
      </c>
    </row>
    <row r="1940" spans="1:18" x14ac:dyDescent="0.25">
      <c r="A1940" s="170">
        <v>44861</v>
      </c>
      <c r="B1940" s="116">
        <v>287.39999999999998</v>
      </c>
      <c r="C1940" s="116">
        <v>284.05</v>
      </c>
      <c r="D1940" s="116">
        <v>283.39999999999998</v>
      </c>
      <c r="E1940" s="116">
        <v>286.95</v>
      </c>
      <c r="F1940" s="116">
        <v>284.05</v>
      </c>
      <c r="G1940">
        <v>23567</v>
      </c>
      <c r="H1940" s="116"/>
      <c r="I1940" s="116"/>
      <c r="L1940" s="170">
        <v>44862</v>
      </c>
      <c r="M1940" s="116">
        <v>283.5</v>
      </c>
      <c r="N1940" s="116">
        <v>285.5</v>
      </c>
      <c r="O1940" s="116">
        <v>283</v>
      </c>
      <c r="P1940" s="116">
        <v>284</v>
      </c>
      <c r="Q1940" s="116">
        <v>283.5</v>
      </c>
      <c r="R1940">
        <v>169733</v>
      </c>
    </row>
    <row r="1941" spans="1:18" x14ac:dyDescent="0.25">
      <c r="A1941" s="170">
        <v>44862</v>
      </c>
      <c r="B1941" s="116">
        <v>285.64999999999998</v>
      </c>
      <c r="C1941" s="116">
        <v>283.25</v>
      </c>
      <c r="D1941" s="116">
        <v>283</v>
      </c>
      <c r="E1941" s="116">
        <v>283.5</v>
      </c>
      <c r="F1941" s="116">
        <v>283.25</v>
      </c>
      <c r="G1941">
        <v>7681</v>
      </c>
      <c r="H1941" s="116"/>
      <c r="I1941" s="116"/>
      <c r="L1941" s="170">
        <v>44865</v>
      </c>
      <c r="M1941" s="116">
        <v>283.7</v>
      </c>
      <c r="N1941" s="116">
        <v>285.10000000000002</v>
      </c>
      <c r="O1941" s="116">
        <v>282.10000000000002</v>
      </c>
      <c r="P1941" s="116">
        <v>284.95</v>
      </c>
      <c r="Q1941" s="116">
        <v>283.7</v>
      </c>
      <c r="R1941">
        <v>419177</v>
      </c>
    </row>
    <row r="1942" spans="1:18" x14ac:dyDescent="0.25">
      <c r="A1942" s="170">
        <v>44865</v>
      </c>
      <c r="B1942" s="116">
        <v>285.14999999999998</v>
      </c>
      <c r="C1942" s="116">
        <v>283.5</v>
      </c>
      <c r="D1942" s="116">
        <v>282.14999999999998</v>
      </c>
      <c r="E1942" s="116">
        <v>285.14999999999998</v>
      </c>
      <c r="F1942" s="116">
        <v>283.5</v>
      </c>
      <c r="G1942">
        <v>17716</v>
      </c>
      <c r="H1942" s="116"/>
      <c r="I1942" s="116"/>
      <c r="L1942" s="170">
        <v>44866</v>
      </c>
      <c r="M1942" s="116">
        <v>283.60000000000002</v>
      </c>
      <c r="N1942" s="116">
        <v>284.7</v>
      </c>
      <c r="O1942" s="116">
        <v>282.60000000000002</v>
      </c>
      <c r="P1942" s="116">
        <v>283</v>
      </c>
      <c r="Q1942" s="116">
        <v>283.60000000000002</v>
      </c>
      <c r="R1942">
        <v>288825</v>
      </c>
    </row>
    <row r="1943" spans="1:18" x14ac:dyDescent="0.25">
      <c r="A1943" s="170">
        <v>44866</v>
      </c>
      <c r="B1943" s="116">
        <v>284.64999999999998</v>
      </c>
      <c r="C1943" s="116">
        <v>283.39999999999998</v>
      </c>
      <c r="D1943" s="116">
        <v>282.2</v>
      </c>
      <c r="E1943" s="116">
        <v>282.2</v>
      </c>
      <c r="F1943" s="116">
        <v>283.39999999999998</v>
      </c>
      <c r="G1943">
        <v>18975</v>
      </c>
      <c r="H1943" s="116"/>
      <c r="I1943" s="116"/>
      <c r="L1943" s="170">
        <v>44867</v>
      </c>
      <c r="M1943" s="116">
        <v>288.25</v>
      </c>
      <c r="N1943" s="116">
        <v>293</v>
      </c>
      <c r="O1943" s="116">
        <v>283.60000000000002</v>
      </c>
      <c r="P1943" s="116">
        <v>283.60000000000002</v>
      </c>
      <c r="Q1943" s="116">
        <v>288.25</v>
      </c>
      <c r="R1943">
        <v>1146681</v>
      </c>
    </row>
    <row r="1944" spans="1:18" x14ac:dyDescent="0.25">
      <c r="A1944" s="170">
        <v>44867</v>
      </c>
      <c r="B1944" s="116">
        <v>292.95</v>
      </c>
      <c r="C1944" s="116">
        <v>288.60000000000002</v>
      </c>
      <c r="D1944" s="116">
        <v>282.8</v>
      </c>
      <c r="E1944" s="116">
        <v>282.8</v>
      </c>
      <c r="F1944" s="116">
        <v>288.60000000000002</v>
      </c>
      <c r="G1944">
        <v>46532</v>
      </c>
      <c r="H1944" s="116"/>
      <c r="I1944" s="116"/>
      <c r="L1944" s="170">
        <v>44868</v>
      </c>
      <c r="M1944" s="116">
        <v>285.85000000000002</v>
      </c>
      <c r="N1944" s="116">
        <v>290.89999999999998</v>
      </c>
      <c r="O1944" s="116">
        <v>285.14999999999998</v>
      </c>
      <c r="P1944" s="116">
        <v>286.25</v>
      </c>
      <c r="Q1944" s="116">
        <v>285.85000000000002</v>
      </c>
      <c r="R1944">
        <v>317644</v>
      </c>
    </row>
    <row r="1945" spans="1:18" x14ac:dyDescent="0.25">
      <c r="A1945" s="170">
        <v>44868</v>
      </c>
      <c r="B1945" s="116">
        <v>290.75</v>
      </c>
      <c r="C1945" s="116">
        <v>285.95</v>
      </c>
      <c r="D1945" s="116">
        <v>285.25</v>
      </c>
      <c r="E1945" s="116">
        <v>285.60000000000002</v>
      </c>
      <c r="F1945" s="116">
        <v>285.95</v>
      </c>
      <c r="G1945">
        <v>36959</v>
      </c>
      <c r="H1945" s="116"/>
      <c r="I1945" s="116"/>
      <c r="L1945" s="170">
        <v>44869</v>
      </c>
      <c r="M1945" s="116">
        <v>288.89999999999998</v>
      </c>
      <c r="N1945" s="116">
        <v>291</v>
      </c>
      <c r="O1945" s="116">
        <v>286.55</v>
      </c>
      <c r="P1945" s="116">
        <v>286.75</v>
      </c>
      <c r="Q1945" s="116">
        <v>288.89999999999998</v>
      </c>
      <c r="R1945">
        <v>359041</v>
      </c>
    </row>
    <row r="1946" spans="1:18" x14ac:dyDescent="0.25">
      <c r="A1946" s="170">
        <v>44869</v>
      </c>
      <c r="B1946" s="116">
        <v>290.5</v>
      </c>
      <c r="C1946" s="116">
        <v>288.85000000000002</v>
      </c>
      <c r="D1946" s="116">
        <v>285.60000000000002</v>
      </c>
      <c r="E1946" s="116">
        <v>285.60000000000002</v>
      </c>
      <c r="F1946" s="116">
        <v>288.85000000000002</v>
      </c>
      <c r="G1946">
        <v>61552</v>
      </c>
      <c r="H1946" s="116"/>
      <c r="I1946" s="116"/>
      <c r="L1946" s="170">
        <v>44872</v>
      </c>
      <c r="M1946" s="116">
        <v>290.8</v>
      </c>
      <c r="N1946" s="116">
        <v>293.3</v>
      </c>
      <c r="O1946" s="116">
        <v>288.5</v>
      </c>
      <c r="P1946" s="116">
        <v>290.35000000000002</v>
      </c>
      <c r="Q1946" s="116">
        <v>290.8</v>
      </c>
      <c r="R1946">
        <v>644150</v>
      </c>
    </row>
    <row r="1947" spans="1:18" x14ac:dyDescent="0.25">
      <c r="A1947" s="170">
        <v>44872</v>
      </c>
      <c r="B1947" s="116">
        <v>293.3</v>
      </c>
      <c r="C1947" s="116">
        <v>290.7</v>
      </c>
      <c r="D1947" s="116">
        <v>288.7</v>
      </c>
      <c r="E1947" s="116">
        <v>289.39999999999998</v>
      </c>
      <c r="F1947" s="116">
        <v>290.7</v>
      </c>
      <c r="G1947">
        <v>23098</v>
      </c>
      <c r="H1947" s="116"/>
      <c r="I1947" s="116"/>
      <c r="L1947" s="170">
        <v>44874</v>
      </c>
      <c r="M1947" s="116">
        <v>292.14999999999998</v>
      </c>
      <c r="N1947" s="116">
        <v>295</v>
      </c>
      <c r="O1947" s="116">
        <v>291</v>
      </c>
      <c r="P1947" s="116">
        <v>291.8</v>
      </c>
      <c r="Q1947" s="116">
        <v>292.14999999999998</v>
      </c>
      <c r="R1947">
        <v>603701</v>
      </c>
    </row>
    <row r="1948" spans="1:18" x14ac:dyDescent="0.25">
      <c r="A1948" s="170">
        <v>44874</v>
      </c>
      <c r="B1948" s="116">
        <v>294.95</v>
      </c>
      <c r="C1948" s="116">
        <v>292</v>
      </c>
      <c r="D1948" s="116">
        <v>290.8</v>
      </c>
      <c r="E1948" s="116">
        <v>291.05</v>
      </c>
      <c r="F1948" s="116">
        <v>292</v>
      </c>
      <c r="G1948">
        <v>32329</v>
      </c>
      <c r="H1948" s="116"/>
      <c r="I1948" s="116"/>
      <c r="L1948" s="170">
        <v>44875</v>
      </c>
      <c r="M1948" s="116">
        <v>292.85000000000002</v>
      </c>
      <c r="N1948" s="116">
        <v>293.55</v>
      </c>
      <c r="O1948" s="116">
        <v>289.25</v>
      </c>
      <c r="P1948" s="116">
        <v>292.14999999999998</v>
      </c>
      <c r="Q1948" s="116">
        <v>292.85000000000002</v>
      </c>
      <c r="R1948">
        <v>452302</v>
      </c>
    </row>
    <row r="1949" spans="1:18" x14ac:dyDescent="0.25">
      <c r="A1949" s="170">
        <v>44875</v>
      </c>
      <c r="B1949" s="116">
        <v>293.5</v>
      </c>
      <c r="C1949" s="116">
        <v>292.75</v>
      </c>
      <c r="D1949" s="116">
        <v>289.35000000000002</v>
      </c>
      <c r="E1949" s="116">
        <v>292</v>
      </c>
      <c r="F1949" s="116">
        <v>292.75</v>
      </c>
      <c r="G1949">
        <v>18292</v>
      </c>
      <c r="H1949" s="116"/>
      <c r="I1949" s="116"/>
      <c r="L1949" s="170">
        <v>44876</v>
      </c>
      <c r="M1949" s="116">
        <v>296.55</v>
      </c>
      <c r="N1949" s="116">
        <v>298.3</v>
      </c>
      <c r="O1949" s="116">
        <v>293.3</v>
      </c>
      <c r="P1949" s="116">
        <v>295.14999999999998</v>
      </c>
      <c r="Q1949" s="116">
        <v>296.55</v>
      </c>
      <c r="R1949">
        <v>941418</v>
      </c>
    </row>
    <row r="1950" spans="1:18" x14ac:dyDescent="0.25">
      <c r="A1950" s="170">
        <v>44876</v>
      </c>
      <c r="B1950" s="116">
        <v>298.25</v>
      </c>
      <c r="C1950" s="116">
        <v>296.3</v>
      </c>
      <c r="D1950" s="116">
        <v>293.3</v>
      </c>
      <c r="E1950" s="116">
        <v>295</v>
      </c>
      <c r="F1950" s="116">
        <v>296.3</v>
      </c>
      <c r="G1950">
        <v>46434</v>
      </c>
      <c r="H1950" s="116"/>
      <c r="I1950" s="116"/>
      <c r="L1950" s="170">
        <v>44879</v>
      </c>
      <c r="M1950" s="116">
        <v>309.35000000000002</v>
      </c>
      <c r="N1950" s="116">
        <v>310</v>
      </c>
      <c r="O1950" s="116">
        <v>302.3</v>
      </c>
      <c r="P1950" s="116">
        <v>303</v>
      </c>
      <c r="Q1950" s="116">
        <v>309.35000000000002</v>
      </c>
      <c r="R1950">
        <v>2416967</v>
      </c>
    </row>
    <row r="1951" spans="1:18" x14ac:dyDescent="0.25">
      <c r="A1951" s="170">
        <v>44879</v>
      </c>
      <c r="B1951" s="116">
        <v>310</v>
      </c>
      <c r="C1951" s="116">
        <v>309.35000000000002</v>
      </c>
      <c r="D1951" s="116">
        <v>302</v>
      </c>
      <c r="E1951" s="116">
        <v>302</v>
      </c>
      <c r="F1951" s="116">
        <v>309.35000000000002</v>
      </c>
      <c r="G1951">
        <v>195958</v>
      </c>
      <c r="H1951" s="116"/>
      <c r="I1951" s="116"/>
      <c r="L1951" s="170">
        <v>44880</v>
      </c>
      <c r="M1951" s="116">
        <v>314.3</v>
      </c>
      <c r="N1951" s="116">
        <v>315</v>
      </c>
      <c r="O1951" s="116">
        <v>309.64999999999998</v>
      </c>
      <c r="P1951" s="116">
        <v>311.5</v>
      </c>
      <c r="Q1951" s="116">
        <v>314.3</v>
      </c>
      <c r="R1951">
        <v>996538</v>
      </c>
    </row>
    <row r="1952" spans="1:18" x14ac:dyDescent="0.25">
      <c r="A1952" s="170">
        <v>44880</v>
      </c>
      <c r="B1952" s="116">
        <v>314.8</v>
      </c>
      <c r="C1952" s="116">
        <v>314.14999999999998</v>
      </c>
      <c r="D1952" s="116">
        <v>309.75</v>
      </c>
      <c r="E1952" s="116">
        <v>310.39999999999998</v>
      </c>
      <c r="F1952" s="116">
        <v>314.14999999999998</v>
      </c>
      <c r="G1952">
        <v>153993</v>
      </c>
      <c r="H1952" s="116"/>
      <c r="I1952" s="116"/>
      <c r="L1952" s="170">
        <v>44881</v>
      </c>
      <c r="M1952" s="116">
        <v>319.05</v>
      </c>
      <c r="N1952" s="116">
        <v>321.55</v>
      </c>
      <c r="O1952" s="116">
        <v>315.55</v>
      </c>
      <c r="P1952" s="116">
        <v>320</v>
      </c>
      <c r="Q1952" s="116">
        <v>319.05</v>
      </c>
      <c r="R1952">
        <v>1639754</v>
      </c>
    </row>
    <row r="1953" spans="1:18" x14ac:dyDescent="0.25">
      <c r="A1953" s="170">
        <v>44881</v>
      </c>
      <c r="B1953" s="116">
        <v>321.64999999999998</v>
      </c>
      <c r="C1953" s="116">
        <v>319.05</v>
      </c>
      <c r="D1953" s="116">
        <v>315.64999999999998</v>
      </c>
      <c r="E1953" s="116">
        <v>319.2</v>
      </c>
      <c r="F1953" s="116">
        <v>319.05</v>
      </c>
      <c r="G1953">
        <v>87642</v>
      </c>
      <c r="H1953" s="116"/>
      <c r="I1953" s="116"/>
      <c r="L1953" s="170">
        <v>44882</v>
      </c>
      <c r="M1953" s="116">
        <v>324.25</v>
      </c>
      <c r="N1953" s="116">
        <v>326.8</v>
      </c>
      <c r="O1953" s="116">
        <v>319.95</v>
      </c>
      <c r="P1953" s="116">
        <v>321.95</v>
      </c>
      <c r="Q1953" s="116">
        <v>324.25</v>
      </c>
      <c r="R1953">
        <v>2636045</v>
      </c>
    </row>
    <row r="1954" spans="1:18" x14ac:dyDescent="0.25">
      <c r="A1954" s="170">
        <v>44882</v>
      </c>
      <c r="B1954" s="116">
        <v>326.75</v>
      </c>
      <c r="C1954" s="116">
        <v>324.14999999999998</v>
      </c>
      <c r="D1954" s="116">
        <v>321</v>
      </c>
      <c r="E1954" s="116">
        <v>322.39999999999998</v>
      </c>
      <c r="F1954" s="116">
        <v>324.14999999999998</v>
      </c>
      <c r="G1954">
        <v>271108</v>
      </c>
      <c r="H1954" s="116"/>
      <c r="I1954" s="116"/>
      <c r="L1954" s="170">
        <v>44883</v>
      </c>
      <c r="M1954" s="116">
        <v>323.39999999999998</v>
      </c>
      <c r="N1954" s="116">
        <v>326.8</v>
      </c>
      <c r="O1954" s="116">
        <v>322</v>
      </c>
      <c r="P1954" s="116">
        <v>326.14999999999998</v>
      </c>
      <c r="Q1954" s="116">
        <v>323.39999999999998</v>
      </c>
      <c r="R1954">
        <v>1233833</v>
      </c>
    </row>
    <row r="1955" spans="1:18" x14ac:dyDescent="0.25">
      <c r="A1955" s="170">
        <v>44883</v>
      </c>
      <c r="B1955" s="116">
        <v>326.8</v>
      </c>
      <c r="C1955" s="116">
        <v>323.35000000000002</v>
      </c>
      <c r="D1955" s="116">
        <v>322.05</v>
      </c>
      <c r="E1955" s="116">
        <v>325.25</v>
      </c>
      <c r="F1955" s="116">
        <v>323.35000000000002</v>
      </c>
      <c r="G1955">
        <v>60736</v>
      </c>
      <c r="H1955" s="116"/>
      <c r="I1955" s="116"/>
      <c r="L1955" s="170">
        <v>44886</v>
      </c>
      <c r="M1955" s="116">
        <v>324.5</v>
      </c>
      <c r="N1955" s="116">
        <v>325</v>
      </c>
      <c r="O1955" s="116">
        <v>320.64999999999998</v>
      </c>
      <c r="P1955" s="116">
        <v>323.89999999999998</v>
      </c>
      <c r="Q1955" s="116">
        <v>324.5</v>
      </c>
      <c r="R1955">
        <v>1152337</v>
      </c>
    </row>
    <row r="1956" spans="1:18" x14ac:dyDescent="0.25">
      <c r="A1956" s="170">
        <v>44886</v>
      </c>
      <c r="B1956" s="116">
        <v>325.10000000000002</v>
      </c>
      <c r="C1956" s="116">
        <v>324.64999999999998</v>
      </c>
      <c r="D1956" s="116">
        <v>320.75</v>
      </c>
      <c r="E1956" s="116">
        <v>324</v>
      </c>
      <c r="F1956" s="116">
        <v>324.64999999999998</v>
      </c>
      <c r="G1956">
        <v>96664</v>
      </c>
      <c r="H1956" s="116"/>
      <c r="I1956" s="116"/>
      <c r="L1956" s="170">
        <v>44887</v>
      </c>
      <c r="M1956" s="116">
        <v>319.55</v>
      </c>
      <c r="N1956" s="116">
        <v>324.8</v>
      </c>
      <c r="O1956" s="116">
        <v>319.10000000000002</v>
      </c>
      <c r="P1956" s="116">
        <v>324.35000000000002</v>
      </c>
      <c r="Q1956" s="116">
        <v>319.55</v>
      </c>
      <c r="R1956">
        <v>1190367</v>
      </c>
    </row>
    <row r="1957" spans="1:18" x14ac:dyDescent="0.25">
      <c r="A1957" s="170">
        <v>44887</v>
      </c>
      <c r="B1957" s="116">
        <v>325</v>
      </c>
      <c r="C1957" s="116">
        <v>319.60000000000002</v>
      </c>
      <c r="D1957" s="116">
        <v>319</v>
      </c>
      <c r="E1957" s="116">
        <v>325</v>
      </c>
      <c r="F1957" s="116">
        <v>319.60000000000002</v>
      </c>
      <c r="G1957">
        <v>159507</v>
      </c>
      <c r="H1957" s="116"/>
      <c r="I1957" s="116"/>
      <c r="L1957" s="170">
        <v>44888</v>
      </c>
      <c r="M1957" s="116">
        <v>301.05</v>
      </c>
      <c r="N1957" s="116">
        <v>305.7</v>
      </c>
      <c r="O1957" s="116">
        <v>300.05</v>
      </c>
      <c r="P1957" s="116">
        <v>304.10000000000002</v>
      </c>
      <c r="Q1957" s="116">
        <v>301.05</v>
      </c>
      <c r="R1957">
        <v>1784660</v>
      </c>
    </row>
    <row r="1958" spans="1:18" x14ac:dyDescent="0.25">
      <c r="A1958" s="170">
        <v>44888</v>
      </c>
      <c r="B1958" s="116">
        <v>305</v>
      </c>
      <c r="C1958" s="116">
        <v>300.95</v>
      </c>
      <c r="D1958" s="116">
        <v>300</v>
      </c>
      <c r="E1958" s="116">
        <v>302.60000000000002</v>
      </c>
      <c r="F1958" s="116">
        <v>300.95</v>
      </c>
      <c r="G1958">
        <v>117920</v>
      </c>
      <c r="H1958" s="116"/>
      <c r="I1958" s="116"/>
      <c r="L1958" s="170">
        <v>44889</v>
      </c>
      <c r="M1958" s="116">
        <v>296.2</v>
      </c>
      <c r="N1958" s="116">
        <v>301.39999999999998</v>
      </c>
      <c r="O1958" s="116">
        <v>292.8</v>
      </c>
      <c r="P1958" s="116">
        <v>300.5</v>
      </c>
      <c r="Q1958" s="116">
        <v>296.2</v>
      </c>
      <c r="R1958">
        <v>1088237</v>
      </c>
    </row>
    <row r="1959" spans="1:18" x14ac:dyDescent="0.25">
      <c r="A1959" s="170">
        <v>44889</v>
      </c>
      <c r="B1959" s="116">
        <v>300.95</v>
      </c>
      <c r="C1959" s="116">
        <v>295.35000000000002</v>
      </c>
      <c r="D1959" s="116">
        <v>292.64999999999998</v>
      </c>
      <c r="E1959" s="116">
        <v>300.89999999999998</v>
      </c>
      <c r="F1959" s="116">
        <v>295.35000000000002</v>
      </c>
      <c r="G1959">
        <v>62389</v>
      </c>
      <c r="H1959" s="116"/>
      <c r="I1959" s="116"/>
      <c r="L1959" s="170">
        <v>44890</v>
      </c>
      <c r="M1959" s="116">
        <v>297.10000000000002</v>
      </c>
      <c r="N1959" s="116">
        <v>297.8</v>
      </c>
      <c r="O1959" s="116">
        <v>293.39999999999998</v>
      </c>
      <c r="P1959" s="116">
        <v>293.39999999999998</v>
      </c>
      <c r="Q1959" s="116">
        <v>297.10000000000002</v>
      </c>
      <c r="R1959">
        <v>683382</v>
      </c>
    </row>
    <row r="1960" spans="1:18" x14ac:dyDescent="0.25">
      <c r="A1960" s="170">
        <v>44890</v>
      </c>
      <c r="B1960" s="116">
        <v>297.85000000000002</v>
      </c>
      <c r="C1960" s="116">
        <v>297</v>
      </c>
      <c r="D1960" s="116">
        <v>293.10000000000002</v>
      </c>
      <c r="E1960" s="116">
        <v>293.10000000000002</v>
      </c>
      <c r="F1960" s="116">
        <v>297</v>
      </c>
      <c r="G1960">
        <v>31469</v>
      </c>
      <c r="H1960" s="116"/>
      <c r="I1960" s="116"/>
      <c r="L1960" s="170">
        <v>44893</v>
      </c>
      <c r="M1960" s="116">
        <v>301.10000000000002</v>
      </c>
      <c r="N1960" s="116">
        <v>301.95</v>
      </c>
      <c r="O1960" s="116">
        <v>296.39999999999998</v>
      </c>
      <c r="P1960" s="116">
        <v>297.10000000000002</v>
      </c>
      <c r="Q1960" s="116">
        <v>301.10000000000002</v>
      </c>
      <c r="R1960">
        <v>576400</v>
      </c>
    </row>
    <row r="1961" spans="1:18" x14ac:dyDescent="0.25">
      <c r="A1961" s="170">
        <v>44893</v>
      </c>
      <c r="B1961" s="116">
        <v>301.89999999999998</v>
      </c>
      <c r="C1961" s="116">
        <v>301.05</v>
      </c>
      <c r="D1961" s="116">
        <v>294.2</v>
      </c>
      <c r="E1961" s="116">
        <v>294.2</v>
      </c>
      <c r="F1961" s="116">
        <v>301.05</v>
      </c>
      <c r="G1961">
        <v>28707</v>
      </c>
      <c r="H1961" s="116"/>
      <c r="I1961" s="116"/>
      <c r="L1961" s="170">
        <v>44894</v>
      </c>
      <c r="M1961" s="116">
        <v>303.14999999999998</v>
      </c>
      <c r="N1961" s="116">
        <v>303.95</v>
      </c>
      <c r="O1961" s="116">
        <v>297.3</v>
      </c>
      <c r="P1961" s="116">
        <v>298.3</v>
      </c>
      <c r="Q1961" s="116">
        <v>303.14999999999998</v>
      </c>
      <c r="R1961">
        <v>495661</v>
      </c>
    </row>
    <row r="1962" spans="1:18" x14ac:dyDescent="0.25">
      <c r="A1962" s="170">
        <v>44894</v>
      </c>
      <c r="B1962" s="116">
        <v>303.95</v>
      </c>
      <c r="C1962" s="116">
        <v>302.95</v>
      </c>
      <c r="D1962" s="116">
        <v>298.5</v>
      </c>
      <c r="E1962" s="116">
        <v>299.7</v>
      </c>
      <c r="F1962" s="116">
        <v>302.95</v>
      </c>
      <c r="G1962">
        <v>20831</v>
      </c>
      <c r="H1962" s="116"/>
      <c r="I1962" s="116"/>
      <c r="L1962" s="170">
        <v>44895</v>
      </c>
      <c r="M1962" s="116">
        <v>307.25</v>
      </c>
      <c r="N1962" s="116">
        <v>307.60000000000002</v>
      </c>
      <c r="O1962" s="116">
        <v>301.5</v>
      </c>
      <c r="P1962" s="116">
        <v>301.5</v>
      </c>
      <c r="Q1962" s="116">
        <v>307.25</v>
      </c>
      <c r="R1962">
        <v>495922</v>
      </c>
    </row>
    <row r="1963" spans="1:18" x14ac:dyDescent="0.25">
      <c r="A1963" s="170">
        <v>44895</v>
      </c>
      <c r="B1963" s="116">
        <v>307.60000000000002</v>
      </c>
      <c r="C1963" s="116">
        <v>307.14999999999998</v>
      </c>
      <c r="D1963" s="116">
        <v>299.10000000000002</v>
      </c>
      <c r="E1963" s="116">
        <v>299.10000000000002</v>
      </c>
      <c r="F1963" s="116">
        <v>307.14999999999998</v>
      </c>
      <c r="G1963">
        <v>22176</v>
      </c>
      <c r="H1963" s="116"/>
      <c r="I1963" s="116"/>
      <c r="L1963" s="170">
        <v>44896</v>
      </c>
      <c r="M1963" s="116">
        <v>307</v>
      </c>
      <c r="N1963" s="116">
        <v>309.5</v>
      </c>
      <c r="O1963" s="116">
        <v>304.89999999999998</v>
      </c>
      <c r="P1963" s="116">
        <v>308.8</v>
      </c>
      <c r="Q1963" s="116">
        <v>307</v>
      </c>
      <c r="R1963">
        <v>604601</v>
      </c>
    </row>
    <row r="1964" spans="1:18" x14ac:dyDescent="0.25">
      <c r="A1964" s="170">
        <v>44896</v>
      </c>
      <c r="B1964" s="116">
        <v>309.64999999999998</v>
      </c>
      <c r="C1964" s="116">
        <v>307</v>
      </c>
      <c r="D1964" s="116">
        <v>304.85000000000002</v>
      </c>
      <c r="E1964" s="116">
        <v>307.45</v>
      </c>
      <c r="F1964" s="116">
        <v>307</v>
      </c>
      <c r="G1964">
        <v>28528</v>
      </c>
      <c r="H1964" s="116"/>
      <c r="I1964" s="116"/>
      <c r="L1964" s="170">
        <v>44897</v>
      </c>
      <c r="M1964" s="116">
        <v>305.39999999999998</v>
      </c>
      <c r="N1964" s="116">
        <v>311</v>
      </c>
      <c r="O1964" s="116">
        <v>304.2</v>
      </c>
      <c r="P1964" s="116">
        <v>308</v>
      </c>
      <c r="Q1964" s="116">
        <v>305.39999999999998</v>
      </c>
      <c r="R1964">
        <v>828054</v>
      </c>
    </row>
    <row r="1965" spans="1:18" x14ac:dyDescent="0.25">
      <c r="A1965" s="170">
        <v>44897</v>
      </c>
      <c r="B1965" s="116">
        <v>311</v>
      </c>
      <c r="C1965" s="116">
        <v>305.25</v>
      </c>
      <c r="D1965" s="116">
        <v>304.25</v>
      </c>
      <c r="E1965" s="116">
        <v>309.95</v>
      </c>
      <c r="F1965" s="116">
        <v>305.25</v>
      </c>
      <c r="G1965">
        <v>33931</v>
      </c>
      <c r="H1965" s="116"/>
      <c r="I1965" s="116"/>
      <c r="L1965" s="170">
        <v>44900</v>
      </c>
      <c r="M1965" s="116">
        <v>314.05</v>
      </c>
      <c r="N1965" s="116">
        <v>315</v>
      </c>
      <c r="O1965" s="116">
        <v>306.10000000000002</v>
      </c>
      <c r="P1965" s="116">
        <v>306.10000000000002</v>
      </c>
      <c r="Q1965" s="116">
        <v>314.05</v>
      </c>
      <c r="R1965">
        <v>1227211</v>
      </c>
    </row>
    <row r="1966" spans="1:18" x14ac:dyDescent="0.25">
      <c r="A1966" s="170">
        <v>44900</v>
      </c>
      <c r="B1966" s="116">
        <v>315</v>
      </c>
      <c r="C1966" s="116">
        <v>314.05</v>
      </c>
      <c r="D1966" s="116">
        <v>305.25</v>
      </c>
      <c r="E1966" s="116">
        <v>305.25</v>
      </c>
      <c r="F1966" s="116">
        <v>314.05</v>
      </c>
      <c r="G1966">
        <v>47813</v>
      </c>
      <c r="H1966" s="116"/>
      <c r="I1966" s="116"/>
      <c r="L1966" s="170">
        <v>44901</v>
      </c>
      <c r="M1966" s="116">
        <v>315.05</v>
      </c>
      <c r="N1966" s="116">
        <v>318.89999999999998</v>
      </c>
      <c r="O1966" s="116">
        <v>313.14999999999998</v>
      </c>
      <c r="P1966" s="116">
        <v>314.5</v>
      </c>
      <c r="Q1966" s="116">
        <v>315.05</v>
      </c>
      <c r="R1966">
        <v>830567</v>
      </c>
    </row>
    <row r="1967" spans="1:18" x14ac:dyDescent="0.25">
      <c r="A1967" s="170">
        <v>44901</v>
      </c>
      <c r="B1967" s="116">
        <v>318.64999999999998</v>
      </c>
      <c r="C1967" s="116">
        <v>314.95</v>
      </c>
      <c r="D1967" s="116">
        <v>312.85000000000002</v>
      </c>
      <c r="E1967" s="116">
        <v>314.39999999999998</v>
      </c>
      <c r="F1967" s="116">
        <v>314.95</v>
      </c>
      <c r="G1967">
        <v>81831</v>
      </c>
      <c r="H1967" s="116"/>
      <c r="I1967" s="116"/>
      <c r="L1967" s="170">
        <v>44902</v>
      </c>
      <c r="M1967" s="116">
        <v>315.05</v>
      </c>
      <c r="N1967" s="116">
        <v>318.3</v>
      </c>
      <c r="O1967" s="116">
        <v>312</v>
      </c>
      <c r="P1967" s="116">
        <v>316.64999999999998</v>
      </c>
      <c r="Q1967" s="116">
        <v>315.05</v>
      </c>
      <c r="R1967">
        <v>444698</v>
      </c>
    </row>
    <row r="1968" spans="1:18" x14ac:dyDescent="0.25">
      <c r="A1968" s="170">
        <v>44902</v>
      </c>
      <c r="B1968" s="116">
        <v>317.60000000000002</v>
      </c>
      <c r="C1968" s="116">
        <v>315.05</v>
      </c>
      <c r="D1968" s="116">
        <v>312.2</v>
      </c>
      <c r="E1968" s="116">
        <v>315.05</v>
      </c>
      <c r="F1968" s="116">
        <v>315.05</v>
      </c>
      <c r="G1968">
        <v>27149</v>
      </c>
      <c r="H1968" s="116"/>
      <c r="I1968" s="116"/>
      <c r="L1968" s="170">
        <v>44903</v>
      </c>
      <c r="M1968" s="116">
        <v>317.2</v>
      </c>
      <c r="N1968" s="116">
        <v>318.39999999999998</v>
      </c>
      <c r="O1968" s="116">
        <v>315.10000000000002</v>
      </c>
      <c r="P1968" s="116">
        <v>317</v>
      </c>
      <c r="Q1968" s="116">
        <v>317.2</v>
      </c>
      <c r="R1968">
        <v>490930</v>
      </c>
    </row>
    <row r="1969" spans="1:18" x14ac:dyDescent="0.25">
      <c r="A1969" s="170">
        <v>44903</v>
      </c>
      <c r="B1969" s="116">
        <v>318.3</v>
      </c>
      <c r="C1969" s="116">
        <v>317.05</v>
      </c>
      <c r="D1969" s="116">
        <v>315.10000000000002</v>
      </c>
      <c r="E1969" s="116">
        <v>316.55</v>
      </c>
      <c r="F1969" s="116">
        <v>317.05</v>
      </c>
      <c r="G1969">
        <v>100852</v>
      </c>
      <c r="H1969" s="116"/>
      <c r="I1969" s="116"/>
      <c r="L1969" s="170">
        <v>44904</v>
      </c>
      <c r="M1969" s="116">
        <v>316.95</v>
      </c>
      <c r="N1969" s="116">
        <v>319.7</v>
      </c>
      <c r="O1969" s="116">
        <v>312.55</v>
      </c>
      <c r="P1969" s="116">
        <v>319.7</v>
      </c>
      <c r="Q1969" s="116">
        <v>316.95</v>
      </c>
      <c r="R1969">
        <v>638318</v>
      </c>
    </row>
    <row r="1970" spans="1:18" x14ac:dyDescent="0.25">
      <c r="A1970" s="170">
        <v>44904</v>
      </c>
      <c r="B1970" s="116">
        <v>319</v>
      </c>
      <c r="C1970" s="116">
        <v>316.85000000000002</v>
      </c>
      <c r="D1970" s="116">
        <v>312.85000000000002</v>
      </c>
      <c r="E1970" s="116">
        <v>318.10000000000002</v>
      </c>
      <c r="F1970" s="116">
        <v>316.85000000000002</v>
      </c>
      <c r="G1970">
        <v>35453</v>
      </c>
      <c r="H1970" s="116"/>
      <c r="I1970" s="116"/>
      <c r="L1970" s="170">
        <v>44907</v>
      </c>
      <c r="M1970" s="116">
        <v>317.14999999999998</v>
      </c>
      <c r="N1970" s="116">
        <v>318.25</v>
      </c>
      <c r="O1970" s="116">
        <v>312.60000000000002</v>
      </c>
      <c r="P1970" s="116">
        <v>316.60000000000002</v>
      </c>
      <c r="Q1970" s="116">
        <v>317.14999999999998</v>
      </c>
      <c r="R1970">
        <v>529141</v>
      </c>
    </row>
    <row r="1971" spans="1:18" x14ac:dyDescent="0.25">
      <c r="A1971" s="170">
        <v>44907</v>
      </c>
      <c r="B1971" s="116">
        <v>318.5</v>
      </c>
      <c r="C1971" s="116">
        <v>317.14999999999998</v>
      </c>
      <c r="D1971" s="116">
        <v>312.75</v>
      </c>
      <c r="E1971" s="116">
        <v>316.85000000000002</v>
      </c>
      <c r="F1971" s="116">
        <v>317.14999999999998</v>
      </c>
      <c r="G1971">
        <v>16945</v>
      </c>
      <c r="H1971" s="116"/>
      <c r="I1971" s="116"/>
      <c r="L1971" s="170">
        <v>44908</v>
      </c>
      <c r="M1971" s="116">
        <v>317.2</v>
      </c>
      <c r="N1971" s="116">
        <v>319.5</v>
      </c>
      <c r="O1971" s="116">
        <v>316.25</v>
      </c>
      <c r="P1971" s="116">
        <v>317.45</v>
      </c>
      <c r="Q1971" s="116">
        <v>317.2</v>
      </c>
      <c r="R1971">
        <v>337990</v>
      </c>
    </row>
    <row r="1972" spans="1:18" x14ac:dyDescent="0.25">
      <c r="A1972" s="170">
        <v>44908</v>
      </c>
      <c r="B1972" s="116">
        <v>319.39999999999998</v>
      </c>
      <c r="C1972" s="116">
        <v>317.05</v>
      </c>
      <c r="D1972" s="116">
        <v>316.35000000000002</v>
      </c>
      <c r="E1972" s="116">
        <v>318.8</v>
      </c>
      <c r="F1972" s="116">
        <v>317.05</v>
      </c>
      <c r="G1972">
        <v>54304</v>
      </c>
      <c r="H1972" s="116"/>
      <c r="I1972" s="116"/>
      <c r="L1972" s="170">
        <v>44909</v>
      </c>
      <c r="M1972" s="116">
        <v>318.2</v>
      </c>
      <c r="N1972" s="116">
        <v>319.8</v>
      </c>
      <c r="O1972" s="116">
        <v>316.14999999999998</v>
      </c>
      <c r="P1972" s="116">
        <v>318</v>
      </c>
      <c r="Q1972" s="116">
        <v>318.2</v>
      </c>
      <c r="R1972">
        <v>420848</v>
      </c>
    </row>
    <row r="1973" spans="1:18" x14ac:dyDescent="0.25">
      <c r="A1973" s="170">
        <v>44909</v>
      </c>
      <c r="B1973" s="116">
        <v>319.64999999999998</v>
      </c>
      <c r="C1973" s="116">
        <v>317.85000000000002</v>
      </c>
      <c r="D1973" s="116">
        <v>315.2</v>
      </c>
      <c r="E1973" s="116">
        <v>315.2</v>
      </c>
      <c r="F1973" s="116">
        <v>317.85000000000002</v>
      </c>
      <c r="G1973">
        <v>16751</v>
      </c>
      <c r="H1973" s="116"/>
      <c r="I1973" s="116"/>
      <c r="L1973" s="170">
        <v>44910</v>
      </c>
      <c r="M1973" s="116">
        <v>319.05</v>
      </c>
      <c r="N1973" s="116">
        <v>319.5</v>
      </c>
      <c r="O1973" s="116">
        <v>317.60000000000002</v>
      </c>
      <c r="P1973" s="116">
        <v>318.5</v>
      </c>
      <c r="Q1973" s="116">
        <v>319.05</v>
      </c>
      <c r="R1973">
        <v>388016</v>
      </c>
    </row>
    <row r="1974" spans="1:18" x14ac:dyDescent="0.25">
      <c r="A1974" s="170">
        <v>44910</v>
      </c>
      <c r="B1974" s="116">
        <v>319.39999999999998</v>
      </c>
      <c r="C1974" s="116">
        <v>319</v>
      </c>
      <c r="D1974" s="116">
        <v>317.5</v>
      </c>
      <c r="E1974" s="116">
        <v>317.5</v>
      </c>
      <c r="F1974" s="116">
        <v>319</v>
      </c>
      <c r="G1974">
        <v>22302</v>
      </c>
      <c r="H1974" s="116"/>
      <c r="I1974" s="116"/>
      <c r="L1974" s="170">
        <v>44911</v>
      </c>
      <c r="M1974" s="116">
        <v>319.64999999999998</v>
      </c>
      <c r="N1974" s="116">
        <v>324.39999999999998</v>
      </c>
      <c r="O1974" s="116">
        <v>317.10000000000002</v>
      </c>
      <c r="P1974" s="116">
        <v>318.60000000000002</v>
      </c>
      <c r="Q1974" s="116">
        <v>319.64999999999998</v>
      </c>
      <c r="R1974">
        <v>1124919</v>
      </c>
    </row>
    <row r="1975" spans="1:18" x14ac:dyDescent="0.25">
      <c r="A1975" s="170">
        <v>44911</v>
      </c>
      <c r="B1975" s="116">
        <v>324.10000000000002</v>
      </c>
      <c r="C1975" s="116">
        <v>319.64999999999998</v>
      </c>
      <c r="D1975" s="116">
        <v>317.39999999999998</v>
      </c>
      <c r="E1975" s="116">
        <v>318.5</v>
      </c>
      <c r="F1975" s="116">
        <v>319.64999999999998</v>
      </c>
      <c r="G1975">
        <v>47388</v>
      </c>
      <c r="H1975" s="116"/>
      <c r="I1975" s="116"/>
      <c r="L1975" s="170">
        <v>44914</v>
      </c>
      <c r="M1975" s="116">
        <v>324</v>
      </c>
      <c r="N1975" s="116">
        <v>324.89999999999998</v>
      </c>
      <c r="O1975" s="116">
        <v>318.25</v>
      </c>
      <c r="P1975" s="116">
        <v>319.95</v>
      </c>
      <c r="Q1975" s="116">
        <v>324</v>
      </c>
      <c r="R1975">
        <v>699822</v>
      </c>
    </row>
    <row r="1976" spans="1:18" x14ac:dyDescent="0.25">
      <c r="A1976" s="170">
        <v>44914</v>
      </c>
      <c r="B1976" s="116">
        <v>324.7</v>
      </c>
      <c r="C1976" s="116">
        <v>323.8</v>
      </c>
      <c r="D1976" s="116">
        <v>318.2</v>
      </c>
      <c r="E1976" s="116">
        <v>318.2</v>
      </c>
      <c r="F1976" s="116">
        <v>323.8</v>
      </c>
      <c r="G1976">
        <v>105618</v>
      </c>
      <c r="H1976" s="116"/>
      <c r="I1976" s="116"/>
      <c r="L1976" s="170">
        <v>44915</v>
      </c>
      <c r="M1976" s="116">
        <v>328.5</v>
      </c>
      <c r="N1976" s="116">
        <v>328.95</v>
      </c>
      <c r="O1976" s="116">
        <v>320.2</v>
      </c>
      <c r="P1976" s="116">
        <v>321.95</v>
      </c>
      <c r="Q1976" s="116">
        <v>328.5</v>
      </c>
      <c r="R1976">
        <v>1039966</v>
      </c>
    </row>
    <row r="1977" spans="1:18" x14ac:dyDescent="0.25">
      <c r="A1977" s="170">
        <v>44915</v>
      </c>
      <c r="B1977" s="116">
        <v>328.9</v>
      </c>
      <c r="C1977" s="116">
        <v>328.35</v>
      </c>
      <c r="D1977" s="116">
        <v>316.45</v>
      </c>
      <c r="E1977" s="116">
        <v>320.60000000000002</v>
      </c>
      <c r="F1977" s="116">
        <v>328.35</v>
      </c>
      <c r="G1977">
        <v>48220</v>
      </c>
      <c r="H1977" s="116"/>
      <c r="I1977" s="116"/>
      <c r="L1977" s="170">
        <v>44916</v>
      </c>
      <c r="M1977" s="116">
        <v>323.35000000000002</v>
      </c>
      <c r="N1977" s="116">
        <v>333</v>
      </c>
      <c r="O1977" s="116">
        <v>320</v>
      </c>
      <c r="P1977" s="116">
        <v>331</v>
      </c>
      <c r="Q1977" s="116">
        <v>323.35000000000002</v>
      </c>
      <c r="R1977">
        <v>790394</v>
      </c>
    </row>
    <row r="1978" spans="1:18" x14ac:dyDescent="0.25">
      <c r="A1978" s="170">
        <v>44916</v>
      </c>
      <c r="B1978" s="116">
        <v>333</v>
      </c>
      <c r="C1978" s="116">
        <v>323.5</v>
      </c>
      <c r="D1978" s="116">
        <v>320.05</v>
      </c>
      <c r="E1978" s="116">
        <v>330</v>
      </c>
      <c r="F1978" s="116">
        <v>323.5</v>
      </c>
      <c r="G1978">
        <v>51781</v>
      </c>
      <c r="H1978" s="116"/>
      <c r="I1978" s="116"/>
      <c r="L1978" s="170">
        <v>44917</v>
      </c>
      <c r="M1978" s="116">
        <v>320.2</v>
      </c>
      <c r="N1978" s="116">
        <v>326.45</v>
      </c>
      <c r="O1978" s="116">
        <v>311.10000000000002</v>
      </c>
      <c r="P1978" s="116">
        <v>324</v>
      </c>
      <c r="Q1978" s="116">
        <v>320.2</v>
      </c>
      <c r="R1978">
        <v>752259</v>
      </c>
    </row>
    <row r="1979" spans="1:18" x14ac:dyDescent="0.25">
      <c r="A1979" s="170">
        <v>44917</v>
      </c>
      <c r="B1979" s="116">
        <v>326.10000000000002</v>
      </c>
      <c r="C1979" s="116">
        <v>319.95</v>
      </c>
      <c r="D1979" s="116">
        <v>310.95</v>
      </c>
      <c r="E1979" s="116">
        <v>322.05</v>
      </c>
      <c r="F1979" s="116">
        <v>319.95</v>
      </c>
      <c r="G1979">
        <v>117456</v>
      </c>
      <c r="H1979" s="116"/>
      <c r="I1979" s="116"/>
      <c r="L1979" s="170">
        <v>44918</v>
      </c>
      <c r="M1979" s="116">
        <v>313.14999999999998</v>
      </c>
      <c r="N1979" s="116">
        <v>315.5</v>
      </c>
      <c r="O1979" s="116">
        <v>308.25</v>
      </c>
      <c r="P1979" s="116">
        <v>312.25</v>
      </c>
      <c r="Q1979" s="116">
        <v>313.14999999999998</v>
      </c>
      <c r="R1979">
        <v>993236</v>
      </c>
    </row>
    <row r="1980" spans="1:18" x14ac:dyDescent="0.25">
      <c r="A1980" s="170">
        <v>44918</v>
      </c>
      <c r="B1980" s="116">
        <v>315.39999999999998</v>
      </c>
      <c r="C1980" s="116">
        <v>313</v>
      </c>
      <c r="D1980" s="116">
        <v>308.5</v>
      </c>
      <c r="E1980" s="116">
        <v>310.05</v>
      </c>
      <c r="F1980" s="116">
        <v>313</v>
      </c>
      <c r="G1980">
        <v>44333</v>
      </c>
      <c r="H1980" s="116"/>
      <c r="I1980" s="116"/>
      <c r="L1980" s="170">
        <v>44921</v>
      </c>
      <c r="M1980" s="116">
        <v>314.05</v>
      </c>
      <c r="N1980" s="116">
        <v>315.95</v>
      </c>
      <c r="O1980" s="116">
        <v>307</v>
      </c>
      <c r="P1980" s="116">
        <v>311.2</v>
      </c>
      <c r="Q1980" s="116">
        <v>314.05</v>
      </c>
      <c r="R1980">
        <v>351079</v>
      </c>
    </row>
    <row r="1981" spans="1:18" x14ac:dyDescent="0.25">
      <c r="A1981" s="170">
        <v>44921</v>
      </c>
      <c r="B1981" s="116">
        <v>315.7</v>
      </c>
      <c r="C1981" s="116">
        <v>314</v>
      </c>
      <c r="D1981" s="116">
        <v>307.05</v>
      </c>
      <c r="E1981" s="116">
        <v>310.05</v>
      </c>
      <c r="F1981" s="116">
        <v>314</v>
      </c>
      <c r="G1981">
        <v>26946</v>
      </c>
      <c r="H1981" s="116"/>
      <c r="I1981" s="116"/>
      <c r="L1981" s="170">
        <v>44922</v>
      </c>
      <c r="M1981" s="116">
        <v>321.60000000000002</v>
      </c>
      <c r="N1981" s="116">
        <v>324.5</v>
      </c>
      <c r="O1981" s="116">
        <v>313.5</v>
      </c>
      <c r="P1981" s="116">
        <v>315.25</v>
      </c>
      <c r="Q1981" s="116">
        <v>321.60000000000002</v>
      </c>
      <c r="R1981">
        <v>366016</v>
      </c>
    </row>
    <row r="1982" spans="1:18" x14ac:dyDescent="0.25">
      <c r="A1982" s="170">
        <v>44922</v>
      </c>
      <c r="B1982" s="116">
        <v>324.2</v>
      </c>
      <c r="C1982" s="116">
        <v>321.64999999999998</v>
      </c>
      <c r="D1982" s="116">
        <v>313.60000000000002</v>
      </c>
      <c r="E1982" s="116">
        <v>315.95</v>
      </c>
      <c r="F1982" s="116">
        <v>321.64999999999998</v>
      </c>
      <c r="G1982">
        <v>23732</v>
      </c>
      <c r="H1982" s="116"/>
      <c r="I1982" s="116"/>
      <c r="L1982" s="170">
        <v>44923</v>
      </c>
      <c r="M1982" s="116">
        <v>324.25</v>
      </c>
      <c r="N1982" s="116">
        <v>326.35000000000002</v>
      </c>
      <c r="O1982" s="116">
        <v>318.7</v>
      </c>
      <c r="P1982" s="116">
        <v>319.85000000000002</v>
      </c>
      <c r="Q1982" s="116">
        <v>324.25</v>
      </c>
      <c r="R1982">
        <v>297658</v>
      </c>
    </row>
    <row r="1983" spans="1:18" x14ac:dyDescent="0.25">
      <c r="A1983" s="170">
        <v>44923</v>
      </c>
      <c r="B1983" s="116">
        <v>326.3</v>
      </c>
      <c r="C1983" s="116">
        <v>324.05</v>
      </c>
      <c r="D1983" s="116">
        <v>319</v>
      </c>
      <c r="E1983" s="116">
        <v>321.39999999999998</v>
      </c>
      <c r="F1983" s="116">
        <v>324.05</v>
      </c>
      <c r="G1983">
        <v>34626</v>
      </c>
      <c r="H1983" s="116"/>
      <c r="I1983" s="116"/>
      <c r="L1983" s="170">
        <v>44924</v>
      </c>
      <c r="M1983" s="116">
        <v>326.2</v>
      </c>
      <c r="N1983" s="116">
        <v>326.60000000000002</v>
      </c>
      <c r="O1983" s="116">
        <v>320.25</v>
      </c>
      <c r="P1983" s="116">
        <v>320.25</v>
      </c>
      <c r="Q1983" s="116">
        <v>326.2</v>
      </c>
      <c r="R1983">
        <v>447463</v>
      </c>
    </row>
    <row r="1984" spans="1:18" x14ac:dyDescent="0.25">
      <c r="A1984" s="170">
        <v>44924</v>
      </c>
      <c r="B1984" s="116">
        <v>326.64999999999998</v>
      </c>
      <c r="C1984" s="116">
        <v>325.8</v>
      </c>
      <c r="D1984" s="116">
        <v>320.60000000000002</v>
      </c>
      <c r="E1984" s="116">
        <v>323.8</v>
      </c>
      <c r="F1984" s="116">
        <v>325.8</v>
      </c>
      <c r="G1984">
        <v>16549</v>
      </c>
      <c r="H1984" s="116"/>
      <c r="I1984" s="116"/>
      <c r="L1984" s="170">
        <v>44925</v>
      </c>
      <c r="M1984" s="116">
        <v>321.7</v>
      </c>
      <c r="N1984" s="116">
        <v>329.8</v>
      </c>
      <c r="O1984" s="116">
        <v>320.55</v>
      </c>
      <c r="P1984" s="116">
        <v>327.95</v>
      </c>
      <c r="Q1984" s="116">
        <v>321.7</v>
      </c>
      <c r="R1984">
        <v>327330</v>
      </c>
    </row>
    <row r="1985" spans="1:18" x14ac:dyDescent="0.25">
      <c r="A1985" s="170">
        <v>44925</v>
      </c>
      <c r="B1985" s="116">
        <v>329.8</v>
      </c>
      <c r="C1985" s="116">
        <v>322.39999999999998</v>
      </c>
      <c r="D1985" s="116">
        <v>320.75</v>
      </c>
      <c r="E1985" s="116">
        <v>327.05</v>
      </c>
      <c r="F1985" s="116">
        <v>322.39999999999998</v>
      </c>
      <c r="G1985">
        <v>35124</v>
      </c>
      <c r="H1985" s="116"/>
      <c r="I1985" s="116"/>
      <c r="L1985" s="170">
        <v>44928</v>
      </c>
      <c r="M1985" s="116">
        <v>325.10000000000002</v>
      </c>
      <c r="N1985" s="116">
        <v>326.45</v>
      </c>
      <c r="O1985" s="116">
        <v>323.25</v>
      </c>
      <c r="P1985" s="116">
        <v>323.3</v>
      </c>
      <c r="Q1985" s="116">
        <v>325.10000000000002</v>
      </c>
      <c r="R1985">
        <v>241376</v>
      </c>
    </row>
    <row r="1986" spans="1:18" x14ac:dyDescent="0.25">
      <c r="A1986" s="170">
        <v>44928</v>
      </c>
      <c r="B1986" s="116">
        <v>326.2</v>
      </c>
      <c r="C1986" s="116">
        <v>325</v>
      </c>
      <c r="D1986" s="116">
        <v>322.45</v>
      </c>
      <c r="E1986" s="116">
        <v>322.45</v>
      </c>
      <c r="F1986" s="116">
        <v>325</v>
      </c>
      <c r="G1986">
        <v>32677</v>
      </c>
      <c r="H1986" s="116"/>
      <c r="I1986" s="116"/>
      <c r="L1986" s="170">
        <v>44929</v>
      </c>
      <c r="M1986" s="116">
        <v>331.65</v>
      </c>
      <c r="N1986" s="116">
        <v>336.1</v>
      </c>
      <c r="O1986" s="116">
        <v>328</v>
      </c>
      <c r="P1986" s="116">
        <v>329.45</v>
      </c>
      <c r="Q1986" s="116">
        <v>331.65</v>
      </c>
      <c r="R1986">
        <v>1354277</v>
      </c>
    </row>
    <row r="1987" spans="1:18" x14ac:dyDescent="0.25">
      <c r="A1987" s="170">
        <v>44929</v>
      </c>
      <c r="B1987" s="116">
        <v>336</v>
      </c>
      <c r="C1987" s="116">
        <v>331.4</v>
      </c>
      <c r="D1987" s="116">
        <v>327.25</v>
      </c>
      <c r="E1987" s="116">
        <v>327.25</v>
      </c>
      <c r="F1987" s="116">
        <v>331.4</v>
      </c>
      <c r="G1987">
        <v>60871</v>
      </c>
      <c r="H1987" s="116"/>
      <c r="I1987" s="116"/>
      <c r="L1987" s="170">
        <v>44930</v>
      </c>
      <c r="M1987" s="116">
        <v>332.05</v>
      </c>
      <c r="N1987" s="116">
        <v>333.95</v>
      </c>
      <c r="O1987" s="116">
        <v>330.35</v>
      </c>
      <c r="P1987" s="116">
        <v>332.5</v>
      </c>
      <c r="Q1987" s="116">
        <v>332.05</v>
      </c>
      <c r="R1987">
        <v>638125</v>
      </c>
    </row>
    <row r="1988" spans="1:18" x14ac:dyDescent="0.25">
      <c r="A1988" s="170">
        <v>44930</v>
      </c>
      <c r="B1988" s="116">
        <v>333.95</v>
      </c>
      <c r="C1988" s="116">
        <v>332</v>
      </c>
      <c r="D1988" s="116">
        <v>330.5</v>
      </c>
      <c r="E1988" s="116">
        <v>332</v>
      </c>
      <c r="F1988" s="116">
        <v>332</v>
      </c>
      <c r="G1988">
        <v>30683</v>
      </c>
      <c r="H1988" s="116"/>
      <c r="I1988" s="116"/>
      <c r="L1988" s="170">
        <v>44931</v>
      </c>
      <c r="M1988" s="116">
        <v>337.7</v>
      </c>
      <c r="N1988" s="116">
        <v>340.55</v>
      </c>
      <c r="O1988" s="116">
        <v>333.3</v>
      </c>
      <c r="P1988" s="116">
        <v>334.55</v>
      </c>
      <c r="Q1988" s="116">
        <v>337.7</v>
      </c>
      <c r="R1988">
        <v>1187757</v>
      </c>
    </row>
    <row r="1989" spans="1:18" x14ac:dyDescent="0.25">
      <c r="A1989" s="170">
        <v>44931</v>
      </c>
      <c r="B1989" s="116">
        <v>340.5</v>
      </c>
      <c r="C1989" s="116">
        <v>337.45</v>
      </c>
      <c r="D1989" s="116">
        <v>333.55</v>
      </c>
      <c r="E1989" s="116">
        <v>334</v>
      </c>
      <c r="F1989" s="116">
        <v>337.45</v>
      </c>
      <c r="G1989">
        <v>45798</v>
      </c>
      <c r="H1989" s="116"/>
      <c r="I1989" s="116"/>
      <c r="L1989" s="170">
        <v>44932</v>
      </c>
      <c r="M1989" s="116">
        <v>332.8</v>
      </c>
      <c r="N1989" s="116">
        <v>338.45</v>
      </c>
      <c r="O1989" s="116">
        <v>330.3</v>
      </c>
      <c r="P1989" s="116">
        <v>337.7</v>
      </c>
      <c r="Q1989" s="116">
        <v>332.8</v>
      </c>
      <c r="R1989">
        <v>330906</v>
      </c>
    </row>
    <row r="1990" spans="1:18" x14ac:dyDescent="0.25">
      <c r="A1990" s="170">
        <v>44932</v>
      </c>
      <c r="B1990" s="116">
        <v>338.45</v>
      </c>
      <c r="C1990" s="116">
        <v>333.35</v>
      </c>
      <c r="D1990" s="116">
        <v>330.4</v>
      </c>
      <c r="E1990" s="116">
        <v>337.7</v>
      </c>
      <c r="F1990" s="116">
        <v>333.35</v>
      </c>
      <c r="G1990">
        <v>24394</v>
      </c>
      <c r="H1990" s="116"/>
      <c r="I1990" s="116"/>
      <c r="L1990" s="170">
        <v>44935</v>
      </c>
      <c r="M1990" s="116">
        <v>338.7</v>
      </c>
      <c r="N1990" s="116">
        <v>341.7</v>
      </c>
      <c r="O1990" s="116">
        <v>334.1</v>
      </c>
      <c r="P1990" s="116">
        <v>334.5</v>
      </c>
      <c r="Q1990" s="116">
        <v>338.7</v>
      </c>
      <c r="R1990">
        <v>535175</v>
      </c>
    </row>
    <row r="1991" spans="1:18" x14ac:dyDescent="0.25">
      <c r="A1991" s="170">
        <v>44935</v>
      </c>
      <c r="B1991" s="116">
        <v>341.4</v>
      </c>
      <c r="C1991" s="116">
        <v>338.3</v>
      </c>
      <c r="D1991" s="116">
        <v>331.4</v>
      </c>
      <c r="E1991" s="116">
        <v>331.4</v>
      </c>
      <c r="F1991" s="116">
        <v>338.3</v>
      </c>
      <c r="G1991">
        <v>58874</v>
      </c>
      <c r="H1991" s="116"/>
      <c r="I1991" s="116"/>
      <c r="L1991" s="170">
        <v>44936</v>
      </c>
      <c r="M1991" s="116">
        <v>343.7</v>
      </c>
      <c r="N1991" s="116">
        <v>345.6</v>
      </c>
      <c r="O1991" s="116">
        <v>340.1</v>
      </c>
      <c r="P1991" s="116">
        <v>340.7</v>
      </c>
      <c r="Q1991" s="116">
        <v>343.7</v>
      </c>
      <c r="R1991">
        <v>780956</v>
      </c>
    </row>
    <row r="1992" spans="1:18" x14ac:dyDescent="0.25">
      <c r="A1992" s="170">
        <v>44936</v>
      </c>
      <c r="B1992" s="116">
        <v>345.5</v>
      </c>
      <c r="C1992" s="116">
        <v>343.8</v>
      </c>
      <c r="D1992" s="116">
        <v>339</v>
      </c>
      <c r="E1992" s="116">
        <v>339</v>
      </c>
      <c r="F1992" s="116">
        <v>343.8</v>
      </c>
      <c r="G1992">
        <v>38475</v>
      </c>
      <c r="H1992" s="116"/>
      <c r="I1992" s="116"/>
      <c r="L1992" s="170">
        <v>44937</v>
      </c>
      <c r="M1992" s="116">
        <v>339.4</v>
      </c>
      <c r="N1992" s="116">
        <v>347.15</v>
      </c>
      <c r="O1992" s="116">
        <v>337.3</v>
      </c>
      <c r="P1992" s="116">
        <v>345</v>
      </c>
      <c r="Q1992" s="116">
        <v>339.4</v>
      </c>
      <c r="R1992">
        <v>507764</v>
      </c>
    </row>
    <row r="1993" spans="1:18" x14ac:dyDescent="0.25">
      <c r="A1993" s="170">
        <v>44937</v>
      </c>
      <c r="B1993" s="116">
        <v>347</v>
      </c>
      <c r="C1993" s="116">
        <v>339.15</v>
      </c>
      <c r="D1993" s="116">
        <v>337.3</v>
      </c>
      <c r="E1993" s="116">
        <v>343</v>
      </c>
      <c r="F1993" s="116">
        <v>339.15</v>
      </c>
      <c r="G1993">
        <v>47630</v>
      </c>
      <c r="H1993" s="116"/>
      <c r="I1993" s="116"/>
      <c r="L1993" s="170">
        <v>44938</v>
      </c>
      <c r="M1993" s="116">
        <v>345.1</v>
      </c>
      <c r="N1993" s="116">
        <v>345.9</v>
      </c>
      <c r="O1993" s="116">
        <v>337.05</v>
      </c>
      <c r="P1993" s="116">
        <v>341</v>
      </c>
      <c r="Q1993" s="116">
        <v>345.1</v>
      </c>
      <c r="R1993">
        <v>599868</v>
      </c>
    </row>
    <row r="1994" spans="1:18" x14ac:dyDescent="0.25">
      <c r="A1994" s="170">
        <v>44938</v>
      </c>
      <c r="B1994" s="116">
        <v>345.7</v>
      </c>
      <c r="C1994" s="116">
        <v>344.35</v>
      </c>
      <c r="D1994" s="116">
        <v>337.45</v>
      </c>
      <c r="E1994" s="116">
        <v>339.2</v>
      </c>
      <c r="F1994" s="116">
        <v>344.35</v>
      </c>
      <c r="G1994">
        <v>29492</v>
      </c>
      <c r="H1994" s="116"/>
      <c r="I1994" s="116"/>
      <c r="L1994" s="170">
        <v>44939</v>
      </c>
      <c r="M1994" s="116">
        <v>349.7</v>
      </c>
      <c r="N1994" s="116">
        <v>350</v>
      </c>
      <c r="O1994" s="116">
        <v>345.1</v>
      </c>
      <c r="P1994" s="116">
        <v>345.1</v>
      </c>
      <c r="Q1994" s="116">
        <v>349.7</v>
      </c>
      <c r="R1994">
        <v>647059</v>
      </c>
    </row>
    <row r="1995" spans="1:18" x14ac:dyDescent="0.25">
      <c r="A1995" s="170">
        <v>44939</v>
      </c>
      <c r="B1995" s="116">
        <v>350</v>
      </c>
      <c r="C1995" s="116">
        <v>349.15</v>
      </c>
      <c r="D1995" s="116">
        <v>344.05</v>
      </c>
      <c r="E1995" s="116">
        <v>344.05</v>
      </c>
      <c r="F1995" s="116">
        <v>349.15</v>
      </c>
      <c r="G1995">
        <v>31420</v>
      </c>
      <c r="H1995" s="116"/>
      <c r="I1995" s="116"/>
      <c r="L1995" s="170">
        <v>44942</v>
      </c>
      <c r="M1995" s="116">
        <v>344.4</v>
      </c>
      <c r="N1995" s="116">
        <v>352.8</v>
      </c>
      <c r="O1995" s="116">
        <v>340</v>
      </c>
      <c r="P1995" s="116">
        <v>351.5</v>
      </c>
      <c r="Q1995" s="116">
        <v>344.4</v>
      </c>
      <c r="R1995">
        <v>388733</v>
      </c>
    </row>
    <row r="1996" spans="1:18" x14ac:dyDescent="0.25">
      <c r="A1996" s="170">
        <v>44942</v>
      </c>
      <c r="B1996" s="116">
        <v>353.05</v>
      </c>
      <c r="C1996" s="116">
        <v>344</v>
      </c>
      <c r="D1996" s="116">
        <v>340.7</v>
      </c>
      <c r="E1996" s="116">
        <v>351.9</v>
      </c>
      <c r="F1996" s="116">
        <v>344</v>
      </c>
      <c r="G1996">
        <v>24593</v>
      </c>
      <c r="H1996" s="116"/>
      <c r="I1996" s="116"/>
      <c r="L1996" s="170">
        <v>44943</v>
      </c>
      <c r="M1996" s="116">
        <v>347.55</v>
      </c>
      <c r="N1996" s="116">
        <v>351.95</v>
      </c>
      <c r="O1996" s="116">
        <v>342.65</v>
      </c>
      <c r="P1996" s="116">
        <v>346</v>
      </c>
      <c r="Q1996" s="116">
        <v>347.55</v>
      </c>
      <c r="R1996">
        <v>809639</v>
      </c>
    </row>
    <row r="1997" spans="1:18" x14ac:dyDescent="0.25">
      <c r="A1997" s="170">
        <v>44943</v>
      </c>
      <c r="B1997" s="116">
        <v>352</v>
      </c>
      <c r="C1997" s="116">
        <v>348.35</v>
      </c>
      <c r="D1997" s="116">
        <v>343.15</v>
      </c>
      <c r="E1997" s="116">
        <v>344.3</v>
      </c>
      <c r="F1997" s="116">
        <v>348.35</v>
      </c>
      <c r="G1997">
        <v>51556</v>
      </c>
      <c r="H1997" s="116"/>
      <c r="I1997" s="116"/>
      <c r="L1997" s="170">
        <v>44944</v>
      </c>
      <c r="M1997" s="116">
        <v>361.35</v>
      </c>
      <c r="N1997" s="116">
        <v>363.9</v>
      </c>
      <c r="O1997" s="116">
        <v>350.5</v>
      </c>
      <c r="P1997" s="116">
        <v>351.05</v>
      </c>
      <c r="Q1997" s="116">
        <v>361.35</v>
      </c>
      <c r="R1997">
        <v>2252175</v>
      </c>
    </row>
    <row r="1998" spans="1:18" x14ac:dyDescent="0.25">
      <c r="A1998" s="170">
        <v>44944</v>
      </c>
      <c r="B1998" s="116">
        <v>364</v>
      </c>
      <c r="C1998" s="116">
        <v>361.05</v>
      </c>
      <c r="D1998" s="116">
        <v>350.75</v>
      </c>
      <c r="E1998" s="116">
        <v>351.95</v>
      </c>
      <c r="F1998" s="116">
        <v>361.05</v>
      </c>
      <c r="G1998">
        <v>176145</v>
      </c>
      <c r="H1998" s="116"/>
      <c r="I1998" s="116"/>
      <c r="L1998" s="170">
        <v>44945</v>
      </c>
      <c r="M1998" s="116">
        <v>377.55</v>
      </c>
      <c r="N1998" s="116">
        <v>383</v>
      </c>
      <c r="O1998" s="116">
        <v>364</v>
      </c>
      <c r="P1998" s="116">
        <v>364</v>
      </c>
      <c r="Q1998" s="116">
        <v>377.55</v>
      </c>
      <c r="R1998">
        <v>3152013</v>
      </c>
    </row>
    <row r="1999" spans="1:18" x14ac:dyDescent="0.25">
      <c r="A1999" s="170">
        <v>44945</v>
      </c>
      <c r="B1999" s="116">
        <v>383</v>
      </c>
      <c r="C1999" s="116">
        <v>377.55</v>
      </c>
      <c r="D1999" s="116">
        <v>363.5</v>
      </c>
      <c r="E1999" s="116">
        <v>363.95</v>
      </c>
      <c r="F1999" s="116">
        <v>377.55</v>
      </c>
      <c r="G1999">
        <v>201468</v>
      </c>
      <c r="H1999" s="116"/>
      <c r="I1999" s="116"/>
      <c r="L1999" s="170">
        <v>44946</v>
      </c>
      <c r="M1999" s="116">
        <v>353</v>
      </c>
      <c r="N1999" s="116">
        <v>356.8</v>
      </c>
      <c r="O1999" s="116">
        <v>340.2</v>
      </c>
      <c r="P1999" s="116">
        <v>345</v>
      </c>
      <c r="Q1999" s="116">
        <v>353</v>
      </c>
      <c r="R1999">
        <v>5818613</v>
      </c>
    </row>
    <row r="2000" spans="1:18" x14ac:dyDescent="0.25">
      <c r="A2000" s="170">
        <v>44946</v>
      </c>
      <c r="B2000" s="116">
        <v>356.95</v>
      </c>
      <c r="C2000" s="116">
        <v>353.05</v>
      </c>
      <c r="D2000" s="116">
        <v>342.2</v>
      </c>
      <c r="E2000" s="116">
        <v>348</v>
      </c>
      <c r="F2000" s="116">
        <v>353.05</v>
      </c>
      <c r="G2000">
        <v>397636</v>
      </c>
      <c r="H2000" s="116"/>
      <c r="I2000" s="116"/>
      <c r="L2000" s="170">
        <v>44949</v>
      </c>
      <c r="M2000" s="116">
        <v>346.2</v>
      </c>
      <c r="N2000" s="116">
        <v>360</v>
      </c>
      <c r="O2000" s="116">
        <v>341.8</v>
      </c>
      <c r="P2000" s="116">
        <v>360</v>
      </c>
      <c r="Q2000" s="116">
        <v>346.2</v>
      </c>
      <c r="R2000">
        <v>2107210</v>
      </c>
    </row>
    <row r="2001" spans="1:18" x14ac:dyDescent="0.25">
      <c r="A2001" s="170">
        <v>44949</v>
      </c>
      <c r="B2001" s="116">
        <v>360.2</v>
      </c>
      <c r="C2001" s="116">
        <v>346.2</v>
      </c>
      <c r="D2001" s="116">
        <v>341.85</v>
      </c>
      <c r="E2001" s="116">
        <v>360.2</v>
      </c>
      <c r="F2001" s="116">
        <v>346.2</v>
      </c>
      <c r="G2001">
        <v>217906</v>
      </c>
      <c r="H2001" s="116"/>
      <c r="I2001" s="116"/>
      <c r="L2001" s="170">
        <v>44950</v>
      </c>
      <c r="M2001" s="116">
        <v>354.95</v>
      </c>
      <c r="N2001" s="116">
        <v>357</v>
      </c>
      <c r="O2001" s="116">
        <v>345.2</v>
      </c>
      <c r="P2001" s="116">
        <v>348</v>
      </c>
      <c r="Q2001" s="116">
        <v>354.95</v>
      </c>
      <c r="R2001">
        <v>1278140</v>
      </c>
    </row>
    <row r="2002" spans="1:18" x14ac:dyDescent="0.25">
      <c r="A2002" s="170">
        <v>44950</v>
      </c>
      <c r="B2002" s="116">
        <v>357</v>
      </c>
      <c r="C2002" s="116">
        <v>355.15</v>
      </c>
      <c r="D2002" s="116">
        <v>345.3</v>
      </c>
      <c r="E2002" s="116">
        <v>347</v>
      </c>
      <c r="F2002" s="116">
        <v>355.15</v>
      </c>
      <c r="G2002">
        <v>160054</v>
      </c>
      <c r="H2002" s="116"/>
      <c r="I2002" s="116"/>
      <c r="L2002" s="170">
        <v>44951</v>
      </c>
      <c r="M2002" s="116">
        <v>358</v>
      </c>
      <c r="N2002" s="116">
        <v>359</v>
      </c>
      <c r="O2002" s="116">
        <v>352.5</v>
      </c>
      <c r="P2002" s="116">
        <v>359</v>
      </c>
      <c r="Q2002" s="116">
        <v>358</v>
      </c>
      <c r="R2002">
        <v>1109433</v>
      </c>
    </row>
    <row r="2003" spans="1:18" x14ac:dyDescent="0.25">
      <c r="A2003" s="170">
        <v>44951</v>
      </c>
      <c r="B2003" s="116">
        <v>358.5</v>
      </c>
      <c r="C2003" s="116">
        <v>357.95</v>
      </c>
      <c r="D2003" s="116">
        <v>352.6</v>
      </c>
      <c r="E2003" s="116">
        <v>355.9</v>
      </c>
      <c r="F2003" s="116">
        <v>357.95</v>
      </c>
      <c r="G2003">
        <v>104119</v>
      </c>
      <c r="H2003" s="116"/>
      <c r="I2003" s="116"/>
      <c r="L2003" s="170">
        <v>44953</v>
      </c>
      <c r="M2003" s="116">
        <v>346.35</v>
      </c>
      <c r="N2003" s="116">
        <v>358</v>
      </c>
      <c r="O2003" s="116">
        <v>340.5</v>
      </c>
      <c r="P2003" s="116">
        <v>355.65</v>
      </c>
      <c r="Q2003" s="116">
        <v>346.35</v>
      </c>
      <c r="R2003">
        <v>1306217</v>
      </c>
    </row>
    <row r="2004" spans="1:18" x14ac:dyDescent="0.25">
      <c r="A2004" s="170">
        <v>44953</v>
      </c>
      <c r="B2004" s="116">
        <v>357.9</v>
      </c>
      <c r="C2004" s="116">
        <v>347.3</v>
      </c>
      <c r="D2004" s="116">
        <v>340.6</v>
      </c>
      <c r="E2004" s="116">
        <v>352.7</v>
      </c>
      <c r="F2004" s="116">
        <v>347.3</v>
      </c>
      <c r="G2004">
        <v>64361</v>
      </c>
      <c r="H2004" s="116"/>
      <c r="I2004" s="116"/>
      <c r="L2004" s="170">
        <v>44956</v>
      </c>
      <c r="M2004" s="116">
        <v>330</v>
      </c>
      <c r="N2004" s="116">
        <v>335</v>
      </c>
      <c r="O2004" s="116">
        <v>327.14999999999998</v>
      </c>
      <c r="P2004" s="116">
        <v>333.9</v>
      </c>
      <c r="Q2004" s="116">
        <v>330</v>
      </c>
      <c r="R2004">
        <v>1021008</v>
      </c>
    </row>
    <row r="2005" spans="1:18" x14ac:dyDescent="0.25">
      <c r="A2005" s="170">
        <v>44956</v>
      </c>
      <c r="B2005" s="116">
        <v>334.45</v>
      </c>
      <c r="C2005" s="116">
        <v>330.15</v>
      </c>
      <c r="D2005" s="116">
        <v>316.10000000000002</v>
      </c>
      <c r="E2005" s="116">
        <v>316.10000000000002</v>
      </c>
      <c r="F2005" s="116">
        <v>330.15</v>
      </c>
      <c r="G2005">
        <v>143768</v>
      </c>
      <c r="H2005" s="116"/>
      <c r="I2005" s="116"/>
      <c r="L2005" s="170">
        <v>44957</v>
      </c>
      <c r="M2005" s="116">
        <v>332.85</v>
      </c>
      <c r="N2005" s="116">
        <v>335.9</v>
      </c>
      <c r="O2005" s="116">
        <v>330</v>
      </c>
      <c r="P2005" s="116">
        <v>330</v>
      </c>
      <c r="Q2005" s="116">
        <v>332.85</v>
      </c>
      <c r="R2005">
        <v>590476</v>
      </c>
    </row>
    <row r="2006" spans="1:18" x14ac:dyDescent="0.25">
      <c r="A2006" s="170">
        <v>44957</v>
      </c>
      <c r="B2006" s="116">
        <v>335.95</v>
      </c>
      <c r="C2006" s="116">
        <v>332.75</v>
      </c>
      <c r="D2006" s="116">
        <v>328.55</v>
      </c>
      <c r="E2006" s="116">
        <v>328.55</v>
      </c>
      <c r="F2006" s="116">
        <v>332.75</v>
      </c>
      <c r="G2006">
        <v>68222</v>
      </c>
      <c r="H2006" s="116"/>
      <c r="I2006" s="116"/>
      <c r="L2006" s="170">
        <v>44958</v>
      </c>
      <c r="M2006" s="116">
        <v>332.4</v>
      </c>
      <c r="N2006" s="116">
        <v>343</v>
      </c>
      <c r="O2006" s="116">
        <v>324.2</v>
      </c>
      <c r="P2006" s="116">
        <v>337.45</v>
      </c>
      <c r="Q2006" s="116">
        <v>332.4</v>
      </c>
      <c r="R2006">
        <v>949631</v>
      </c>
    </row>
    <row r="2007" spans="1:18" x14ac:dyDescent="0.25">
      <c r="A2007" s="170">
        <v>44958</v>
      </c>
      <c r="B2007" s="116">
        <v>342.8</v>
      </c>
      <c r="C2007" s="116">
        <v>332.1</v>
      </c>
      <c r="D2007" s="116">
        <v>324.7</v>
      </c>
      <c r="E2007" s="116">
        <v>333.55</v>
      </c>
      <c r="F2007" s="116">
        <v>332.1</v>
      </c>
      <c r="G2007">
        <v>79488</v>
      </c>
      <c r="H2007" s="116"/>
      <c r="I2007" s="116"/>
      <c r="L2007" s="170">
        <v>44959</v>
      </c>
      <c r="M2007" s="116">
        <v>343.75</v>
      </c>
      <c r="N2007" s="116">
        <v>347.5</v>
      </c>
      <c r="O2007" s="116">
        <v>330.45</v>
      </c>
      <c r="P2007" s="116">
        <v>330.45</v>
      </c>
      <c r="Q2007" s="116">
        <v>343.75</v>
      </c>
      <c r="R2007">
        <v>1353291</v>
      </c>
    </row>
    <row r="2008" spans="1:18" x14ac:dyDescent="0.25">
      <c r="A2008" s="170">
        <v>44959</v>
      </c>
      <c r="B2008" s="116">
        <v>347.15</v>
      </c>
      <c r="C2008" s="116">
        <v>343.1</v>
      </c>
      <c r="D2008" s="116">
        <v>327.3</v>
      </c>
      <c r="E2008" s="116">
        <v>327.3</v>
      </c>
      <c r="F2008" s="116">
        <v>343.1</v>
      </c>
      <c r="G2008">
        <v>54616</v>
      </c>
      <c r="H2008" s="116"/>
      <c r="I2008" s="116"/>
      <c r="L2008" s="170">
        <v>44960</v>
      </c>
      <c r="M2008" s="116">
        <v>346.25</v>
      </c>
      <c r="N2008" s="116">
        <v>349.6</v>
      </c>
      <c r="O2008" s="116">
        <v>340.3</v>
      </c>
      <c r="P2008" s="116">
        <v>344</v>
      </c>
      <c r="Q2008" s="116">
        <v>346.25</v>
      </c>
      <c r="R2008">
        <v>695416</v>
      </c>
    </row>
    <row r="2009" spans="1:18" x14ac:dyDescent="0.25">
      <c r="A2009" s="170">
        <v>44960</v>
      </c>
      <c r="B2009" s="116">
        <v>349.45</v>
      </c>
      <c r="C2009" s="116">
        <v>346.15</v>
      </c>
      <c r="D2009" s="116">
        <v>340.6</v>
      </c>
      <c r="E2009" s="116">
        <v>342.15</v>
      </c>
      <c r="F2009" s="116">
        <v>346.15</v>
      </c>
      <c r="G2009">
        <v>25443</v>
      </c>
      <c r="H2009" s="116"/>
      <c r="I2009" s="116"/>
      <c r="L2009" s="170">
        <v>44963</v>
      </c>
      <c r="M2009" s="116">
        <v>338.45</v>
      </c>
      <c r="N2009" s="116">
        <v>344.75</v>
      </c>
      <c r="O2009" s="116">
        <v>335</v>
      </c>
      <c r="P2009" s="116">
        <v>335.85</v>
      </c>
      <c r="Q2009" s="116">
        <v>338.45</v>
      </c>
      <c r="R2009">
        <v>556891</v>
      </c>
    </row>
    <row r="2010" spans="1:18" x14ac:dyDescent="0.25">
      <c r="A2010" s="170">
        <v>44963</v>
      </c>
      <c r="B2010" s="116">
        <v>344.05</v>
      </c>
      <c r="C2010" s="116">
        <v>338.85</v>
      </c>
      <c r="D2010" s="116">
        <v>335.15</v>
      </c>
      <c r="E2010" s="116">
        <v>344.05</v>
      </c>
      <c r="F2010" s="116">
        <v>338.85</v>
      </c>
      <c r="G2010">
        <v>35332</v>
      </c>
      <c r="H2010" s="116"/>
      <c r="I2010" s="116"/>
      <c r="L2010" s="170">
        <v>44964</v>
      </c>
      <c r="M2010" s="116">
        <v>332.05</v>
      </c>
      <c r="N2010" s="116">
        <v>340.2</v>
      </c>
      <c r="O2010" s="116">
        <v>330.2</v>
      </c>
      <c r="P2010" s="116">
        <v>339</v>
      </c>
      <c r="Q2010" s="116">
        <v>332.05</v>
      </c>
      <c r="R2010">
        <v>573595</v>
      </c>
    </row>
    <row r="2011" spans="1:18" x14ac:dyDescent="0.25">
      <c r="A2011" s="170">
        <v>44964</v>
      </c>
      <c r="B2011" s="116">
        <v>340.9</v>
      </c>
      <c r="C2011" s="116">
        <v>331.4</v>
      </c>
      <c r="D2011" s="116">
        <v>330.05</v>
      </c>
      <c r="E2011" s="116">
        <v>338</v>
      </c>
      <c r="F2011" s="116">
        <v>331.4</v>
      </c>
      <c r="G2011">
        <v>64119</v>
      </c>
      <c r="H2011" s="116"/>
      <c r="I2011" s="116"/>
      <c r="L2011" s="170">
        <v>44965</v>
      </c>
      <c r="M2011" s="116">
        <v>328.95</v>
      </c>
      <c r="N2011" s="116">
        <v>336.15</v>
      </c>
      <c r="O2011" s="116">
        <v>327.25</v>
      </c>
      <c r="P2011" s="116">
        <v>331.25</v>
      </c>
      <c r="Q2011" s="116">
        <v>328.95</v>
      </c>
      <c r="R2011">
        <v>346573</v>
      </c>
    </row>
    <row r="2012" spans="1:18" x14ac:dyDescent="0.25">
      <c r="A2012" s="170">
        <v>44965</v>
      </c>
      <c r="B2012" s="116">
        <v>336.15</v>
      </c>
      <c r="C2012" s="116">
        <v>328.8</v>
      </c>
      <c r="D2012" s="116">
        <v>327</v>
      </c>
      <c r="E2012" s="116">
        <v>329.25</v>
      </c>
      <c r="F2012" s="116">
        <v>328.8</v>
      </c>
      <c r="G2012">
        <v>22160</v>
      </c>
      <c r="H2012" s="116"/>
      <c r="I2012" s="116"/>
      <c r="L2012" s="170">
        <v>44966</v>
      </c>
      <c r="M2012" s="116">
        <v>327.25</v>
      </c>
      <c r="N2012" s="116">
        <v>332.5</v>
      </c>
      <c r="O2012" s="116">
        <v>325.25</v>
      </c>
      <c r="P2012" s="116">
        <v>329.05</v>
      </c>
      <c r="Q2012" s="116">
        <v>327.25</v>
      </c>
      <c r="R2012">
        <v>559495</v>
      </c>
    </row>
    <row r="2013" spans="1:18" x14ac:dyDescent="0.25">
      <c r="A2013" s="170">
        <v>44966</v>
      </c>
      <c r="B2013" s="116">
        <v>332.25</v>
      </c>
      <c r="C2013" s="116">
        <v>327.60000000000002</v>
      </c>
      <c r="D2013" s="116">
        <v>325.3</v>
      </c>
      <c r="E2013" s="116">
        <v>328.8</v>
      </c>
      <c r="F2013" s="116">
        <v>327.60000000000002</v>
      </c>
      <c r="G2013">
        <v>19364</v>
      </c>
      <c r="H2013" s="116"/>
      <c r="I2013" s="116"/>
      <c r="L2013" s="170">
        <v>44967</v>
      </c>
      <c r="M2013" s="116">
        <v>329.85</v>
      </c>
      <c r="N2013" s="116">
        <v>331</v>
      </c>
      <c r="O2013" s="116">
        <v>327</v>
      </c>
      <c r="P2013" s="116">
        <v>327.25</v>
      </c>
      <c r="Q2013" s="116">
        <v>329.85</v>
      </c>
      <c r="R2013">
        <v>205428</v>
      </c>
    </row>
    <row r="2014" spans="1:18" x14ac:dyDescent="0.25">
      <c r="A2014" s="170">
        <v>44967</v>
      </c>
      <c r="B2014" s="116">
        <v>331.4</v>
      </c>
      <c r="C2014" s="116">
        <v>329.85</v>
      </c>
      <c r="D2014" s="116">
        <v>325.25</v>
      </c>
      <c r="E2014" s="116">
        <v>325.25</v>
      </c>
      <c r="F2014" s="116">
        <v>329.85</v>
      </c>
      <c r="G2014">
        <v>21427</v>
      </c>
      <c r="H2014" s="116"/>
      <c r="I2014" s="116"/>
      <c r="L2014" s="170">
        <v>44970</v>
      </c>
      <c r="M2014" s="116">
        <v>325.95</v>
      </c>
      <c r="N2014" s="116">
        <v>329.9</v>
      </c>
      <c r="O2014" s="116">
        <v>325</v>
      </c>
      <c r="P2014" s="116">
        <v>329.85</v>
      </c>
      <c r="Q2014" s="116">
        <v>325.95</v>
      </c>
      <c r="R2014">
        <v>276106</v>
      </c>
    </row>
    <row r="2015" spans="1:18" x14ac:dyDescent="0.25">
      <c r="A2015" s="170">
        <v>44970</v>
      </c>
      <c r="B2015" s="116">
        <v>330.15</v>
      </c>
      <c r="C2015" s="116">
        <v>326.2</v>
      </c>
      <c r="D2015" s="116">
        <v>324.95</v>
      </c>
      <c r="E2015" s="116">
        <v>330</v>
      </c>
      <c r="F2015" s="116">
        <v>326.2</v>
      </c>
      <c r="G2015">
        <v>34463</v>
      </c>
      <c r="H2015" s="116"/>
      <c r="I2015" s="116"/>
      <c r="L2015" s="170">
        <v>44971</v>
      </c>
      <c r="M2015" s="116">
        <v>326.2</v>
      </c>
      <c r="N2015" s="116">
        <v>328.8</v>
      </c>
      <c r="O2015" s="116">
        <v>325.2</v>
      </c>
      <c r="P2015" s="116">
        <v>326</v>
      </c>
      <c r="Q2015" s="116">
        <v>326.2</v>
      </c>
      <c r="R2015">
        <v>180115</v>
      </c>
    </row>
    <row r="2016" spans="1:18" x14ac:dyDescent="0.25">
      <c r="A2016" s="170">
        <v>44971</v>
      </c>
      <c r="B2016" s="116">
        <v>328.85</v>
      </c>
      <c r="C2016" s="116">
        <v>326.25</v>
      </c>
      <c r="D2016" s="116">
        <v>325.35000000000002</v>
      </c>
      <c r="E2016" s="116">
        <v>328.85</v>
      </c>
      <c r="F2016" s="116">
        <v>326.25</v>
      </c>
      <c r="G2016">
        <v>25732</v>
      </c>
      <c r="H2016" s="116"/>
      <c r="I2016" s="116"/>
      <c r="L2016" s="170">
        <v>44972</v>
      </c>
      <c r="M2016" s="116">
        <v>322.75</v>
      </c>
      <c r="N2016" s="116">
        <v>326.95</v>
      </c>
      <c r="O2016" s="116">
        <v>320.85000000000002</v>
      </c>
      <c r="P2016" s="116">
        <v>325</v>
      </c>
      <c r="Q2016" s="116">
        <v>322.75</v>
      </c>
      <c r="R2016">
        <v>268049</v>
      </c>
    </row>
    <row r="2017" spans="1:18" x14ac:dyDescent="0.25">
      <c r="A2017" s="170">
        <v>44972</v>
      </c>
      <c r="B2017" s="116">
        <v>326.75</v>
      </c>
      <c r="C2017" s="116">
        <v>322.89999999999998</v>
      </c>
      <c r="D2017" s="116">
        <v>321</v>
      </c>
      <c r="E2017" s="116">
        <v>326.2</v>
      </c>
      <c r="F2017" s="116">
        <v>322.89999999999998</v>
      </c>
      <c r="G2017">
        <v>24335</v>
      </c>
      <c r="H2017" s="116"/>
      <c r="I2017" s="116"/>
      <c r="L2017" s="170">
        <v>44973</v>
      </c>
      <c r="M2017" s="116">
        <v>324.8</v>
      </c>
      <c r="N2017" s="116">
        <v>328.95</v>
      </c>
      <c r="O2017" s="116">
        <v>323.05</v>
      </c>
      <c r="P2017" s="116">
        <v>325</v>
      </c>
      <c r="Q2017" s="116">
        <v>324.8</v>
      </c>
      <c r="R2017">
        <v>267210</v>
      </c>
    </row>
    <row r="2018" spans="1:18" x14ac:dyDescent="0.25">
      <c r="A2018" s="170">
        <v>44973</v>
      </c>
      <c r="B2018" s="116">
        <v>328.75</v>
      </c>
      <c r="C2018" s="116">
        <v>324.85000000000002</v>
      </c>
      <c r="D2018" s="116">
        <v>323.10000000000002</v>
      </c>
      <c r="E2018" s="116">
        <v>323.25</v>
      </c>
      <c r="F2018" s="116">
        <v>324.85000000000002</v>
      </c>
      <c r="G2018">
        <v>34381</v>
      </c>
      <c r="H2018" s="116"/>
      <c r="I2018" s="116"/>
      <c r="L2018" s="170">
        <v>44974</v>
      </c>
      <c r="M2018" s="116">
        <v>323.95</v>
      </c>
      <c r="N2018" s="116">
        <v>325.75</v>
      </c>
      <c r="O2018" s="116">
        <v>323.05</v>
      </c>
      <c r="P2018" s="116">
        <v>324.8</v>
      </c>
      <c r="Q2018" s="116">
        <v>323.95</v>
      </c>
      <c r="R2018">
        <v>135607</v>
      </c>
    </row>
    <row r="2019" spans="1:18" x14ac:dyDescent="0.25">
      <c r="A2019" s="170">
        <v>44974</v>
      </c>
      <c r="B2019" s="116">
        <v>325.5</v>
      </c>
      <c r="C2019" s="116">
        <v>323.89999999999998</v>
      </c>
      <c r="D2019" s="116">
        <v>323</v>
      </c>
      <c r="E2019" s="116">
        <v>324.85000000000002</v>
      </c>
      <c r="F2019" s="116">
        <v>323.89999999999998</v>
      </c>
      <c r="G2019">
        <v>15969</v>
      </c>
      <c r="H2019" s="116"/>
      <c r="I2019" s="116"/>
      <c r="L2019" s="170">
        <v>44977</v>
      </c>
      <c r="M2019" s="116">
        <v>321.2</v>
      </c>
      <c r="N2019" s="116">
        <v>325.14999999999998</v>
      </c>
      <c r="O2019" s="116">
        <v>320.5</v>
      </c>
      <c r="P2019" s="116">
        <v>324.60000000000002</v>
      </c>
      <c r="Q2019" s="116">
        <v>321.2</v>
      </c>
      <c r="R2019">
        <v>157990</v>
      </c>
    </row>
    <row r="2020" spans="1:18" x14ac:dyDescent="0.25">
      <c r="A2020" s="170">
        <v>44977</v>
      </c>
      <c r="B2020" s="116">
        <v>325.45</v>
      </c>
      <c r="C2020" s="116">
        <v>321.3</v>
      </c>
      <c r="D2020" s="116">
        <v>320.55</v>
      </c>
      <c r="E2020" s="116">
        <v>325</v>
      </c>
      <c r="F2020" s="116">
        <v>321.3</v>
      </c>
      <c r="G2020">
        <v>16420</v>
      </c>
      <c r="H2020" s="116"/>
      <c r="I2020" s="116"/>
      <c r="L2020" s="170">
        <v>44978</v>
      </c>
      <c r="M2020" s="116">
        <v>321.7</v>
      </c>
      <c r="N2020" s="116">
        <v>323</v>
      </c>
      <c r="O2020" s="116">
        <v>321.10000000000002</v>
      </c>
      <c r="P2020" s="116">
        <v>322.89999999999998</v>
      </c>
      <c r="Q2020" s="116">
        <v>321.7</v>
      </c>
      <c r="R2020">
        <v>92681</v>
      </c>
    </row>
    <row r="2021" spans="1:18" x14ac:dyDescent="0.25">
      <c r="A2021" s="170">
        <v>44978</v>
      </c>
      <c r="B2021" s="116">
        <v>323</v>
      </c>
      <c r="C2021" s="116">
        <v>321.75</v>
      </c>
      <c r="D2021" s="116">
        <v>321.25</v>
      </c>
      <c r="E2021" s="116">
        <v>321.75</v>
      </c>
      <c r="F2021" s="116">
        <v>321.75</v>
      </c>
      <c r="G2021">
        <v>20395</v>
      </c>
      <c r="H2021" s="116"/>
      <c r="I2021" s="116"/>
      <c r="L2021" s="170">
        <v>44979</v>
      </c>
      <c r="M2021" s="116">
        <v>315.89999999999998</v>
      </c>
      <c r="N2021" s="116">
        <v>323.39999999999998</v>
      </c>
      <c r="O2021" s="116">
        <v>315</v>
      </c>
      <c r="P2021" s="116">
        <v>323.39999999999998</v>
      </c>
      <c r="Q2021" s="116">
        <v>315.89999999999998</v>
      </c>
      <c r="R2021">
        <v>366016</v>
      </c>
    </row>
    <row r="2022" spans="1:18" x14ac:dyDescent="0.25">
      <c r="A2022" s="170">
        <v>44979</v>
      </c>
      <c r="B2022" s="116">
        <v>322.64999999999998</v>
      </c>
      <c r="C2022" s="116">
        <v>316.3</v>
      </c>
      <c r="D2022" s="116">
        <v>314.8</v>
      </c>
      <c r="E2022" s="116">
        <v>321.8</v>
      </c>
      <c r="F2022" s="116">
        <v>316.3</v>
      </c>
      <c r="G2022">
        <v>30398</v>
      </c>
      <c r="H2022" s="116"/>
      <c r="I2022" s="116"/>
      <c r="L2022" s="170">
        <v>44980</v>
      </c>
      <c r="M2022" s="116">
        <v>315.75</v>
      </c>
      <c r="N2022" s="116">
        <v>320.85000000000002</v>
      </c>
      <c r="O2022" s="116">
        <v>315</v>
      </c>
      <c r="P2022" s="116">
        <v>316</v>
      </c>
      <c r="Q2022" s="116">
        <v>315.75</v>
      </c>
      <c r="R2022">
        <v>243213</v>
      </c>
    </row>
    <row r="2023" spans="1:18" x14ac:dyDescent="0.25">
      <c r="A2023" s="170">
        <v>44980</v>
      </c>
      <c r="B2023" s="116">
        <v>321.2</v>
      </c>
      <c r="C2023" s="116">
        <v>315.64999999999998</v>
      </c>
      <c r="D2023" s="116">
        <v>314.35000000000002</v>
      </c>
      <c r="E2023" s="116">
        <v>321.2</v>
      </c>
      <c r="F2023" s="116">
        <v>315.64999999999998</v>
      </c>
      <c r="G2023">
        <v>38786</v>
      </c>
      <c r="H2023" s="116"/>
      <c r="I2023" s="116"/>
      <c r="L2023" s="170">
        <v>44981</v>
      </c>
      <c r="M2023" s="116">
        <v>319.95</v>
      </c>
      <c r="N2023" s="116">
        <v>321</v>
      </c>
      <c r="O2023" s="116">
        <v>315.05</v>
      </c>
      <c r="P2023" s="116">
        <v>316</v>
      </c>
      <c r="Q2023" s="116">
        <v>319.95</v>
      </c>
      <c r="R2023">
        <v>219964</v>
      </c>
    </row>
    <row r="2024" spans="1:18" x14ac:dyDescent="0.25">
      <c r="A2024" s="170">
        <v>44981</v>
      </c>
      <c r="B2024" s="116">
        <v>320.8</v>
      </c>
      <c r="C2024" s="116">
        <v>319.75</v>
      </c>
      <c r="D2024" s="116">
        <v>315.64999999999998</v>
      </c>
      <c r="E2024" s="116">
        <v>317</v>
      </c>
      <c r="F2024" s="116">
        <v>319.75</v>
      </c>
      <c r="G2024">
        <v>10409</v>
      </c>
      <c r="H2024" s="116"/>
      <c r="I2024" s="116"/>
      <c r="L2024" s="170">
        <v>44984</v>
      </c>
      <c r="M2024" s="116">
        <v>308.60000000000002</v>
      </c>
      <c r="N2024" s="116">
        <v>318.7</v>
      </c>
      <c r="O2024" s="116">
        <v>308</v>
      </c>
      <c r="P2024" s="116">
        <v>318.7</v>
      </c>
      <c r="Q2024" s="116">
        <v>308.60000000000002</v>
      </c>
      <c r="R2024">
        <v>395864</v>
      </c>
    </row>
    <row r="2025" spans="1:18" x14ac:dyDescent="0.25">
      <c r="A2025" s="170">
        <v>44984</v>
      </c>
      <c r="B2025" s="116">
        <v>319.55</v>
      </c>
      <c r="C2025" s="116">
        <v>308.89999999999998</v>
      </c>
      <c r="D2025" s="116">
        <v>308.2</v>
      </c>
      <c r="E2025" s="116">
        <v>318</v>
      </c>
      <c r="F2025" s="116">
        <v>308.89999999999998</v>
      </c>
      <c r="G2025">
        <v>23170</v>
      </c>
      <c r="H2025" s="116"/>
      <c r="I2025" s="116"/>
      <c r="L2025" s="170">
        <v>44985</v>
      </c>
      <c r="M2025" s="116">
        <v>304</v>
      </c>
      <c r="N2025" s="116">
        <v>307.55</v>
      </c>
      <c r="O2025" s="116">
        <v>295.95</v>
      </c>
      <c r="P2025" s="116">
        <v>307</v>
      </c>
      <c r="Q2025" s="116">
        <v>304</v>
      </c>
      <c r="R2025">
        <v>636946</v>
      </c>
    </row>
    <row r="2026" spans="1:18" x14ac:dyDescent="0.25">
      <c r="A2026" s="170">
        <v>44985</v>
      </c>
      <c r="B2026" s="116">
        <v>307.7</v>
      </c>
      <c r="C2026" s="116">
        <v>304</v>
      </c>
      <c r="D2026" s="116">
        <v>296.10000000000002</v>
      </c>
      <c r="E2026" s="116">
        <v>305.14999999999998</v>
      </c>
      <c r="F2026" s="116">
        <v>304</v>
      </c>
      <c r="G2026">
        <v>82651</v>
      </c>
      <c r="H2026" s="116"/>
      <c r="I2026" s="116"/>
      <c r="L2026" s="170">
        <v>44986</v>
      </c>
      <c r="M2026" s="116">
        <v>311.55</v>
      </c>
      <c r="N2026" s="116">
        <v>314</v>
      </c>
      <c r="O2026" s="116">
        <v>301.25</v>
      </c>
      <c r="P2026" s="116">
        <v>304</v>
      </c>
      <c r="Q2026" s="116">
        <v>311.55</v>
      </c>
      <c r="R2026">
        <v>743898</v>
      </c>
    </row>
    <row r="2027" spans="1:18" x14ac:dyDescent="0.25">
      <c r="A2027" s="170">
        <v>44986</v>
      </c>
      <c r="B2027" s="116">
        <v>314.05</v>
      </c>
      <c r="C2027" s="116">
        <v>311.5</v>
      </c>
      <c r="D2027" s="116">
        <v>301.85000000000002</v>
      </c>
      <c r="E2027" s="116">
        <v>302.35000000000002</v>
      </c>
      <c r="F2027" s="116">
        <v>311.5</v>
      </c>
      <c r="G2027">
        <v>42362</v>
      </c>
      <c r="H2027" s="116"/>
      <c r="I2027" s="116"/>
      <c r="L2027" s="170">
        <v>44987</v>
      </c>
      <c r="M2027" s="116">
        <v>312.5</v>
      </c>
      <c r="N2027" s="116">
        <v>316</v>
      </c>
      <c r="O2027" s="116">
        <v>309.89999999999998</v>
      </c>
      <c r="P2027" s="116">
        <v>311.55</v>
      </c>
      <c r="Q2027" s="116">
        <v>312.5</v>
      </c>
      <c r="R2027">
        <v>244043</v>
      </c>
    </row>
    <row r="2028" spans="1:18" x14ac:dyDescent="0.25">
      <c r="A2028" s="170">
        <v>44987</v>
      </c>
      <c r="B2028" s="116">
        <v>315.89999999999998</v>
      </c>
      <c r="C2028" s="116">
        <v>312.55</v>
      </c>
      <c r="D2028" s="116">
        <v>310.5</v>
      </c>
      <c r="E2028" s="116">
        <v>311</v>
      </c>
      <c r="F2028" s="116">
        <v>312.55</v>
      </c>
      <c r="G2028">
        <v>11590</v>
      </c>
      <c r="H2028" s="116"/>
      <c r="I2028" s="116"/>
      <c r="L2028" s="170">
        <v>44988</v>
      </c>
      <c r="M2028" s="116">
        <v>311.75</v>
      </c>
      <c r="N2028" s="116">
        <v>315.64999999999998</v>
      </c>
      <c r="O2028" s="116">
        <v>310.14999999999998</v>
      </c>
      <c r="P2028" s="116">
        <v>314.5</v>
      </c>
      <c r="Q2028" s="116">
        <v>311.75</v>
      </c>
      <c r="R2028">
        <v>344245</v>
      </c>
    </row>
    <row r="2029" spans="1:18" x14ac:dyDescent="0.25">
      <c r="A2029" s="170">
        <v>44988</v>
      </c>
      <c r="B2029" s="116">
        <v>315.8</v>
      </c>
      <c r="C2029" s="116">
        <v>311.85000000000002</v>
      </c>
      <c r="D2029" s="116">
        <v>310.39999999999998</v>
      </c>
      <c r="E2029" s="116">
        <v>313.85000000000002</v>
      </c>
      <c r="F2029" s="116">
        <v>311.85000000000002</v>
      </c>
      <c r="G2029">
        <v>36412</v>
      </c>
      <c r="H2029" s="116"/>
      <c r="I2029" s="116"/>
      <c r="L2029" s="170">
        <v>44991</v>
      </c>
      <c r="M2029" s="116">
        <v>311.95</v>
      </c>
      <c r="N2029" s="116">
        <v>316.7</v>
      </c>
      <c r="O2029" s="116">
        <v>311</v>
      </c>
      <c r="P2029" s="116">
        <v>312.5</v>
      </c>
      <c r="Q2029" s="116">
        <v>311.95</v>
      </c>
      <c r="R2029">
        <v>492230</v>
      </c>
    </row>
    <row r="2030" spans="1:18" x14ac:dyDescent="0.25">
      <c r="A2030" s="170">
        <v>44991</v>
      </c>
      <c r="B2030" s="116">
        <v>316.64999999999998</v>
      </c>
      <c r="C2030" s="116">
        <v>311.7</v>
      </c>
      <c r="D2030" s="116">
        <v>311.05</v>
      </c>
      <c r="E2030" s="116">
        <v>312.25</v>
      </c>
      <c r="F2030" s="116">
        <v>311.7</v>
      </c>
      <c r="G2030">
        <v>34501</v>
      </c>
      <c r="H2030" s="116"/>
      <c r="I2030" s="116"/>
      <c r="L2030" s="170">
        <v>44993</v>
      </c>
      <c r="M2030" s="116">
        <v>309.95</v>
      </c>
      <c r="N2030" s="116">
        <v>319.7</v>
      </c>
      <c r="O2030" s="116">
        <v>309.25</v>
      </c>
      <c r="P2030" s="116">
        <v>312</v>
      </c>
      <c r="Q2030" s="116">
        <v>309.95</v>
      </c>
      <c r="R2030">
        <v>829264</v>
      </c>
    </row>
    <row r="2031" spans="1:18" x14ac:dyDescent="0.25">
      <c r="A2031" s="170">
        <v>44993</v>
      </c>
      <c r="B2031" s="116">
        <v>319.10000000000002</v>
      </c>
      <c r="C2031" s="116">
        <v>310.05</v>
      </c>
      <c r="D2031" s="116">
        <v>309.5</v>
      </c>
      <c r="E2031" s="116">
        <v>311.7</v>
      </c>
      <c r="F2031" s="116">
        <v>310.05</v>
      </c>
      <c r="G2031">
        <v>38550</v>
      </c>
      <c r="H2031" s="116"/>
      <c r="I2031" s="116"/>
      <c r="L2031" s="170">
        <v>44994</v>
      </c>
      <c r="M2031" s="116">
        <v>311.64999999999998</v>
      </c>
      <c r="N2031" s="116">
        <v>313</v>
      </c>
      <c r="O2031" s="116">
        <v>310.05</v>
      </c>
      <c r="P2031" s="116">
        <v>310.05</v>
      </c>
      <c r="Q2031" s="116">
        <v>311.64999999999998</v>
      </c>
      <c r="R2031">
        <v>238206</v>
      </c>
    </row>
    <row r="2032" spans="1:18" x14ac:dyDescent="0.25">
      <c r="A2032" s="170">
        <v>44994</v>
      </c>
      <c r="B2032" s="116">
        <v>312.75</v>
      </c>
      <c r="C2032" s="116">
        <v>311.60000000000002</v>
      </c>
      <c r="D2032" s="116">
        <v>309.2</v>
      </c>
      <c r="E2032" s="116">
        <v>312.60000000000002</v>
      </c>
      <c r="F2032" s="116">
        <v>311.60000000000002</v>
      </c>
      <c r="G2032">
        <v>32891</v>
      </c>
      <c r="H2032" s="116"/>
      <c r="I2032" s="116"/>
      <c r="L2032" s="170">
        <v>44995</v>
      </c>
      <c r="M2032" s="116">
        <v>304.39999999999998</v>
      </c>
      <c r="N2032" s="116">
        <v>311.89999999999998</v>
      </c>
      <c r="O2032" s="116">
        <v>303.7</v>
      </c>
      <c r="P2032" s="116">
        <v>311</v>
      </c>
      <c r="Q2032" s="116">
        <v>304.39999999999998</v>
      </c>
      <c r="R2032">
        <v>687462</v>
      </c>
    </row>
    <row r="2033" spans="1:18" x14ac:dyDescent="0.25">
      <c r="A2033" s="170">
        <v>44995</v>
      </c>
      <c r="B2033" s="116">
        <v>311.85000000000002</v>
      </c>
      <c r="C2033" s="116">
        <v>304.64999999999998</v>
      </c>
      <c r="D2033" s="116">
        <v>303.89999999999998</v>
      </c>
      <c r="E2033" s="116">
        <v>311</v>
      </c>
      <c r="F2033" s="116">
        <v>304.64999999999998</v>
      </c>
      <c r="G2033">
        <v>32287</v>
      </c>
      <c r="H2033" s="116"/>
      <c r="I2033" s="116"/>
      <c r="L2033" s="170">
        <v>44998</v>
      </c>
      <c r="M2033" s="116">
        <v>300.45</v>
      </c>
      <c r="N2033" s="116">
        <v>314</v>
      </c>
      <c r="O2033" s="116">
        <v>297.5</v>
      </c>
      <c r="P2033" s="116">
        <v>307</v>
      </c>
      <c r="Q2033" s="116">
        <v>300.45</v>
      </c>
      <c r="R2033">
        <v>3529283</v>
      </c>
    </row>
    <row r="2034" spans="1:18" x14ac:dyDescent="0.25">
      <c r="A2034" s="170">
        <v>44998</v>
      </c>
      <c r="B2034" s="116">
        <v>314</v>
      </c>
      <c r="C2034" s="116">
        <v>300.39999999999998</v>
      </c>
      <c r="D2034" s="116">
        <v>298.60000000000002</v>
      </c>
      <c r="E2034" s="116">
        <v>305</v>
      </c>
      <c r="F2034" s="116">
        <v>300.39999999999998</v>
      </c>
      <c r="G2034">
        <v>192313</v>
      </c>
      <c r="H2034" s="116"/>
      <c r="I2034" s="116"/>
      <c r="L2034" s="170">
        <v>44999</v>
      </c>
      <c r="M2034" s="116">
        <v>294.85000000000002</v>
      </c>
      <c r="N2034" s="116">
        <v>304.64999999999998</v>
      </c>
      <c r="O2034" s="116">
        <v>293.60000000000002</v>
      </c>
      <c r="P2034" s="116">
        <v>301.2</v>
      </c>
      <c r="Q2034" s="116">
        <v>294.85000000000002</v>
      </c>
      <c r="R2034">
        <v>1644635</v>
      </c>
    </row>
    <row r="2035" spans="1:18" x14ac:dyDescent="0.25">
      <c r="A2035" s="170">
        <v>44999</v>
      </c>
      <c r="B2035" s="116">
        <v>304.60000000000002</v>
      </c>
      <c r="C2035" s="116">
        <v>295.14999999999998</v>
      </c>
      <c r="D2035" s="116">
        <v>293.8</v>
      </c>
      <c r="E2035" s="116">
        <v>301</v>
      </c>
      <c r="F2035" s="116">
        <v>295.14999999999998</v>
      </c>
      <c r="G2035">
        <v>66457</v>
      </c>
      <c r="H2035" s="116"/>
      <c r="I2035" s="116"/>
      <c r="L2035" s="170">
        <v>45000</v>
      </c>
      <c r="M2035" s="116">
        <v>295.10000000000002</v>
      </c>
      <c r="N2035" s="116">
        <v>309.95</v>
      </c>
      <c r="O2035" s="116">
        <v>294</v>
      </c>
      <c r="P2035" s="116">
        <v>296.39999999999998</v>
      </c>
      <c r="Q2035" s="116">
        <v>295.10000000000002</v>
      </c>
      <c r="R2035">
        <v>2796338</v>
      </c>
    </row>
    <row r="2036" spans="1:18" x14ac:dyDescent="0.25">
      <c r="A2036" s="170">
        <v>45000</v>
      </c>
      <c r="B2036" s="116">
        <v>309.95</v>
      </c>
      <c r="C2036" s="116">
        <v>295.2</v>
      </c>
      <c r="D2036" s="116">
        <v>294.3</v>
      </c>
      <c r="E2036" s="116">
        <v>296</v>
      </c>
      <c r="F2036" s="116">
        <v>295.2</v>
      </c>
      <c r="G2036">
        <v>160822</v>
      </c>
      <c r="H2036" s="116"/>
      <c r="I2036" s="116"/>
      <c r="L2036" s="170">
        <v>45001</v>
      </c>
      <c r="M2036" s="116">
        <v>304.85000000000002</v>
      </c>
      <c r="N2036" s="116">
        <v>306</v>
      </c>
      <c r="O2036" s="116">
        <v>296.25</v>
      </c>
      <c r="P2036" s="116">
        <v>296.55</v>
      </c>
      <c r="Q2036" s="116">
        <v>304.85000000000002</v>
      </c>
      <c r="R2036">
        <v>1996713</v>
      </c>
    </row>
    <row r="2037" spans="1:18" x14ac:dyDescent="0.25">
      <c r="A2037" s="170">
        <v>45001</v>
      </c>
      <c r="B2037" s="116">
        <v>305.95</v>
      </c>
      <c r="C2037" s="116">
        <v>304.8</v>
      </c>
      <c r="D2037" s="116">
        <v>295.5</v>
      </c>
      <c r="E2037" s="116">
        <v>295.5</v>
      </c>
      <c r="F2037" s="116">
        <v>304.8</v>
      </c>
      <c r="G2037">
        <v>116876</v>
      </c>
      <c r="H2037" s="116"/>
      <c r="I2037" s="116"/>
      <c r="L2037" s="170">
        <v>45002</v>
      </c>
      <c r="M2037" s="116">
        <v>312.10000000000002</v>
      </c>
      <c r="N2037" s="116">
        <v>318</v>
      </c>
      <c r="O2037" s="116">
        <v>309</v>
      </c>
      <c r="P2037" s="116">
        <v>312</v>
      </c>
      <c r="Q2037" s="116">
        <v>312.10000000000002</v>
      </c>
      <c r="R2037">
        <v>6324640</v>
      </c>
    </row>
    <row r="2038" spans="1:18" x14ac:dyDescent="0.25">
      <c r="A2038" s="170">
        <v>45002</v>
      </c>
      <c r="B2038" s="116">
        <v>317.8</v>
      </c>
      <c r="C2038" s="116">
        <v>312.2</v>
      </c>
      <c r="D2038" s="116">
        <v>309.10000000000002</v>
      </c>
      <c r="E2038" s="116">
        <v>312.75</v>
      </c>
      <c r="F2038" s="116">
        <v>312.2</v>
      </c>
      <c r="G2038">
        <v>140901</v>
      </c>
      <c r="H2038" s="116"/>
      <c r="I2038" s="116"/>
      <c r="L2038" s="170">
        <v>45005</v>
      </c>
      <c r="M2038" s="116">
        <v>310.60000000000002</v>
      </c>
      <c r="N2038" s="116">
        <v>317.25</v>
      </c>
      <c r="O2038" s="116">
        <v>309.55</v>
      </c>
      <c r="P2038" s="116">
        <v>316.8</v>
      </c>
      <c r="Q2038" s="116">
        <v>310.60000000000002</v>
      </c>
      <c r="R2038">
        <v>1409324</v>
      </c>
    </row>
    <row r="2039" spans="1:18" x14ac:dyDescent="0.25">
      <c r="A2039" s="170">
        <v>45005</v>
      </c>
      <c r="B2039" s="116">
        <v>317.05</v>
      </c>
      <c r="C2039" s="116">
        <v>310.64999999999998</v>
      </c>
      <c r="D2039" s="116">
        <v>309.7</v>
      </c>
      <c r="E2039" s="116">
        <v>315.05</v>
      </c>
      <c r="F2039" s="116">
        <v>310.64999999999998</v>
      </c>
      <c r="G2039">
        <v>114773</v>
      </c>
      <c r="H2039" s="116"/>
      <c r="I2039" s="116"/>
      <c r="L2039" s="170">
        <v>45006</v>
      </c>
      <c r="M2039" s="116">
        <v>310.60000000000002</v>
      </c>
      <c r="N2039" s="116">
        <v>316</v>
      </c>
      <c r="O2039" s="116">
        <v>309.10000000000002</v>
      </c>
      <c r="P2039" s="116">
        <v>314.89999999999998</v>
      </c>
      <c r="Q2039" s="116">
        <v>310.60000000000002</v>
      </c>
      <c r="R2039">
        <v>1566260</v>
      </c>
    </row>
    <row r="2040" spans="1:18" x14ac:dyDescent="0.25">
      <c r="A2040" s="170">
        <v>45006</v>
      </c>
      <c r="B2040" s="116">
        <v>315.45</v>
      </c>
      <c r="C2040" s="116">
        <v>310.45</v>
      </c>
      <c r="D2040" s="116">
        <v>309.25</v>
      </c>
      <c r="E2040" s="116">
        <v>315</v>
      </c>
      <c r="F2040" s="116">
        <v>310.45</v>
      </c>
      <c r="G2040">
        <v>108940</v>
      </c>
      <c r="H2040" s="116"/>
      <c r="I2040" s="116"/>
      <c r="L2040" s="170">
        <v>45007</v>
      </c>
      <c r="M2040" s="116">
        <v>317.75</v>
      </c>
      <c r="N2040" s="116">
        <v>325</v>
      </c>
      <c r="O2040" s="116">
        <v>316.85000000000002</v>
      </c>
      <c r="P2040" s="116">
        <v>321</v>
      </c>
      <c r="Q2040" s="116">
        <v>317.75</v>
      </c>
      <c r="R2040">
        <v>10748992</v>
      </c>
    </row>
    <row r="2041" spans="1:18" x14ac:dyDescent="0.25">
      <c r="A2041" s="170">
        <v>45007</v>
      </c>
      <c r="B2041" s="116">
        <v>325.25</v>
      </c>
      <c r="C2041" s="116">
        <v>317.8</v>
      </c>
      <c r="D2041" s="116">
        <v>316.8</v>
      </c>
      <c r="E2041" s="116">
        <v>322.89999999999998</v>
      </c>
      <c r="F2041" s="116">
        <v>317.8</v>
      </c>
      <c r="G2041">
        <v>434958</v>
      </c>
      <c r="H2041" s="116"/>
      <c r="I2041" s="116"/>
      <c r="L2041" s="170">
        <v>45008</v>
      </c>
      <c r="M2041" s="116">
        <v>320.25</v>
      </c>
      <c r="N2041" s="116">
        <v>324.8</v>
      </c>
      <c r="O2041" s="116">
        <v>317.3</v>
      </c>
      <c r="P2041" s="116">
        <v>320</v>
      </c>
      <c r="Q2041" s="116">
        <v>320.25</v>
      </c>
      <c r="R2041">
        <v>4468037</v>
      </c>
    </row>
    <row r="2042" spans="1:18" x14ac:dyDescent="0.25">
      <c r="A2042" s="170">
        <v>45008</v>
      </c>
      <c r="B2042" s="116">
        <v>324.64999999999998</v>
      </c>
      <c r="C2042" s="116">
        <v>320.2</v>
      </c>
      <c r="D2042" s="116">
        <v>317.5</v>
      </c>
      <c r="E2042" s="116">
        <v>319.5</v>
      </c>
      <c r="F2042" s="116">
        <v>320.2</v>
      </c>
      <c r="G2042">
        <v>422240</v>
      </c>
      <c r="H2042" s="116"/>
      <c r="I2042" s="116"/>
      <c r="L2042" s="170">
        <v>45009</v>
      </c>
      <c r="M2042" s="116">
        <v>323.10000000000002</v>
      </c>
      <c r="N2042" s="116">
        <v>324</v>
      </c>
      <c r="O2042" s="116">
        <v>320.3</v>
      </c>
      <c r="P2042" s="116">
        <v>324</v>
      </c>
      <c r="Q2042" s="116">
        <v>323.10000000000002</v>
      </c>
      <c r="R2042">
        <v>2726902</v>
      </c>
    </row>
    <row r="2043" spans="1:18" x14ac:dyDescent="0.25">
      <c r="A2043" s="170">
        <v>45009</v>
      </c>
      <c r="B2043" s="116">
        <v>324.3</v>
      </c>
      <c r="C2043" s="116">
        <v>323.14999999999998</v>
      </c>
      <c r="D2043" s="116">
        <v>320.5</v>
      </c>
      <c r="E2043" s="116">
        <v>324.3</v>
      </c>
      <c r="F2043" s="116">
        <v>323.14999999999998</v>
      </c>
      <c r="G2043">
        <v>162093</v>
      </c>
      <c r="H2043" s="116"/>
      <c r="I2043" s="116"/>
      <c r="L2043" s="170">
        <v>45012</v>
      </c>
      <c r="M2043" s="116">
        <v>329.1</v>
      </c>
      <c r="N2043" s="116">
        <v>329.7</v>
      </c>
      <c r="O2043" s="116">
        <v>324.05</v>
      </c>
      <c r="P2043" s="116">
        <v>326.5</v>
      </c>
      <c r="Q2043" s="116">
        <v>329.1</v>
      </c>
      <c r="R2043">
        <v>2633761</v>
      </c>
    </row>
    <row r="2044" spans="1:18" x14ac:dyDescent="0.25">
      <c r="A2044" s="170">
        <v>45012</v>
      </c>
      <c r="B2044" s="116">
        <v>329.9</v>
      </c>
      <c r="C2044" s="116">
        <v>329.15</v>
      </c>
      <c r="D2044" s="116">
        <v>324.05</v>
      </c>
      <c r="E2044" s="116">
        <v>327.39999999999998</v>
      </c>
      <c r="F2044" s="116">
        <v>329.15</v>
      </c>
      <c r="G2044">
        <v>407711</v>
      </c>
      <c r="H2044" s="116"/>
      <c r="I2044" s="116"/>
      <c r="L2044" s="170">
        <v>45013</v>
      </c>
      <c r="M2044" s="116">
        <v>328.8</v>
      </c>
      <c r="N2044" s="116">
        <v>331.55</v>
      </c>
      <c r="O2044" s="116">
        <v>323.3</v>
      </c>
      <c r="P2044" s="116">
        <v>331</v>
      </c>
      <c r="Q2044" s="116">
        <v>328.8</v>
      </c>
      <c r="R2044">
        <v>1943385</v>
      </c>
    </row>
    <row r="2045" spans="1:18" x14ac:dyDescent="0.25">
      <c r="A2045" s="170">
        <v>45013</v>
      </c>
      <c r="B2045" s="116">
        <v>331.9</v>
      </c>
      <c r="C2045" s="116">
        <v>328.7</v>
      </c>
      <c r="D2045" s="116">
        <v>323.45</v>
      </c>
      <c r="E2045" s="116">
        <v>331</v>
      </c>
      <c r="F2045" s="116">
        <v>328.7</v>
      </c>
      <c r="G2045">
        <v>291717</v>
      </c>
      <c r="H2045" s="116"/>
      <c r="I2045" s="116"/>
      <c r="L2045" s="170">
        <v>45014</v>
      </c>
      <c r="M2045" s="116">
        <v>299</v>
      </c>
      <c r="N2045" s="116">
        <v>302.89999999999998</v>
      </c>
      <c r="O2045" s="116">
        <v>295</v>
      </c>
      <c r="P2045" s="116">
        <v>299</v>
      </c>
      <c r="Q2045" s="116">
        <v>299</v>
      </c>
      <c r="R2045">
        <v>2729086</v>
      </c>
    </row>
    <row r="2046" spans="1:18" x14ac:dyDescent="0.25">
      <c r="A2046" s="170">
        <v>45014</v>
      </c>
      <c r="B2046" s="116">
        <v>302.85000000000002</v>
      </c>
      <c r="C2046" s="116">
        <v>299.14999999999998</v>
      </c>
      <c r="D2046" s="116">
        <v>295.05</v>
      </c>
      <c r="E2046" s="116">
        <v>299.95</v>
      </c>
      <c r="F2046" s="116">
        <v>299.14999999999998</v>
      </c>
      <c r="G2046">
        <v>154979</v>
      </c>
      <c r="H2046" s="116"/>
      <c r="I2046" s="116"/>
      <c r="L2046" s="170">
        <v>45016</v>
      </c>
      <c r="M2046" s="116">
        <v>293.35000000000002</v>
      </c>
      <c r="N2046" s="116">
        <v>298</v>
      </c>
      <c r="O2046" s="116">
        <v>292.3</v>
      </c>
      <c r="P2046" s="116">
        <v>298</v>
      </c>
      <c r="Q2046" s="116">
        <v>293.35000000000002</v>
      </c>
      <c r="R2046">
        <v>1891210</v>
      </c>
    </row>
    <row r="2047" spans="1:18" x14ac:dyDescent="0.25">
      <c r="A2047" s="170">
        <v>45016</v>
      </c>
      <c r="B2047" s="116">
        <v>298</v>
      </c>
      <c r="C2047" s="116">
        <v>293.39999999999998</v>
      </c>
      <c r="D2047" s="116">
        <v>292.3</v>
      </c>
      <c r="E2047" s="116">
        <v>294.10000000000002</v>
      </c>
      <c r="F2047" s="116">
        <v>293.39999999999998</v>
      </c>
      <c r="G2047">
        <v>265713</v>
      </c>
      <c r="H2047" s="116"/>
      <c r="I2047" s="116"/>
      <c r="L2047" s="170">
        <v>45019</v>
      </c>
      <c r="M2047" s="116">
        <v>298.2</v>
      </c>
      <c r="N2047" s="116">
        <v>298.89999999999998</v>
      </c>
      <c r="O2047" s="116">
        <v>293.35000000000002</v>
      </c>
      <c r="P2047" s="116">
        <v>294</v>
      </c>
      <c r="Q2047" s="116">
        <v>298.2</v>
      </c>
      <c r="R2047">
        <v>792375</v>
      </c>
    </row>
    <row r="2048" spans="1:18" x14ac:dyDescent="0.25">
      <c r="A2048" s="170">
        <v>45019</v>
      </c>
      <c r="B2048" s="116">
        <v>299</v>
      </c>
      <c r="C2048" s="116">
        <v>297.95</v>
      </c>
      <c r="D2048" s="116">
        <v>293.14999999999998</v>
      </c>
      <c r="E2048" s="116">
        <v>293.14999999999998</v>
      </c>
      <c r="F2048" s="116">
        <v>297.95</v>
      </c>
      <c r="G2048">
        <v>176432</v>
      </c>
      <c r="H2048" s="116"/>
      <c r="I2048" s="116"/>
      <c r="L2048" s="170">
        <v>45021</v>
      </c>
      <c r="M2048" s="116">
        <v>305.7</v>
      </c>
      <c r="N2048" s="116">
        <v>307</v>
      </c>
      <c r="O2048" s="116">
        <v>297.60000000000002</v>
      </c>
      <c r="P2048" s="116">
        <v>299</v>
      </c>
      <c r="Q2048" s="116">
        <v>305.7</v>
      </c>
      <c r="R2048">
        <v>2122227</v>
      </c>
    </row>
    <row r="2049" spans="1:18" x14ac:dyDescent="0.25">
      <c r="A2049" s="170">
        <v>45021</v>
      </c>
      <c r="B2049" s="116">
        <v>306.89999999999998</v>
      </c>
      <c r="C2049" s="116">
        <v>305.25</v>
      </c>
      <c r="D2049" s="116">
        <v>297.55</v>
      </c>
      <c r="E2049" s="116">
        <v>298.35000000000002</v>
      </c>
      <c r="F2049" s="116">
        <v>305.25</v>
      </c>
      <c r="G2049">
        <v>126279</v>
      </c>
      <c r="H2049" s="116"/>
      <c r="I2049" s="116"/>
      <c r="L2049" s="170">
        <v>45022</v>
      </c>
      <c r="M2049" s="116">
        <v>311.3</v>
      </c>
      <c r="N2049" s="116">
        <v>312.55</v>
      </c>
      <c r="O2049" s="116">
        <v>303.35000000000002</v>
      </c>
      <c r="P2049" s="116">
        <v>304.2</v>
      </c>
      <c r="Q2049" s="116">
        <v>311.3</v>
      </c>
      <c r="R2049">
        <v>1107348</v>
      </c>
    </row>
    <row r="2050" spans="1:18" x14ac:dyDescent="0.25">
      <c r="A2050" s="170">
        <v>45022</v>
      </c>
      <c r="B2050" s="116">
        <v>312.5</v>
      </c>
      <c r="C2050" s="116">
        <v>311.25</v>
      </c>
      <c r="D2050" s="116">
        <v>303.85000000000002</v>
      </c>
      <c r="E2050" s="116">
        <v>305.25</v>
      </c>
      <c r="F2050" s="116">
        <v>311.25</v>
      </c>
      <c r="G2050">
        <v>34721</v>
      </c>
      <c r="H2050" s="116"/>
      <c r="I2050" s="116"/>
      <c r="L2050" s="170">
        <v>45026</v>
      </c>
      <c r="M2050" s="116">
        <v>312.8</v>
      </c>
      <c r="N2050" s="116">
        <v>314.95</v>
      </c>
      <c r="O2050" s="116">
        <v>310.35000000000002</v>
      </c>
      <c r="P2050" s="116">
        <v>311.3</v>
      </c>
      <c r="Q2050" s="116">
        <v>312.8</v>
      </c>
      <c r="R2050">
        <v>839201</v>
      </c>
    </row>
    <row r="2051" spans="1:18" x14ac:dyDescent="0.25">
      <c r="A2051" s="170">
        <v>45026</v>
      </c>
      <c r="B2051" s="116">
        <v>314.60000000000002</v>
      </c>
      <c r="C2051" s="116">
        <v>312.45</v>
      </c>
      <c r="D2051" s="116">
        <v>310.5</v>
      </c>
      <c r="E2051" s="116">
        <v>311.25</v>
      </c>
      <c r="F2051" s="116">
        <v>312.45</v>
      </c>
      <c r="G2051">
        <v>55213</v>
      </c>
      <c r="H2051" s="116"/>
      <c r="I2051" s="116"/>
      <c r="L2051" s="170">
        <v>45027</v>
      </c>
      <c r="M2051" s="116">
        <v>312.05</v>
      </c>
      <c r="N2051" s="116">
        <v>313.95</v>
      </c>
      <c r="O2051" s="116">
        <v>310.39999999999998</v>
      </c>
      <c r="P2051" s="116">
        <v>312.89999999999998</v>
      </c>
      <c r="Q2051" s="116">
        <v>312.05</v>
      </c>
      <c r="R2051">
        <v>741347</v>
      </c>
    </row>
    <row r="2052" spans="1:18" x14ac:dyDescent="0.25">
      <c r="A2052" s="170">
        <v>45027</v>
      </c>
      <c r="B2052" s="116">
        <v>313.89999999999998</v>
      </c>
      <c r="C2052" s="116">
        <v>312.10000000000002</v>
      </c>
      <c r="D2052" s="116">
        <v>310.45</v>
      </c>
      <c r="E2052" s="116">
        <v>312.10000000000002</v>
      </c>
      <c r="F2052" s="116">
        <v>312.10000000000002</v>
      </c>
      <c r="G2052">
        <v>26121</v>
      </c>
      <c r="H2052" s="116"/>
      <c r="I2052" s="116"/>
      <c r="L2052" s="170">
        <v>45028</v>
      </c>
      <c r="M2052" s="116">
        <v>313.25</v>
      </c>
      <c r="N2052" s="116">
        <v>313.8</v>
      </c>
      <c r="O2052" s="116">
        <v>311.39999999999998</v>
      </c>
      <c r="P2052" s="116">
        <v>313</v>
      </c>
      <c r="Q2052" s="116">
        <v>313.25</v>
      </c>
      <c r="R2052">
        <v>507479</v>
      </c>
    </row>
    <row r="2053" spans="1:18" x14ac:dyDescent="0.25">
      <c r="A2053" s="170">
        <v>45028</v>
      </c>
      <c r="B2053" s="116">
        <v>313.7</v>
      </c>
      <c r="C2053" s="116">
        <v>313.2</v>
      </c>
      <c r="D2053" s="116">
        <v>311.45</v>
      </c>
      <c r="E2053" s="116">
        <v>312.05</v>
      </c>
      <c r="F2053" s="116">
        <v>313.2</v>
      </c>
      <c r="G2053">
        <v>63396</v>
      </c>
      <c r="H2053" s="116"/>
      <c r="I2053" s="116"/>
      <c r="L2053" s="170">
        <v>45029</v>
      </c>
      <c r="M2053" s="116">
        <v>319.7</v>
      </c>
      <c r="N2053" s="116">
        <v>321.8</v>
      </c>
      <c r="O2053" s="116">
        <v>312.64999999999998</v>
      </c>
      <c r="P2053" s="116">
        <v>313.89999999999998</v>
      </c>
      <c r="Q2053" s="116">
        <v>319.7</v>
      </c>
      <c r="R2053">
        <v>1314001</v>
      </c>
    </row>
    <row r="2054" spans="1:18" x14ac:dyDescent="0.25">
      <c r="A2054" s="170">
        <v>45029</v>
      </c>
      <c r="B2054" s="116">
        <v>321.7</v>
      </c>
      <c r="C2054" s="116">
        <v>319.60000000000002</v>
      </c>
      <c r="D2054" s="116">
        <v>313</v>
      </c>
      <c r="E2054" s="116">
        <v>313.64999999999998</v>
      </c>
      <c r="F2054" s="116">
        <v>319.60000000000002</v>
      </c>
      <c r="G2054">
        <v>60282</v>
      </c>
      <c r="H2054" s="116"/>
      <c r="I2054" s="116"/>
      <c r="L2054" s="170">
        <v>45033</v>
      </c>
      <c r="M2054" s="116">
        <v>318.85000000000002</v>
      </c>
      <c r="N2054" s="116">
        <v>320.85000000000002</v>
      </c>
      <c r="O2054" s="116">
        <v>317.10000000000002</v>
      </c>
      <c r="P2054" s="116">
        <v>319.7</v>
      </c>
      <c r="Q2054" s="116">
        <v>318.85000000000002</v>
      </c>
      <c r="R2054">
        <v>767761</v>
      </c>
    </row>
    <row r="2055" spans="1:18" x14ac:dyDescent="0.25">
      <c r="A2055" s="170">
        <v>45033</v>
      </c>
      <c r="B2055" s="116">
        <v>320.85000000000002</v>
      </c>
      <c r="C2055" s="116">
        <v>318.2</v>
      </c>
      <c r="D2055" s="116">
        <v>317.25</v>
      </c>
      <c r="E2055" s="116">
        <v>318.35000000000002</v>
      </c>
      <c r="F2055" s="116">
        <v>318.2</v>
      </c>
      <c r="G2055">
        <v>37765</v>
      </c>
      <c r="H2055" s="116"/>
      <c r="I2055" s="116"/>
      <c r="L2055" s="170">
        <v>45034</v>
      </c>
      <c r="M2055" s="116">
        <v>323.3</v>
      </c>
      <c r="N2055" s="116">
        <v>324.89999999999998</v>
      </c>
      <c r="O2055" s="116">
        <v>319</v>
      </c>
      <c r="P2055" s="116">
        <v>319</v>
      </c>
      <c r="Q2055" s="116">
        <v>323.3</v>
      </c>
      <c r="R2055">
        <v>1129990</v>
      </c>
    </row>
    <row r="2056" spans="1:18" x14ac:dyDescent="0.25">
      <c r="A2056" s="170">
        <v>45034</v>
      </c>
      <c r="B2056" s="116">
        <v>324.95</v>
      </c>
      <c r="C2056" s="116">
        <v>323.25</v>
      </c>
      <c r="D2056" s="116">
        <v>318.85000000000002</v>
      </c>
      <c r="E2056" s="116">
        <v>319.95</v>
      </c>
      <c r="F2056" s="116">
        <v>323.25</v>
      </c>
      <c r="G2056">
        <v>38363</v>
      </c>
      <c r="H2056" s="116"/>
      <c r="I2056" s="116"/>
      <c r="L2056" s="170">
        <v>45035</v>
      </c>
      <c r="M2056" s="116">
        <v>324.45</v>
      </c>
      <c r="N2056" s="116">
        <v>326</v>
      </c>
      <c r="O2056" s="116">
        <v>323.39999999999998</v>
      </c>
      <c r="P2056" s="116">
        <v>324</v>
      </c>
      <c r="Q2056" s="116">
        <v>324.45</v>
      </c>
      <c r="R2056">
        <v>789880</v>
      </c>
    </row>
    <row r="2057" spans="1:18" x14ac:dyDescent="0.25">
      <c r="A2057" s="170">
        <v>45035</v>
      </c>
      <c r="B2057" s="116">
        <v>325.95</v>
      </c>
      <c r="C2057" s="116">
        <v>324.5</v>
      </c>
      <c r="D2057" s="116">
        <v>323.25</v>
      </c>
      <c r="E2057" s="116">
        <v>323.25</v>
      </c>
      <c r="F2057" s="116">
        <v>324.5</v>
      </c>
      <c r="G2057">
        <v>27828</v>
      </c>
      <c r="H2057" s="116"/>
      <c r="I2057" s="116"/>
      <c r="L2057" s="170">
        <v>45036</v>
      </c>
      <c r="M2057" s="116">
        <v>327.55</v>
      </c>
      <c r="N2057" s="116">
        <v>328.5</v>
      </c>
      <c r="O2057" s="116">
        <v>325.05</v>
      </c>
      <c r="P2057" s="116">
        <v>325.7</v>
      </c>
      <c r="Q2057" s="116">
        <v>327.55</v>
      </c>
      <c r="R2057">
        <v>794274</v>
      </c>
    </row>
    <row r="2058" spans="1:18" x14ac:dyDescent="0.25">
      <c r="A2058" s="170">
        <v>45036</v>
      </c>
      <c r="B2058" s="116">
        <v>328.45</v>
      </c>
      <c r="C2058" s="116">
        <v>327.3</v>
      </c>
      <c r="D2058" s="116">
        <v>324.25</v>
      </c>
      <c r="E2058" s="116">
        <v>324.25</v>
      </c>
      <c r="F2058" s="116">
        <v>327.3</v>
      </c>
      <c r="G2058">
        <v>102934</v>
      </c>
      <c r="H2058" s="116"/>
      <c r="I2058" s="116"/>
      <c r="L2058" s="170">
        <v>45037</v>
      </c>
      <c r="M2058" s="116">
        <v>324.60000000000002</v>
      </c>
      <c r="N2058" s="116">
        <v>328</v>
      </c>
      <c r="O2058" s="116">
        <v>321</v>
      </c>
      <c r="P2058" s="116">
        <v>326.95</v>
      </c>
      <c r="Q2058" s="116">
        <v>324.60000000000002</v>
      </c>
      <c r="R2058">
        <v>1221091</v>
      </c>
    </row>
    <row r="2059" spans="1:18" x14ac:dyDescent="0.25">
      <c r="A2059" s="170">
        <v>45037</v>
      </c>
      <c r="B2059" s="116">
        <v>327.64999999999998</v>
      </c>
      <c r="C2059" s="116">
        <v>324.39999999999998</v>
      </c>
      <c r="D2059" s="116">
        <v>321.3</v>
      </c>
      <c r="E2059" s="116">
        <v>327</v>
      </c>
      <c r="F2059" s="116">
        <v>324.39999999999998</v>
      </c>
      <c r="G2059">
        <v>73760</v>
      </c>
      <c r="H2059" s="116"/>
      <c r="I2059" s="116"/>
      <c r="L2059" s="170">
        <v>45040</v>
      </c>
      <c r="M2059" s="116">
        <v>318.45</v>
      </c>
      <c r="N2059" s="116">
        <v>320</v>
      </c>
      <c r="O2059" s="116">
        <v>314</v>
      </c>
      <c r="P2059" s="116">
        <v>320</v>
      </c>
      <c r="Q2059" s="116">
        <v>318.45</v>
      </c>
      <c r="R2059">
        <v>892063</v>
      </c>
    </row>
    <row r="2060" spans="1:18" x14ac:dyDescent="0.25">
      <c r="A2060" s="170">
        <v>45040</v>
      </c>
      <c r="B2060" s="116">
        <v>320.05</v>
      </c>
      <c r="C2060" s="116">
        <v>318.55</v>
      </c>
      <c r="D2060" s="116">
        <v>314.55</v>
      </c>
      <c r="E2060" s="116">
        <v>320.05</v>
      </c>
      <c r="F2060" s="116">
        <v>318.55</v>
      </c>
      <c r="G2060">
        <v>53115</v>
      </c>
      <c r="H2060" s="116"/>
      <c r="I2060" s="116"/>
      <c r="L2060" s="170">
        <v>45041</v>
      </c>
      <c r="M2060" s="116">
        <v>316.85000000000002</v>
      </c>
      <c r="N2060" s="116">
        <v>319.2</v>
      </c>
      <c r="O2060" s="116">
        <v>316.2</v>
      </c>
      <c r="P2060" s="116">
        <v>318.45</v>
      </c>
      <c r="Q2060" s="116">
        <v>316.85000000000002</v>
      </c>
      <c r="R2060">
        <v>302289</v>
      </c>
    </row>
    <row r="2061" spans="1:18" x14ac:dyDescent="0.25">
      <c r="A2061" s="170">
        <v>45041</v>
      </c>
      <c r="B2061" s="116">
        <v>319.2</v>
      </c>
      <c r="C2061" s="116">
        <v>316.7</v>
      </c>
      <c r="D2061" s="116">
        <v>316</v>
      </c>
      <c r="E2061" s="116">
        <v>317.14999999999998</v>
      </c>
      <c r="F2061" s="116">
        <v>316.7</v>
      </c>
      <c r="G2061">
        <v>48554</v>
      </c>
      <c r="H2061" s="116"/>
      <c r="I2061" s="116"/>
      <c r="L2061" s="170">
        <v>45042</v>
      </c>
      <c r="M2061" s="116">
        <v>313.2</v>
      </c>
      <c r="N2061" s="116">
        <v>316.3</v>
      </c>
      <c r="O2061" s="116">
        <v>312.55</v>
      </c>
      <c r="P2061" s="116">
        <v>315.5</v>
      </c>
      <c r="Q2061" s="116">
        <v>313.2</v>
      </c>
      <c r="R2061">
        <v>401604</v>
      </c>
    </row>
    <row r="2062" spans="1:18" x14ac:dyDescent="0.25">
      <c r="A2062" s="170">
        <v>45042</v>
      </c>
      <c r="B2062" s="116">
        <v>316</v>
      </c>
      <c r="C2062" s="116">
        <v>313.25</v>
      </c>
      <c r="D2062" s="116">
        <v>312.5</v>
      </c>
      <c r="E2062" s="116">
        <v>315.95</v>
      </c>
      <c r="F2062" s="116">
        <v>313.25</v>
      </c>
      <c r="G2062">
        <v>28807</v>
      </c>
      <c r="H2062" s="116"/>
      <c r="I2062" s="116"/>
      <c r="L2062" s="170">
        <v>45043</v>
      </c>
      <c r="M2062" s="116">
        <v>310.3</v>
      </c>
      <c r="N2062" s="116">
        <v>312.7</v>
      </c>
      <c r="O2062" s="116">
        <v>309.2</v>
      </c>
      <c r="P2062" s="116">
        <v>312</v>
      </c>
      <c r="Q2062" s="116">
        <v>310.3</v>
      </c>
      <c r="R2062">
        <v>329620</v>
      </c>
    </row>
    <row r="2063" spans="1:18" x14ac:dyDescent="0.25">
      <c r="A2063" s="170">
        <v>45043</v>
      </c>
      <c r="B2063" s="116">
        <v>313.05</v>
      </c>
      <c r="C2063" s="116">
        <v>310.2</v>
      </c>
      <c r="D2063" s="116">
        <v>309.25</v>
      </c>
      <c r="E2063" s="116">
        <v>313</v>
      </c>
      <c r="F2063" s="116">
        <v>310.2</v>
      </c>
      <c r="G2063">
        <v>55837</v>
      </c>
      <c r="H2063" s="116"/>
      <c r="I2063" s="116"/>
      <c r="L2063" s="170">
        <v>45044</v>
      </c>
      <c r="M2063" s="116">
        <v>314.35000000000002</v>
      </c>
      <c r="N2063" s="116">
        <v>314.89999999999998</v>
      </c>
      <c r="O2063" s="116">
        <v>311.3</v>
      </c>
      <c r="P2063" s="116">
        <v>311.55</v>
      </c>
      <c r="Q2063" s="116">
        <v>314.35000000000002</v>
      </c>
      <c r="R2063">
        <v>554348</v>
      </c>
    </row>
    <row r="2064" spans="1:18" x14ac:dyDescent="0.25">
      <c r="A2064" s="170">
        <v>45044</v>
      </c>
      <c r="B2064" s="116">
        <v>314.85000000000002</v>
      </c>
      <c r="C2064" s="116">
        <v>314.5</v>
      </c>
      <c r="D2064" s="116">
        <v>310.95</v>
      </c>
      <c r="E2064" s="116">
        <v>310.95</v>
      </c>
      <c r="F2064" s="116">
        <v>314.5</v>
      </c>
      <c r="G2064">
        <v>22925</v>
      </c>
      <c r="H2064" s="116"/>
      <c r="I2064" s="116"/>
      <c r="L2064" s="170">
        <v>45048</v>
      </c>
      <c r="M2064" s="116">
        <v>315.2</v>
      </c>
      <c r="N2064" s="116">
        <v>317.8</v>
      </c>
      <c r="O2064" s="116">
        <v>315</v>
      </c>
      <c r="P2064" s="116">
        <v>316.39999999999998</v>
      </c>
      <c r="Q2064" s="116">
        <v>315.2</v>
      </c>
      <c r="R2064">
        <v>407894</v>
      </c>
    </row>
    <row r="2065" spans="1:18" x14ac:dyDescent="0.25">
      <c r="A2065" s="170">
        <v>45048</v>
      </c>
      <c r="B2065" s="116">
        <v>317.95</v>
      </c>
      <c r="C2065" s="116">
        <v>315.2</v>
      </c>
      <c r="D2065" s="116">
        <v>315</v>
      </c>
      <c r="E2065" s="116">
        <v>315.05</v>
      </c>
      <c r="F2065" s="116">
        <v>315.2</v>
      </c>
      <c r="G2065">
        <v>52234</v>
      </c>
      <c r="H2065" s="116"/>
      <c r="I2065" s="116"/>
      <c r="L2065" s="170">
        <v>45049</v>
      </c>
      <c r="M2065" s="116">
        <v>314.35000000000002</v>
      </c>
      <c r="N2065" s="116">
        <v>316.35000000000002</v>
      </c>
      <c r="O2065" s="116">
        <v>312</v>
      </c>
      <c r="P2065" s="116">
        <v>316.35000000000002</v>
      </c>
      <c r="Q2065" s="116">
        <v>314.35000000000002</v>
      </c>
      <c r="R2065">
        <v>466517</v>
      </c>
    </row>
    <row r="2066" spans="1:18" x14ac:dyDescent="0.25">
      <c r="A2066" s="170">
        <v>45049</v>
      </c>
      <c r="B2066" s="116">
        <v>317</v>
      </c>
      <c r="C2066" s="116">
        <v>314.5</v>
      </c>
      <c r="D2066" s="116">
        <v>312.05</v>
      </c>
      <c r="E2066" s="116">
        <v>317</v>
      </c>
      <c r="F2066" s="116">
        <v>314.5</v>
      </c>
      <c r="G2066">
        <v>26069</v>
      </c>
      <c r="H2066" s="116"/>
      <c r="I2066" s="116"/>
      <c r="L2066" s="170">
        <v>45050</v>
      </c>
      <c r="M2066" s="116">
        <v>312.64999999999998</v>
      </c>
      <c r="N2066" s="116">
        <v>316.64999999999998</v>
      </c>
      <c r="O2066" s="116">
        <v>311.55</v>
      </c>
      <c r="P2066" s="116">
        <v>315.60000000000002</v>
      </c>
      <c r="Q2066" s="116">
        <v>312.64999999999998</v>
      </c>
      <c r="R2066">
        <v>404326</v>
      </c>
    </row>
    <row r="2067" spans="1:18" x14ac:dyDescent="0.25">
      <c r="A2067" s="170">
        <v>45050</v>
      </c>
      <c r="B2067" s="116">
        <v>316.60000000000002</v>
      </c>
      <c r="C2067" s="116">
        <v>312.45</v>
      </c>
      <c r="D2067" s="116">
        <v>311.2</v>
      </c>
      <c r="E2067" s="116">
        <v>315</v>
      </c>
      <c r="F2067" s="116">
        <v>312.45</v>
      </c>
      <c r="G2067">
        <v>89840</v>
      </c>
      <c r="H2067" s="116"/>
      <c r="I2067" s="116"/>
      <c r="L2067" s="170">
        <v>45051</v>
      </c>
      <c r="M2067" s="116">
        <v>311.5</v>
      </c>
      <c r="N2067" s="116">
        <v>313.55</v>
      </c>
      <c r="O2067" s="116">
        <v>310.60000000000002</v>
      </c>
      <c r="P2067" s="116">
        <v>313</v>
      </c>
      <c r="Q2067" s="116">
        <v>311.5</v>
      </c>
      <c r="R2067">
        <v>348800</v>
      </c>
    </row>
    <row r="2068" spans="1:18" x14ac:dyDescent="0.25">
      <c r="A2068" s="170">
        <v>45051</v>
      </c>
      <c r="B2068" s="116">
        <v>313.2</v>
      </c>
      <c r="C2068" s="116">
        <v>311.5</v>
      </c>
      <c r="D2068" s="116">
        <v>310.64999999999998</v>
      </c>
      <c r="E2068" s="116">
        <v>312.5</v>
      </c>
      <c r="F2068" s="116">
        <v>311.5</v>
      </c>
      <c r="G2068">
        <v>23540</v>
      </c>
      <c r="H2068" s="116"/>
      <c r="I2068" s="116"/>
      <c r="L2068" s="170">
        <v>45054</v>
      </c>
      <c r="M2068" s="116">
        <v>313.45</v>
      </c>
      <c r="N2068" s="116">
        <v>314.5</v>
      </c>
      <c r="O2068" s="116">
        <v>312</v>
      </c>
      <c r="P2068" s="116">
        <v>312.25</v>
      </c>
      <c r="Q2068" s="116">
        <v>313.45</v>
      </c>
      <c r="R2068">
        <v>268684</v>
      </c>
    </row>
    <row r="2069" spans="1:18" x14ac:dyDescent="0.25">
      <c r="A2069" s="170">
        <v>45054</v>
      </c>
      <c r="B2069" s="116">
        <v>314.5</v>
      </c>
      <c r="C2069" s="116">
        <v>313.55</v>
      </c>
      <c r="D2069" s="116">
        <v>311.89999999999998</v>
      </c>
      <c r="E2069" s="116">
        <v>313</v>
      </c>
      <c r="F2069" s="116">
        <v>313.55</v>
      </c>
      <c r="G2069">
        <v>54772</v>
      </c>
      <c r="H2069" s="116"/>
      <c r="I2069" s="116"/>
      <c r="L2069" s="170">
        <v>45055</v>
      </c>
      <c r="M2069" s="116">
        <v>314.2</v>
      </c>
      <c r="N2069" s="116">
        <v>316.60000000000002</v>
      </c>
      <c r="O2069" s="116">
        <v>312.25</v>
      </c>
      <c r="P2069" s="116">
        <v>314.2</v>
      </c>
      <c r="Q2069" s="116">
        <v>314.2</v>
      </c>
      <c r="R2069">
        <v>408045</v>
      </c>
    </row>
    <row r="2070" spans="1:18" x14ac:dyDescent="0.25">
      <c r="A2070" s="170">
        <v>45055</v>
      </c>
      <c r="B2070" s="116">
        <v>316.5</v>
      </c>
      <c r="C2070" s="116">
        <v>313.8</v>
      </c>
      <c r="D2070" s="116">
        <v>312.5</v>
      </c>
      <c r="E2070" s="116">
        <v>313.55</v>
      </c>
      <c r="F2070" s="116">
        <v>313.8</v>
      </c>
      <c r="G2070">
        <v>84351</v>
      </c>
      <c r="H2070" s="116"/>
      <c r="I2070" s="116"/>
      <c r="L2070" s="170">
        <v>45056</v>
      </c>
      <c r="M2070" s="116">
        <v>314.3</v>
      </c>
      <c r="N2070" s="116">
        <v>315.5</v>
      </c>
      <c r="O2070" s="116">
        <v>312.60000000000002</v>
      </c>
      <c r="P2070" s="116">
        <v>315.5</v>
      </c>
      <c r="Q2070" s="116">
        <v>314.3</v>
      </c>
      <c r="R2070">
        <v>214245</v>
      </c>
    </row>
    <row r="2071" spans="1:18" x14ac:dyDescent="0.25">
      <c r="A2071" s="170">
        <v>45056</v>
      </c>
      <c r="B2071" s="116">
        <v>315.14999999999998</v>
      </c>
      <c r="C2071" s="116">
        <v>314.10000000000002</v>
      </c>
      <c r="D2071" s="116">
        <v>312.75</v>
      </c>
      <c r="E2071" s="116">
        <v>314.2</v>
      </c>
      <c r="F2071" s="116">
        <v>314.10000000000002</v>
      </c>
      <c r="G2071">
        <v>13784</v>
      </c>
      <c r="H2071" s="116"/>
      <c r="I2071" s="116"/>
      <c r="L2071" s="170">
        <v>45057</v>
      </c>
      <c r="M2071" s="116">
        <v>313.7</v>
      </c>
      <c r="N2071" s="116">
        <v>315</v>
      </c>
      <c r="O2071" s="116">
        <v>313.05</v>
      </c>
      <c r="P2071" s="116">
        <v>314.3</v>
      </c>
      <c r="Q2071" s="116">
        <v>313.7</v>
      </c>
      <c r="R2071">
        <v>146651</v>
      </c>
    </row>
    <row r="2072" spans="1:18" x14ac:dyDescent="0.25">
      <c r="A2072" s="170">
        <v>45057</v>
      </c>
      <c r="B2072" s="116">
        <v>314.95</v>
      </c>
      <c r="C2072" s="116">
        <v>313.75</v>
      </c>
      <c r="D2072" s="116">
        <v>313</v>
      </c>
      <c r="E2072" s="116">
        <v>313</v>
      </c>
      <c r="F2072" s="116">
        <v>313.75</v>
      </c>
      <c r="G2072">
        <v>10138</v>
      </c>
      <c r="H2072" s="116"/>
      <c r="I2072" s="116"/>
      <c r="L2072" s="170">
        <v>45058</v>
      </c>
      <c r="M2072" s="116">
        <v>310.35000000000002</v>
      </c>
      <c r="N2072" s="116">
        <v>313</v>
      </c>
      <c r="O2072" s="116">
        <v>309.3</v>
      </c>
      <c r="P2072" s="116">
        <v>313</v>
      </c>
      <c r="Q2072" s="116">
        <v>310.35000000000002</v>
      </c>
      <c r="R2072">
        <v>339326</v>
      </c>
    </row>
    <row r="2073" spans="1:18" x14ac:dyDescent="0.25">
      <c r="A2073" s="170">
        <v>45058</v>
      </c>
      <c r="B2073" s="116">
        <v>313.75</v>
      </c>
      <c r="C2073" s="116">
        <v>310.39999999999998</v>
      </c>
      <c r="D2073" s="116">
        <v>309.05</v>
      </c>
      <c r="E2073" s="116">
        <v>313.75</v>
      </c>
      <c r="F2073" s="116">
        <v>310.39999999999998</v>
      </c>
      <c r="G2073">
        <v>46452</v>
      </c>
      <c r="H2073" s="116"/>
      <c r="I2073" s="116"/>
      <c r="L2073" s="170">
        <v>45061</v>
      </c>
      <c r="M2073" s="116">
        <v>309.7</v>
      </c>
      <c r="N2073" s="116">
        <v>312.5</v>
      </c>
      <c r="O2073" s="116">
        <v>308.85000000000002</v>
      </c>
      <c r="P2073" s="116">
        <v>312.5</v>
      </c>
      <c r="Q2073" s="116">
        <v>309.7</v>
      </c>
      <c r="R2073">
        <v>308715</v>
      </c>
    </row>
    <row r="2074" spans="1:18" x14ac:dyDescent="0.25">
      <c r="A2074" s="170">
        <v>45061</v>
      </c>
      <c r="B2074" s="116">
        <v>311.85000000000002</v>
      </c>
      <c r="C2074" s="116">
        <v>309.75</v>
      </c>
      <c r="D2074" s="116">
        <v>308.39999999999998</v>
      </c>
      <c r="E2074" s="116">
        <v>310.45</v>
      </c>
      <c r="F2074" s="116">
        <v>309.75</v>
      </c>
      <c r="G2074">
        <v>54825</v>
      </c>
      <c r="H2074" s="116"/>
      <c r="I2074" s="116"/>
      <c r="L2074" s="170">
        <v>45062</v>
      </c>
      <c r="M2074" s="116">
        <v>310.55</v>
      </c>
      <c r="N2074" s="116">
        <v>312.85000000000002</v>
      </c>
      <c r="O2074" s="116">
        <v>310</v>
      </c>
      <c r="P2074" s="116">
        <v>311.2</v>
      </c>
      <c r="Q2074" s="116">
        <v>310.55</v>
      </c>
      <c r="R2074">
        <v>242696</v>
      </c>
    </row>
    <row r="2075" spans="1:18" x14ac:dyDescent="0.25">
      <c r="A2075" s="170">
        <v>45062</v>
      </c>
      <c r="B2075" s="116">
        <v>312.5</v>
      </c>
      <c r="C2075" s="116">
        <v>310.35000000000002</v>
      </c>
      <c r="D2075" s="116">
        <v>310</v>
      </c>
      <c r="E2075" s="116">
        <v>310.14999999999998</v>
      </c>
      <c r="F2075" s="116">
        <v>310.35000000000002</v>
      </c>
      <c r="G2075">
        <v>34811</v>
      </c>
      <c r="H2075" s="116"/>
      <c r="I2075" s="116"/>
      <c r="L2075" s="170">
        <v>45063</v>
      </c>
      <c r="M2075" s="116">
        <v>312.35000000000002</v>
      </c>
      <c r="N2075" s="116">
        <v>313.60000000000002</v>
      </c>
      <c r="O2075" s="116">
        <v>310.14999999999998</v>
      </c>
      <c r="P2075" s="116">
        <v>311.39999999999998</v>
      </c>
      <c r="Q2075" s="116">
        <v>312.35000000000002</v>
      </c>
      <c r="R2075">
        <v>314221</v>
      </c>
    </row>
    <row r="2076" spans="1:18" x14ac:dyDescent="0.25">
      <c r="A2076" s="170">
        <v>45063</v>
      </c>
      <c r="B2076" s="116">
        <v>313.5</v>
      </c>
      <c r="C2076" s="116">
        <v>312.45</v>
      </c>
      <c r="D2076" s="116">
        <v>310.39999999999998</v>
      </c>
      <c r="E2076" s="116">
        <v>312.89999999999998</v>
      </c>
      <c r="F2076" s="116">
        <v>312.45</v>
      </c>
      <c r="G2076">
        <v>19649</v>
      </c>
      <c r="H2076" s="116"/>
      <c r="I2076" s="116"/>
      <c r="L2076" s="170">
        <v>45064</v>
      </c>
      <c r="M2076" s="116">
        <v>310.3</v>
      </c>
      <c r="N2076" s="116">
        <v>313.5</v>
      </c>
      <c r="O2076" s="116">
        <v>310</v>
      </c>
      <c r="P2076" s="116">
        <v>312.60000000000002</v>
      </c>
      <c r="Q2076" s="116">
        <v>310.3</v>
      </c>
      <c r="R2076">
        <v>303319</v>
      </c>
    </row>
    <row r="2077" spans="1:18" x14ac:dyDescent="0.25">
      <c r="A2077" s="170">
        <v>45064</v>
      </c>
      <c r="B2077" s="116">
        <v>313.25</v>
      </c>
      <c r="C2077" s="116">
        <v>310.45</v>
      </c>
      <c r="D2077" s="116">
        <v>310</v>
      </c>
      <c r="E2077" s="116">
        <v>312.39999999999998</v>
      </c>
      <c r="F2077" s="116">
        <v>310.45</v>
      </c>
      <c r="G2077">
        <v>51927</v>
      </c>
      <c r="H2077" s="116"/>
      <c r="I2077" s="116"/>
      <c r="L2077" s="170">
        <v>45065</v>
      </c>
      <c r="M2077" s="116">
        <v>308.35000000000002</v>
      </c>
      <c r="N2077" s="116">
        <v>312.2</v>
      </c>
      <c r="O2077" s="116">
        <v>307.55</v>
      </c>
      <c r="P2077" s="116">
        <v>310.85000000000002</v>
      </c>
      <c r="Q2077" s="116">
        <v>308.35000000000002</v>
      </c>
      <c r="R2077">
        <v>330855</v>
      </c>
    </row>
    <row r="2078" spans="1:18" x14ac:dyDescent="0.25">
      <c r="A2078" s="170">
        <v>45065</v>
      </c>
      <c r="B2078" s="116">
        <v>312</v>
      </c>
      <c r="C2078" s="116">
        <v>308.45</v>
      </c>
      <c r="D2078" s="116">
        <v>307.60000000000002</v>
      </c>
      <c r="E2078" s="116">
        <v>311</v>
      </c>
      <c r="F2078" s="116">
        <v>308.45</v>
      </c>
      <c r="G2078">
        <v>53917</v>
      </c>
      <c r="H2078" s="116"/>
      <c r="I2078" s="116"/>
      <c r="L2078" s="170">
        <v>45068</v>
      </c>
      <c r="M2078" s="116">
        <v>308.7</v>
      </c>
      <c r="N2078" s="116">
        <v>310.89999999999998</v>
      </c>
      <c r="O2078" s="116">
        <v>308</v>
      </c>
      <c r="P2078" s="116">
        <v>309.95</v>
      </c>
      <c r="Q2078" s="116">
        <v>308.7</v>
      </c>
      <c r="R2078">
        <v>330803</v>
      </c>
    </row>
    <row r="2079" spans="1:18" x14ac:dyDescent="0.25">
      <c r="A2079" s="170">
        <v>45068</v>
      </c>
      <c r="B2079" s="116">
        <v>310.64999999999998</v>
      </c>
      <c r="C2079" s="116">
        <v>308.7</v>
      </c>
      <c r="D2079" s="116">
        <v>308</v>
      </c>
      <c r="E2079" s="116">
        <v>309.14999999999998</v>
      </c>
      <c r="F2079" s="116">
        <v>308.7</v>
      </c>
      <c r="G2079">
        <v>64489</v>
      </c>
      <c r="H2079" s="116"/>
      <c r="I2079" s="116"/>
      <c r="L2079" s="170">
        <v>45069</v>
      </c>
      <c r="M2079" s="116">
        <v>307.55</v>
      </c>
      <c r="N2079" s="116">
        <v>310</v>
      </c>
      <c r="O2079" s="116">
        <v>307.10000000000002</v>
      </c>
      <c r="P2079" s="116">
        <v>308.10000000000002</v>
      </c>
      <c r="Q2079" s="116">
        <v>307.55</v>
      </c>
      <c r="R2079">
        <v>533927</v>
      </c>
    </row>
    <row r="2080" spans="1:18" x14ac:dyDescent="0.25">
      <c r="A2080" s="170">
        <v>45069</v>
      </c>
      <c r="B2080" s="116">
        <v>310</v>
      </c>
      <c r="C2080" s="116">
        <v>307.5</v>
      </c>
      <c r="D2080" s="116">
        <v>307.05</v>
      </c>
      <c r="E2080" s="116">
        <v>307.25</v>
      </c>
      <c r="F2080" s="116">
        <v>307.5</v>
      </c>
      <c r="G2080">
        <v>59431</v>
      </c>
      <c r="H2080" s="116"/>
      <c r="I2080" s="116"/>
      <c r="L2080" s="170">
        <v>45070</v>
      </c>
      <c r="M2080" s="116">
        <v>306.55</v>
      </c>
      <c r="N2080" s="116">
        <v>309.7</v>
      </c>
      <c r="O2080" s="116">
        <v>306.10000000000002</v>
      </c>
      <c r="P2080" s="116">
        <v>307.55</v>
      </c>
      <c r="Q2080" s="116">
        <v>306.55</v>
      </c>
      <c r="R2080">
        <v>480513</v>
      </c>
    </row>
    <row r="2081" spans="1:18" x14ac:dyDescent="0.25">
      <c r="A2081" s="170">
        <v>45070</v>
      </c>
      <c r="B2081" s="116">
        <v>309.5</v>
      </c>
      <c r="C2081" s="116">
        <v>306.64999999999998</v>
      </c>
      <c r="D2081" s="116">
        <v>306.3</v>
      </c>
      <c r="E2081" s="116">
        <v>307</v>
      </c>
      <c r="F2081" s="116">
        <v>306.64999999999998</v>
      </c>
      <c r="G2081">
        <v>32525</v>
      </c>
      <c r="H2081" s="116"/>
      <c r="I2081" s="116"/>
      <c r="L2081" s="170">
        <v>45071</v>
      </c>
      <c r="M2081" s="116">
        <v>304.89999999999998</v>
      </c>
      <c r="N2081" s="116">
        <v>307.39999999999998</v>
      </c>
      <c r="O2081" s="116">
        <v>304.39999999999998</v>
      </c>
      <c r="P2081" s="116">
        <v>306</v>
      </c>
      <c r="Q2081" s="116">
        <v>304.89999999999998</v>
      </c>
      <c r="R2081">
        <v>363830</v>
      </c>
    </row>
    <row r="2082" spans="1:18" x14ac:dyDescent="0.25">
      <c r="A2082" s="170">
        <v>45071</v>
      </c>
      <c r="B2082" s="116">
        <v>307.39999999999998</v>
      </c>
      <c r="C2082" s="116">
        <v>305.10000000000002</v>
      </c>
      <c r="D2082" s="116">
        <v>304.3</v>
      </c>
      <c r="E2082" s="116">
        <v>306</v>
      </c>
      <c r="F2082" s="116">
        <v>305.10000000000002</v>
      </c>
      <c r="G2082">
        <v>45897</v>
      </c>
      <c r="H2082" s="116"/>
      <c r="I2082" s="116"/>
      <c r="L2082" s="170">
        <v>45072</v>
      </c>
      <c r="M2082" s="116">
        <v>305.60000000000002</v>
      </c>
      <c r="N2082" s="116">
        <v>307.85000000000002</v>
      </c>
      <c r="O2082" s="116">
        <v>304.55</v>
      </c>
      <c r="P2082" s="116">
        <v>307.85000000000002</v>
      </c>
      <c r="Q2082" s="116">
        <v>305.60000000000002</v>
      </c>
      <c r="R2082">
        <v>442425</v>
      </c>
    </row>
    <row r="2083" spans="1:18" x14ac:dyDescent="0.25">
      <c r="A2083" s="170">
        <v>45072</v>
      </c>
      <c r="B2083" s="116">
        <v>307.89999999999998</v>
      </c>
      <c r="C2083" s="116">
        <v>305.55</v>
      </c>
      <c r="D2083" s="116">
        <v>304.5</v>
      </c>
      <c r="E2083" s="116">
        <v>307</v>
      </c>
      <c r="F2083" s="116">
        <v>305.55</v>
      </c>
      <c r="G2083">
        <v>60117</v>
      </c>
      <c r="H2083" s="116"/>
      <c r="I2083" s="116"/>
      <c r="L2083" s="170">
        <v>45075</v>
      </c>
      <c r="M2083" s="116">
        <v>306.7</v>
      </c>
      <c r="N2083" s="116">
        <v>308</v>
      </c>
      <c r="O2083" s="116">
        <v>305.25</v>
      </c>
      <c r="P2083" s="116">
        <v>307.25</v>
      </c>
      <c r="Q2083" s="116">
        <v>306.7</v>
      </c>
      <c r="R2083">
        <v>453398</v>
      </c>
    </row>
    <row r="2084" spans="1:18" x14ac:dyDescent="0.25">
      <c r="A2084" s="170">
        <v>45075</v>
      </c>
      <c r="B2084" s="116">
        <v>308</v>
      </c>
      <c r="C2084" s="116">
        <v>306.89999999999998</v>
      </c>
      <c r="D2084" s="116">
        <v>305.85000000000002</v>
      </c>
      <c r="E2084" s="116">
        <v>306</v>
      </c>
      <c r="F2084" s="116">
        <v>306.89999999999998</v>
      </c>
      <c r="G2084">
        <v>27679</v>
      </c>
      <c r="H2084" s="116"/>
      <c r="I2084" s="116"/>
      <c r="L2084" s="170">
        <v>45076</v>
      </c>
      <c r="M2084" s="116">
        <v>306.64999999999998</v>
      </c>
      <c r="N2084" s="116">
        <v>307.8</v>
      </c>
      <c r="O2084" s="116">
        <v>305.45</v>
      </c>
      <c r="P2084" s="116">
        <v>307</v>
      </c>
      <c r="Q2084" s="116">
        <v>306.64999999999998</v>
      </c>
      <c r="R2084">
        <v>370133</v>
      </c>
    </row>
    <row r="2085" spans="1:18" x14ac:dyDescent="0.25">
      <c r="A2085" s="170">
        <v>45076</v>
      </c>
      <c r="B2085" s="116">
        <v>308</v>
      </c>
      <c r="C2085" s="116">
        <v>306.64999999999998</v>
      </c>
      <c r="D2085" s="116">
        <v>305.10000000000002</v>
      </c>
      <c r="E2085" s="116">
        <v>305.10000000000002</v>
      </c>
      <c r="F2085" s="116">
        <v>306.64999999999998</v>
      </c>
      <c r="G2085">
        <v>45250</v>
      </c>
      <c r="H2085" s="116"/>
      <c r="I2085" s="116"/>
      <c r="L2085" s="170">
        <v>45077</v>
      </c>
      <c r="M2085" s="116">
        <v>306</v>
      </c>
      <c r="N2085" s="116">
        <v>307.14999999999998</v>
      </c>
      <c r="O2085" s="116">
        <v>304.39999999999998</v>
      </c>
      <c r="P2085" s="116">
        <v>306.64999999999998</v>
      </c>
      <c r="Q2085" s="116">
        <v>306</v>
      </c>
      <c r="R2085">
        <v>343628</v>
      </c>
    </row>
    <row r="2086" spans="1:18" x14ac:dyDescent="0.25">
      <c r="A2086" s="170">
        <v>45077</v>
      </c>
      <c r="B2086" s="116">
        <v>307.05</v>
      </c>
      <c r="C2086" s="116">
        <v>306.2</v>
      </c>
      <c r="D2086" s="116">
        <v>304.39999999999998</v>
      </c>
      <c r="E2086" s="116">
        <v>306.89999999999998</v>
      </c>
      <c r="F2086" s="116">
        <v>306.2</v>
      </c>
      <c r="G2086">
        <v>37550</v>
      </c>
      <c r="H2086" s="116"/>
      <c r="I2086" s="116"/>
      <c r="L2086" s="170">
        <v>45078</v>
      </c>
      <c r="M2086" s="116">
        <v>305.64999999999998</v>
      </c>
      <c r="N2086" s="116">
        <v>307.10000000000002</v>
      </c>
      <c r="O2086" s="116">
        <v>304.5</v>
      </c>
      <c r="P2086" s="116">
        <v>306.75</v>
      </c>
      <c r="Q2086" s="116">
        <v>305.64999999999998</v>
      </c>
      <c r="R2086">
        <v>283062</v>
      </c>
    </row>
    <row r="2087" spans="1:18" x14ac:dyDescent="0.25">
      <c r="A2087" s="170">
        <v>45078</v>
      </c>
      <c r="B2087" s="116">
        <v>306.8</v>
      </c>
      <c r="C2087" s="116">
        <v>305.75</v>
      </c>
      <c r="D2087" s="116">
        <v>304.55</v>
      </c>
      <c r="E2087" s="116">
        <v>305.60000000000002</v>
      </c>
      <c r="F2087" s="116">
        <v>305.75</v>
      </c>
      <c r="G2087">
        <v>49545</v>
      </c>
      <c r="H2087" s="116"/>
      <c r="I2087" s="116"/>
      <c r="L2087" s="170">
        <v>45079</v>
      </c>
      <c r="M2087" s="116">
        <v>306.5</v>
      </c>
      <c r="N2087" s="116">
        <v>307.14999999999998</v>
      </c>
      <c r="O2087" s="116">
        <v>305</v>
      </c>
      <c r="P2087" s="116">
        <v>306</v>
      </c>
      <c r="Q2087" s="116">
        <v>306.5</v>
      </c>
      <c r="R2087">
        <v>273163</v>
      </c>
    </row>
    <row r="2088" spans="1:18" x14ac:dyDescent="0.25">
      <c r="A2088" s="170">
        <v>45079</v>
      </c>
      <c r="B2088" s="116">
        <v>307</v>
      </c>
      <c r="C2088" s="116">
        <v>306.55</v>
      </c>
      <c r="D2088" s="116">
        <v>305.35000000000002</v>
      </c>
      <c r="E2088" s="116">
        <v>306</v>
      </c>
      <c r="F2088" s="116">
        <v>306.55</v>
      </c>
      <c r="G2088">
        <v>42360</v>
      </c>
      <c r="H2088" s="116"/>
      <c r="I2088" s="116"/>
      <c r="L2088" s="170">
        <v>45082</v>
      </c>
      <c r="M2088" s="116">
        <v>306.89999999999998</v>
      </c>
      <c r="N2088" s="116">
        <v>309.89999999999998</v>
      </c>
      <c r="O2088" s="116">
        <v>305.5</v>
      </c>
      <c r="P2088" s="116">
        <v>305.85000000000002</v>
      </c>
      <c r="Q2088" s="116">
        <v>306.89999999999998</v>
      </c>
      <c r="R2088">
        <v>421092</v>
      </c>
    </row>
    <row r="2089" spans="1:18" x14ac:dyDescent="0.25">
      <c r="A2089" s="170">
        <v>45082</v>
      </c>
      <c r="B2089" s="116">
        <v>309.7</v>
      </c>
      <c r="C2089" s="116">
        <v>306.89999999999998</v>
      </c>
      <c r="D2089" s="116">
        <v>305</v>
      </c>
      <c r="E2089" s="116">
        <v>306</v>
      </c>
      <c r="F2089" s="116">
        <v>306.89999999999998</v>
      </c>
      <c r="G2089">
        <v>48940</v>
      </c>
      <c r="H2089" s="116"/>
      <c r="I2089" s="116"/>
      <c r="L2089" s="170">
        <v>45083</v>
      </c>
      <c r="M2089" s="116">
        <v>307.05</v>
      </c>
      <c r="N2089" s="116">
        <v>309.39999999999998</v>
      </c>
      <c r="O2089" s="116">
        <v>306.39999999999998</v>
      </c>
      <c r="P2089" s="116">
        <v>308</v>
      </c>
      <c r="Q2089" s="116">
        <v>307.05</v>
      </c>
      <c r="R2089">
        <v>255148</v>
      </c>
    </row>
    <row r="2090" spans="1:18" x14ac:dyDescent="0.25">
      <c r="A2090" s="170">
        <v>45083</v>
      </c>
      <c r="B2090" s="116">
        <v>309.45</v>
      </c>
      <c r="C2090" s="116">
        <v>307.10000000000002</v>
      </c>
      <c r="D2090" s="116">
        <v>306.25</v>
      </c>
      <c r="E2090" s="116">
        <v>308.55</v>
      </c>
      <c r="F2090" s="116">
        <v>307.10000000000002</v>
      </c>
      <c r="G2090">
        <v>45094</v>
      </c>
      <c r="H2090" s="116"/>
      <c r="I2090" s="116"/>
      <c r="L2090" s="170">
        <v>45084</v>
      </c>
      <c r="M2090" s="116">
        <v>305.45</v>
      </c>
      <c r="N2090" s="116">
        <v>309.8</v>
      </c>
      <c r="O2090" s="116">
        <v>305.10000000000002</v>
      </c>
      <c r="P2090" s="116">
        <v>309.8</v>
      </c>
      <c r="Q2090" s="116">
        <v>305.45</v>
      </c>
      <c r="R2090">
        <v>710622</v>
      </c>
    </row>
    <row r="2091" spans="1:18" x14ac:dyDescent="0.25">
      <c r="A2091" s="170">
        <v>45084</v>
      </c>
      <c r="B2091" s="116">
        <v>309.5</v>
      </c>
      <c r="C2091" s="116">
        <v>305.60000000000002</v>
      </c>
      <c r="D2091" s="116">
        <v>305.14999999999998</v>
      </c>
      <c r="E2091" s="116">
        <v>309</v>
      </c>
      <c r="F2091" s="116">
        <v>305.60000000000002</v>
      </c>
      <c r="G2091">
        <v>81689</v>
      </c>
      <c r="H2091" s="116"/>
      <c r="I2091" s="116"/>
      <c r="L2091" s="170">
        <v>45085</v>
      </c>
      <c r="M2091" s="116">
        <v>304.2</v>
      </c>
      <c r="N2091" s="116">
        <v>306.5</v>
      </c>
      <c r="O2091" s="116">
        <v>303.60000000000002</v>
      </c>
      <c r="P2091" s="116">
        <v>306.5</v>
      </c>
      <c r="Q2091" s="116">
        <v>304.2</v>
      </c>
      <c r="R2091">
        <v>712681</v>
      </c>
    </row>
    <row r="2092" spans="1:18" x14ac:dyDescent="0.25">
      <c r="A2092" s="170">
        <v>45085</v>
      </c>
      <c r="B2092" s="116">
        <v>306.14999999999998</v>
      </c>
      <c r="C2092" s="116">
        <v>304.14999999999998</v>
      </c>
      <c r="D2092" s="116">
        <v>303.5</v>
      </c>
      <c r="E2092" s="116">
        <v>305.64999999999998</v>
      </c>
      <c r="F2092" s="116">
        <v>304.14999999999998</v>
      </c>
      <c r="G2092">
        <v>96480</v>
      </c>
      <c r="H2092" s="116"/>
      <c r="I2092" s="116"/>
      <c r="L2092" s="170">
        <v>45086</v>
      </c>
      <c r="M2092" s="116">
        <v>300.55</v>
      </c>
      <c r="N2092" s="116">
        <v>305.95</v>
      </c>
      <c r="O2092" s="116">
        <v>299</v>
      </c>
      <c r="P2092" s="116">
        <v>305.95</v>
      </c>
      <c r="Q2092" s="116">
        <v>300.55</v>
      </c>
      <c r="R2092">
        <v>854118</v>
      </c>
    </row>
    <row r="2093" spans="1:18" x14ac:dyDescent="0.25">
      <c r="A2093" s="170">
        <v>45086</v>
      </c>
      <c r="B2093" s="116">
        <v>305.89999999999998</v>
      </c>
      <c r="C2093" s="116">
        <v>300.7</v>
      </c>
      <c r="D2093" s="116">
        <v>299.05</v>
      </c>
      <c r="E2093" s="116">
        <v>305.14999999999998</v>
      </c>
      <c r="F2093" s="116">
        <v>300.7</v>
      </c>
      <c r="G2093">
        <v>52015</v>
      </c>
      <c r="H2093" s="116"/>
      <c r="I2093" s="116"/>
      <c r="L2093" s="170">
        <v>45089</v>
      </c>
      <c r="M2093" s="116">
        <v>298.95</v>
      </c>
      <c r="N2093" s="116">
        <v>301.55</v>
      </c>
      <c r="O2093" s="116">
        <v>298.7</v>
      </c>
      <c r="P2093" s="116">
        <v>301</v>
      </c>
      <c r="Q2093" s="116">
        <v>298.95</v>
      </c>
      <c r="R2093">
        <v>697003</v>
      </c>
    </row>
    <row r="2094" spans="1:18" x14ac:dyDescent="0.25">
      <c r="A2094" s="170">
        <v>45089</v>
      </c>
      <c r="B2094" s="116">
        <v>301.60000000000002</v>
      </c>
      <c r="C2094" s="116">
        <v>299</v>
      </c>
      <c r="D2094" s="116">
        <v>298.60000000000002</v>
      </c>
      <c r="E2094" s="116">
        <v>300.7</v>
      </c>
      <c r="F2094" s="116">
        <v>299</v>
      </c>
      <c r="G2094">
        <v>108947</v>
      </c>
      <c r="H2094" s="116"/>
      <c r="I2094" s="116"/>
      <c r="L2094" s="170">
        <v>45090</v>
      </c>
      <c r="M2094" s="116">
        <v>303.85000000000002</v>
      </c>
      <c r="N2094" s="116">
        <v>304.60000000000002</v>
      </c>
      <c r="O2094" s="116">
        <v>299.55</v>
      </c>
      <c r="P2094" s="116">
        <v>299.75</v>
      </c>
      <c r="Q2094" s="116">
        <v>303.85000000000002</v>
      </c>
      <c r="R2094">
        <v>984236</v>
      </c>
    </row>
    <row r="2095" spans="1:18" x14ac:dyDescent="0.25">
      <c r="A2095" s="170">
        <v>45090</v>
      </c>
      <c r="B2095" s="116">
        <v>304.25</v>
      </c>
      <c r="C2095" s="116">
        <v>303.7</v>
      </c>
      <c r="D2095" s="116">
        <v>299.64999999999998</v>
      </c>
      <c r="E2095" s="116">
        <v>301.95</v>
      </c>
      <c r="F2095" s="116">
        <v>303.7</v>
      </c>
      <c r="G2095">
        <v>93505</v>
      </c>
      <c r="H2095" s="116"/>
      <c r="I2095" s="116"/>
      <c r="L2095" s="170">
        <v>45091</v>
      </c>
      <c r="M2095" s="116">
        <v>302.14999999999998</v>
      </c>
      <c r="N2095" s="116">
        <v>305.89999999999998</v>
      </c>
      <c r="O2095" s="116">
        <v>301</v>
      </c>
      <c r="P2095" s="116">
        <v>305</v>
      </c>
      <c r="Q2095" s="116">
        <v>302.14999999999998</v>
      </c>
      <c r="R2095">
        <v>790046</v>
      </c>
    </row>
    <row r="2096" spans="1:18" x14ac:dyDescent="0.25">
      <c r="A2096" s="170">
        <v>45091</v>
      </c>
      <c r="B2096" s="116">
        <v>306.7</v>
      </c>
      <c r="C2096" s="116">
        <v>302.39999999999998</v>
      </c>
      <c r="D2096" s="116">
        <v>301.10000000000002</v>
      </c>
      <c r="E2096" s="116">
        <v>306.7</v>
      </c>
      <c r="F2096" s="116">
        <v>302.39999999999998</v>
      </c>
      <c r="G2096">
        <v>32450</v>
      </c>
      <c r="H2096" s="116"/>
      <c r="I2096" s="116"/>
      <c r="L2096" s="170">
        <v>45092</v>
      </c>
      <c r="M2096" s="116">
        <v>303.89999999999998</v>
      </c>
      <c r="N2096" s="116">
        <v>304.7</v>
      </c>
      <c r="O2096" s="116">
        <v>300.14999999999998</v>
      </c>
      <c r="P2096" s="116">
        <v>303.05</v>
      </c>
      <c r="Q2096" s="116">
        <v>303.89999999999998</v>
      </c>
      <c r="R2096">
        <v>1066599</v>
      </c>
    </row>
    <row r="2097" spans="1:18" x14ac:dyDescent="0.25">
      <c r="A2097" s="170">
        <v>45092</v>
      </c>
      <c r="B2097" s="116">
        <v>304.7</v>
      </c>
      <c r="C2097" s="116">
        <v>303.95</v>
      </c>
      <c r="D2097" s="116">
        <v>300</v>
      </c>
      <c r="E2097" s="116">
        <v>302.5</v>
      </c>
      <c r="F2097" s="116">
        <v>303.95</v>
      </c>
      <c r="G2097">
        <v>177414</v>
      </c>
      <c r="H2097" s="116"/>
      <c r="I2097" s="116"/>
      <c r="L2097" s="170">
        <v>45093</v>
      </c>
      <c r="M2097" s="116">
        <v>304.5</v>
      </c>
      <c r="N2097" s="116">
        <v>309.5</v>
      </c>
      <c r="O2097" s="116">
        <v>303.89999999999998</v>
      </c>
      <c r="P2097" s="116">
        <v>304.89999999999998</v>
      </c>
      <c r="Q2097" s="116">
        <v>304.5</v>
      </c>
      <c r="R2097">
        <v>803574</v>
      </c>
    </row>
    <row r="2098" spans="1:18" x14ac:dyDescent="0.25">
      <c r="A2098" s="170">
        <v>45093</v>
      </c>
      <c r="B2098" s="116">
        <v>309.3</v>
      </c>
      <c r="C2098" s="116">
        <v>304.75</v>
      </c>
      <c r="D2098" s="116">
        <v>303.85000000000002</v>
      </c>
      <c r="E2098" s="116">
        <v>304.05</v>
      </c>
      <c r="F2098" s="116">
        <v>304.75</v>
      </c>
      <c r="G2098">
        <v>126072</v>
      </c>
      <c r="H2098" s="116"/>
      <c r="I2098" s="116"/>
      <c r="L2098" s="170">
        <v>45096</v>
      </c>
      <c r="M2098" s="116">
        <v>307.10000000000002</v>
      </c>
      <c r="N2098" s="116">
        <v>307.45</v>
      </c>
      <c r="O2098" s="116">
        <v>304.5</v>
      </c>
      <c r="P2098" s="116">
        <v>306.14999999999998</v>
      </c>
      <c r="Q2098" s="116">
        <v>307.10000000000002</v>
      </c>
      <c r="R2098">
        <v>661796</v>
      </c>
    </row>
    <row r="2099" spans="1:18" x14ac:dyDescent="0.25">
      <c r="A2099" s="170">
        <v>45096</v>
      </c>
      <c r="B2099" s="116">
        <v>307.39999999999998</v>
      </c>
      <c r="C2099" s="116">
        <v>307</v>
      </c>
      <c r="D2099" s="116">
        <v>304.60000000000002</v>
      </c>
      <c r="E2099" s="116">
        <v>305.14999999999998</v>
      </c>
      <c r="F2099" s="116">
        <v>307</v>
      </c>
      <c r="G2099">
        <v>62700</v>
      </c>
      <c r="H2099" s="116"/>
      <c r="I2099" s="116"/>
      <c r="L2099" s="170">
        <v>45097</v>
      </c>
      <c r="M2099" s="116">
        <v>308.10000000000002</v>
      </c>
      <c r="N2099" s="116">
        <v>308.3</v>
      </c>
      <c r="O2099" s="116">
        <v>306</v>
      </c>
      <c r="P2099" s="116">
        <v>307.10000000000002</v>
      </c>
      <c r="Q2099" s="116">
        <v>308.10000000000002</v>
      </c>
      <c r="R2099">
        <v>485539</v>
      </c>
    </row>
    <row r="2100" spans="1:18" x14ac:dyDescent="0.25">
      <c r="A2100" s="170">
        <v>45097</v>
      </c>
      <c r="B2100" s="116">
        <v>308.3</v>
      </c>
      <c r="C2100" s="116">
        <v>308.14999999999998</v>
      </c>
      <c r="D2100" s="116">
        <v>306.05</v>
      </c>
      <c r="E2100" s="116">
        <v>307.05</v>
      </c>
      <c r="F2100" s="116">
        <v>308.14999999999998</v>
      </c>
      <c r="G2100">
        <v>17434</v>
      </c>
      <c r="H2100" s="116"/>
      <c r="I2100" s="116"/>
      <c r="L2100" s="170">
        <v>45098</v>
      </c>
      <c r="M2100" s="116">
        <v>307.89999999999998</v>
      </c>
      <c r="N2100" s="116">
        <v>308.7</v>
      </c>
      <c r="O2100" s="116">
        <v>305.55</v>
      </c>
      <c r="P2100" s="116">
        <v>308.39999999999998</v>
      </c>
      <c r="Q2100" s="116">
        <v>307.89999999999998</v>
      </c>
      <c r="R2100">
        <v>488122</v>
      </c>
    </row>
    <row r="2101" spans="1:18" x14ac:dyDescent="0.25">
      <c r="A2101" s="170">
        <v>45098</v>
      </c>
      <c r="B2101" s="116">
        <v>309</v>
      </c>
      <c r="C2101" s="116">
        <v>308.2</v>
      </c>
      <c r="D2101" s="116">
        <v>305.64999999999998</v>
      </c>
      <c r="E2101" s="116">
        <v>309</v>
      </c>
      <c r="F2101" s="116">
        <v>308.2</v>
      </c>
      <c r="G2101">
        <v>50990</v>
      </c>
      <c r="H2101" s="116"/>
      <c r="I2101" s="116"/>
      <c r="L2101" s="170">
        <v>45099</v>
      </c>
      <c r="M2101" s="116">
        <v>310.7</v>
      </c>
      <c r="N2101" s="116">
        <v>311.45</v>
      </c>
      <c r="O2101" s="116">
        <v>306.95</v>
      </c>
      <c r="P2101" s="116">
        <v>308.8</v>
      </c>
      <c r="Q2101" s="116">
        <v>310.7</v>
      </c>
      <c r="R2101">
        <v>655279</v>
      </c>
    </row>
    <row r="2102" spans="1:18" x14ac:dyDescent="0.25">
      <c r="A2102" s="170">
        <v>45099</v>
      </c>
      <c r="B2102" s="116">
        <v>311.10000000000002</v>
      </c>
      <c r="C2102" s="116">
        <v>310.8</v>
      </c>
      <c r="D2102" s="116">
        <v>307.05</v>
      </c>
      <c r="E2102" s="116">
        <v>308.3</v>
      </c>
      <c r="F2102" s="116">
        <v>310.8</v>
      </c>
      <c r="G2102">
        <v>181441</v>
      </c>
      <c r="H2102" s="116"/>
      <c r="I2102" s="116"/>
      <c r="L2102" s="170">
        <v>45100</v>
      </c>
      <c r="M2102" s="116">
        <v>308.45</v>
      </c>
      <c r="N2102" s="116">
        <v>313.60000000000002</v>
      </c>
      <c r="O2102" s="116">
        <v>308</v>
      </c>
      <c r="P2102" s="116">
        <v>313.60000000000002</v>
      </c>
      <c r="Q2102" s="116">
        <v>308.45</v>
      </c>
      <c r="R2102">
        <v>333504</v>
      </c>
    </row>
    <row r="2103" spans="1:18" x14ac:dyDescent="0.25">
      <c r="A2103" s="170">
        <v>45100</v>
      </c>
      <c r="B2103" s="116">
        <v>312.8</v>
      </c>
      <c r="C2103" s="116">
        <v>308.39999999999998</v>
      </c>
      <c r="D2103" s="116">
        <v>308</v>
      </c>
      <c r="E2103" s="116">
        <v>312.05</v>
      </c>
      <c r="F2103" s="116">
        <v>308.39999999999998</v>
      </c>
      <c r="G2103">
        <v>66942</v>
      </c>
      <c r="H2103" s="116"/>
      <c r="I2103" s="116"/>
      <c r="L2103" s="170">
        <v>45103</v>
      </c>
      <c r="M2103" s="116">
        <v>307</v>
      </c>
      <c r="N2103" s="116">
        <v>308.95</v>
      </c>
      <c r="O2103" s="116">
        <v>304</v>
      </c>
      <c r="P2103" s="116">
        <v>308.45</v>
      </c>
      <c r="Q2103" s="116">
        <v>307</v>
      </c>
      <c r="R2103">
        <v>577649</v>
      </c>
    </row>
    <row r="2104" spans="1:18" x14ac:dyDescent="0.25">
      <c r="A2104" s="170">
        <v>45103</v>
      </c>
      <c r="B2104" s="116">
        <v>308.55</v>
      </c>
      <c r="C2104" s="116">
        <v>307.39999999999998</v>
      </c>
      <c r="D2104" s="116">
        <v>304</v>
      </c>
      <c r="E2104" s="116">
        <v>308.39999999999998</v>
      </c>
      <c r="F2104" s="116">
        <v>307.39999999999998</v>
      </c>
      <c r="G2104">
        <v>26577</v>
      </c>
      <c r="H2104" s="116"/>
      <c r="I2104" s="116"/>
      <c r="L2104" s="170">
        <v>45104</v>
      </c>
      <c r="M2104" s="116">
        <v>305.25</v>
      </c>
      <c r="N2104" s="116">
        <v>307.5</v>
      </c>
      <c r="O2104" s="116">
        <v>305</v>
      </c>
      <c r="P2104" s="116">
        <v>307.10000000000002</v>
      </c>
      <c r="Q2104" s="116">
        <v>305.25</v>
      </c>
      <c r="R2104">
        <v>362332</v>
      </c>
    </row>
    <row r="2105" spans="1:18" x14ac:dyDescent="0.25">
      <c r="A2105" s="170">
        <v>45104</v>
      </c>
      <c r="B2105" s="116">
        <v>307.64999999999998</v>
      </c>
      <c r="C2105" s="116">
        <v>305.55</v>
      </c>
      <c r="D2105" s="116">
        <v>305</v>
      </c>
      <c r="E2105" s="116">
        <v>307.39999999999998</v>
      </c>
      <c r="F2105" s="116">
        <v>305.55</v>
      </c>
      <c r="G2105">
        <v>42379</v>
      </c>
      <c r="H2105" s="116"/>
      <c r="I2105" s="116"/>
      <c r="L2105" s="170">
        <v>45105</v>
      </c>
      <c r="M2105" s="116">
        <v>306.89999999999998</v>
      </c>
      <c r="N2105" s="116">
        <v>309.35000000000002</v>
      </c>
      <c r="O2105" s="116">
        <v>305.89999999999998</v>
      </c>
      <c r="P2105" s="116">
        <v>307.64999999999998</v>
      </c>
      <c r="Q2105" s="116">
        <v>306.89999999999998</v>
      </c>
      <c r="R2105">
        <v>349310</v>
      </c>
    </row>
    <row r="2106" spans="1:18" x14ac:dyDescent="0.25">
      <c r="A2106" s="170">
        <v>45105</v>
      </c>
      <c r="B2106" s="116">
        <v>309</v>
      </c>
      <c r="C2106" s="116">
        <v>307.05</v>
      </c>
      <c r="D2106" s="116">
        <v>305.7</v>
      </c>
      <c r="E2106" s="116">
        <v>307.05</v>
      </c>
      <c r="F2106" s="116">
        <v>307.05</v>
      </c>
      <c r="G2106">
        <v>56724</v>
      </c>
      <c r="H2106" s="116"/>
      <c r="I2106" s="116"/>
      <c r="L2106" s="170">
        <v>45107</v>
      </c>
      <c r="M2106" s="116">
        <v>307.35000000000002</v>
      </c>
      <c r="N2106" s="116">
        <v>308</v>
      </c>
      <c r="O2106" s="116">
        <v>305.3</v>
      </c>
      <c r="P2106" s="116">
        <v>308</v>
      </c>
      <c r="Q2106" s="116">
        <v>307.35000000000002</v>
      </c>
      <c r="R2106">
        <v>347574</v>
      </c>
    </row>
    <row r="2107" spans="1:18" x14ac:dyDescent="0.25">
      <c r="A2107" s="170">
        <v>45107</v>
      </c>
      <c r="B2107" s="116">
        <v>307.8</v>
      </c>
      <c r="C2107" s="116">
        <v>307.2</v>
      </c>
      <c r="D2107" s="116">
        <v>305.25</v>
      </c>
      <c r="E2107" s="116">
        <v>307.10000000000002</v>
      </c>
      <c r="F2107" s="116">
        <v>307.2</v>
      </c>
      <c r="G2107">
        <v>65206</v>
      </c>
      <c r="H2107" s="116"/>
      <c r="I2107" s="116"/>
      <c r="L2107" s="170">
        <v>45110</v>
      </c>
      <c r="M2107" s="116">
        <v>309.55</v>
      </c>
      <c r="N2107" s="116">
        <v>310</v>
      </c>
      <c r="O2107" s="116">
        <v>308.2</v>
      </c>
      <c r="P2107" s="116">
        <v>309</v>
      </c>
      <c r="Q2107" s="116">
        <v>309.55</v>
      </c>
      <c r="R2107">
        <v>329058</v>
      </c>
    </row>
    <row r="2108" spans="1:18" x14ac:dyDescent="0.25">
      <c r="A2108" s="170">
        <v>45110</v>
      </c>
      <c r="B2108" s="116">
        <v>309.89999999999998</v>
      </c>
      <c r="C2108" s="116">
        <v>309.45</v>
      </c>
      <c r="D2108" s="116">
        <v>307.95</v>
      </c>
      <c r="E2108" s="116">
        <v>308</v>
      </c>
      <c r="F2108" s="116">
        <v>309.45</v>
      </c>
      <c r="G2108">
        <v>33689</v>
      </c>
      <c r="H2108" s="116"/>
      <c r="I2108" s="116"/>
      <c r="L2108" s="170">
        <v>45111</v>
      </c>
      <c r="M2108" s="116">
        <v>310.75</v>
      </c>
      <c r="N2108" s="116">
        <v>312.85000000000002</v>
      </c>
      <c r="O2108" s="116">
        <v>310</v>
      </c>
      <c r="P2108" s="116">
        <v>310.7</v>
      </c>
      <c r="Q2108" s="116">
        <v>310.75</v>
      </c>
      <c r="R2108">
        <v>388875</v>
      </c>
    </row>
    <row r="2109" spans="1:18" x14ac:dyDescent="0.25">
      <c r="A2109" s="170">
        <v>45111</v>
      </c>
      <c r="B2109" s="116">
        <v>312.64999999999998</v>
      </c>
      <c r="C2109" s="116">
        <v>310.8</v>
      </c>
      <c r="D2109" s="116">
        <v>310.05</v>
      </c>
      <c r="E2109" s="116">
        <v>310.05</v>
      </c>
      <c r="F2109" s="116">
        <v>310.8</v>
      </c>
      <c r="G2109">
        <v>38811</v>
      </c>
      <c r="H2109" s="116"/>
      <c r="I2109" s="116"/>
      <c r="L2109" s="170">
        <v>45112</v>
      </c>
      <c r="M2109" s="116">
        <v>311.5</v>
      </c>
      <c r="N2109" s="116">
        <v>312.39999999999998</v>
      </c>
      <c r="O2109" s="116">
        <v>310.5</v>
      </c>
      <c r="P2109" s="116">
        <v>312.39999999999998</v>
      </c>
      <c r="Q2109" s="116">
        <v>311.5</v>
      </c>
      <c r="R2109">
        <v>311186</v>
      </c>
    </row>
    <row r="2110" spans="1:18" x14ac:dyDescent="0.25">
      <c r="A2110" s="170">
        <v>45112</v>
      </c>
      <c r="B2110" s="116">
        <v>312.39999999999998</v>
      </c>
      <c r="C2110" s="116">
        <v>311.35000000000002</v>
      </c>
      <c r="D2110" s="116">
        <v>310.8</v>
      </c>
      <c r="E2110" s="116">
        <v>312</v>
      </c>
      <c r="F2110" s="116">
        <v>311.35000000000002</v>
      </c>
      <c r="G2110">
        <v>66164</v>
      </c>
      <c r="H2110" s="116"/>
      <c r="I2110" s="116"/>
      <c r="L2110" s="170">
        <v>45113</v>
      </c>
      <c r="M2110" s="116">
        <v>335.95</v>
      </c>
      <c r="N2110" s="116">
        <v>338.35</v>
      </c>
      <c r="O2110" s="116">
        <v>316</v>
      </c>
      <c r="P2110" s="116">
        <v>316</v>
      </c>
      <c r="Q2110" s="116">
        <v>335.95</v>
      </c>
      <c r="R2110">
        <v>6685794</v>
      </c>
    </row>
    <row r="2111" spans="1:18" x14ac:dyDescent="0.25">
      <c r="A2111" s="170">
        <v>45113</v>
      </c>
      <c r="B2111" s="116">
        <v>338.5</v>
      </c>
      <c r="C2111" s="116">
        <v>336.15</v>
      </c>
      <c r="D2111" s="116">
        <v>315.10000000000002</v>
      </c>
      <c r="E2111" s="116">
        <v>315.10000000000002</v>
      </c>
      <c r="F2111" s="116">
        <v>336.15</v>
      </c>
      <c r="G2111">
        <v>341772</v>
      </c>
      <c r="H2111" s="116"/>
      <c r="I2111" s="116"/>
      <c r="L2111" s="170">
        <v>45114</v>
      </c>
      <c r="M2111" s="116">
        <v>340.6</v>
      </c>
      <c r="N2111" s="116">
        <v>344</v>
      </c>
      <c r="O2111" s="116">
        <v>337.55</v>
      </c>
      <c r="P2111" s="116">
        <v>340</v>
      </c>
      <c r="Q2111" s="116">
        <v>340.6</v>
      </c>
      <c r="R2111">
        <v>3390644</v>
      </c>
    </row>
    <row r="2112" spans="1:18" x14ac:dyDescent="0.25">
      <c r="A2112" s="170">
        <v>45114</v>
      </c>
      <c r="B2112" s="116">
        <v>344</v>
      </c>
      <c r="C2112" s="116">
        <v>340.5</v>
      </c>
      <c r="D2112" s="116">
        <v>337.25</v>
      </c>
      <c r="E2112" s="116">
        <v>339</v>
      </c>
      <c r="F2112" s="116">
        <v>340.5</v>
      </c>
      <c r="G2112">
        <v>504701</v>
      </c>
      <c r="H2112" s="116"/>
      <c r="I2112" s="116"/>
      <c r="L2112" s="170">
        <v>45117</v>
      </c>
      <c r="M2112" s="116">
        <v>327.85</v>
      </c>
      <c r="N2112" s="116">
        <v>332</v>
      </c>
      <c r="O2112" s="116">
        <v>324.05</v>
      </c>
      <c r="P2112" s="116">
        <v>331</v>
      </c>
      <c r="Q2112" s="116">
        <v>327.85</v>
      </c>
      <c r="R2112">
        <v>2648867</v>
      </c>
    </row>
    <row r="2113" spans="1:18" x14ac:dyDescent="0.25">
      <c r="A2113" s="170">
        <v>45117</v>
      </c>
      <c r="B2113" s="116">
        <v>333.85</v>
      </c>
      <c r="C2113" s="116">
        <v>327.8</v>
      </c>
      <c r="D2113" s="116">
        <v>322.3</v>
      </c>
      <c r="E2113" s="116">
        <v>333.85</v>
      </c>
      <c r="F2113" s="116">
        <v>327.8</v>
      </c>
      <c r="G2113">
        <v>179110</v>
      </c>
      <c r="H2113" s="116"/>
      <c r="I2113" s="116"/>
      <c r="L2113" s="170">
        <v>45118</v>
      </c>
      <c r="M2113" s="116">
        <v>330.95</v>
      </c>
      <c r="N2113" s="116">
        <v>333</v>
      </c>
      <c r="O2113" s="116">
        <v>327.85</v>
      </c>
      <c r="P2113" s="116">
        <v>329.95</v>
      </c>
      <c r="Q2113" s="116">
        <v>330.95</v>
      </c>
      <c r="R2113">
        <v>1207370</v>
      </c>
    </row>
    <row r="2114" spans="1:18" x14ac:dyDescent="0.25">
      <c r="A2114" s="170">
        <v>45118</v>
      </c>
      <c r="B2114" s="116">
        <v>332.9</v>
      </c>
      <c r="C2114" s="116">
        <v>331</v>
      </c>
      <c r="D2114" s="116">
        <v>328</v>
      </c>
      <c r="E2114" s="116">
        <v>328.6</v>
      </c>
      <c r="F2114" s="116">
        <v>331</v>
      </c>
      <c r="G2114">
        <v>74667</v>
      </c>
      <c r="H2114" s="116"/>
      <c r="I2114" s="116"/>
      <c r="L2114" s="170">
        <v>45119</v>
      </c>
      <c r="M2114" s="116">
        <v>332.65</v>
      </c>
      <c r="N2114" s="116">
        <v>333</v>
      </c>
      <c r="O2114" s="116">
        <v>331.6</v>
      </c>
      <c r="P2114" s="116">
        <v>332.9</v>
      </c>
      <c r="Q2114" s="116">
        <v>332.65</v>
      </c>
      <c r="R2114">
        <v>624584</v>
      </c>
    </row>
    <row r="2115" spans="1:18" x14ac:dyDescent="0.25">
      <c r="A2115" s="170">
        <v>45119</v>
      </c>
      <c r="B2115" s="116">
        <v>333</v>
      </c>
      <c r="C2115" s="116">
        <v>332.5</v>
      </c>
      <c r="D2115" s="116">
        <v>331.6</v>
      </c>
      <c r="E2115" s="116">
        <v>332.3</v>
      </c>
      <c r="F2115" s="116">
        <v>332.5</v>
      </c>
      <c r="G2115">
        <v>106183</v>
      </c>
      <c r="H2115" s="116"/>
      <c r="I2115" s="116"/>
      <c r="L2115" s="170">
        <v>45120</v>
      </c>
      <c r="M2115" s="116">
        <v>330.7</v>
      </c>
      <c r="N2115" s="116">
        <v>334</v>
      </c>
      <c r="O2115" s="116">
        <v>327.95</v>
      </c>
      <c r="P2115" s="116">
        <v>333.35</v>
      </c>
      <c r="Q2115" s="116">
        <v>330.7</v>
      </c>
      <c r="R2115">
        <v>1090510</v>
      </c>
    </row>
    <row r="2116" spans="1:18" x14ac:dyDescent="0.25">
      <c r="A2116" s="170">
        <v>45120</v>
      </c>
      <c r="B2116" s="116">
        <v>334</v>
      </c>
      <c r="C2116" s="116">
        <v>330.65</v>
      </c>
      <c r="D2116" s="116">
        <v>328</v>
      </c>
      <c r="E2116" s="116">
        <v>332.65</v>
      </c>
      <c r="F2116" s="116">
        <v>330.65</v>
      </c>
      <c r="G2116">
        <v>44665</v>
      </c>
      <c r="H2116" s="116"/>
      <c r="I2116" s="116"/>
      <c r="L2116" s="170">
        <v>45121</v>
      </c>
      <c r="M2116" s="116">
        <v>328.55</v>
      </c>
      <c r="N2116" s="116">
        <v>329</v>
      </c>
      <c r="O2116" s="116">
        <v>324.05</v>
      </c>
      <c r="P2116" s="116">
        <v>326.8</v>
      </c>
      <c r="Q2116" s="116">
        <v>328.55</v>
      </c>
      <c r="R2116">
        <v>563672</v>
      </c>
    </row>
    <row r="2117" spans="1:18" x14ac:dyDescent="0.25">
      <c r="A2117" s="170">
        <v>45121</v>
      </c>
      <c r="B2117" s="116">
        <v>329.4</v>
      </c>
      <c r="C2117" s="116">
        <v>328.7</v>
      </c>
      <c r="D2117" s="116">
        <v>324</v>
      </c>
      <c r="E2117" s="116">
        <v>326.55</v>
      </c>
      <c r="F2117" s="116">
        <v>328.7</v>
      </c>
      <c r="G2117">
        <v>38893</v>
      </c>
      <c r="H2117" s="116"/>
      <c r="I2117" s="116"/>
      <c r="L2117" s="170">
        <v>45124</v>
      </c>
      <c r="M2117" s="116">
        <v>323.95</v>
      </c>
      <c r="N2117" s="116">
        <v>327.95</v>
      </c>
      <c r="O2117" s="116">
        <v>323</v>
      </c>
      <c r="P2117" s="116">
        <v>327.5</v>
      </c>
      <c r="Q2117" s="116">
        <v>323.95</v>
      </c>
      <c r="R2117">
        <v>720807</v>
      </c>
    </row>
    <row r="2118" spans="1:18" x14ac:dyDescent="0.25">
      <c r="A2118" s="170">
        <v>45124</v>
      </c>
      <c r="B2118" s="116">
        <v>327.3</v>
      </c>
      <c r="C2118" s="116">
        <v>323.8</v>
      </c>
      <c r="D2118" s="116">
        <v>322.95</v>
      </c>
      <c r="E2118" s="116">
        <v>325.10000000000002</v>
      </c>
      <c r="F2118" s="116">
        <v>323.8</v>
      </c>
      <c r="G2118">
        <v>144642</v>
      </c>
      <c r="H2118" s="116"/>
      <c r="I2118" s="116"/>
      <c r="L2118" s="170">
        <v>45125</v>
      </c>
      <c r="M2118" s="116">
        <v>320.3</v>
      </c>
      <c r="N2118" s="116">
        <v>325.14999999999998</v>
      </c>
      <c r="O2118" s="116">
        <v>318.5</v>
      </c>
      <c r="P2118" s="116">
        <v>325.14999999999998</v>
      </c>
      <c r="Q2118" s="116">
        <v>320.3</v>
      </c>
      <c r="R2118">
        <v>442325</v>
      </c>
    </row>
    <row r="2119" spans="1:18" x14ac:dyDescent="0.25">
      <c r="A2119" s="170">
        <v>45125</v>
      </c>
      <c r="B2119" s="116">
        <v>325</v>
      </c>
      <c r="C2119" s="116">
        <v>320.2</v>
      </c>
      <c r="D2119" s="116">
        <v>318.39999999999998</v>
      </c>
      <c r="E2119" s="116">
        <v>324.05</v>
      </c>
      <c r="F2119" s="116">
        <v>320.2</v>
      </c>
      <c r="G2119">
        <v>31320</v>
      </c>
      <c r="H2119" s="116"/>
      <c r="I2119" s="116"/>
      <c r="L2119" s="170">
        <v>45126</v>
      </c>
      <c r="M2119" s="116">
        <v>323.25</v>
      </c>
      <c r="N2119" s="116">
        <v>328</v>
      </c>
      <c r="O2119" s="116">
        <v>318.7</v>
      </c>
      <c r="P2119" s="116">
        <v>320</v>
      </c>
      <c r="Q2119" s="116">
        <v>323.25</v>
      </c>
      <c r="R2119">
        <v>607414</v>
      </c>
    </row>
    <row r="2120" spans="1:18" x14ac:dyDescent="0.25">
      <c r="A2120" s="170">
        <v>45126</v>
      </c>
      <c r="B2120" s="116">
        <v>328</v>
      </c>
      <c r="C2120" s="116">
        <v>323.10000000000002</v>
      </c>
      <c r="D2120" s="116">
        <v>318.45</v>
      </c>
      <c r="E2120" s="116">
        <v>319</v>
      </c>
      <c r="F2120" s="116">
        <v>323.10000000000002</v>
      </c>
      <c r="G2120">
        <v>39052</v>
      </c>
      <c r="H2120" s="116"/>
      <c r="I2120" s="116"/>
      <c r="L2120" s="170">
        <v>45127</v>
      </c>
      <c r="M2120" s="116">
        <v>323.14999999999998</v>
      </c>
      <c r="N2120" s="116">
        <v>324.64999999999998</v>
      </c>
      <c r="O2120" s="116">
        <v>322</v>
      </c>
      <c r="P2120" s="116">
        <v>324.64999999999998</v>
      </c>
      <c r="Q2120" s="116">
        <v>323.14999999999998</v>
      </c>
      <c r="R2120">
        <v>208681</v>
      </c>
    </row>
    <row r="2121" spans="1:18" x14ac:dyDescent="0.25">
      <c r="A2121" s="170">
        <v>45127</v>
      </c>
      <c r="B2121" s="116">
        <v>324.35000000000002</v>
      </c>
      <c r="C2121" s="116">
        <v>322.95</v>
      </c>
      <c r="D2121" s="116">
        <v>321.89999999999998</v>
      </c>
      <c r="E2121" s="116">
        <v>323.14999999999998</v>
      </c>
      <c r="F2121" s="116">
        <v>322.95</v>
      </c>
      <c r="G2121">
        <v>23100</v>
      </c>
      <c r="H2121" s="116"/>
      <c r="I2121" s="116"/>
      <c r="L2121" s="170">
        <v>45128</v>
      </c>
      <c r="M2121" s="116">
        <v>318.14999999999998</v>
      </c>
      <c r="N2121" s="116">
        <v>323.60000000000002</v>
      </c>
      <c r="O2121" s="116">
        <v>315.60000000000002</v>
      </c>
      <c r="P2121" s="116">
        <v>323.60000000000002</v>
      </c>
      <c r="Q2121" s="116">
        <v>318.14999999999998</v>
      </c>
      <c r="R2121">
        <v>950300</v>
      </c>
    </row>
    <row r="2122" spans="1:18" x14ac:dyDescent="0.25">
      <c r="A2122" s="170">
        <v>45128</v>
      </c>
      <c r="B2122" s="116">
        <v>323.25</v>
      </c>
      <c r="C2122" s="116">
        <v>318.2</v>
      </c>
      <c r="D2122" s="116">
        <v>315.64999999999998</v>
      </c>
      <c r="E2122" s="116">
        <v>323.2</v>
      </c>
      <c r="F2122" s="116">
        <v>318.2</v>
      </c>
      <c r="G2122">
        <v>51201</v>
      </c>
      <c r="H2122" s="116"/>
      <c r="I2122" s="116"/>
      <c r="L2122" s="170">
        <v>45131</v>
      </c>
      <c r="M2122" s="116">
        <v>316.55</v>
      </c>
      <c r="N2122" s="116">
        <v>318</v>
      </c>
      <c r="O2122" s="116">
        <v>313</v>
      </c>
      <c r="P2122" s="116">
        <v>315</v>
      </c>
      <c r="Q2122" s="116">
        <v>316.55</v>
      </c>
      <c r="R2122">
        <v>763349</v>
      </c>
    </row>
    <row r="2123" spans="1:18" x14ac:dyDescent="0.25">
      <c r="A2123" s="170">
        <v>45131</v>
      </c>
      <c r="B2123" s="116">
        <v>317.7</v>
      </c>
      <c r="C2123" s="116">
        <v>316.8</v>
      </c>
      <c r="D2123" s="116">
        <v>313</v>
      </c>
      <c r="E2123" s="116">
        <v>315</v>
      </c>
      <c r="F2123" s="116">
        <v>316.8</v>
      </c>
      <c r="G2123">
        <v>116336</v>
      </c>
      <c r="H2123" s="116"/>
      <c r="I2123" s="116"/>
      <c r="L2123" s="170">
        <v>45132</v>
      </c>
      <c r="M2123" s="116">
        <v>318.05</v>
      </c>
      <c r="N2123" s="116">
        <v>320</v>
      </c>
      <c r="O2123" s="116">
        <v>312</v>
      </c>
      <c r="P2123" s="116">
        <v>316</v>
      </c>
      <c r="Q2123" s="116">
        <v>318.05</v>
      </c>
      <c r="R2123">
        <v>572162</v>
      </c>
    </row>
    <row r="2124" spans="1:18" x14ac:dyDescent="0.25">
      <c r="A2124" s="170">
        <v>45132</v>
      </c>
      <c r="B2124" s="116">
        <v>319.95</v>
      </c>
      <c r="C2124" s="116">
        <v>318.10000000000002</v>
      </c>
      <c r="D2124" s="116">
        <v>312.05</v>
      </c>
      <c r="E2124" s="116">
        <v>316</v>
      </c>
      <c r="F2124" s="116">
        <v>318.10000000000002</v>
      </c>
      <c r="G2124">
        <v>93861</v>
      </c>
      <c r="H2124" s="116"/>
      <c r="I2124" s="116"/>
      <c r="L2124" s="170">
        <v>45133</v>
      </c>
      <c r="M2124" s="116">
        <v>319.85000000000002</v>
      </c>
      <c r="N2124" s="116">
        <v>322.45</v>
      </c>
      <c r="O2124" s="116">
        <v>318</v>
      </c>
      <c r="P2124" s="116">
        <v>320</v>
      </c>
      <c r="Q2124" s="116">
        <v>319.85000000000002</v>
      </c>
      <c r="R2124">
        <v>562029</v>
      </c>
    </row>
    <row r="2125" spans="1:18" x14ac:dyDescent="0.25">
      <c r="A2125" s="170">
        <v>45133</v>
      </c>
      <c r="B2125" s="116">
        <v>322.45</v>
      </c>
      <c r="C2125" s="116">
        <v>319.95</v>
      </c>
      <c r="D2125" s="116">
        <v>317.8</v>
      </c>
      <c r="E2125" s="116">
        <v>320</v>
      </c>
      <c r="F2125" s="116">
        <v>319.95</v>
      </c>
      <c r="G2125">
        <v>90826</v>
      </c>
      <c r="H2125" s="116"/>
      <c r="I2125" s="116"/>
      <c r="L2125" s="170">
        <v>45134</v>
      </c>
      <c r="M2125" s="116">
        <v>320.39999999999998</v>
      </c>
      <c r="N2125" s="116">
        <v>321.95</v>
      </c>
      <c r="O2125" s="116">
        <v>314.85000000000002</v>
      </c>
      <c r="P2125" s="116">
        <v>321.10000000000002</v>
      </c>
      <c r="Q2125" s="116">
        <v>320.39999999999998</v>
      </c>
      <c r="R2125">
        <v>816751</v>
      </c>
    </row>
    <row r="2126" spans="1:18" x14ac:dyDescent="0.25">
      <c r="A2126" s="170">
        <v>45134</v>
      </c>
      <c r="B2126" s="116">
        <v>322</v>
      </c>
      <c r="C2126" s="116">
        <v>320.45</v>
      </c>
      <c r="D2126" s="116">
        <v>315</v>
      </c>
      <c r="E2126" s="116">
        <v>320</v>
      </c>
      <c r="F2126" s="116">
        <v>320.45</v>
      </c>
      <c r="G2126">
        <v>92712</v>
      </c>
      <c r="H2126" s="116"/>
      <c r="I2126" s="116"/>
      <c r="L2126" s="170">
        <v>45135</v>
      </c>
      <c r="M2126" s="116">
        <v>320.14999999999998</v>
      </c>
      <c r="N2126" s="116">
        <v>320.89999999999998</v>
      </c>
      <c r="O2126" s="116">
        <v>316.89999999999998</v>
      </c>
      <c r="P2126" s="116">
        <v>320.39999999999998</v>
      </c>
      <c r="Q2126" s="116">
        <v>320.14999999999998</v>
      </c>
      <c r="R2126">
        <v>497223</v>
      </c>
    </row>
    <row r="2127" spans="1:18" x14ac:dyDescent="0.25">
      <c r="A2127" s="170">
        <v>45135</v>
      </c>
      <c r="B2127" s="116">
        <v>321.2</v>
      </c>
      <c r="C2127" s="116">
        <v>320.10000000000002</v>
      </c>
      <c r="D2127" s="116">
        <v>317</v>
      </c>
      <c r="E2127" s="116">
        <v>321.2</v>
      </c>
      <c r="F2127" s="116">
        <v>320.10000000000002</v>
      </c>
      <c r="G2127">
        <v>56932</v>
      </c>
      <c r="H2127" s="116"/>
      <c r="I2127" s="116"/>
      <c r="L2127" s="170">
        <v>45138</v>
      </c>
      <c r="M2127" s="116">
        <v>321.95</v>
      </c>
      <c r="N2127" s="116">
        <v>323</v>
      </c>
      <c r="O2127" s="116">
        <v>318.2</v>
      </c>
      <c r="P2127" s="116">
        <v>320.3</v>
      </c>
      <c r="Q2127" s="116">
        <v>321.95</v>
      </c>
      <c r="R2127">
        <v>632384</v>
      </c>
    </row>
    <row r="2128" spans="1:18" x14ac:dyDescent="0.25">
      <c r="A2128" s="170">
        <v>45138</v>
      </c>
      <c r="B2128" s="116">
        <v>322.89999999999998</v>
      </c>
      <c r="C2128" s="116">
        <v>321.64999999999998</v>
      </c>
      <c r="D2128" s="116">
        <v>318.39999999999998</v>
      </c>
      <c r="E2128" s="116">
        <v>319.14999999999998</v>
      </c>
      <c r="F2128" s="116">
        <v>321.64999999999998</v>
      </c>
      <c r="G2128">
        <v>34782</v>
      </c>
      <c r="H2128" s="116"/>
      <c r="I2128" s="116"/>
      <c r="L2128" s="170">
        <v>45139</v>
      </c>
      <c r="M2128" s="116">
        <v>322.25</v>
      </c>
      <c r="N2128" s="116">
        <v>324.35000000000002</v>
      </c>
      <c r="O2128" s="116">
        <v>320.39999999999998</v>
      </c>
      <c r="P2128" s="116">
        <v>323.55</v>
      </c>
      <c r="Q2128" s="116">
        <v>322.25</v>
      </c>
      <c r="R2128">
        <v>406743</v>
      </c>
    </row>
    <row r="2129" spans="1:18" x14ac:dyDescent="0.25">
      <c r="A2129" s="170">
        <v>45139</v>
      </c>
      <c r="B2129" s="116">
        <v>324.05</v>
      </c>
      <c r="C2129" s="116">
        <v>322.3</v>
      </c>
      <c r="D2129" s="116">
        <v>320.7</v>
      </c>
      <c r="E2129" s="116">
        <v>323</v>
      </c>
      <c r="F2129" s="116">
        <v>322.3</v>
      </c>
      <c r="G2129">
        <v>22969</v>
      </c>
      <c r="H2129" s="116"/>
      <c r="I2129" s="116"/>
      <c r="L2129" s="170">
        <v>45140</v>
      </c>
      <c r="M2129" s="116">
        <v>321</v>
      </c>
      <c r="N2129" s="116">
        <v>324.7</v>
      </c>
      <c r="O2129" s="116">
        <v>319.3</v>
      </c>
      <c r="P2129" s="116">
        <v>323</v>
      </c>
      <c r="Q2129" s="116">
        <v>321</v>
      </c>
      <c r="R2129">
        <v>580855</v>
      </c>
    </row>
    <row r="2130" spans="1:18" x14ac:dyDescent="0.25">
      <c r="A2130" s="170">
        <v>45140</v>
      </c>
      <c r="B2130" s="116">
        <v>324.7</v>
      </c>
      <c r="C2130" s="116">
        <v>321.05</v>
      </c>
      <c r="D2130" s="116">
        <v>319.45</v>
      </c>
      <c r="E2130" s="116">
        <v>322.14999999999998</v>
      </c>
      <c r="F2130" s="116">
        <v>321.05</v>
      </c>
      <c r="G2130">
        <v>99763</v>
      </c>
      <c r="H2130" s="116"/>
      <c r="I2130" s="116"/>
      <c r="L2130" s="170">
        <v>45141</v>
      </c>
      <c r="M2130" s="116">
        <v>318.10000000000002</v>
      </c>
      <c r="N2130" s="116">
        <v>322</v>
      </c>
      <c r="O2130" s="116">
        <v>316.10000000000002</v>
      </c>
      <c r="P2130" s="116">
        <v>322</v>
      </c>
      <c r="Q2130" s="116">
        <v>318.10000000000002</v>
      </c>
      <c r="R2130">
        <v>485555</v>
      </c>
    </row>
    <row r="2131" spans="1:18" x14ac:dyDescent="0.25">
      <c r="A2131" s="170">
        <v>45141</v>
      </c>
      <c r="B2131" s="116">
        <v>322.95</v>
      </c>
      <c r="C2131" s="116">
        <v>317.89999999999998</v>
      </c>
      <c r="D2131" s="116">
        <v>316</v>
      </c>
      <c r="E2131" s="116">
        <v>322.95</v>
      </c>
      <c r="F2131" s="116">
        <v>317.89999999999998</v>
      </c>
      <c r="G2131">
        <v>68265</v>
      </c>
      <c r="H2131" s="116"/>
      <c r="I2131" s="116"/>
      <c r="L2131" s="170">
        <v>45142</v>
      </c>
      <c r="M2131" s="116">
        <v>318.2</v>
      </c>
      <c r="N2131" s="116">
        <v>321.5</v>
      </c>
      <c r="O2131" s="116">
        <v>316.75</v>
      </c>
      <c r="P2131" s="116">
        <v>318.89999999999998</v>
      </c>
      <c r="Q2131" s="116">
        <v>318.2</v>
      </c>
      <c r="R2131">
        <v>362429</v>
      </c>
    </row>
    <row r="2132" spans="1:18" x14ac:dyDescent="0.25">
      <c r="A2132" s="170">
        <v>45142</v>
      </c>
      <c r="B2132" s="116">
        <v>321.10000000000002</v>
      </c>
      <c r="C2132" s="116">
        <v>318.25</v>
      </c>
      <c r="D2132" s="116">
        <v>317</v>
      </c>
      <c r="E2132" s="116">
        <v>317.35000000000002</v>
      </c>
      <c r="F2132" s="116">
        <v>318.25</v>
      </c>
      <c r="G2132">
        <v>42546</v>
      </c>
      <c r="H2132" s="116"/>
      <c r="I2132" s="116"/>
      <c r="L2132" s="170">
        <v>45145</v>
      </c>
      <c r="M2132" s="116">
        <v>316.75</v>
      </c>
      <c r="N2132" s="116">
        <v>321.89999999999998</v>
      </c>
      <c r="O2132" s="116">
        <v>316</v>
      </c>
      <c r="P2132" s="116">
        <v>321.89999999999998</v>
      </c>
      <c r="Q2132" s="116">
        <v>316.75</v>
      </c>
      <c r="R2132">
        <v>411143</v>
      </c>
    </row>
    <row r="2133" spans="1:18" x14ac:dyDescent="0.25">
      <c r="A2133" s="170">
        <v>45145</v>
      </c>
      <c r="B2133" s="116">
        <v>320.45</v>
      </c>
      <c r="C2133" s="116">
        <v>316.75</v>
      </c>
      <c r="D2133" s="116">
        <v>316</v>
      </c>
      <c r="E2133" s="116">
        <v>319.3</v>
      </c>
      <c r="F2133" s="116">
        <v>316.75</v>
      </c>
      <c r="G2133">
        <v>64410</v>
      </c>
      <c r="H2133" s="116"/>
      <c r="I2133" s="116"/>
      <c r="L2133" s="170">
        <v>45146</v>
      </c>
      <c r="M2133" s="116">
        <v>319.45</v>
      </c>
      <c r="N2133" s="116">
        <v>320.95</v>
      </c>
      <c r="O2133" s="116">
        <v>315.75</v>
      </c>
      <c r="P2133" s="116">
        <v>319.35000000000002</v>
      </c>
      <c r="Q2133" s="116">
        <v>319.45</v>
      </c>
      <c r="R2133">
        <v>427000</v>
      </c>
    </row>
    <row r="2134" spans="1:18" x14ac:dyDescent="0.25">
      <c r="A2134" s="170">
        <v>45146</v>
      </c>
      <c r="B2134" s="116">
        <v>320.8</v>
      </c>
      <c r="C2134" s="116">
        <v>319.55</v>
      </c>
      <c r="D2134" s="116">
        <v>315.7</v>
      </c>
      <c r="E2134" s="116">
        <v>318.05</v>
      </c>
      <c r="F2134" s="116">
        <v>319.55</v>
      </c>
      <c r="G2134">
        <v>141919</v>
      </c>
      <c r="H2134" s="116"/>
      <c r="I2134" s="116"/>
      <c r="L2134" s="170">
        <v>45147</v>
      </c>
      <c r="M2134" s="116">
        <v>320.60000000000002</v>
      </c>
      <c r="N2134" s="116">
        <v>321</v>
      </c>
      <c r="O2134" s="116">
        <v>318.05</v>
      </c>
      <c r="P2134" s="116">
        <v>319.05</v>
      </c>
      <c r="Q2134" s="116">
        <v>320.60000000000002</v>
      </c>
      <c r="R2134">
        <v>235747</v>
      </c>
    </row>
    <row r="2135" spans="1:18" x14ac:dyDescent="0.25">
      <c r="A2135" s="170">
        <v>45147</v>
      </c>
      <c r="B2135" s="116">
        <v>320.89999999999998</v>
      </c>
      <c r="C2135" s="116">
        <v>320.39999999999998</v>
      </c>
      <c r="D2135" s="116">
        <v>318</v>
      </c>
      <c r="E2135" s="116">
        <v>320.45</v>
      </c>
      <c r="F2135" s="116">
        <v>320.39999999999998</v>
      </c>
      <c r="G2135">
        <v>51686</v>
      </c>
      <c r="H2135" s="116"/>
      <c r="I2135" s="116"/>
      <c r="L2135" s="170">
        <v>45148</v>
      </c>
      <c r="M2135" s="116">
        <v>318.8</v>
      </c>
      <c r="N2135" s="116">
        <v>321.95</v>
      </c>
      <c r="O2135" s="116">
        <v>318</v>
      </c>
      <c r="P2135" s="116">
        <v>320.95</v>
      </c>
      <c r="Q2135" s="116">
        <v>318.8</v>
      </c>
      <c r="R2135">
        <v>225424</v>
      </c>
    </row>
    <row r="2136" spans="1:18" x14ac:dyDescent="0.25">
      <c r="A2136" s="170">
        <v>45148</v>
      </c>
      <c r="B2136" s="116">
        <v>321.5</v>
      </c>
      <c r="C2136" s="116">
        <v>319</v>
      </c>
      <c r="D2136" s="116">
        <v>318</v>
      </c>
      <c r="E2136" s="116">
        <v>320.45</v>
      </c>
      <c r="F2136" s="116">
        <v>319</v>
      </c>
      <c r="G2136">
        <v>22152</v>
      </c>
      <c r="H2136" s="116"/>
      <c r="I2136" s="116"/>
      <c r="L2136" s="170">
        <v>45149</v>
      </c>
      <c r="M2136" s="116">
        <v>316.55</v>
      </c>
      <c r="N2136" s="116">
        <v>320</v>
      </c>
      <c r="O2136" s="116">
        <v>316</v>
      </c>
      <c r="P2136" s="116">
        <v>320</v>
      </c>
      <c r="Q2136" s="116">
        <v>316.55</v>
      </c>
      <c r="R2136">
        <v>279237</v>
      </c>
    </row>
    <row r="2137" spans="1:18" x14ac:dyDescent="0.25">
      <c r="A2137" s="170">
        <v>45149</v>
      </c>
      <c r="B2137" s="116">
        <v>320.75</v>
      </c>
      <c r="C2137" s="116">
        <v>316.39999999999998</v>
      </c>
      <c r="D2137" s="116">
        <v>316</v>
      </c>
      <c r="E2137" s="116">
        <v>320.75</v>
      </c>
      <c r="F2137" s="116">
        <v>316.39999999999998</v>
      </c>
      <c r="G2137">
        <v>58746</v>
      </c>
      <c r="H2137" s="116"/>
      <c r="I2137" s="116"/>
      <c r="L2137" s="170">
        <v>45152</v>
      </c>
      <c r="M2137" s="116">
        <v>316.55</v>
      </c>
      <c r="N2137" s="116">
        <v>317.95</v>
      </c>
      <c r="O2137" s="116">
        <v>314</v>
      </c>
      <c r="P2137" s="116">
        <v>317</v>
      </c>
      <c r="Q2137" s="116">
        <v>316.55</v>
      </c>
      <c r="R2137">
        <v>234103</v>
      </c>
    </row>
    <row r="2138" spans="1:18" x14ac:dyDescent="0.25">
      <c r="A2138" s="170">
        <v>45152</v>
      </c>
      <c r="B2138" s="116">
        <v>318.05</v>
      </c>
      <c r="C2138" s="116">
        <v>316.60000000000002</v>
      </c>
      <c r="D2138" s="116">
        <v>314.10000000000002</v>
      </c>
      <c r="E2138" s="116">
        <v>317.95</v>
      </c>
      <c r="F2138" s="116">
        <v>316.60000000000002</v>
      </c>
      <c r="G2138">
        <v>36111</v>
      </c>
      <c r="H2138" s="116"/>
      <c r="I2138" s="116"/>
      <c r="L2138" s="170">
        <v>45154</v>
      </c>
      <c r="M2138" s="116">
        <v>314.2</v>
      </c>
      <c r="N2138" s="116">
        <v>316.89999999999998</v>
      </c>
      <c r="O2138" s="116">
        <v>314</v>
      </c>
      <c r="P2138" s="116">
        <v>316.8</v>
      </c>
      <c r="Q2138" s="116">
        <v>314.2</v>
      </c>
      <c r="R2138">
        <v>207990</v>
      </c>
    </row>
    <row r="2139" spans="1:18" x14ac:dyDescent="0.25">
      <c r="A2139" s="170">
        <v>45154</v>
      </c>
      <c r="B2139" s="116">
        <v>316.55</v>
      </c>
      <c r="C2139" s="116">
        <v>314.3</v>
      </c>
      <c r="D2139" s="116">
        <v>314</v>
      </c>
      <c r="E2139" s="116">
        <v>315.45</v>
      </c>
      <c r="F2139" s="116">
        <v>314.3</v>
      </c>
      <c r="G2139">
        <v>47387</v>
      </c>
      <c r="H2139" s="116"/>
      <c r="I2139" s="116"/>
      <c r="L2139" s="170">
        <v>45155</v>
      </c>
      <c r="M2139" s="116">
        <v>314</v>
      </c>
      <c r="N2139" s="116">
        <v>317.3</v>
      </c>
      <c r="O2139" s="116">
        <v>313.05</v>
      </c>
      <c r="P2139" s="116">
        <v>314.35000000000002</v>
      </c>
      <c r="Q2139" s="116">
        <v>314</v>
      </c>
      <c r="R2139">
        <v>231013</v>
      </c>
    </row>
    <row r="2140" spans="1:18" x14ac:dyDescent="0.25">
      <c r="A2140" s="170">
        <v>45155</v>
      </c>
      <c r="B2140" s="116">
        <v>317</v>
      </c>
      <c r="C2140" s="116">
        <v>313.95</v>
      </c>
      <c r="D2140" s="116">
        <v>312.85000000000002</v>
      </c>
      <c r="E2140" s="116">
        <v>314.64999999999998</v>
      </c>
      <c r="F2140" s="116">
        <v>313.95</v>
      </c>
      <c r="G2140">
        <v>44852</v>
      </c>
      <c r="H2140" s="116"/>
      <c r="I2140" s="116"/>
      <c r="L2140" s="170">
        <v>45156</v>
      </c>
      <c r="M2140" s="116">
        <v>314.55</v>
      </c>
      <c r="N2140" s="116">
        <v>315.89999999999998</v>
      </c>
      <c r="O2140" s="116">
        <v>312.05</v>
      </c>
      <c r="P2140" s="116">
        <v>314</v>
      </c>
      <c r="Q2140" s="116">
        <v>314.55</v>
      </c>
      <c r="R2140">
        <v>246539</v>
      </c>
    </row>
    <row r="2141" spans="1:18" x14ac:dyDescent="0.25">
      <c r="A2141" s="170">
        <v>45156</v>
      </c>
      <c r="B2141" s="116">
        <v>316.89999999999998</v>
      </c>
      <c r="C2141" s="116">
        <v>314.45</v>
      </c>
      <c r="D2141" s="116">
        <v>312.10000000000002</v>
      </c>
      <c r="E2141" s="116">
        <v>316.89999999999998</v>
      </c>
      <c r="F2141" s="116">
        <v>314.45</v>
      </c>
      <c r="G2141">
        <v>21466</v>
      </c>
      <c r="H2141" s="116"/>
      <c r="I2141" s="116"/>
      <c r="L2141" s="170">
        <v>45159</v>
      </c>
      <c r="M2141" s="116">
        <v>315.10000000000002</v>
      </c>
      <c r="N2141" s="116">
        <v>316.85000000000002</v>
      </c>
      <c r="O2141" s="116">
        <v>312.3</v>
      </c>
      <c r="P2141" s="116">
        <v>316</v>
      </c>
      <c r="Q2141" s="116">
        <v>315.10000000000002</v>
      </c>
      <c r="R2141">
        <v>243071</v>
      </c>
    </row>
    <row r="2142" spans="1:18" x14ac:dyDescent="0.25">
      <c r="A2142" s="170">
        <v>45159</v>
      </c>
      <c r="B2142" s="116">
        <v>316.75</v>
      </c>
      <c r="C2142" s="116">
        <v>315.2</v>
      </c>
      <c r="D2142" s="116">
        <v>312.39999999999998</v>
      </c>
      <c r="E2142" s="116">
        <v>316.75</v>
      </c>
      <c r="F2142" s="116">
        <v>315.2</v>
      </c>
      <c r="G2142">
        <v>18494</v>
      </c>
      <c r="H2142" s="116"/>
      <c r="I2142" s="116"/>
      <c r="L2142" s="170">
        <v>45160</v>
      </c>
      <c r="M2142" s="116">
        <v>316.3</v>
      </c>
      <c r="N2142" s="116">
        <v>316.85000000000002</v>
      </c>
      <c r="O2142" s="116">
        <v>313.5</v>
      </c>
      <c r="P2142" s="116">
        <v>315.89999999999998</v>
      </c>
      <c r="Q2142" s="116">
        <v>316.3</v>
      </c>
      <c r="R2142">
        <v>190788</v>
      </c>
    </row>
    <row r="2143" spans="1:18" x14ac:dyDescent="0.25">
      <c r="A2143" s="170">
        <v>45160</v>
      </c>
      <c r="B2143" s="116">
        <v>316.8</v>
      </c>
      <c r="C2143" s="116">
        <v>316.25</v>
      </c>
      <c r="D2143" s="116">
        <v>314</v>
      </c>
      <c r="E2143" s="116">
        <v>315.45</v>
      </c>
      <c r="F2143" s="116">
        <v>316.25</v>
      </c>
      <c r="G2143">
        <v>51555</v>
      </c>
      <c r="H2143" s="116"/>
      <c r="I2143" s="116"/>
      <c r="L2143" s="170">
        <v>45161</v>
      </c>
      <c r="M2143" s="116">
        <v>314.10000000000002</v>
      </c>
      <c r="N2143" s="116">
        <v>317.5</v>
      </c>
      <c r="O2143" s="116">
        <v>313.60000000000002</v>
      </c>
      <c r="P2143" s="116">
        <v>316.3</v>
      </c>
      <c r="Q2143" s="116">
        <v>314.10000000000002</v>
      </c>
      <c r="R2143">
        <v>322539</v>
      </c>
    </row>
    <row r="2144" spans="1:18" x14ac:dyDescent="0.25">
      <c r="A2144" s="170">
        <v>45161</v>
      </c>
      <c r="B2144" s="116">
        <v>316.95</v>
      </c>
      <c r="C2144" s="116">
        <v>314.05</v>
      </c>
      <c r="D2144" s="116">
        <v>313.7</v>
      </c>
      <c r="E2144" s="116">
        <v>316.95</v>
      </c>
      <c r="F2144" s="116">
        <v>314.05</v>
      </c>
      <c r="G2144">
        <v>20902</v>
      </c>
      <c r="H2144" s="116"/>
      <c r="I2144" s="116"/>
      <c r="L2144" s="170">
        <v>45162</v>
      </c>
      <c r="M2144" s="116">
        <v>316.10000000000002</v>
      </c>
      <c r="N2144" s="116">
        <v>316.75</v>
      </c>
      <c r="O2144" s="116">
        <v>314.10000000000002</v>
      </c>
      <c r="P2144" s="116">
        <v>314.10000000000002</v>
      </c>
      <c r="Q2144" s="116">
        <v>316.10000000000002</v>
      </c>
      <c r="R2144">
        <v>305984</v>
      </c>
    </row>
    <row r="2145" spans="1:18" x14ac:dyDescent="0.25">
      <c r="A2145" s="170">
        <v>45162</v>
      </c>
      <c r="B2145" s="116">
        <v>316.8</v>
      </c>
      <c r="C2145" s="116">
        <v>315.95</v>
      </c>
      <c r="D2145" s="116">
        <v>314</v>
      </c>
      <c r="E2145" s="116">
        <v>314</v>
      </c>
      <c r="F2145" s="116">
        <v>315.95</v>
      </c>
      <c r="G2145">
        <v>13833</v>
      </c>
      <c r="H2145" s="116"/>
      <c r="I2145" s="116"/>
      <c r="L2145" s="170">
        <v>45163</v>
      </c>
      <c r="M2145" s="116">
        <v>314.45</v>
      </c>
      <c r="N2145" s="116">
        <v>318</v>
      </c>
      <c r="O2145" s="116">
        <v>313.3</v>
      </c>
      <c r="P2145" s="116">
        <v>316.95</v>
      </c>
      <c r="Q2145" s="116">
        <v>314.45</v>
      </c>
      <c r="R2145">
        <v>344870</v>
      </c>
    </row>
    <row r="2146" spans="1:18" x14ac:dyDescent="0.25">
      <c r="A2146" s="170">
        <v>45163</v>
      </c>
      <c r="B2146" s="116">
        <v>318</v>
      </c>
      <c r="C2146" s="116">
        <v>314.35000000000002</v>
      </c>
      <c r="D2146" s="116">
        <v>313.2</v>
      </c>
      <c r="E2146" s="116">
        <v>317.95</v>
      </c>
      <c r="F2146" s="116">
        <v>314.35000000000002</v>
      </c>
      <c r="G2146">
        <v>23592</v>
      </c>
      <c r="H2146" s="116"/>
      <c r="I2146" s="116"/>
      <c r="L2146" s="170">
        <v>45166</v>
      </c>
      <c r="M2146" s="116">
        <v>316.2</v>
      </c>
      <c r="N2146" s="116">
        <v>317.3</v>
      </c>
      <c r="O2146" s="116">
        <v>314.10000000000002</v>
      </c>
      <c r="P2146" s="116">
        <v>314.45</v>
      </c>
      <c r="Q2146" s="116">
        <v>316.2</v>
      </c>
      <c r="R2146">
        <v>475282</v>
      </c>
    </row>
    <row r="2147" spans="1:18" x14ac:dyDescent="0.25">
      <c r="A2147" s="170">
        <v>45166</v>
      </c>
      <c r="B2147" s="116">
        <v>317.2</v>
      </c>
      <c r="C2147" s="116">
        <v>316.14999999999998</v>
      </c>
      <c r="D2147" s="116">
        <v>314.05</v>
      </c>
      <c r="E2147" s="116">
        <v>314.05</v>
      </c>
      <c r="F2147" s="116">
        <v>316.14999999999998</v>
      </c>
      <c r="G2147">
        <v>20447</v>
      </c>
      <c r="H2147" s="116"/>
      <c r="I2147" s="116"/>
      <c r="L2147" s="170">
        <v>45167</v>
      </c>
      <c r="M2147" s="116">
        <v>315.39999999999998</v>
      </c>
      <c r="N2147" s="116">
        <v>317.85000000000002</v>
      </c>
      <c r="O2147" s="116">
        <v>314.8</v>
      </c>
      <c r="P2147" s="116">
        <v>317.05</v>
      </c>
      <c r="Q2147" s="116">
        <v>315.39999999999998</v>
      </c>
      <c r="R2147">
        <v>219232</v>
      </c>
    </row>
    <row r="2148" spans="1:18" x14ac:dyDescent="0.25">
      <c r="A2148" s="170">
        <v>45167</v>
      </c>
      <c r="B2148" s="116">
        <v>319.8</v>
      </c>
      <c r="C2148" s="116">
        <v>315.45</v>
      </c>
      <c r="D2148" s="116">
        <v>314.8</v>
      </c>
      <c r="E2148" s="116">
        <v>319.8</v>
      </c>
      <c r="F2148" s="116">
        <v>315.45</v>
      </c>
      <c r="G2148">
        <v>16706</v>
      </c>
      <c r="H2148" s="116"/>
      <c r="I2148" s="116"/>
      <c r="L2148" s="170">
        <v>45168</v>
      </c>
      <c r="M2148" s="116">
        <v>319.95</v>
      </c>
      <c r="N2148" s="116">
        <v>322.5</v>
      </c>
      <c r="O2148" s="116">
        <v>316.10000000000002</v>
      </c>
      <c r="P2148" s="116">
        <v>316.10000000000002</v>
      </c>
      <c r="Q2148" s="116">
        <v>319.95</v>
      </c>
      <c r="R2148">
        <v>567027</v>
      </c>
    </row>
    <row r="2149" spans="1:18" x14ac:dyDescent="0.25">
      <c r="A2149" s="170">
        <v>45168</v>
      </c>
      <c r="B2149" s="116">
        <v>322</v>
      </c>
      <c r="C2149" s="116">
        <v>319.89999999999998</v>
      </c>
      <c r="D2149" s="116">
        <v>316</v>
      </c>
      <c r="E2149" s="116">
        <v>316</v>
      </c>
      <c r="F2149" s="116">
        <v>319.89999999999998</v>
      </c>
      <c r="G2149">
        <v>98716</v>
      </c>
      <c r="H2149" s="116"/>
      <c r="I2149" s="116"/>
      <c r="L2149" s="170">
        <v>45169</v>
      </c>
      <c r="M2149" s="116">
        <v>318.14999999999998</v>
      </c>
      <c r="N2149" s="116">
        <v>321.45</v>
      </c>
      <c r="O2149" s="116">
        <v>317.05</v>
      </c>
      <c r="P2149" s="116">
        <v>321</v>
      </c>
      <c r="Q2149" s="116">
        <v>318.14999999999998</v>
      </c>
      <c r="R2149">
        <v>219124</v>
      </c>
    </row>
    <row r="2150" spans="1:18" x14ac:dyDescent="0.25">
      <c r="A2150" s="170">
        <v>45169</v>
      </c>
      <c r="B2150" s="116">
        <v>321.5</v>
      </c>
      <c r="C2150" s="116">
        <v>318.3</v>
      </c>
      <c r="D2150" s="116">
        <v>317.10000000000002</v>
      </c>
      <c r="E2150" s="116">
        <v>320.05</v>
      </c>
      <c r="F2150" s="116">
        <v>318.3</v>
      </c>
      <c r="G2150">
        <v>26352</v>
      </c>
      <c r="H2150" s="116"/>
      <c r="I2150" s="116"/>
      <c r="L2150" s="170">
        <v>45170</v>
      </c>
      <c r="M2150" s="116">
        <v>319.7</v>
      </c>
      <c r="N2150" s="116">
        <v>322</v>
      </c>
      <c r="O2150" s="116">
        <v>318.14999999999998</v>
      </c>
      <c r="P2150" s="116">
        <v>318.14999999999998</v>
      </c>
      <c r="Q2150" s="116">
        <v>319.7</v>
      </c>
      <c r="R2150">
        <v>281397</v>
      </c>
    </row>
    <row r="2151" spans="1:18" x14ac:dyDescent="0.25">
      <c r="A2151" s="170">
        <v>45170</v>
      </c>
      <c r="B2151" s="116">
        <v>321.5</v>
      </c>
      <c r="C2151" s="116">
        <v>319.7</v>
      </c>
      <c r="D2151" s="116">
        <v>318</v>
      </c>
      <c r="E2151" s="116">
        <v>318</v>
      </c>
      <c r="F2151" s="116">
        <v>319.7</v>
      </c>
      <c r="G2151">
        <v>74714</v>
      </c>
      <c r="H2151" s="116"/>
      <c r="I2151" s="116"/>
      <c r="L2151" s="170">
        <v>45173</v>
      </c>
      <c r="M2151" s="116">
        <v>323.5</v>
      </c>
      <c r="N2151" s="116">
        <v>324.89999999999998</v>
      </c>
      <c r="O2151" s="116">
        <v>319.85000000000002</v>
      </c>
      <c r="P2151" s="116">
        <v>320</v>
      </c>
      <c r="Q2151" s="116">
        <v>323.5</v>
      </c>
      <c r="R2151">
        <v>667679</v>
      </c>
    </row>
    <row r="2152" spans="1:18" x14ac:dyDescent="0.25">
      <c r="A2152" s="170">
        <v>45173</v>
      </c>
      <c r="B2152" s="116">
        <v>324.89999999999998</v>
      </c>
      <c r="C2152" s="116">
        <v>323.55</v>
      </c>
      <c r="D2152" s="116">
        <v>319.7</v>
      </c>
      <c r="E2152" s="116">
        <v>319.7</v>
      </c>
      <c r="F2152" s="116">
        <v>323.55</v>
      </c>
      <c r="G2152">
        <v>47372</v>
      </c>
      <c r="H2152" s="116"/>
      <c r="I2152" s="116"/>
      <c r="L2152" s="170">
        <v>45174</v>
      </c>
      <c r="M2152" s="116">
        <v>324</v>
      </c>
      <c r="N2152" s="116">
        <v>326.45</v>
      </c>
      <c r="O2152" s="116">
        <v>320.64999999999998</v>
      </c>
      <c r="P2152" s="116">
        <v>325</v>
      </c>
      <c r="Q2152" s="116">
        <v>324</v>
      </c>
      <c r="R2152">
        <v>535157</v>
      </c>
    </row>
    <row r="2153" spans="1:18" x14ac:dyDescent="0.25">
      <c r="A2153" s="170">
        <v>45174</v>
      </c>
      <c r="B2153" s="116">
        <v>326</v>
      </c>
      <c r="C2153" s="116">
        <v>323.95</v>
      </c>
      <c r="D2153" s="116">
        <v>320.64999999999998</v>
      </c>
      <c r="E2153" s="116">
        <v>324.3</v>
      </c>
      <c r="F2153" s="116">
        <v>323.95</v>
      </c>
      <c r="G2153">
        <v>93328</v>
      </c>
      <c r="H2153" s="116"/>
      <c r="I2153" s="116"/>
      <c r="L2153" s="170">
        <v>45175</v>
      </c>
      <c r="M2153" s="116">
        <v>321.45</v>
      </c>
      <c r="N2153" s="116">
        <v>325</v>
      </c>
      <c r="O2153" s="116">
        <v>321</v>
      </c>
      <c r="P2153" s="116">
        <v>325</v>
      </c>
      <c r="Q2153" s="116">
        <v>321.45</v>
      </c>
      <c r="R2153">
        <v>291816</v>
      </c>
    </row>
    <row r="2154" spans="1:18" x14ac:dyDescent="0.25">
      <c r="A2154" s="170">
        <v>45175</v>
      </c>
      <c r="B2154" s="116">
        <v>325</v>
      </c>
      <c r="C2154" s="116">
        <v>321.5</v>
      </c>
      <c r="D2154" s="116">
        <v>321</v>
      </c>
      <c r="E2154" s="116">
        <v>324.05</v>
      </c>
      <c r="F2154" s="116">
        <v>321.5</v>
      </c>
      <c r="G2154">
        <v>18595</v>
      </c>
      <c r="H2154" s="116"/>
      <c r="I2154" s="116"/>
      <c r="L2154" s="170">
        <v>45176</v>
      </c>
      <c r="M2154" s="116">
        <v>320.89999999999998</v>
      </c>
      <c r="N2154" s="116">
        <v>322.95</v>
      </c>
      <c r="O2154" s="116">
        <v>319</v>
      </c>
      <c r="P2154" s="116">
        <v>322</v>
      </c>
      <c r="Q2154" s="116">
        <v>320.89999999999998</v>
      </c>
      <c r="R2154">
        <v>263613</v>
      </c>
    </row>
    <row r="2155" spans="1:18" x14ac:dyDescent="0.25">
      <c r="A2155" s="170">
        <v>45176</v>
      </c>
      <c r="B2155" s="116">
        <v>323.2</v>
      </c>
      <c r="C2155" s="116">
        <v>320.89999999999998</v>
      </c>
      <c r="D2155" s="116">
        <v>319.25</v>
      </c>
      <c r="E2155" s="116">
        <v>321.55</v>
      </c>
      <c r="F2155" s="116">
        <v>320.89999999999998</v>
      </c>
      <c r="G2155">
        <v>60685</v>
      </c>
      <c r="H2155" s="116"/>
      <c r="I2155" s="116"/>
      <c r="L2155" s="170">
        <v>45177</v>
      </c>
      <c r="M2155" s="116">
        <v>320.2</v>
      </c>
      <c r="N2155" s="116">
        <v>322.85000000000002</v>
      </c>
      <c r="O2155" s="116">
        <v>320</v>
      </c>
      <c r="P2155" s="116">
        <v>322</v>
      </c>
      <c r="Q2155" s="116">
        <v>320.2</v>
      </c>
      <c r="R2155">
        <v>295099</v>
      </c>
    </row>
    <row r="2156" spans="1:18" x14ac:dyDescent="0.25">
      <c r="A2156" s="170">
        <v>45177</v>
      </c>
      <c r="B2156" s="116">
        <v>322.85000000000002</v>
      </c>
      <c r="C2156" s="116">
        <v>320.3</v>
      </c>
      <c r="D2156" s="116">
        <v>320</v>
      </c>
      <c r="E2156" s="116">
        <v>320.95</v>
      </c>
      <c r="F2156" s="116">
        <v>320.3</v>
      </c>
      <c r="G2156">
        <v>55874</v>
      </c>
      <c r="H2156" s="116"/>
      <c r="I2156" s="116"/>
      <c r="L2156" s="170">
        <v>45180</v>
      </c>
      <c r="M2156" s="116">
        <v>319.95</v>
      </c>
      <c r="N2156" s="116">
        <v>322</v>
      </c>
      <c r="O2156" s="116">
        <v>318.8</v>
      </c>
      <c r="P2156" s="116">
        <v>320.60000000000002</v>
      </c>
      <c r="Q2156" s="116">
        <v>319.95</v>
      </c>
      <c r="R2156">
        <v>391440</v>
      </c>
    </row>
    <row r="2157" spans="1:18" x14ac:dyDescent="0.25">
      <c r="A2157" s="170">
        <v>45180</v>
      </c>
      <c r="B2157" s="116">
        <v>321.89999999999998</v>
      </c>
      <c r="C2157" s="116">
        <v>320</v>
      </c>
      <c r="D2157" s="116">
        <v>318.75</v>
      </c>
      <c r="E2157" s="116">
        <v>320</v>
      </c>
      <c r="F2157" s="116">
        <v>320</v>
      </c>
      <c r="G2157">
        <v>83522</v>
      </c>
      <c r="H2157" s="116"/>
      <c r="I2157" s="116"/>
      <c r="L2157" s="170">
        <v>45181</v>
      </c>
      <c r="M2157" s="116">
        <v>315.2</v>
      </c>
      <c r="N2157" s="116">
        <v>322</v>
      </c>
      <c r="O2157" s="116">
        <v>314.55</v>
      </c>
      <c r="P2157" s="116">
        <v>321.95</v>
      </c>
      <c r="Q2157" s="116">
        <v>315.2</v>
      </c>
      <c r="R2157">
        <v>388769</v>
      </c>
    </row>
    <row r="2158" spans="1:18" x14ac:dyDescent="0.25">
      <c r="A2158" s="170">
        <v>45181</v>
      </c>
      <c r="B2158" s="116">
        <v>321.85000000000002</v>
      </c>
      <c r="C2158" s="116">
        <v>315.3</v>
      </c>
      <c r="D2158" s="116">
        <v>314.8</v>
      </c>
      <c r="E2158" s="116">
        <v>321</v>
      </c>
      <c r="F2158" s="116">
        <v>315.3</v>
      </c>
      <c r="G2158">
        <v>91130</v>
      </c>
      <c r="H2158" s="116"/>
      <c r="I2158" s="116"/>
      <c r="L2158" s="170">
        <v>45182</v>
      </c>
      <c r="M2158" s="116">
        <v>314.85000000000002</v>
      </c>
      <c r="N2158" s="116">
        <v>316.95</v>
      </c>
      <c r="O2158" s="116">
        <v>312.5</v>
      </c>
      <c r="P2158" s="116">
        <v>316.45</v>
      </c>
      <c r="Q2158" s="116">
        <v>314.85000000000002</v>
      </c>
      <c r="R2158">
        <v>297983</v>
      </c>
    </row>
    <row r="2159" spans="1:18" x14ac:dyDescent="0.25">
      <c r="A2159" s="170">
        <v>45182</v>
      </c>
      <c r="B2159" s="116">
        <v>316.85000000000002</v>
      </c>
      <c r="C2159" s="116">
        <v>314.75</v>
      </c>
      <c r="D2159" s="116">
        <v>312.10000000000002</v>
      </c>
      <c r="E2159" s="116">
        <v>316.05</v>
      </c>
      <c r="F2159" s="116">
        <v>314.75</v>
      </c>
      <c r="G2159">
        <v>86010</v>
      </c>
      <c r="H2159" s="116"/>
      <c r="I2159" s="116"/>
      <c r="L2159" s="170">
        <v>45183</v>
      </c>
      <c r="M2159" s="116">
        <v>321.2</v>
      </c>
      <c r="N2159" s="116">
        <v>322</v>
      </c>
      <c r="O2159" s="116">
        <v>316.39999999999998</v>
      </c>
      <c r="P2159" s="116">
        <v>317.8</v>
      </c>
      <c r="Q2159" s="116">
        <v>321.2</v>
      </c>
      <c r="R2159">
        <v>555890</v>
      </c>
    </row>
    <row r="2160" spans="1:18" x14ac:dyDescent="0.25">
      <c r="A2160" s="170">
        <v>45183</v>
      </c>
      <c r="B2160" s="116">
        <v>322</v>
      </c>
      <c r="C2160" s="116">
        <v>321.05</v>
      </c>
      <c r="D2160" s="116">
        <v>316.45</v>
      </c>
      <c r="E2160" s="116">
        <v>316.45</v>
      </c>
      <c r="F2160" s="116">
        <v>321.05</v>
      </c>
      <c r="G2160">
        <v>58410</v>
      </c>
      <c r="H2160" s="116"/>
      <c r="I2160" s="116"/>
      <c r="L2160" s="170">
        <v>45184</v>
      </c>
      <c r="M2160" s="116">
        <v>321.5</v>
      </c>
      <c r="N2160" s="116">
        <v>323.5</v>
      </c>
      <c r="O2160" s="116">
        <v>321.2</v>
      </c>
      <c r="P2160" s="116">
        <v>322.95</v>
      </c>
      <c r="Q2160" s="116">
        <v>321.5</v>
      </c>
      <c r="R2160">
        <v>538269</v>
      </c>
    </row>
    <row r="2161" spans="1:18" x14ac:dyDescent="0.25">
      <c r="A2161" s="170">
        <v>45184</v>
      </c>
      <c r="B2161" s="116">
        <v>323.3</v>
      </c>
      <c r="C2161" s="116">
        <v>321.55</v>
      </c>
      <c r="D2161" s="116">
        <v>321.10000000000002</v>
      </c>
      <c r="E2161" s="116">
        <v>323.3</v>
      </c>
      <c r="F2161" s="116">
        <v>321.55</v>
      </c>
      <c r="G2161">
        <v>22282</v>
      </c>
      <c r="H2161" s="116"/>
      <c r="I2161" s="116"/>
      <c r="L2161" s="170">
        <v>45187</v>
      </c>
      <c r="M2161" s="116">
        <v>318.14999999999998</v>
      </c>
      <c r="N2161" s="116">
        <v>322.45</v>
      </c>
      <c r="O2161" s="116">
        <v>317.5</v>
      </c>
      <c r="P2161" s="116">
        <v>322.45</v>
      </c>
      <c r="Q2161" s="116">
        <v>318.14999999999998</v>
      </c>
      <c r="R2161">
        <v>299525</v>
      </c>
    </row>
    <row r="2162" spans="1:18" x14ac:dyDescent="0.25">
      <c r="A2162" s="170">
        <v>45187</v>
      </c>
      <c r="B2162" s="116">
        <v>322.45</v>
      </c>
      <c r="C2162" s="116">
        <v>318.14999999999998</v>
      </c>
      <c r="D2162" s="116">
        <v>317.7</v>
      </c>
      <c r="E2162" s="116">
        <v>321.60000000000002</v>
      </c>
      <c r="F2162" s="116">
        <v>318.14999999999998</v>
      </c>
      <c r="G2162">
        <v>48327</v>
      </c>
      <c r="H2162" s="116"/>
      <c r="I2162" s="116"/>
      <c r="L2162" s="170">
        <v>45189</v>
      </c>
      <c r="M2162" s="116">
        <v>315.60000000000002</v>
      </c>
      <c r="N2162" s="116">
        <v>318.89999999999998</v>
      </c>
      <c r="O2162" s="116">
        <v>314.8</v>
      </c>
      <c r="P2162" s="116">
        <v>318.14999999999998</v>
      </c>
      <c r="Q2162" s="116">
        <v>315.60000000000002</v>
      </c>
      <c r="R2162">
        <v>239370</v>
      </c>
    </row>
    <row r="2163" spans="1:18" x14ac:dyDescent="0.25">
      <c r="A2163" s="170">
        <v>45189</v>
      </c>
      <c r="B2163" s="116">
        <v>318.7</v>
      </c>
      <c r="C2163" s="116">
        <v>315.39999999999998</v>
      </c>
      <c r="D2163" s="116">
        <v>314.75</v>
      </c>
      <c r="E2163" s="116">
        <v>317.14999999999998</v>
      </c>
      <c r="F2163" s="116">
        <v>315.39999999999998</v>
      </c>
      <c r="G2163">
        <v>44340</v>
      </c>
      <c r="H2163" s="116"/>
      <c r="I2163" s="116"/>
      <c r="L2163" s="170">
        <v>45190</v>
      </c>
      <c r="M2163" s="116">
        <v>313.39999999999998</v>
      </c>
      <c r="N2163" s="116">
        <v>316</v>
      </c>
      <c r="O2163" s="116">
        <v>312.14999999999998</v>
      </c>
      <c r="P2163" s="116">
        <v>315.60000000000002</v>
      </c>
      <c r="Q2163" s="116">
        <v>313.39999999999998</v>
      </c>
      <c r="R2163">
        <v>233391</v>
      </c>
    </row>
    <row r="2164" spans="1:18" x14ac:dyDescent="0.25">
      <c r="A2164" s="170">
        <v>45190</v>
      </c>
      <c r="B2164" s="116">
        <v>315.39999999999998</v>
      </c>
      <c r="C2164" s="116">
        <v>313.60000000000002</v>
      </c>
      <c r="D2164" s="116">
        <v>312.05</v>
      </c>
      <c r="E2164" s="116">
        <v>315.05</v>
      </c>
      <c r="F2164" s="116">
        <v>313.60000000000002</v>
      </c>
      <c r="G2164">
        <v>15817</v>
      </c>
      <c r="H2164" s="116"/>
      <c r="I2164" s="116"/>
      <c r="L2164" s="170">
        <v>45191</v>
      </c>
      <c r="M2164" s="116">
        <v>313.8</v>
      </c>
      <c r="N2164" s="116">
        <v>314.95</v>
      </c>
      <c r="O2164" s="116">
        <v>312.05</v>
      </c>
      <c r="P2164" s="116">
        <v>313.95</v>
      </c>
      <c r="Q2164" s="116">
        <v>313.8</v>
      </c>
      <c r="R2164">
        <v>195355</v>
      </c>
    </row>
    <row r="2165" spans="1:18" x14ac:dyDescent="0.25">
      <c r="A2165" s="170">
        <v>45191</v>
      </c>
      <c r="B2165" s="116">
        <v>314.95</v>
      </c>
      <c r="C2165" s="116">
        <v>313.7</v>
      </c>
      <c r="D2165" s="116">
        <v>312.10000000000002</v>
      </c>
      <c r="E2165" s="116">
        <v>314.95</v>
      </c>
      <c r="F2165" s="116">
        <v>313.7</v>
      </c>
      <c r="G2165">
        <v>38080</v>
      </c>
      <c r="H2165" s="116"/>
      <c r="I2165" s="116"/>
      <c r="L2165" s="170">
        <v>45194</v>
      </c>
      <c r="M2165" s="116">
        <v>313.3</v>
      </c>
      <c r="N2165" s="116">
        <v>315.45</v>
      </c>
      <c r="O2165" s="116">
        <v>309.2</v>
      </c>
      <c r="P2165" s="116">
        <v>315.45</v>
      </c>
      <c r="Q2165" s="116">
        <v>313.3</v>
      </c>
      <c r="R2165">
        <v>350059</v>
      </c>
    </row>
    <row r="2166" spans="1:18" x14ac:dyDescent="0.25">
      <c r="A2166" s="170">
        <v>45194</v>
      </c>
      <c r="B2166" s="116">
        <v>317.5</v>
      </c>
      <c r="C2166" s="116">
        <v>313.55</v>
      </c>
      <c r="D2166" s="116">
        <v>309.3</v>
      </c>
      <c r="E2166" s="116">
        <v>316.05</v>
      </c>
      <c r="F2166" s="116">
        <v>313.55</v>
      </c>
      <c r="G2166">
        <v>24373</v>
      </c>
      <c r="H2166" s="116"/>
      <c r="I2166" s="116"/>
      <c r="L2166" s="170">
        <v>45195</v>
      </c>
      <c r="M2166" s="116">
        <v>311.45</v>
      </c>
      <c r="N2166" s="116">
        <v>316.5</v>
      </c>
      <c r="O2166" s="116">
        <v>310.05</v>
      </c>
      <c r="P2166" s="116">
        <v>314.85000000000002</v>
      </c>
      <c r="Q2166" s="116">
        <v>311.45</v>
      </c>
      <c r="R2166">
        <v>276885</v>
      </c>
    </row>
    <row r="2167" spans="1:18" x14ac:dyDescent="0.25">
      <c r="A2167" s="170">
        <v>45195</v>
      </c>
      <c r="B2167" s="116">
        <v>316.5</v>
      </c>
      <c r="C2167" s="116">
        <v>311.55</v>
      </c>
      <c r="D2167" s="116">
        <v>310.95</v>
      </c>
      <c r="E2167" s="116">
        <v>314.05</v>
      </c>
      <c r="F2167" s="116">
        <v>311.55</v>
      </c>
      <c r="G2167">
        <v>46964</v>
      </c>
      <c r="H2167" s="116"/>
      <c r="I2167" s="116"/>
      <c r="L2167" s="170">
        <v>45196</v>
      </c>
      <c r="M2167" s="116">
        <v>311</v>
      </c>
      <c r="N2167" s="116">
        <v>312</v>
      </c>
      <c r="O2167" s="116">
        <v>309.2</v>
      </c>
      <c r="P2167" s="116">
        <v>312</v>
      </c>
      <c r="Q2167" s="116">
        <v>311</v>
      </c>
      <c r="R2167">
        <v>199242</v>
      </c>
    </row>
    <row r="2168" spans="1:18" x14ac:dyDescent="0.25">
      <c r="A2168" s="170">
        <v>45196</v>
      </c>
      <c r="B2168" s="116">
        <v>311.85000000000002</v>
      </c>
      <c r="C2168" s="116">
        <v>311</v>
      </c>
      <c r="D2168" s="116">
        <v>308.39999999999998</v>
      </c>
      <c r="E2168" s="116">
        <v>311.60000000000002</v>
      </c>
      <c r="F2168" s="116">
        <v>311</v>
      </c>
      <c r="G2168">
        <v>48440</v>
      </c>
      <c r="H2168" s="116"/>
      <c r="I2168" s="116"/>
      <c r="L2168" s="170">
        <v>45197</v>
      </c>
      <c r="M2168" s="116">
        <v>297.95</v>
      </c>
      <c r="N2168" s="116">
        <v>311.39999999999998</v>
      </c>
      <c r="O2168" s="116">
        <v>294</v>
      </c>
      <c r="P2168" s="116">
        <v>311</v>
      </c>
      <c r="Q2168" s="116">
        <v>297.95</v>
      </c>
      <c r="R2168">
        <v>1140485</v>
      </c>
    </row>
    <row r="2169" spans="1:18" x14ac:dyDescent="0.25">
      <c r="A2169" s="170">
        <v>45197</v>
      </c>
      <c r="B2169" s="116">
        <v>311.45</v>
      </c>
      <c r="C2169" s="116">
        <v>298.89999999999998</v>
      </c>
      <c r="D2169" s="116">
        <v>294</v>
      </c>
      <c r="E2169" s="116">
        <v>311.45</v>
      </c>
      <c r="F2169" s="116">
        <v>298.89999999999998</v>
      </c>
      <c r="G2169">
        <v>122178</v>
      </c>
      <c r="H2169" s="116"/>
      <c r="I2169" s="116"/>
      <c r="L2169" s="170">
        <v>45198</v>
      </c>
      <c r="M2169" s="116">
        <v>308.64999999999998</v>
      </c>
      <c r="N2169" s="116">
        <v>317.5</v>
      </c>
      <c r="O2169" s="116">
        <v>300.2</v>
      </c>
      <c r="P2169" s="116">
        <v>300.3</v>
      </c>
      <c r="Q2169" s="116">
        <v>308.64999999999998</v>
      </c>
      <c r="R2169">
        <v>2289398</v>
      </c>
    </row>
    <row r="2170" spans="1:18" x14ac:dyDescent="0.25">
      <c r="A2170" s="170">
        <v>45198</v>
      </c>
      <c r="B2170" s="116">
        <v>317.45</v>
      </c>
      <c r="C2170" s="116">
        <v>308.8</v>
      </c>
      <c r="D2170" s="116">
        <v>300.5</v>
      </c>
      <c r="E2170" s="116">
        <v>303</v>
      </c>
      <c r="F2170" s="116">
        <v>308.8</v>
      </c>
      <c r="G2170">
        <v>190884</v>
      </c>
      <c r="H2170" s="116"/>
      <c r="I2170" s="116"/>
      <c r="L2170" s="170">
        <v>45202</v>
      </c>
      <c r="M2170" s="116">
        <v>307</v>
      </c>
      <c r="N2170" s="116">
        <v>311.45</v>
      </c>
      <c r="O2170" s="116">
        <v>303.60000000000002</v>
      </c>
      <c r="P2170" s="116">
        <v>308.64999999999998</v>
      </c>
      <c r="Q2170" s="116">
        <v>307</v>
      </c>
      <c r="R2170">
        <v>703140</v>
      </c>
    </row>
    <row r="2171" spans="1:18" x14ac:dyDescent="0.25">
      <c r="A2171" s="170">
        <v>45202</v>
      </c>
      <c r="B2171" s="116">
        <v>311.14999999999998</v>
      </c>
      <c r="C2171" s="116">
        <v>306.85000000000002</v>
      </c>
      <c r="D2171" s="116">
        <v>303.60000000000002</v>
      </c>
      <c r="E2171" s="116">
        <v>309.95</v>
      </c>
      <c r="F2171" s="116">
        <v>306.85000000000002</v>
      </c>
      <c r="G2171">
        <v>103789</v>
      </c>
      <c r="H2171" s="116"/>
      <c r="I2171" s="116"/>
      <c r="L2171" s="170">
        <v>45203</v>
      </c>
      <c r="M2171" s="116">
        <v>308.14999999999998</v>
      </c>
      <c r="N2171" s="116">
        <v>309.39999999999998</v>
      </c>
      <c r="O2171" s="116">
        <v>304.2</v>
      </c>
      <c r="P2171" s="116">
        <v>307</v>
      </c>
      <c r="Q2171" s="116">
        <v>308.14999999999998</v>
      </c>
      <c r="R2171">
        <v>369670</v>
      </c>
    </row>
    <row r="2172" spans="1:18" x14ac:dyDescent="0.25">
      <c r="A2172" s="170">
        <v>45203</v>
      </c>
      <c r="B2172" s="116">
        <v>309.14999999999998</v>
      </c>
      <c r="C2172" s="116">
        <v>308.05</v>
      </c>
      <c r="D2172" s="116">
        <v>304.5</v>
      </c>
      <c r="E2172" s="116">
        <v>306.05</v>
      </c>
      <c r="F2172" s="116">
        <v>308.05</v>
      </c>
      <c r="G2172">
        <v>25904</v>
      </c>
      <c r="H2172" s="116"/>
      <c r="I2172" s="116"/>
      <c r="L2172" s="170">
        <v>45204</v>
      </c>
      <c r="M2172" s="116">
        <v>304.5</v>
      </c>
      <c r="N2172" s="116">
        <v>307.55</v>
      </c>
      <c r="O2172" s="116">
        <v>300.55</v>
      </c>
      <c r="P2172" s="116">
        <v>300.55</v>
      </c>
      <c r="Q2172" s="116">
        <v>304.5</v>
      </c>
      <c r="R2172">
        <v>292298</v>
      </c>
    </row>
    <row r="2173" spans="1:18" x14ac:dyDescent="0.25">
      <c r="A2173" s="170">
        <v>45204</v>
      </c>
      <c r="B2173" s="116">
        <v>307.39999999999998</v>
      </c>
      <c r="C2173" s="116">
        <v>304.8</v>
      </c>
      <c r="D2173" s="116">
        <v>302.60000000000002</v>
      </c>
      <c r="E2173" s="116">
        <v>305.95</v>
      </c>
      <c r="F2173" s="116">
        <v>304.8</v>
      </c>
      <c r="G2173">
        <v>26278</v>
      </c>
      <c r="H2173" s="116"/>
      <c r="I2173" s="116"/>
      <c r="L2173" s="170">
        <v>45205</v>
      </c>
      <c r="M2173" s="116">
        <v>305.55</v>
      </c>
      <c r="N2173" s="116">
        <v>306.85000000000002</v>
      </c>
      <c r="O2173" s="116">
        <v>302.55</v>
      </c>
      <c r="P2173" s="116">
        <v>306.45</v>
      </c>
      <c r="Q2173" s="116">
        <v>305.55</v>
      </c>
      <c r="R2173">
        <v>326063</v>
      </c>
    </row>
    <row r="2174" spans="1:18" x14ac:dyDescent="0.25">
      <c r="A2174" s="170">
        <v>45205</v>
      </c>
      <c r="B2174" s="116">
        <v>306.35000000000002</v>
      </c>
      <c r="C2174" s="116">
        <v>305.64999999999998</v>
      </c>
      <c r="D2174" s="116">
        <v>302.35000000000002</v>
      </c>
      <c r="E2174" s="116">
        <v>305.14999999999998</v>
      </c>
      <c r="F2174" s="116">
        <v>305.64999999999998</v>
      </c>
      <c r="G2174">
        <v>59332</v>
      </c>
      <c r="H2174" s="116"/>
      <c r="I2174" s="116"/>
      <c r="L2174" s="170">
        <v>45208</v>
      </c>
      <c r="M2174" s="116">
        <v>311.8</v>
      </c>
      <c r="N2174" s="116">
        <v>314.5</v>
      </c>
      <c r="O2174" s="116">
        <v>302.8</v>
      </c>
      <c r="P2174" s="116">
        <v>308</v>
      </c>
      <c r="Q2174" s="116">
        <v>311.8</v>
      </c>
      <c r="R2174">
        <v>1103868</v>
      </c>
    </row>
    <row r="2175" spans="1:18" x14ac:dyDescent="0.25">
      <c r="A2175" s="170">
        <v>45208</v>
      </c>
      <c r="B2175" s="116">
        <v>314.39999999999998</v>
      </c>
      <c r="C2175" s="116">
        <v>311.8</v>
      </c>
      <c r="D2175" s="116">
        <v>300</v>
      </c>
      <c r="E2175" s="116">
        <v>302</v>
      </c>
      <c r="F2175" s="116">
        <v>311.8</v>
      </c>
      <c r="G2175">
        <v>146997</v>
      </c>
      <c r="H2175" s="116"/>
      <c r="I2175" s="116"/>
      <c r="L2175" s="170">
        <v>45209</v>
      </c>
      <c r="M2175" s="116">
        <v>317.05</v>
      </c>
      <c r="N2175" s="116">
        <v>317.85000000000002</v>
      </c>
      <c r="O2175" s="116">
        <v>313</v>
      </c>
      <c r="P2175" s="116">
        <v>314.95</v>
      </c>
      <c r="Q2175" s="116">
        <v>317.05</v>
      </c>
      <c r="R2175">
        <v>601029</v>
      </c>
    </row>
    <row r="2176" spans="1:18" x14ac:dyDescent="0.25">
      <c r="A2176" s="170">
        <v>45209</v>
      </c>
      <c r="B2176" s="116">
        <v>318</v>
      </c>
      <c r="C2176" s="116">
        <v>317.10000000000002</v>
      </c>
      <c r="D2176" s="116">
        <v>313</v>
      </c>
      <c r="E2176" s="116">
        <v>313.8</v>
      </c>
      <c r="F2176" s="116">
        <v>317.10000000000002</v>
      </c>
      <c r="G2176">
        <v>98235</v>
      </c>
      <c r="H2176" s="116"/>
      <c r="I2176" s="116"/>
      <c r="L2176" s="170">
        <v>45210</v>
      </c>
      <c r="M2176" s="116">
        <v>317.3</v>
      </c>
      <c r="N2176" s="116">
        <v>319.8</v>
      </c>
      <c r="O2176" s="116">
        <v>312.8</v>
      </c>
      <c r="P2176" s="116">
        <v>318</v>
      </c>
      <c r="Q2176" s="116">
        <v>317.3</v>
      </c>
      <c r="R2176">
        <v>461120</v>
      </c>
    </row>
    <row r="2177" spans="1:18" x14ac:dyDescent="0.25">
      <c r="A2177" s="170">
        <v>45210</v>
      </c>
      <c r="B2177" s="116">
        <v>319.85000000000002</v>
      </c>
      <c r="C2177" s="116">
        <v>317.5</v>
      </c>
      <c r="D2177" s="116">
        <v>313.3</v>
      </c>
      <c r="E2177" s="116">
        <v>317.05</v>
      </c>
      <c r="F2177" s="116">
        <v>317.5</v>
      </c>
      <c r="G2177">
        <v>83224</v>
      </c>
      <c r="H2177" s="116"/>
      <c r="I2177" s="116"/>
      <c r="L2177" s="170">
        <v>45211</v>
      </c>
      <c r="M2177" s="116">
        <v>317.7</v>
      </c>
      <c r="N2177" s="116">
        <v>321.89999999999998</v>
      </c>
      <c r="O2177" s="116">
        <v>315</v>
      </c>
      <c r="P2177" s="116">
        <v>315.64999999999998</v>
      </c>
      <c r="Q2177" s="116">
        <v>317.7</v>
      </c>
      <c r="R2177">
        <v>555523</v>
      </c>
    </row>
    <row r="2178" spans="1:18" x14ac:dyDescent="0.25">
      <c r="A2178" s="170">
        <v>45211</v>
      </c>
      <c r="B2178" s="116">
        <v>321.8</v>
      </c>
      <c r="C2178" s="116">
        <v>317.7</v>
      </c>
      <c r="D2178" s="116">
        <v>315.14999999999998</v>
      </c>
      <c r="E2178" s="116">
        <v>315.89999999999998</v>
      </c>
      <c r="F2178" s="116">
        <v>317.7</v>
      </c>
      <c r="G2178">
        <v>98798</v>
      </c>
      <c r="H2178" s="116"/>
      <c r="I2178" s="116"/>
      <c r="L2178" s="170">
        <v>45212</v>
      </c>
      <c r="M2178" s="116">
        <v>318.60000000000002</v>
      </c>
      <c r="N2178" s="116">
        <v>320.5</v>
      </c>
      <c r="O2178" s="116">
        <v>317.14999999999998</v>
      </c>
      <c r="P2178" s="116">
        <v>317.7</v>
      </c>
      <c r="Q2178" s="116">
        <v>318.60000000000002</v>
      </c>
      <c r="R2178">
        <v>365388</v>
      </c>
    </row>
    <row r="2179" spans="1:18" x14ac:dyDescent="0.25">
      <c r="A2179" s="170">
        <v>45212</v>
      </c>
      <c r="B2179" s="116">
        <v>320.5</v>
      </c>
      <c r="C2179" s="116">
        <v>318.55</v>
      </c>
      <c r="D2179" s="116">
        <v>317.55</v>
      </c>
      <c r="E2179" s="116">
        <v>318</v>
      </c>
      <c r="F2179" s="116">
        <v>318.55</v>
      </c>
      <c r="G2179">
        <v>68899</v>
      </c>
      <c r="H2179" s="116"/>
      <c r="I2179" s="116"/>
      <c r="L2179" s="170">
        <v>45215</v>
      </c>
      <c r="M2179" s="116">
        <v>321.89999999999998</v>
      </c>
      <c r="N2179" s="116">
        <v>324.60000000000002</v>
      </c>
      <c r="O2179" s="116">
        <v>317.60000000000002</v>
      </c>
      <c r="P2179" s="116">
        <v>320.14999999999998</v>
      </c>
      <c r="Q2179" s="116">
        <v>321.89999999999998</v>
      </c>
      <c r="R2179">
        <v>710371</v>
      </c>
    </row>
    <row r="2180" spans="1:18" x14ac:dyDescent="0.25">
      <c r="A2180" s="170">
        <v>45215</v>
      </c>
      <c r="B2180" s="116">
        <v>324.5</v>
      </c>
      <c r="C2180" s="116">
        <v>321.7</v>
      </c>
      <c r="D2180" s="116">
        <v>317.7</v>
      </c>
      <c r="E2180" s="116">
        <v>319.8</v>
      </c>
      <c r="F2180" s="116">
        <v>321.7</v>
      </c>
      <c r="G2180">
        <v>50996</v>
      </c>
      <c r="H2180" s="116"/>
      <c r="I2180" s="116"/>
      <c r="L2180" s="170">
        <v>45216</v>
      </c>
      <c r="M2180" s="116">
        <v>321.2</v>
      </c>
      <c r="N2180" s="116">
        <v>324</v>
      </c>
      <c r="O2180" s="116">
        <v>320.10000000000002</v>
      </c>
      <c r="P2180" s="116">
        <v>323.7</v>
      </c>
      <c r="Q2180" s="116">
        <v>321.2</v>
      </c>
      <c r="R2180">
        <v>473925</v>
      </c>
    </row>
    <row r="2181" spans="1:18" x14ac:dyDescent="0.25">
      <c r="A2181" s="170">
        <v>45216</v>
      </c>
      <c r="B2181" s="116">
        <v>324.14999999999998</v>
      </c>
      <c r="C2181" s="116">
        <v>320.8</v>
      </c>
      <c r="D2181" s="116">
        <v>320</v>
      </c>
      <c r="E2181" s="116">
        <v>323.3</v>
      </c>
      <c r="F2181" s="116">
        <v>320.8</v>
      </c>
      <c r="G2181">
        <v>46120</v>
      </c>
      <c r="H2181" s="116"/>
      <c r="I2181" s="116"/>
      <c r="L2181" s="170">
        <v>45217</v>
      </c>
      <c r="M2181" s="116">
        <v>313.25</v>
      </c>
      <c r="N2181" s="116">
        <v>324.5</v>
      </c>
      <c r="O2181" s="116">
        <v>309.55</v>
      </c>
      <c r="P2181" s="116">
        <v>320.8</v>
      </c>
      <c r="Q2181" s="116">
        <v>313.25</v>
      </c>
      <c r="R2181">
        <v>2046808</v>
      </c>
    </row>
    <row r="2182" spans="1:18" x14ac:dyDescent="0.25">
      <c r="A2182" s="170">
        <v>45217</v>
      </c>
      <c r="B2182" s="116">
        <v>324.39999999999998</v>
      </c>
      <c r="C2182" s="116">
        <v>314.25</v>
      </c>
      <c r="D2182" s="116">
        <v>310</v>
      </c>
      <c r="E2182" s="116">
        <v>321.89999999999998</v>
      </c>
      <c r="F2182" s="116">
        <v>314.25</v>
      </c>
      <c r="G2182">
        <v>32200</v>
      </c>
      <c r="H2182" s="116"/>
      <c r="I2182" s="116"/>
      <c r="L2182" s="170">
        <v>45218</v>
      </c>
      <c r="M2182" s="116">
        <v>314.39999999999998</v>
      </c>
      <c r="N2182" s="116">
        <v>315</v>
      </c>
      <c r="O2182" s="116">
        <v>310</v>
      </c>
      <c r="P2182" s="116">
        <v>310</v>
      </c>
      <c r="Q2182" s="116">
        <v>314.39999999999998</v>
      </c>
      <c r="R2182">
        <v>205302</v>
      </c>
    </row>
    <row r="2183" spans="1:18" x14ac:dyDescent="0.25">
      <c r="A2183" s="170">
        <v>45218</v>
      </c>
      <c r="B2183" s="116">
        <v>314.89999999999998</v>
      </c>
      <c r="C2183" s="116">
        <v>314.3</v>
      </c>
      <c r="D2183" s="116">
        <v>310.14999999999998</v>
      </c>
      <c r="E2183" s="116">
        <v>310.14999999999998</v>
      </c>
      <c r="F2183" s="116">
        <v>314.3</v>
      </c>
      <c r="G2183">
        <v>31122</v>
      </c>
      <c r="H2183" s="116"/>
      <c r="I2183" s="116"/>
      <c r="L2183" s="170">
        <v>45219</v>
      </c>
      <c r="M2183" s="116">
        <v>308.60000000000002</v>
      </c>
      <c r="N2183" s="116">
        <v>315.8</v>
      </c>
      <c r="O2183" s="116">
        <v>300.3</v>
      </c>
      <c r="P2183" s="116">
        <v>314.60000000000002</v>
      </c>
      <c r="Q2183" s="116">
        <v>308.60000000000002</v>
      </c>
      <c r="R2183">
        <v>1532582</v>
      </c>
    </row>
    <row r="2184" spans="1:18" x14ac:dyDescent="0.25">
      <c r="A2184" s="170">
        <v>45219</v>
      </c>
      <c r="B2184" s="116">
        <v>316.2</v>
      </c>
      <c r="C2184" s="116">
        <v>307.45</v>
      </c>
      <c r="D2184" s="116">
        <v>300.2</v>
      </c>
      <c r="E2184" s="116">
        <v>315.7</v>
      </c>
      <c r="F2184" s="116">
        <v>307.45</v>
      </c>
      <c r="G2184">
        <v>93989</v>
      </c>
      <c r="H2184" s="116"/>
      <c r="I2184" s="116"/>
      <c r="L2184" s="170">
        <v>45222</v>
      </c>
      <c r="M2184" s="116">
        <v>303.45</v>
      </c>
      <c r="N2184" s="116">
        <v>307.89999999999998</v>
      </c>
      <c r="O2184" s="116">
        <v>301.89999999999998</v>
      </c>
      <c r="P2184" s="116">
        <v>306</v>
      </c>
      <c r="Q2184" s="116">
        <v>303.45</v>
      </c>
      <c r="R2184">
        <v>499171</v>
      </c>
    </row>
    <row r="2185" spans="1:18" x14ac:dyDescent="0.25">
      <c r="A2185" s="170">
        <v>45222</v>
      </c>
      <c r="B2185" s="116">
        <v>307.45</v>
      </c>
      <c r="C2185" s="116">
        <v>303.45</v>
      </c>
      <c r="D2185" s="116">
        <v>301.75</v>
      </c>
      <c r="E2185" s="116">
        <v>302.5</v>
      </c>
      <c r="F2185" s="116">
        <v>303.45</v>
      </c>
      <c r="G2185">
        <v>23032</v>
      </c>
      <c r="H2185" s="116"/>
      <c r="I2185" s="116"/>
      <c r="L2185" s="170">
        <v>45224</v>
      </c>
      <c r="M2185" s="116">
        <v>299.7</v>
      </c>
      <c r="N2185" s="116">
        <v>307.89999999999998</v>
      </c>
      <c r="O2185" s="116">
        <v>296.60000000000002</v>
      </c>
      <c r="P2185" s="116">
        <v>305.95</v>
      </c>
      <c r="Q2185" s="116">
        <v>299.7</v>
      </c>
      <c r="R2185">
        <v>512926</v>
      </c>
    </row>
    <row r="2186" spans="1:18" x14ac:dyDescent="0.25">
      <c r="A2186" s="170">
        <v>45224</v>
      </c>
      <c r="B2186" s="116">
        <v>307.5</v>
      </c>
      <c r="C2186" s="116">
        <v>299.75</v>
      </c>
      <c r="D2186" s="116">
        <v>296.45</v>
      </c>
      <c r="E2186" s="116">
        <v>306</v>
      </c>
      <c r="F2186" s="116">
        <v>299.75</v>
      </c>
      <c r="G2186">
        <v>66848</v>
      </c>
      <c r="H2186" s="116"/>
      <c r="I2186" s="116"/>
      <c r="L2186" s="170">
        <v>45225</v>
      </c>
      <c r="M2186" s="116">
        <v>294.7</v>
      </c>
      <c r="N2186" s="116">
        <v>299.64999999999998</v>
      </c>
      <c r="O2186" s="116">
        <v>290.5</v>
      </c>
      <c r="P2186" s="116">
        <v>299</v>
      </c>
      <c r="Q2186" s="116">
        <v>294.7</v>
      </c>
      <c r="R2186">
        <v>557107</v>
      </c>
    </row>
    <row r="2187" spans="1:18" x14ac:dyDescent="0.25">
      <c r="A2187" s="170">
        <v>45225</v>
      </c>
      <c r="B2187" s="116">
        <v>299.05</v>
      </c>
      <c r="C2187" s="116">
        <v>294.85000000000002</v>
      </c>
      <c r="D2187" s="116">
        <v>290.55</v>
      </c>
      <c r="E2187" s="116">
        <v>298.05</v>
      </c>
      <c r="F2187" s="116">
        <v>294.85000000000002</v>
      </c>
      <c r="G2187">
        <v>94117</v>
      </c>
      <c r="H2187" s="116"/>
      <c r="I2187" s="116"/>
      <c r="L2187" s="170">
        <v>45226</v>
      </c>
      <c r="M2187" s="116">
        <v>295.8</v>
      </c>
      <c r="N2187" s="116">
        <v>299.7</v>
      </c>
      <c r="O2187" s="116">
        <v>293.35000000000002</v>
      </c>
      <c r="P2187" s="116">
        <v>296.25</v>
      </c>
      <c r="Q2187" s="116">
        <v>295.8</v>
      </c>
      <c r="R2187">
        <v>346211</v>
      </c>
    </row>
    <row r="2188" spans="1:18" x14ac:dyDescent="0.25">
      <c r="A2188" s="170">
        <v>45226</v>
      </c>
      <c r="B2188" s="116">
        <v>299.75</v>
      </c>
      <c r="C2188" s="116">
        <v>295.89999999999998</v>
      </c>
      <c r="D2188" s="116">
        <v>293.25</v>
      </c>
      <c r="E2188" s="116">
        <v>297</v>
      </c>
      <c r="F2188" s="116">
        <v>295.89999999999998</v>
      </c>
      <c r="G2188">
        <v>48637</v>
      </c>
      <c r="H2188" s="116"/>
      <c r="I2188" s="116"/>
      <c r="L2188" s="170">
        <v>45229</v>
      </c>
      <c r="M2188" s="116">
        <v>292.85000000000002</v>
      </c>
      <c r="N2188" s="116">
        <v>295.8</v>
      </c>
      <c r="O2188" s="116">
        <v>291.35000000000002</v>
      </c>
      <c r="P2188" s="116">
        <v>295.8</v>
      </c>
      <c r="Q2188" s="116">
        <v>292.85000000000002</v>
      </c>
      <c r="R2188">
        <v>325580</v>
      </c>
    </row>
    <row r="2189" spans="1:18" x14ac:dyDescent="0.25">
      <c r="A2189" s="170">
        <v>45229</v>
      </c>
      <c r="B2189" s="116">
        <v>295.89999999999998</v>
      </c>
      <c r="C2189" s="116">
        <v>293</v>
      </c>
      <c r="D2189" s="116">
        <v>291.45</v>
      </c>
      <c r="E2189" s="116">
        <v>295.89999999999998</v>
      </c>
      <c r="F2189" s="116">
        <v>293</v>
      </c>
      <c r="G2189">
        <v>44456</v>
      </c>
      <c r="H2189" s="116"/>
      <c r="I2189" s="116"/>
      <c r="L2189" s="170">
        <v>45230</v>
      </c>
      <c r="M2189" s="116">
        <v>295.55</v>
      </c>
      <c r="N2189" s="116">
        <v>297.05</v>
      </c>
      <c r="O2189" s="116">
        <v>293.10000000000002</v>
      </c>
      <c r="P2189" s="116">
        <v>293.45</v>
      </c>
      <c r="Q2189" s="116">
        <v>295.55</v>
      </c>
      <c r="R2189">
        <v>228054</v>
      </c>
    </row>
    <row r="2190" spans="1:18" x14ac:dyDescent="0.25">
      <c r="A2190" s="170">
        <v>45230</v>
      </c>
      <c r="B2190" s="116">
        <v>297.05</v>
      </c>
      <c r="C2190" s="116">
        <v>295.39999999999998</v>
      </c>
      <c r="D2190" s="116">
        <v>293.05</v>
      </c>
      <c r="E2190" s="116">
        <v>293.5</v>
      </c>
      <c r="F2190" s="116">
        <v>295.39999999999998</v>
      </c>
      <c r="G2190">
        <v>35415</v>
      </c>
      <c r="H2190" s="116"/>
      <c r="I2190" s="116"/>
      <c r="L2190" s="170">
        <v>45231</v>
      </c>
      <c r="M2190" s="116">
        <v>292.5</v>
      </c>
      <c r="N2190" s="116">
        <v>296.14999999999998</v>
      </c>
      <c r="O2190" s="116">
        <v>291.14999999999998</v>
      </c>
      <c r="P2190" s="116">
        <v>295.85000000000002</v>
      </c>
      <c r="Q2190" s="116">
        <v>292.5</v>
      </c>
      <c r="R2190">
        <v>315882</v>
      </c>
    </row>
    <row r="2191" spans="1:18" x14ac:dyDescent="0.25">
      <c r="A2191" s="170">
        <v>45231</v>
      </c>
      <c r="B2191" s="116">
        <v>296.10000000000002</v>
      </c>
      <c r="C2191" s="116">
        <v>292.7</v>
      </c>
      <c r="D2191" s="116">
        <v>291.3</v>
      </c>
      <c r="E2191" s="116">
        <v>295.55</v>
      </c>
      <c r="F2191" s="116">
        <v>292.7</v>
      </c>
      <c r="G2191">
        <v>18090</v>
      </c>
      <c r="H2191" s="116"/>
      <c r="I2191" s="116"/>
      <c r="L2191" s="170">
        <v>45232</v>
      </c>
      <c r="M2191" s="116">
        <v>294.3</v>
      </c>
      <c r="N2191" s="116">
        <v>296.5</v>
      </c>
      <c r="O2191" s="116">
        <v>292.5</v>
      </c>
      <c r="P2191" s="116">
        <v>295</v>
      </c>
      <c r="Q2191" s="116">
        <v>294.3</v>
      </c>
      <c r="R2191">
        <v>213238</v>
      </c>
    </row>
    <row r="2192" spans="1:18" x14ac:dyDescent="0.25">
      <c r="A2192" s="170">
        <v>45232</v>
      </c>
      <c r="B2192" s="116">
        <v>296</v>
      </c>
      <c r="C2192" s="116">
        <v>294.25</v>
      </c>
      <c r="D2192" s="116">
        <v>292.5</v>
      </c>
      <c r="E2192" s="116">
        <v>295.35000000000002</v>
      </c>
      <c r="F2192" s="116">
        <v>294.25</v>
      </c>
      <c r="G2192">
        <v>31874</v>
      </c>
      <c r="H2192" s="116"/>
      <c r="I2192" s="116"/>
      <c r="L2192" s="170">
        <v>45233</v>
      </c>
      <c r="M2192" s="116">
        <v>299.10000000000002</v>
      </c>
      <c r="N2192" s="116">
        <v>299.8</v>
      </c>
      <c r="O2192" s="116">
        <v>294.7</v>
      </c>
      <c r="P2192" s="116">
        <v>295.8</v>
      </c>
      <c r="Q2192" s="116">
        <v>299.10000000000002</v>
      </c>
      <c r="R2192">
        <v>211812</v>
      </c>
    </row>
    <row r="2193" spans="1:18" x14ac:dyDescent="0.25">
      <c r="A2193" s="170">
        <v>45233</v>
      </c>
      <c r="B2193" s="116">
        <v>299.5</v>
      </c>
      <c r="C2193" s="116">
        <v>299</v>
      </c>
      <c r="D2193" s="116">
        <v>295</v>
      </c>
      <c r="E2193" s="116">
        <v>296.10000000000002</v>
      </c>
      <c r="F2193" s="116">
        <v>299</v>
      </c>
      <c r="G2193">
        <v>20570</v>
      </c>
      <c r="H2193" s="116"/>
      <c r="I2193" s="116"/>
      <c r="L2193" s="170">
        <v>45236</v>
      </c>
      <c r="M2193" s="116">
        <v>296.05</v>
      </c>
      <c r="N2193" s="116">
        <v>299.7</v>
      </c>
      <c r="O2193" s="116">
        <v>295.3</v>
      </c>
      <c r="P2193" s="116">
        <v>299</v>
      </c>
      <c r="Q2193" s="116">
        <v>296.05</v>
      </c>
      <c r="R2193">
        <v>333777</v>
      </c>
    </row>
    <row r="2194" spans="1:18" x14ac:dyDescent="0.25">
      <c r="A2194" s="170">
        <v>45236</v>
      </c>
      <c r="B2194" s="116">
        <v>302.89999999999998</v>
      </c>
      <c r="C2194" s="116">
        <v>296.3</v>
      </c>
      <c r="D2194" s="116">
        <v>295.05</v>
      </c>
      <c r="E2194" s="116">
        <v>302.89999999999998</v>
      </c>
      <c r="F2194" s="116">
        <v>296.3</v>
      </c>
      <c r="G2194">
        <v>20524</v>
      </c>
      <c r="H2194" s="116"/>
      <c r="I2194" s="116"/>
      <c r="L2194" s="170">
        <v>45237</v>
      </c>
      <c r="M2194" s="116">
        <v>292.75</v>
      </c>
      <c r="N2194" s="116">
        <v>297.5</v>
      </c>
      <c r="O2194" s="116">
        <v>292.10000000000002</v>
      </c>
      <c r="P2194" s="116">
        <v>296.89999999999998</v>
      </c>
      <c r="Q2194" s="116">
        <v>292.75</v>
      </c>
      <c r="R2194">
        <v>393766</v>
      </c>
    </row>
    <row r="2195" spans="1:18" x14ac:dyDescent="0.25">
      <c r="A2195" s="170">
        <v>45237</v>
      </c>
      <c r="B2195" s="116">
        <v>298.95</v>
      </c>
      <c r="C2195" s="116">
        <v>292.85000000000002</v>
      </c>
      <c r="D2195" s="116">
        <v>292.10000000000002</v>
      </c>
      <c r="E2195" s="116">
        <v>298.95</v>
      </c>
      <c r="F2195" s="116">
        <v>292.85000000000002</v>
      </c>
      <c r="G2195">
        <v>52732</v>
      </c>
      <c r="H2195" s="116"/>
      <c r="I2195" s="116"/>
      <c r="L2195" s="170">
        <v>45238</v>
      </c>
      <c r="M2195" s="116">
        <v>297</v>
      </c>
      <c r="N2195" s="116">
        <v>297.5</v>
      </c>
      <c r="O2195" s="116">
        <v>293.8</v>
      </c>
      <c r="P2195" s="116">
        <v>293.8</v>
      </c>
      <c r="Q2195" s="116">
        <v>297</v>
      </c>
      <c r="R2195">
        <v>197817</v>
      </c>
    </row>
    <row r="2196" spans="1:18" x14ac:dyDescent="0.25">
      <c r="A2196" s="170">
        <v>45238</v>
      </c>
      <c r="B2196" s="116">
        <v>297.45</v>
      </c>
      <c r="C2196" s="116">
        <v>296.8</v>
      </c>
      <c r="D2196" s="116">
        <v>293.45</v>
      </c>
      <c r="E2196" s="116">
        <v>293.45</v>
      </c>
      <c r="F2196" s="116">
        <v>296.8</v>
      </c>
      <c r="G2196">
        <v>35782</v>
      </c>
      <c r="H2196" s="116"/>
      <c r="I2196" s="116"/>
      <c r="L2196" s="170">
        <v>45239</v>
      </c>
      <c r="M2196" s="116">
        <v>296.60000000000002</v>
      </c>
      <c r="N2196" s="116">
        <v>298</v>
      </c>
      <c r="O2196" s="116">
        <v>295</v>
      </c>
      <c r="P2196" s="116">
        <v>297</v>
      </c>
      <c r="Q2196" s="116">
        <v>296.60000000000002</v>
      </c>
      <c r="R2196">
        <v>186227</v>
      </c>
    </row>
    <row r="2197" spans="1:18" x14ac:dyDescent="0.25">
      <c r="A2197" s="170">
        <v>45239</v>
      </c>
      <c r="B2197" s="116">
        <v>297.89999999999998</v>
      </c>
      <c r="C2197" s="116">
        <v>297</v>
      </c>
      <c r="D2197" s="116">
        <v>295</v>
      </c>
      <c r="E2197" s="116">
        <v>295.05</v>
      </c>
      <c r="F2197" s="116">
        <v>297</v>
      </c>
      <c r="G2197">
        <v>22870</v>
      </c>
      <c r="H2197" s="116"/>
      <c r="I2197" s="116"/>
      <c r="L2197" s="170">
        <v>45240</v>
      </c>
      <c r="M2197" s="116">
        <v>301.8</v>
      </c>
      <c r="N2197" s="116">
        <v>305.89999999999998</v>
      </c>
      <c r="O2197" s="116">
        <v>295.35000000000002</v>
      </c>
      <c r="P2197" s="116">
        <v>296.60000000000002</v>
      </c>
      <c r="Q2197" s="116">
        <v>301.8</v>
      </c>
      <c r="R2197">
        <v>331948</v>
      </c>
    </row>
    <row r="2198" spans="1:18" x14ac:dyDescent="0.25">
      <c r="A2198" s="170">
        <v>45240</v>
      </c>
      <c r="B2198" s="116">
        <v>305.64999999999998</v>
      </c>
      <c r="C2198" s="116">
        <v>301.7</v>
      </c>
      <c r="D2198" s="116">
        <v>294.95</v>
      </c>
      <c r="E2198" s="116">
        <v>297.89999999999998</v>
      </c>
      <c r="F2198" s="116">
        <v>301.7</v>
      </c>
      <c r="G2198">
        <v>63191</v>
      </c>
      <c r="H2198" s="116"/>
      <c r="I2198" s="116"/>
      <c r="L2198" s="170">
        <v>45242</v>
      </c>
      <c r="M2198" s="116">
        <v>303.95</v>
      </c>
      <c r="N2198" s="116">
        <v>305.8</v>
      </c>
      <c r="O2198" s="116">
        <v>303.2</v>
      </c>
      <c r="P2198" s="116">
        <v>305</v>
      </c>
      <c r="Q2198" s="116">
        <v>303.95</v>
      </c>
      <c r="R2198">
        <v>112621</v>
      </c>
    </row>
    <row r="2199" spans="1:18" x14ac:dyDescent="0.25">
      <c r="A2199" s="170">
        <v>45242</v>
      </c>
      <c r="B2199" s="116">
        <v>306.85000000000002</v>
      </c>
      <c r="C2199" s="116">
        <v>304.2</v>
      </c>
      <c r="D2199" s="116">
        <v>303.10000000000002</v>
      </c>
      <c r="E2199" s="116">
        <v>306.85000000000002</v>
      </c>
      <c r="F2199" s="116">
        <v>304.2</v>
      </c>
      <c r="G2199">
        <v>13904</v>
      </c>
      <c r="H2199" s="116"/>
      <c r="I2199" s="116"/>
      <c r="L2199" s="170">
        <v>45243</v>
      </c>
      <c r="M2199" s="116">
        <v>301.25</v>
      </c>
      <c r="N2199" s="116">
        <v>304.60000000000002</v>
      </c>
      <c r="O2199" s="116">
        <v>300.14999999999998</v>
      </c>
      <c r="P2199" s="116">
        <v>303.95</v>
      </c>
      <c r="Q2199" s="116">
        <v>301.25</v>
      </c>
      <c r="R2199">
        <v>247756</v>
      </c>
    </row>
    <row r="2200" spans="1:18" x14ac:dyDescent="0.25">
      <c r="A2200" s="170">
        <v>45243</v>
      </c>
      <c r="B2200" s="116">
        <v>305.5</v>
      </c>
      <c r="C2200" s="116">
        <v>301.10000000000002</v>
      </c>
      <c r="D2200" s="116">
        <v>300</v>
      </c>
      <c r="E2200" s="116">
        <v>305.45</v>
      </c>
      <c r="F2200" s="116">
        <v>301.10000000000002</v>
      </c>
      <c r="G2200">
        <v>39983</v>
      </c>
      <c r="H2200" s="116"/>
      <c r="I2200" s="116"/>
      <c r="L2200" s="170">
        <v>45245</v>
      </c>
      <c r="M2200" s="116">
        <v>304.3</v>
      </c>
      <c r="N2200" s="116">
        <v>306.60000000000002</v>
      </c>
      <c r="O2200" s="116">
        <v>302.55</v>
      </c>
      <c r="P2200" s="116">
        <v>304.95</v>
      </c>
      <c r="Q2200" s="116">
        <v>304.3</v>
      </c>
      <c r="R2200">
        <v>306698</v>
      </c>
    </row>
    <row r="2201" spans="1:18" x14ac:dyDescent="0.25">
      <c r="A2201" s="170">
        <v>45245</v>
      </c>
      <c r="B2201" s="116">
        <v>306.95</v>
      </c>
      <c r="C2201" s="116">
        <v>304.25</v>
      </c>
      <c r="D2201" s="116">
        <v>302.95</v>
      </c>
      <c r="E2201" s="116">
        <v>306.95</v>
      </c>
      <c r="F2201" s="116">
        <v>304.25</v>
      </c>
      <c r="G2201">
        <v>17078</v>
      </c>
      <c r="H2201" s="116"/>
      <c r="I2201" s="116"/>
      <c r="L2201" s="170">
        <v>45246</v>
      </c>
      <c r="M2201" s="116">
        <v>303.55</v>
      </c>
      <c r="N2201" s="116">
        <v>305.89999999999998</v>
      </c>
      <c r="O2201" s="116">
        <v>301.35000000000002</v>
      </c>
      <c r="P2201" s="116">
        <v>305.89999999999998</v>
      </c>
      <c r="Q2201" s="116">
        <v>303.55</v>
      </c>
      <c r="R2201">
        <v>300970</v>
      </c>
    </row>
    <row r="2202" spans="1:18" x14ac:dyDescent="0.25">
      <c r="A2202" s="170">
        <v>45246</v>
      </c>
      <c r="B2202" s="116">
        <v>306.89999999999998</v>
      </c>
      <c r="C2202" s="116">
        <v>303.60000000000002</v>
      </c>
      <c r="D2202" s="116">
        <v>301.64999999999998</v>
      </c>
      <c r="E2202" s="116">
        <v>306.89999999999998</v>
      </c>
      <c r="F2202" s="116">
        <v>303.60000000000002</v>
      </c>
      <c r="G2202">
        <v>14083</v>
      </c>
      <c r="H2202" s="116"/>
      <c r="I2202" s="116"/>
      <c r="L2202" s="170">
        <v>45247</v>
      </c>
      <c r="M2202" s="116">
        <v>307.60000000000002</v>
      </c>
      <c r="N2202" s="116">
        <v>308.7</v>
      </c>
      <c r="O2202" s="116">
        <v>300.10000000000002</v>
      </c>
      <c r="P2202" s="116">
        <v>300.3</v>
      </c>
      <c r="Q2202" s="116">
        <v>307.60000000000002</v>
      </c>
      <c r="R2202">
        <v>334149</v>
      </c>
    </row>
    <row r="2203" spans="1:18" x14ac:dyDescent="0.25">
      <c r="A2203" s="170">
        <v>45247</v>
      </c>
      <c r="B2203" s="116">
        <v>308.8</v>
      </c>
      <c r="C2203" s="116">
        <v>307.35000000000002</v>
      </c>
      <c r="D2203" s="116">
        <v>302.95</v>
      </c>
      <c r="E2203" s="116">
        <v>303</v>
      </c>
      <c r="F2203" s="116">
        <v>307.35000000000002</v>
      </c>
      <c r="G2203">
        <v>51294</v>
      </c>
      <c r="H2203" s="116"/>
      <c r="I2203" s="116"/>
      <c r="L2203" s="170">
        <v>45250</v>
      </c>
      <c r="M2203" s="116">
        <v>305.10000000000002</v>
      </c>
      <c r="N2203" s="116">
        <v>308.95</v>
      </c>
      <c r="O2203" s="116">
        <v>305</v>
      </c>
      <c r="P2203" s="116">
        <v>307.60000000000002</v>
      </c>
      <c r="Q2203" s="116">
        <v>305.10000000000002</v>
      </c>
      <c r="R2203">
        <v>119971</v>
      </c>
    </row>
    <row r="2204" spans="1:18" x14ac:dyDescent="0.25">
      <c r="A2204" s="170">
        <v>45250</v>
      </c>
      <c r="B2204" s="116">
        <v>309.95</v>
      </c>
      <c r="C2204" s="116">
        <v>305.2</v>
      </c>
      <c r="D2204" s="116">
        <v>304.7</v>
      </c>
      <c r="E2204" s="116">
        <v>309.95</v>
      </c>
      <c r="F2204" s="116">
        <v>305.2</v>
      </c>
      <c r="G2204">
        <v>8601</v>
      </c>
      <c r="H2204" s="116"/>
      <c r="I2204" s="116"/>
      <c r="L2204" s="170">
        <v>45251</v>
      </c>
      <c r="M2204" s="116">
        <v>303.85000000000002</v>
      </c>
      <c r="N2204" s="116">
        <v>307.3</v>
      </c>
      <c r="O2204" s="116">
        <v>303.3</v>
      </c>
      <c r="P2204" s="116">
        <v>307</v>
      </c>
      <c r="Q2204" s="116">
        <v>303.85000000000002</v>
      </c>
      <c r="R2204">
        <v>142123</v>
      </c>
    </row>
    <row r="2205" spans="1:18" x14ac:dyDescent="0.25">
      <c r="A2205" s="170">
        <v>45251</v>
      </c>
      <c r="B2205" s="116">
        <v>307.2</v>
      </c>
      <c r="C2205" s="116">
        <v>303.89999999999998</v>
      </c>
      <c r="D2205" s="116">
        <v>303.5</v>
      </c>
      <c r="E2205" s="116">
        <v>305.55</v>
      </c>
      <c r="F2205" s="116">
        <v>303.89999999999998</v>
      </c>
      <c r="G2205">
        <v>34060</v>
      </c>
      <c r="H2205" s="116"/>
      <c r="I2205" s="116"/>
      <c r="L2205" s="170">
        <v>45252</v>
      </c>
      <c r="M2205" s="116">
        <v>299.55</v>
      </c>
      <c r="N2205" s="116">
        <v>304</v>
      </c>
      <c r="O2205" s="116">
        <v>298.25</v>
      </c>
      <c r="P2205" s="116">
        <v>303.85000000000002</v>
      </c>
      <c r="Q2205" s="116">
        <v>299.55</v>
      </c>
      <c r="R2205">
        <v>290073</v>
      </c>
    </row>
    <row r="2206" spans="1:18" x14ac:dyDescent="0.25">
      <c r="A2206" s="170">
        <v>45252</v>
      </c>
      <c r="B2206" s="116">
        <v>306.45</v>
      </c>
      <c r="C2206" s="116">
        <v>299.8</v>
      </c>
      <c r="D2206" s="116">
        <v>298.2</v>
      </c>
      <c r="E2206" s="116">
        <v>306.45</v>
      </c>
      <c r="F2206" s="116">
        <v>299.8</v>
      </c>
      <c r="G2206">
        <v>50584</v>
      </c>
      <c r="H2206" s="116"/>
      <c r="I2206" s="116"/>
      <c r="L2206" s="170">
        <v>45253</v>
      </c>
      <c r="M2206" s="116">
        <v>301.35000000000002</v>
      </c>
      <c r="N2206" s="116">
        <v>302.5</v>
      </c>
      <c r="O2206" s="116">
        <v>299.55</v>
      </c>
      <c r="P2206" s="116">
        <v>299.55</v>
      </c>
      <c r="Q2206" s="116">
        <v>301.35000000000002</v>
      </c>
      <c r="R2206">
        <v>115557</v>
      </c>
    </row>
    <row r="2207" spans="1:18" x14ac:dyDescent="0.25">
      <c r="A2207" s="170">
        <v>45253</v>
      </c>
      <c r="B2207" s="116">
        <v>302.45</v>
      </c>
      <c r="C2207" s="116">
        <v>301.2</v>
      </c>
      <c r="D2207" s="116">
        <v>299.05</v>
      </c>
      <c r="E2207" s="116">
        <v>299.05</v>
      </c>
      <c r="F2207" s="116">
        <v>301.2</v>
      </c>
      <c r="G2207">
        <v>27372</v>
      </c>
      <c r="H2207" s="116"/>
      <c r="I2207" s="116"/>
      <c r="L2207" s="170">
        <v>45254</v>
      </c>
      <c r="M2207" s="116">
        <v>301</v>
      </c>
      <c r="N2207" s="116">
        <v>303.89999999999998</v>
      </c>
      <c r="O2207" s="116">
        <v>299.89999999999998</v>
      </c>
      <c r="P2207" s="116">
        <v>303.89999999999998</v>
      </c>
      <c r="Q2207" s="116">
        <v>301</v>
      </c>
      <c r="R2207">
        <v>132414</v>
      </c>
    </row>
    <row r="2208" spans="1:18" x14ac:dyDescent="0.25">
      <c r="A2208" s="170">
        <v>45254</v>
      </c>
      <c r="B2208" s="116">
        <v>303.3</v>
      </c>
      <c r="C2208" s="116">
        <v>301.25</v>
      </c>
      <c r="D2208" s="116">
        <v>300.55</v>
      </c>
      <c r="E2208" s="116">
        <v>302.05</v>
      </c>
      <c r="F2208" s="116">
        <v>301.25</v>
      </c>
      <c r="G2208">
        <v>12523</v>
      </c>
      <c r="H2208" s="116"/>
      <c r="I2208" s="116"/>
      <c r="L2208" s="170">
        <v>45258</v>
      </c>
      <c r="M2208" s="116">
        <v>300.8</v>
      </c>
      <c r="N2208" s="116">
        <v>302.75</v>
      </c>
      <c r="O2208" s="116">
        <v>300</v>
      </c>
      <c r="P2208" s="116">
        <v>302.75</v>
      </c>
      <c r="Q2208" s="116">
        <v>300.8</v>
      </c>
      <c r="R2208">
        <v>197865</v>
      </c>
    </row>
    <row r="2209" spans="1:18" x14ac:dyDescent="0.25">
      <c r="A2209" s="170">
        <v>45258</v>
      </c>
      <c r="B2209" s="116">
        <v>302.39999999999998</v>
      </c>
      <c r="C2209" s="116">
        <v>300.64999999999998</v>
      </c>
      <c r="D2209" s="116">
        <v>300</v>
      </c>
      <c r="E2209" s="116">
        <v>301.55</v>
      </c>
      <c r="F2209" s="116">
        <v>300.64999999999998</v>
      </c>
      <c r="G2209">
        <v>50995</v>
      </c>
      <c r="H2209" s="116"/>
      <c r="I2209" s="116"/>
      <c r="L2209" s="170">
        <v>45259</v>
      </c>
      <c r="M2209" s="116">
        <v>299.75</v>
      </c>
      <c r="N2209" s="116">
        <v>303</v>
      </c>
      <c r="O2209" s="116">
        <v>299.5</v>
      </c>
      <c r="P2209" s="116">
        <v>302.55</v>
      </c>
      <c r="Q2209" s="116">
        <v>299.75</v>
      </c>
      <c r="R2209">
        <v>636251</v>
      </c>
    </row>
    <row r="2210" spans="1:18" x14ac:dyDescent="0.25">
      <c r="A2210" s="170">
        <v>45259</v>
      </c>
      <c r="B2210" s="116">
        <v>303.14999999999998</v>
      </c>
      <c r="C2210" s="116">
        <v>299.64999999999998</v>
      </c>
      <c r="D2210" s="116">
        <v>299</v>
      </c>
      <c r="E2210" s="116">
        <v>301.55</v>
      </c>
      <c r="F2210" s="116">
        <v>299.64999999999998</v>
      </c>
      <c r="G2210">
        <v>38336</v>
      </c>
      <c r="H2210" s="116"/>
      <c r="I2210" s="116"/>
      <c r="L2210" s="170">
        <v>45260</v>
      </c>
      <c r="M2210" s="116">
        <v>299.25</v>
      </c>
      <c r="N2210" s="116">
        <v>300.85000000000002</v>
      </c>
      <c r="O2210" s="116">
        <v>297.5</v>
      </c>
      <c r="P2210" s="116">
        <v>300.05</v>
      </c>
      <c r="Q2210" s="116">
        <v>299.25</v>
      </c>
      <c r="R2210">
        <v>382853</v>
      </c>
    </row>
    <row r="2211" spans="1:18" x14ac:dyDescent="0.25">
      <c r="A2211" s="170">
        <v>45260</v>
      </c>
      <c r="B2211" s="116">
        <v>301.35000000000002</v>
      </c>
      <c r="C2211" s="116">
        <v>299.7</v>
      </c>
      <c r="D2211" s="116">
        <v>297.7</v>
      </c>
      <c r="E2211" s="116">
        <v>301.35000000000002</v>
      </c>
      <c r="F2211" s="116">
        <v>299.7</v>
      </c>
      <c r="G2211">
        <v>23880</v>
      </c>
      <c r="H2211" s="116"/>
      <c r="I2211" s="116"/>
      <c r="L2211" s="170">
        <v>45261</v>
      </c>
      <c r="M2211" s="116">
        <v>300.14999999999998</v>
      </c>
      <c r="N2211" s="116">
        <v>302</v>
      </c>
      <c r="O2211" s="116">
        <v>297.85000000000002</v>
      </c>
      <c r="P2211" s="116">
        <v>300.95</v>
      </c>
      <c r="Q2211" s="116">
        <v>300.14999999999998</v>
      </c>
      <c r="R2211">
        <v>395237</v>
      </c>
    </row>
    <row r="2212" spans="1:18" x14ac:dyDescent="0.25">
      <c r="A2212" s="170">
        <v>45261</v>
      </c>
      <c r="B2212" s="116">
        <v>301.89999999999998</v>
      </c>
      <c r="C2212" s="116">
        <v>300.55</v>
      </c>
      <c r="D2212" s="116">
        <v>297.95</v>
      </c>
      <c r="E2212" s="116">
        <v>300.5</v>
      </c>
      <c r="F2212" s="116">
        <v>300.55</v>
      </c>
      <c r="G2212">
        <v>61949</v>
      </c>
      <c r="H2212" s="116"/>
      <c r="I2212" s="116"/>
      <c r="L2212" s="170">
        <v>45264</v>
      </c>
      <c r="M2212" s="116">
        <v>317.89999999999998</v>
      </c>
      <c r="N2212" s="116">
        <v>319</v>
      </c>
      <c r="O2212" s="116">
        <v>313</v>
      </c>
      <c r="P2212" s="116">
        <v>318.89999999999998</v>
      </c>
      <c r="Q2212" s="116">
        <v>317.89999999999998</v>
      </c>
      <c r="R2212">
        <v>2209533</v>
      </c>
    </row>
    <row r="2213" spans="1:18" x14ac:dyDescent="0.25">
      <c r="A2213" s="170">
        <v>45264</v>
      </c>
      <c r="B2213" s="116">
        <v>319.60000000000002</v>
      </c>
      <c r="C2213" s="116">
        <v>317.89999999999998</v>
      </c>
      <c r="D2213" s="116">
        <v>312.55</v>
      </c>
      <c r="E2213" s="116">
        <v>317.8</v>
      </c>
      <c r="F2213" s="116">
        <v>317.89999999999998</v>
      </c>
      <c r="G2213">
        <v>387039</v>
      </c>
      <c r="H2213" s="116"/>
      <c r="I2213" s="116"/>
      <c r="L2213" s="170">
        <v>45265</v>
      </c>
      <c r="M2213" s="116">
        <v>325</v>
      </c>
      <c r="N2213" s="116">
        <v>327</v>
      </c>
      <c r="O2213" s="116">
        <v>320</v>
      </c>
      <c r="P2213" s="116">
        <v>320.95</v>
      </c>
      <c r="Q2213" s="116">
        <v>325</v>
      </c>
      <c r="R2213">
        <v>1829812</v>
      </c>
    </row>
    <row r="2214" spans="1:18" x14ac:dyDescent="0.25">
      <c r="A2214" s="170">
        <v>45265</v>
      </c>
      <c r="B2214" s="116">
        <v>326.75</v>
      </c>
      <c r="C2214" s="116">
        <v>324.89999999999998</v>
      </c>
      <c r="D2214" s="116">
        <v>320.8</v>
      </c>
      <c r="E2214" s="116">
        <v>321.95</v>
      </c>
      <c r="F2214" s="116">
        <v>324.89999999999998</v>
      </c>
      <c r="G2214">
        <v>286357</v>
      </c>
      <c r="H2214" s="116"/>
      <c r="I2214" s="116"/>
      <c r="L2214" s="170">
        <v>45266</v>
      </c>
      <c r="M2214" s="116">
        <v>325.64999999999998</v>
      </c>
      <c r="N2214" s="116">
        <v>332</v>
      </c>
      <c r="O2214" s="116">
        <v>325</v>
      </c>
      <c r="P2214" s="116">
        <v>329.45</v>
      </c>
      <c r="Q2214" s="116">
        <v>325.64999999999998</v>
      </c>
      <c r="R2214">
        <v>2934514</v>
      </c>
    </row>
    <row r="2215" spans="1:18" x14ac:dyDescent="0.25">
      <c r="A2215" s="170">
        <v>45266</v>
      </c>
      <c r="B2215" s="116">
        <v>331.8</v>
      </c>
      <c r="C2215" s="116">
        <v>325.8</v>
      </c>
      <c r="D2215" s="116">
        <v>324.89999999999998</v>
      </c>
      <c r="E2215" s="116">
        <v>329.9</v>
      </c>
      <c r="F2215" s="116">
        <v>325.8</v>
      </c>
      <c r="G2215">
        <v>171571</v>
      </c>
      <c r="H2215" s="116"/>
      <c r="I2215" s="116"/>
      <c r="L2215" s="170">
        <v>45267</v>
      </c>
      <c r="M2215" s="116">
        <v>324.14999999999998</v>
      </c>
      <c r="N2215" s="116">
        <v>327.60000000000002</v>
      </c>
      <c r="O2215" s="116">
        <v>323</v>
      </c>
      <c r="P2215" s="116">
        <v>327</v>
      </c>
      <c r="Q2215" s="116">
        <v>324.14999999999998</v>
      </c>
      <c r="R2215">
        <v>861934</v>
      </c>
    </row>
    <row r="2216" spans="1:18" x14ac:dyDescent="0.25">
      <c r="A2216" s="170">
        <v>45267</v>
      </c>
      <c r="B2216" s="116">
        <v>327.85</v>
      </c>
      <c r="C2216" s="116">
        <v>324.05</v>
      </c>
      <c r="D2216" s="116">
        <v>322.85000000000002</v>
      </c>
      <c r="E2216" s="116">
        <v>326.85000000000002</v>
      </c>
      <c r="F2216" s="116">
        <v>324.05</v>
      </c>
      <c r="G2216">
        <v>190953</v>
      </c>
      <c r="H2216" s="116"/>
      <c r="I2216" s="116"/>
      <c r="L2216" s="170">
        <v>45268</v>
      </c>
      <c r="M2216" s="116">
        <v>322.64999999999998</v>
      </c>
      <c r="N2216" s="116">
        <v>325.89999999999998</v>
      </c>
      <c r="O2216" s="116">
        <v>320.2</v>
      </c>
      <c r="P2216" s="116">
        <v>324.14999999999998</v>
      </c>
      <c r="Q2216" s="116">
        <v>322.64999999999998</v>
      </c>
      <c r="R2216">
        <v>676456</v>
      </c>
    </row>
    <row r="2217" spans="1:18" x14ac:dyDescent="0.25">
      <c r="A2217" s="170">
        <v>45268</v>
      </c>
      <c r="B2217" s="116">
        <v>325.60000000000002</v>
      </c>
      <c r="C2217" s="116">
        <v>322.95</v>
      </c>
      <c r="D2217" s="116">
        <v>320.35000000000002</v>
      </c>
      <c r="E2217" s="116">
        <v>324.95</v>
      </c>
      <c r="F2217" s="116">
        <v>322.95</v>
      </c>
      <c r="G2217">
        <v>50769</v>
      </c>
      <c r="H2217" s="116"/>
      <c r="I2217" s="116"/>
      <c r="L2217" s="170">
        <v>45271</v>
      </c>
      <c r="M2217" s="116">
        <v>325.35000000000002</v>
      </c>
      <c r="N2217" s="116">
        <v>326.8</v>
      </c>
      <c r="O2217" s="116">
        <v>323.55</v>
      </c>
      <c r="P2217" s="116">
        <v>324</v>
      </c>
      <c r="Q2217" s="116">
        <v>325.35000000000002</v>
      </c>
      <c r="R2217">
        <v>565522</v>
      </c>
    </row>
    <row r="2218" spans="1:18" x14ac:dyDescent="0.25">
      <c r="A2218" s="170">
        <v>45271</v>
      </c>
      <c r="B2218" s="116">
        <v>326.8</v>
      </c>
      <c r="C2218" s="116">
        <v>325.39999999999998</v>
      </c>
      <c r="D2218" s="116">
        <v>323.60000000000002</v>
      </c>
      <c r="E2218" s="116">
        <v>324</v>
      </c>
      <c r="F2218" s="116">
        <v>325.39999999999998</v>
      </c>
      <c r="G2218">
        <v>133559</v>
      </c>
      <c r="H2218" s="116"/>
      <c r="I2218" s="116"/>
      <c r="L2218" s="170">
        <v>45272</v>
      </c>
      <c r="M2218" s="116">
        <v>324.89999999999998</v>
      </c>
      <c r="N2218" s="116">
        <v>326.75</v>
      </c>
      <c r="O2218" s="116">
        <v>324.2</v>
      </c>
      <c r="P2218" s="116">
        <v>325.25</v>
      </c>
      <c r="Q2218" s="116">
        <v>324.89999999999998</v>
      </c>
      <c r="R2218">
        <v>453205</v>
      </c>
    </row>
    <row r="2219" spans="1:18" x14ac:dyDescent="0.25">
      <c r="A2219" s="170">
        <v>45272</v>
      </c>
      <c r="B2219" s="116">
        <v>326.60000000000002</v>
      </c>
      <c r="C2219" s="116">
        <v>324.85000000000002</v>
      </c>
      <c r="D2219" s="116">
        <v>324</v>
      </c>
      <c r="E2219" s="116">
        <v>325.60000000000002</v>
      </c>
      <c r="F2219" s="116">
        <v>324.85000000000002</v>
      </c>
      <c r="G2219">
        <v>107290</v>
      </c>
      <c r="H2219" s="116"/>
      <c r="I2219" s="116"/>
      <c r="L2219" s="170">
        <v>45273</v>
      </c>
      <c r="M2219" s="116">
        <v>325.5</v>
      </c>
      <c r="N2219" s="116">
        <v>326</v>
      </c>
      <c r="O2219" s="116">
        <v>323.60000000000002</v>
      </c>
      <c r="P2219" s="116">
        <v>324.89999999999998</v>
      </c>
      <c r="Q2219" s="116">
        <v>325.5</v>
      </c>
      <c r="R2219">
        <v>879874</v>
      </c>
    </row>
    <row r="2220" spans="1:18" x14ac:dyDescent="0.25">
      <c r="A2220" s="170">
        <v>45273</v>
      </c>
      <c r="B2220" s="116">
        <v>326</v>
      </c>
      <c r="C2220" s="116">
        <v>325.25</v>
      </c>
      <c r="D2220" s="116">
        <v>323.45</v>
      </c>
      <c r="E2220" s="116">
        <v>325.25</v>
      </c>
      <c r="F2220" s="116">
        <v>325.25</v>
      </c>
      <c r="G2220">
        <v>53718</v>
      </c>
      <c r="H2220" s="116"/>
      <c r="I2220" s="116"/>
      <c r="L2220" s="170">
        <v>45274</v>
      </c>
      <c r="M2220" s="116">
        <v>319.10000000000002</v>
      </c>
      <c r="N2220" s="116">
        <v>325.10000000000002</v>
      </c>
      <c r="O2220" s="116">
        <v>318</v>
      </c>
      <c r="P2220" s="116">
        <v>325.10000000000002</v>
      </c>
      <c r="Q2220" s="116">
        <v>319.10000000000002</v>
      </c>
      <c r="R2220">
        <v>846426</v>
      </c>
    </row>
    <row r="2221" spans="1:18" x14ac:dyDescent="0.25">
      <c r="A2221" s="170">
        <v>45274</v>
      </c>
      <c r="B2221" s="116">
        <v>325.14999999999998</v>
      </c>
      <c r="C2221" s="116">
        <v>318.89999999999998</v>
      </c>
      <c r="D2221" s="116">
        <v>318</v>
      </c>
      <c r="E2221" s="116">
        <v>325.05</v>
      </c>
      <c r="F2221" s="116">
        <v>318.89999999999998</v>
      </c>
      <c r="G2221">
        <v>51403</v>
      </c>
      <c r="H2221" s="116"/>
      <c r="I2221" s="116"/>
      <c r="L2221" s="170">
        <v>45275</v>
      </c>
      <c r="M2221" s="116">
        <v>316.35000000000002</v>
      </c>
      <c r="N2221" s="116">
        <v>320</v>
      </c>
      <c r="O2221" s="116">
        <v>314.5</v>
      </c>
      <c r="P2221" s="116">
        <v>320</v>
      </c>
      <c r="Q2221" s="116">
        <v>316.35000000000002</v>
      </c>
      <c r="R2221">
        <v>778336</v>
      </c>
    </row>
    <row r="2222" spans="1:18" x14ac:dyDescent="0.25">
      <c r="A2222" s="170">
        <v>45275</v>
      </c>
      <c r="B2222" s="116">
        <v>320</v>
      </c>
      <c r="C2222" s="116">
        <v>316.14999999999998</v>
      </c>
      <c r="D2222" s="116">
        <v>314.55</v>
      </c>
      <c r="E2222" s="116">
        <v>320</v>
      </c>
      <c r="F2222" s="116">
        <v>316.14999999999998</v>
      </c>
      <c r="G2222">
        <v>49686</v>
      </c>
      <c r="H2222" s="116"/>
      <c r="I2222" s="116"/>
      <c r="L2222" s="170">
        <v>45278</v>
      </c>
      <c r="M2222" s="116">
        <v>315.3</v>
      </c>
      <c r="N2222" s="116">
        <v>316.35000000000002</v>
      </c>
      <c r="O2222" s="116">
        <v>311.05</v>
      </c>
      <c r="P2222" s="116">
        <v>316</v>
      </c>
      <c r="Q2222" s="116">
        <v>315.3</v>
      </c>
      <c r="R2222">
        <v>401872</v>
      </c>
    </row>
    <row r="2223" spans="1:18" x14ac:dyDescent="0.25">
      <c r="A2223" s="170">
        <v>45278</v>
      </c>
      <c r="B2223" s="116">
        <v>316.95</v>
      </c>
      <c r="C2223" s="116">
        <v>315.14999999999998</v>
      </c>
      <c r="D2223" s="116">
        <v>311.55</v>
      </c>
      <c r="E2223" s="116">
        <v>316.95</v>
      </c>
      <c r="F2223" s="116">
        <v>315.14999999999998</v>
      </c>
      <c r="G2223">
        <v>39733</v>
      </c>
      <c r="H2223" s="116"/>
      <c r="I2223" s="116"/>
      <c r="L2223" s="170">
        <v>45279</v>
      </c>
      <c r="M2223" s="116">
        <v>311.95</v>
      </c>
      <c r="N2223" s="116">
        <v>314.89999999999998</v>
      </c>
      <c r="O2223" s="116">
        <v>310.5</v>
      </c>
      <c r="P2223" s="116">
        <v>314.2</v>
      </c>
      <c r="Q2223" s="116">
        <v>311.95</v>
      </c>
      <c r="R2223">
        <v>541553</v>
      </c>
    </row>
    <row r="2224" spans="1:18" x14ac:dyDescent="0.25">
      <c r="A2224" s="170">
        <v>45279</v>
      </c>
      <c r="B2224" s="116">
        <v>315.10000000000002</v>
      </c>
      <c r="C2224" s="116">
        <v>312.3</v>
      </c>
      <c r="D2224" s="116">
        <v>311</v>
      </c>
      <c r="E2224" s="116">
        <v>314.75</v>
      </c>
      <c r="F2224" s="116">
        <v>312.3</v>
      </c>
      <c r="G2224">
        <v>43081</v>
      </c>
      <c r="H2224" s="116"/>
      <c r="I2224" s="116"/>
      <c r="L2224" s="170">
        <v>45280</v>
      </c>
      <c r="M2224" s="116">
        <v>306.89999999999998</v>
      </c>
      <c r="N2224" s="116">
        <v>314</v>
      </c>
      <c r="O2224" s="116">
        <v>305.75</v>
      </c>
      <c r="P2224" s="116">
        <v>312.10000000000002</v>
      </c>
      <c r="Q2224" s="116">
        <v>306.89999999999998</v>
      </c>
      <c r="R2224">
        <v>681204</v>
      </c>
    </row>
    <row r="2225" spans="1:18" x14ac:dyDescent="0.25">
      <c r="A2225" s="170">
        <v>45280</v>
      </c>
      <c r="B2225" s="116">
        <v>313.95</v>
      </c>
      <c r="C2225" s="116">
        <v>307.14999999999998</v>
      </c>
      <c r="D2225" s="116">
        <v>306</v>
      </c>
      <c r="E2225" s="116">
        <v>313.7</v>
      </c>
      <c r="F2225" s="116">
        <v>307.14999999999998</v>
      </c>
      <c r="G2225">
        <v>118763</v>
      </c>
      <c r="H2225" s="116"/>
      <c r="I2225" s="116"/>
      <c r="L2225" s="170">
        <v>45281</v>
      </c>
      <c r="M2225" s="116">
        <v>306.5</v>
      </c>
      <c r="N2225" s="116">
        <v>307.55</v>
      </c>
      <c r="O2225" s="116">
        <v>302.7</v>
      </c>
      <c r="P2225" s="116">
        <v>304</v>
      </c>
      <c r="Q2225" s="116">
        <v>306.5</v>
      </c>
      <c r="R2225">
        <v>472198</v>
      </c>
    </row>
    <row r="2226" spans="1:18" x14ac:dyDescent="0.25">
      <c r="A2226" s="170">
        <v>45281</v>
      </c>
      <c r="B2226" s="116">
        <v>307.75</v>
      </c>
      <c r="C2226" s="116">
        <v>306.55</v>
      </c>
      <c r="D2226" s="116">
        <v>302.7</v>
      </c>
      <c r="E2226" s="116">
        <v>304.95</v>
      </c>
      <c r="F2226" s="116">
        <v>306.55</v>
      </c>
      <c r="G2226">
        <v>99623</v>
      </c>
      <c r="H2226" s="116"/>
      <c r="I2226" s="116"/>
      <c r="L2226" s="170">
        <v>45282</v>
      </c>
      <c r="M2226" s="116">
        <v>309.89999999999998</v>
      </c>
      <c r="N2226" s="116">
        <v>312</v>
      </c>
      <c r="O2226" s="116">
        <v>305.05</v>
      </c>
      <c r="P2226" s="116">
        <v>305.05</v>
      </c>
      <c r="Q2226" s="116">
        <v>309.89999999999998</v>
      </c>
      <c r="R2226">
        <v>480182</v>
      </c>
    </row>
    <row r="2227" spans="1:18" x14ac:dyDescent="0.25">
      <c r="A2227" s="170">
        <v>45282</v>
      </c>
      <c r="B2227" s="116">
        <v>312</v>
      </c>
      <c r="C2227" s="116">
        <v>309.89999999999998</v>
      </c>
      <c r="D2227" s="116">
        <v>305.39999999999998</v>
      </c>
      <c r="E2227" s="116">
        <v>305.39999999999998</v>
      </c>
      <c r="F2227" s="116">
        <v>309.89999999999998</v>
      </c>
      <c r="G2227">
        <v>88454</v>
      </c>
      <c r="H2227" s="116"/>
      <c r="I2227" s="116"/>
      <c r="L2227" s="170">
        <v>45286</v>
      </c>
      <c r="M2227" s="116">
        <v>311.7</v>
      </c>
      <c r="N2227" s="116">
        <v>312.89999999999998</v>
      </c>
      <c r="O2227" s="116">
        <v>310</v>
      </c>
      <c r="P2227" s="116">
        <v>311.05</v>
      </c>
      <c r="Q2227" s="116">
        <v>311.7</v>
      </c>
      <c r="R2227">
        <v>311187</v>
      </c>
    </row>
    <row r="2228" spans="1:18" x14ac:dyDescent="0.25">
      <c r="A2228" s="170">
        <v>45286</v>
      </c>
      <c r="B2228" s="116">
        <v>312.85000000000002</v>
      </c>
      <c r="C2228" s="116">
        <v>311.89999999999998</v>
      </c>
      <c r="D2228" s="116">
        <v>310</v>
      </c>
      <c r="E2228" s="116">
        <v>311.95</v>
      </c>
      <c r="F2228" s="116">
        <v>311.89999999999998</v>
      </c>
      <c r="G2228">
        <v>88834</v>
      </c>
      <c r="H2228" s="116"/>
      <c r="I2228" s="116"/>
      <c r="L2228" s="170">
        <v>45287</v>
      </c>
      <c r="M2228" s="116">
        <v>311.95</v>
      </c>
      <c r="N2228" s="116">
        <v>313.25</v>
      </c>
      <c r="O2228" s="116">
        <v>310.35000000000002</v>
      </c>
      <c r="P2228" s="116">
        <v>312</v>
      </c>
      <c r="Q2228" s="116">
        <v>311.95</v>
      </c>
      <c r="R2228">
        <v>306296</v>
      </c>
    </row>
    <row r="2229" spans="1:18" x14ac:dyDescent="0.25">
      <c r="A2229" s="170">
        <v>45287</v>
      </c>
      <c r="B2229" s="116">
        <v>313.10000000000002</v>
      </c>
      <c r="C2229" s="116">
        <v>311.75</v>
      </c>
      <c r="D2229" s="116">
        <v>310.39999999999998</v>
      </c>
      <c r="E2229" s="116">
        <v>311.89999999999998</v>
      </c>
      <c r="F2229" s="116">
        <v>311.75</v>
      </c>
      <c r="G2229">
        <v>64408</v>
      </c>
      <c r="H2229" s="116"/>
      <c r="I2229" s="116"/>
      <c r="L2229" s="170">
        <v>45288</v>
      </c>
      <c r="M2229" s="116">
        <v>312.60000000000002</v>
      </c>
      <c r="N2229" s="116">
        <v>317.5</v>
      </c>
      <c r="O2229" s="116">
        <v>311</v>
      </c>
      <c r="P2229" s="116">
        <v>312.10000000000002</v>
      </c>
      <c r="Q2229" s="116">
        <v>312.60000000000002</v>
      </c>
      <c r="R2229">
        <v>1639625</v>
      </c>
    </row>
    <row r="2230" spans="1:18" x14ac:dyDescent="0.25">
      <c r="A2230" s="170">
        <v>45288</v>
      </c>
      <c r="B2230" s="116">
        <v>317.55</v>
      </c>
      <c r="C2230" s="116">
        <v>312.75</v>
      </c>
      <c r="D2230" s="116">
        <v>311</v>
      </c>
      <c r="E2230" s="116">
        <v>312.45</v>
      </c>
      <c r="F2230" s="116">
        <v>312.75</v>
      </c>
      <c r="G2230">
        <v>110378</v>
      </c>
      <c r="H2230" s="116"/>
      <c r="I2230" s="116"/>
      <c r="L2230" s="170">
        <v>45289</v>
      </c>
      <c r="M2230" s="116">
        <v>318.05</v>
      </c>
      <c r="N2230" s="116">
        <v>322.05</v>
      </c>
      <c r="O2230" s="116">
        <v>313.7</v>
      </c>
      <c r="P2230" s="116">
        <v>313.7</v>
      </c>
      <c r="Q2230" s="116">
        <v>318.05</v>
      </c>
      <c r="R2230">
        <v>1519854</v>
      </c>
    </row>
    <row r="2231" spans="1:18" x14ac:dyDescent="0.25">
      <c r="A2231" s="170">
        <v>45289</v>
      </c>
      <c r="B2231" s="116">
        <v>321.75</v>
      </c>
      <c r="C2231" s="116">
        <v>318</v>
      </c>
      <c r="D2231" s="116">
        <v>313.05</v>
      </c>
      <c r="E2231" s="116">
        <v>313.05</v>
      </c>
      <c r="F2231" s="116">
        <v>318</v>
      </c>
      <c r="G2231">
        <v>191213</v>
      </c>
      <c r="H2231" s="116"/>
      <c r="I2231" s="116"/>
      <c r="L2231" s="170">
        <v>45292</v>
      </c>
      <c r="M2231" s="116">
        <v>318.35000000000002</v>
      </c>
      <c r="N2231" s="116">
        <v>320.8</v>
      </c>
      <c r="O2231" s="116">
        <v>316.85000000000002</v>
      </c>
      <c r="P2231" s="116">
        <v>318.05</v>
      </c>
      <c r="Q2231" s="116">
        <v>318.35000000000002</v>
      </c>
      <c r="R2231">
        <v>579455</v>
      </c>
    </row>
    <row r="2232" spans="1:18" x14ac:dyDescent="0.25">
      <c r="A2232" s="170">
        <v>45292</v>
      </c>
      <c r="B2232" s="116">
        <v>320.35000000000002</v>
      </c>
      <c r="C2232" s="116">
        <v>318.39999999999998</v>
      </c>
      <c r="D2232" s="116">
        <v>317</v>
      </c>
      <c r="E2232" s="116">
        <v>319.95</v>
      </c>
      <c r="F2232" s="116">
        <v>318.39999999999998</v>
      </c>
      <c r="G2232">
        <v>34313</v>
      </c>
      <c r="H2232" s="116"/>
      <c r="I2232" s="116"/>
      <c r="L2232" s="170">
        <v>45293</v>
      </c>
      <c r="M2232" s="116">
        <v>317.3</v>
      </c>
      <c r="N2232" s="116">
        <v>319.2</v>
      </c>
      <c r="O2232" s="116">
        <v>312.7</v>
      </c>
      <c r="P2232" s="116">
        <v>318.35000000000002</v>
      </c>
      <c r="Q2232" s="116">
        <v>317.3</v>
      </c>
      <c r="R2232">
        <v>566897</v>
      </c>
    </row>
    <row r="2233" spans="1:18" x14ac:dyDescent="0.25">
      <c r="A2233" s="170">
        <v>45293</v>
      </c>
      <c r="B2233" s="116">
        <v>320.25</v>
      </c>
      <c r="C2233" s="116">
        <v>317.25</v>
      </c>
      <c r="D2233" s="116">
        <v>312.55</v>
      </c>
      <c r="E2233" s="116">
        <v>320.25</v>
      </c>
      <c r="F2233" s="116">
        <v>317.25</v>
      </c>
      <c r="G2233">
        <v>92201</v>
      </c>
      <c r="H2233" s="116"/>
      <c r="I2233" s="116"/>
      <c r="L2233" s="170">
        <v>45294</v>
      </c>
      <c r="M2233" s="116">
        <v>318.8</v>
      </c>
      <c r="N2233" s="116">
        <v>322</v>
      </c>
      <c r="O2233" s="116">
        <v>318.10000000000002</v>
      </c>
      <c r="P2233" s="116">
        <v>320.10000000000002</v>
      </c>
      <c r="Q2233" s="116">
        <v>318.8</v>
      </c>
      <c r="R2233">
        <v>787990</v>
      </c>
    </row>
    <row r="2234" spans="1:18" x14ac:dyDescent="0.25">
      <c r="A2234" s="170">
        <v>45294</v>
      </c>
      <c r="B2234" s="116">
        <v>321.89999999999998</v>
      </c>
      <c r="C2234" s="116">
        <v>318.7</v>
      </c>
      <c r="D2234" s="116">
        <v>318.2</v>
      </c>
      <c r="E2234" s="116">
        <v>320</v>
      </c>
      <c r="F2234" s="116">
        <v>318.7</v>
      </c>
      <c r="G2234">
        <v>48317</v>
      </c>
      <c r="H2234" s="116"/>
      <c r="I2234" s="116"/>
      <c r="L2234" s="170">
        <v>45295</v>
      </c>
      <c r="M2234" s="116">
        <v>318.25</v>
      </c>
      <c r="N2234" s="116">
        <v>319.89999999999998</v>
      </c>
      <c r="O2234" s="116">
        <v>317.89999999999998</v>
      </c>
      <c r="P2234" s="116">
        <v>318.05</v>
      </c>
      <c r="Q2234" s="116">
        <v>318.25</v>
      </c>
      <c r="R2234">
        <v>447976</v>
      </c>
    </row>
    <row r="2235" spans="1:18" x14ac:dyDescent="0.25">
      <c r="A2235" s="170">
        <v>45295</v>
      </c>
      <c r="B2235" s="116">
        <v>319.45</v>
      </c>
      <c r="C2235" s="116">
        <v>318.3</v>
      </c>
      <c r="D2235" s="116">
        <v>318</v>
      </c>
      <c r="E2235" s="116">
        <v>318.55</v>
      </c>
      <c r="F2235" s="116">
        <v>318.3</v>
      </c>
      <c r="G2235">
        <v>45016</v>
      </c>
      <c r="H2235" s="116"/>
      <c r="I2235" s="116"/>
      <c r="L2235" s="170">
        <v>45296</v>
      </c>
      <c r="M2235" s="116">
        <v>318.5</v>
      </c>
      <c r="N2235" s="116">
        <v>320</v>
      </c>
      <c r="O2235" s="116">
        <v>315.7</v>
      </c>
      <c r="P2235" s="116">
        <v>318</v>
      </c>
      <c r="Q2235" s="116">
        <v>318.5</v>
      </c>
      <c r="R2235">
        <v>524841</v>
      </c>
    </row>
    <row r="2236" spans="1:18" x14ac:dyDescent="0.25">
      <c r="A2236" s="170">
        <v>45296</v>
      </c>
      <c r="B2236" s="116">
        <v>320</v>
      </c>
      <c r="C2236" s="116">
        <v>318.39999999999998</v>
      </c>
      <c r="D2236" s="116">
        <v>315.89999999999998</v>
      </c>
      <c r="E2236" s="116">
        <v>318.75</v>
      </c>
      <c r="F2236" s="116">
        <v>318.39999999999998</v>
      </c>
      <c r="G2236">
        <v>115040</v>
      </c>
      <c r="H2236" s="116"/>
      <c r="I2236" s="116"/>
      <c r="L2236" s="170">
        <v>45299</v>
      </c>
      <c r="M2236" s="116">
        <v>315.45</v>
      </c>
      <c r="N2236" s="116">
        <v>318.3</v>
      </c>
      <c r="O2236" s="116">
        <v>314.7</v>
      </c>
      <c r="P2236" s="116">
        <v>318</v>
      </c>
      <c r="Q2236" s="116">
        <v>315.45</v>
      </c>
      <c r="R2236">
        <v>451664</v>
      </c>
    </row>
    <row r="2237" spans="1:18" x14ac:dyDescent="0.25">
      <c r="A2237" s="170">
        <v>45299</v>
      </c>
      <c r="B2237" s="116">
        <v>318.8</v>
      </c>
      <c r="C2237" s="116">
        <v>315.55</v>
      </c>
      <c r="D2237" s="116">
        <v>314.8</v>
      </c>
      <c r="E2237" s="116">
        <v>318.8</v>
      </c>
      <c r="F2237" s="116">
        <v>315.55</v>
      </c>
      <c r="G2237">
        <v>28500</v>
      </c>
      <c r="H2237" s="116"/>
      <c r="I2237" s="116"/>
      <c r="L2237" s="170">
        <v>45300</v>
      </c>
      <c r="M2237" s="116">
        <v>313.8</v>
      </c>
      <c r="N2237" s="116">
        <v>317.85000000000002</v>
      </c>
      <c r="O2237" s="116">
        <v>312.5</v>
      </c>
      <c r="P2237" s="116">
        <v>316.85000000000002</v>
      </c>
      <c r="Q2237" s="116">
        <v>313.8</v>
      </c>
      <c r="R2237">
        <v>371112</v>
      </c>
    </row>
    <row r="2238" spans="1:18" x14ac:dyDescent="0.25">
      <c r="A2238" s="170">
        <v>45300</v>
      </c>
      <c r="B2238" s="116">
        <v>317.95</v>
      </c>
      <c r="C2238" s="116">
        <v>313.8</v>
      </c>
      <c r="D2238" s="116">
        <v>312.60000000000002</v>
      </c>
      <c r="E2238" s="116">
        <v>316.14999999999998</v>
      </c>
      <c r="F2238" s="116">
        <v>313.8</v>
      </c>
      <c r="G2238">
        <v>69502</v>
      </c>
      <c r="H2238" s="116"/>
      <c r="I2238" s="116"/>
      <c r="L2238" s="170">
        <v>45301</v>
      </c>
      <c r="M2238" s="116">
        <v>317.25</v>
      </c>
      <c r="N2238" s="116">
        <v>319.14999999999998</v>
      </c>
      <c r="O2238" s="116">
        <v>311</v>
      </c>
      <c r="P2238" s="116">
        <v>313</v>
      </c>
      <c r="Q2238" s="116">
        <v>317.25</v>
      </c>
      <c r="R2238">
        <v>417359</v>
      </c>
    </row>
    <row r="2239" spans="1:18" x14ac:dyDescent="0.25">
      <c r="A2239" s="170">
        <v>45301</v>
      </c>
      <c r="B2239" s="116">
        <v>318.5</v>
      </c>
      <c r="C2239" s="116">
        <v>317</v>
      </c>
      <c r="D2239" s="116">
        <v>311.05</v>
      </c>
      <c r="E2239" s="116">
        <v>314.85000000000002</v>
      </c>
      <c r="F2239" s="116">
        <v>317</v>
      </c>
      <c r="G2239">
        <v>75936</v>
      </c>
      <c r="H2239" s="116"/>
      <c r="I2239" s="116"/>
      <c r="L2239" s="170">
        <v>45302</v>
      </c>
      <c r="M2239" s="116">
        <v>317.3</v>
      </c>
      <c r="N2239" s="116">
        <v>318.95</v>
      </c>
      <c r="O2239" s="116">
        <v>316.5</v>
      </c>
      <c r="P2239" s="116">
        <v>318.45</v>
      </c>
      <c r="Q2239" s="116">
        <v>317.3</v>
      </c>
      <c r="R2239">
        <v>319079</v>
      </c>
    </row>
    <row r="2240" spans="1:18" x14ac:dyDescent="0.25">
      <c r="A2240" s="170">
        <v>45302</v>
      </c>
      <c r="B2240" s="116">
        <v>318.95</v>
      </c>
      <c r="C2240" s="116">
        <v>317.25</v>
      </c>
      <c r="D2240" s="116">
        <v>316.5</v>
      </c>
      <c r="E2240" s="116">
        <v>318.7</v>
      </c>
      <c r="F2240" s="116">
        <v>317.25</v>
      </c>
      <c r="G2240">
        <v>29127</v>
      </c>
      <c r="H2240" s="116"/>
      <c r="I2240" s="116"/>
      <c r="L2240" s="170">
        <v>45303</v>
      </c>
      <c r="M2240" s="116">
        <v>316.39999999999998</v>
      </c>
      <c r="N2240" s="116">
        <v>318.89999999999998</v>
      </c>
      <c r="O2240" s="116">
        <v>315.95</v>
      </c>
      <c r="P2240" s="116">
        <v>317</v>
      </c>
      <c r="Q2240" s="116">
        <v>316.39999999999998</v>
      </c>
      <c r="R2240">
        <v>310597</v>
      </c>
    </row>
    <row r="2241" spans="1:18" x14ac:dyDescent="0.25">
      <c r="A2241" s="170">
        <v>45303</v>
      </c>
      <c r="B2241" s="116">
        <v>318.8</v>
      </c>
      <c r="C2241" s="116">
        <v>316.55</v>
      </c>
      <c r="D2241" s="116">
        <v>316</v>
      </c>
      <c r="E2241" s="116">
        <v>316.85000000000002</v>
      </c>
      <c r="F2241" s="116">
        <v>316.55</v>
      </c>
      <c r="G2241">
        <v>29278</v>
      </c>
      <c r="H2241" s="116"/>
      <c r="I2241" s="116"/>
      <c r="L2241" s="170">
        <v>45306</v>
      </c>
      <c r="M2241" s="116">
        <v>321.75</v>
      </c>
      <c r="N2241" s="116">
        <v>325.45</v>
      </c>
      <c r="O2241" s="116">
        <v>316</v>
      </c>
      <c r="P2241" s="116">
        <v>316</v>
      </c>
      <c r="Q2241" s="116">
        <v>321.75</v>
      </c>
      <c r="R2241">
        <v>1709160</v>
      </c>
    </row>
    <row r="2242" spans="1:18" x14ac:dyDescent="0.25">
      <c r="A2242" s="170">
        <v>45306</v>
      </c>
      <c r="B2242" s="116">
        <v>325.10000000000002</v>
      </c>
      <c r="C2242" s="116">
        <v>321.7</v>
      </c>
      <c r="D2242" s="116">
        <v>316.10000000000002</v>
      </c>
      <c r="E2242" s="116">
        <v>316.89999999999998</v>
      </c>
      <c r="F2242" s="116">
        <v>321.7</v>
      </c>
      <c r="G2242">
        <v>276052</v>
      </c>
      <c r="H2242" s="116"/>
      <c r="I2242" s="116"/>
      <c r="L2242" s="170">
        <v>45307</v>
      </c>
      <c r="M2242" s="116">
        <v>320.60000000000002</v>
      </c>
      <c r="N2242" s="116">
        <v>323.95</v>
      </c>
      <c r="O2242" s="116">
        <v>317.3</v>
      </c>
      <c r="P2242" s="116">
        <v>322</v>
      </c>
      <c r="Q2242" s="116">
        <v>320.60000000000002</v>
      </c>
      <c r="R2242">
        <v>939904</v>
      </c>
    </row>
    <row r="2243" spans="1:18" x14ac:dyDescent="0.25">
      <c r="A2243" s="170">
        <v>45307</v>
      </c>
      <c r="B2243" s="116">
        <v>323.7</v>
      </c>
      <c r="C2243" s="116">
        <v>320.35000000000002</v>
      </c>
      <c r="D2243" s="116">
        <v>317.14999999999998</v>
      </c>
      <c r="E2243" s="116">
        <v>322.3</v>
      </c>
      <c r="F2243" s="116">
        <v>320.35000000000002</v>
      </c>
      <c r="G2243">
        <v>52205</v>
      </c>
      <c r="H2243" s="116"/>
      <c r="I2243" s="116"/>
      <c r="L2243" s="170">
        <v>45308</v>
      </c>
      <c r="M2243" s="116">
        <v>315.89999999999998</v>
      </c>
      <c r="N2243" s="116">
        <v>318.89999999999998</v>
      </c>
      <c r="O2243" s="116">
        <v>314</v>
      </c>
      <c r="P2243" s="116">
        <v>318.89999999999998</v>
      </c>
      <c r="Q2243" s="116">
        <v>315.89999999999998</v>
      </c>
      <c r="R2243">
        <v>765447</v>
      </c>
    </row>
    <row r="2244" spans="1:18" x14ac:dyDescent="0.25">
      <c r="A2244" s="170">
        <v>45308</v>
      </c>
      <c r="B2244" s="116">
        <v>319.89999999999998</v>
      </c>
      <c r="C2244" s="116">
        <v>316</v>
      </c>
      <c r="D2244" s="116">
        <v>314.14999999999998</v>
      </c>
      <c r="E2244" s="116">
        <v>319.89999999999998</v>
      </c>
      <c r="F2244" s="116">
        <v>316</v>
      </c>
      <c r="G2244">
        <v>58541</v>
      </c>
      <c r="H2244" s="116"/>
      <c r="I2244" s="116"/>
      <c r="L2244" s="170">
        <v>45309</v>
      </c>
      <c r="M2244" s="116">
        <v>312.05</v>
      </c>
      <c r="N2244" s="116">
        <v>315.45</v>
      </c>
      <c r="O2244" s="116">
        <v>304.39999999999998</v>
      </c>
      <c r="P2244" s="116">
        <v>315</v>
      </c>
      <c r="Q2244" s="116">
        <v>312.05</v>
      </c>
      <c r="R2244">
        <v>890971</v>
      </c>
    </row>
    <row r="2245" spans="1:18" x14ac:dyDescent="0.25">
      <c r="A2245" s="170">
        <v>45309</v>
      </c>
      <c r="B2245" s="116">
        <v>316</v>
      </c>
      <c r="C2245" s="116">
        <v>311.8</v>
      </c>
      <c r="D2245" s="116">
        <v>304.5</v>
      </c>
      <c r="E2245" s="116">
        <v>316</v>
      </c>
      <c r="F2245" s="116">
        <v>311.8</v>
      </c>
      <c r="G2245">
        <v>120949</v>
      </c>
      <c r="H2245" s="116"/>
      <c r="I2245" s="116"/>
      <c r="L2245" s="170">
        <v>45310</v>
      </c>
      <c r="M2245" s="116">
        <v>315.14999999999998</v>
      </c>
      <c r="N2245" s="116">
        <v>323.5</v>
      </c>
      <c r="O2245" s="116">
        <v>313.05</v>
      </c>
      <c r="P2245" s="116">
        <v>314.05</v>
      </c>
      <c r="Q2245" s="116">
        <v>315.14999999999998</v>
      </c>
      <c r="R2245">
        <v>1814063</v>
      </c>
    </row>
    <row r="2246" spans="1:18" x14ac:dyDescent="0.25">
      <c r="A2246" s="170">
        <v>45310</v>
      </c>
      <c r="B2246" s="116">
        <v>323.64999999999998</v>
      </c>
      <c r="C2246" s="116">
        <v>315.25</v>
      </c>
      <c r="D2246" s="116">
        <v>314</v>
      </c>
      <c r="E2246" s="116">
        <v>314.45</v>
      </c>
      <c r="F2246" s="116">
        <v>315.25</v>
      </c>
      <c r="G2246">
        <v>86347</v>
      </c>
      <c r="H2246" s="116"/>
      <c r="I2246" s="116"/>
      <c r="L2246" s="170">
        <v>45311</v>
      </c>
      <c r="M2246" s="116">
        <v>315.14999999999998</v>
      </c>
      <c r="N2246" s="116">
        <v>317.64999999999998</v>
      </c>
      <c r="O2246" s="116">
        <v>314.5</v>
      </c>
      <c r="P2246" s="116">
        <v>315.14999999999998</v>
      </c>
      <c r="Q2246" s="116">
        <v>315.14999999999998</v>
      </c>
      <c r="R2246">
        <v>409637</v>
      </c>
    </row>
    <row r="2247" spans="1:18" x14ac:dyDescent="0.25">
      <c r="A2247" s="170">
        <v>45311</v>
      </c>
      <c r="B2247" s="116">
        <v>317.89999999999998</v>
      </c>
      <c r="C2247" s="116">
        <v>314.95</v>
      </c>
      <c r="D2247" s="116">
        <v>314.5</v>
      </c>
      <c r="E2247" s="116">
        <v>317.89999999999998</v>
      </c>
      <c r="F2247" s="116">
        <v>314.95</v>
      </c>
      <c r="G2247">
        <v>94617</v>
      </c>
      <c r="H2247" s="116"/>
      <c r="I2247" s="116"/>
      <c r="L2247" s="170">
        <v>45314</v>
      </c>
      <c r="M2247" s="116">
        <v>310.7</v>
      </c>
      <c r="N2247" s="116">
        <v>317</v>
      </c>
      <c r="O2247" s="116">
        <v>307.7</v>
      </c>
      <c r="P2247" s="116">
        <v>316.45</v>
      </c>
      <c r="Q2247" s="116">
        <v>310.7</v>
      </c>
      <c r="R2247">
        <v>613374</v>
      </c>
    </row>
    <row r="2248" spans="1:18" x14ac:dyDescent="0.25">
      <c r="A2248" s="170">
        <v>45314</v>
      </c>
      <c r="B2248" s="116">
        <v>316.89999999999998</v>
      </c>
      <c r="C2248" s="116">
        <v>310.55</v>
      </c>
      <c r="D2248" s="116">
        <v>307.55</v>
      </c>
      <c r="E2248" s="116">
        <v>316.05</v>
      </c>
      <c r="F2248" s="116">
        <v>310.55</v>
      </c>
      <c r="G2248">
        <v>52322</v>
      </c>
      <c r="H2248" s="116"/>
      <c r="I2248" s="116"/>
      <c r="L2248" s="170">
        <v>45315</v>
      </c>
      <c r="M2248" s="116">
        <v>311.25</v>
      </c>
      <c r="N2248" s="116">
        <v>312</v>
      </c>
      <c r="O2248" s="116">
        <v>308</v>
      </c>
      <c r="P2248" s="116">
        <v>310</v>
      </c>
      <c r="Q2248" s="116">
        <v>311.25</v>
      </c>
      <c r="R2248">
        <v>420648</v>
      </c>
    </row>
    <row r="2249" spans="1:18" x14ac:dyDescent="0.25">
      <c r="A2249" s="170">
        <v>45315</v>
      </c>
      <c r="B2249" s="116">
        <v>312</v>
      </c>
      <c r="C2249" s="116">
        <v>311</v>
      </c>
      <c r="D2249" s="116">
        <v>308.14999999999998</v>
      </c>
      <c r="E2249" s="116">
        <v>309.25</v>
      </c>
      <c r="F2249" s="116">
        <v>311</v>
      </c>
      <c r="G2249">
        <v>33399</v>
      </c>
      <c r="H2249" s="116"/>
      <c r="I2249" s="116"/>
      <c r="L2249" s="170">
        <v>45316</v>
      </c>
      <c r="M2249" s="116">
        <v>313.2</v>
      </c>
      <c r="N2249" s="116">
        <v>314.35000000000002</v>
      </c>
      <c r="O2249" s="116">
        <v>311</v>
      </c>
      <c r="P2249" s="116">
        <v>311.5</v>
      </c>
      <c r="Q2249" s="116">
        <v>313.2</v>
      </c>
      <c r="R2249">
        <v>331791</v>
      </c>
    </row>
    <row r="2250" spans="1:18" x14ac:dyDescent="0.25">
      <c r="A2250" s="170">
        <v>45316</v>
      </c>
      <c r="B2250" s="116">
        <v>314.2</v>
      </c>
      <c r="C2250" s="116">
        <v>313.39999999999998</v>
      </c>
      <c r="D2250" s="116">
        <v>311</v>
      </c>
      <c r="E2250" s="116">
        <v>311.95</v>
      </c>
      <c r="F2250" s="116">
        <v>313.39999999999998</v>
      </c>
      <c r="G2250">
        <v>23959</v>
      </c>
      <c r="H2250" s="116"/>
      <c r="I2250" s="116"/>
      <c r="L2250" s="170">
        <v>45320</v>
      </c>
      <c r="M2250" s="116">
        <v>314</v>
      </c>
      <c r="N2250" s="116">
        <v>315</v>
      </c>
      <c r="O2250" s="116">
        <v>311.55</v>
      </c>
      <c r="P2250" s="116">
        <v>314</v>
      </c>
      <c r="Q2250" s="116">
        <v>314</v>
      </c>
      <c r="R2250">
        <v>366623</v>
      </c>
    </row>
    <row r="2251" spans="1:18" x14ac:dyDescent="0.25">
      <c r="A2251" s="170">
        <v>45320</v>
      </c>
      <c r="B2251" s="116">
        <v>314.85000000000002</v>
      </c>
      <c r="C2251" s="116">
        <v>313.8</v>
      </c>
      <c r="D2251" s="116">
        <v>311.95</v>
      </c>
      <c r="E2251" s="116">
        <v>314.85000000000002</v>
      </c>
      <c r="F2251" s="116">
        <v>313.8</v>
      </c>
      <c r="G2251">
        <v>69426</v>
      </c>
      <c r="H2251" s="116"/>
      <c r="I2251" s="116"/>
      <c r="L2251" s="170">
        <v>45321</v>
      </c>
      <c r="M2251" s="116">
        <v>318.05</v>
      </c>
      <c r="N2251" s="116">
        <v>319.5</v>
      </c>
      <c r="O2251" s="116">
        <v>313</v>
      </c>
      <c r="P2251" s="116">
        <v>314.10000000000002</v>
      </c>
      <c r="Q2251" s="116">
        <v>318.05</v>
      </c>
      <c r="R2251">
        <v>733697</v>
      </c>
    </row>
    <row r="2252" spans="1:18" x14ac:dyDescent="0.25">
      <c r="A2252" s="170">
        <v>45321</v>
      </c>
      <c r="B2252" s="116">
        <v>319.5</v>
      </c>
      <c r="C2252" s="116">
        <v>318.10000000000002</v>
      </c>
      <c r="D2252" s="116">
        <v>313.10000000000002</v>
      </c>
      <c r="E2252" s="116">
        <v>313.8</v>
      </c>
      <c r="F2252" s="116">
        <v>318.10000000000002</v>
      </c>
      <c r="G2252">
        <v>42925</v>
      </c>
      <c r="H2252" s="116"/>
      <c r="I2252" s="116"/>
      <c r="L2252" s="170">
        <v>45322</v>
      </c>
      <c r="M2252" s="116">
        <v>317.25</v>
      </c>
      <c r="N2252" s="116">
        <v>319.60000000000002</v>
      </c>
      <c r="O2252" s="116">
        <v>316.05</v>
      </c>
      <c r="P2252" s="116">
        <v>318.60000000000002</v>
      </c>
      <c r="Q2252" s="116">
        <v>317.25</v>
      </c>
      <c r="R2252">
        <v>491387</v>
      </c>
    </row>
    <row r="2253" spans="1:18" x14ac:dyDescent="0.25">
      <c r="A2253" s="170">
        <v>45322</v>
      </c>
      <c r="B2253" s="116">
        <v>319.85000000000002</v>
      </c>
      <c r="C2253" s="116">
        <v>317.2</v>
      </c>
      <c r="D2253" s="116">
        <v>316</v>
      </c>
      <c r="E2253" s="116">
        <v>319.85000000000002</v>
      </c>
      <c r="F2253" s="116">
        <v>317.2</v>
      </c>
      <c r="G2253">
        <v>77248</v>
      </c>
      <c r="H2253" s="116"/>
      <c r="I2253" s="116"/>
      <c r="L2253" s="170">
        <v>45323</v>
      </c>
      <c r="M2253" s="116">
        <v>317.25</v>
      </c>
      <c r="N2253" s="116">
        <v>321</v>
      </c>
      <c r="O2253" s="116">
        <v>316</v>
      </c>
      <c r="P2253" s="116">
        <v>320</v>
      </c>
      <c r="Q2253" s="116">
        <v>317.25</v>
      </c>
      <c r="R2253">
        <v>504653</v>
      </c>
    </row>
    <row r="2254" spans="1:18" x14ac:dyDescent="0.25">
      <c r="A2254" s="170">
        <v>45323</v>
      </c>
      <c r="B2254" s="116">
        <v>320.25</v>
      </c>
      <c r="C2254" s="116">
        <v>317.60000000000002</v>
      </c>
      <c r="D2254" s="116">
        <v>316.14999999999998</v>
      </c>
      <c r="E2254" s="116">
        <v>319.10000000000002</v>
      </c>
      <c r="F2254" s="116">
        <v>317.60000000000002</v>
      </c>
      <c r="G2254">
        <v>36558</v>
      </c>
      <c r="H2254" s="116"/>
      <c r="I2254" s="116"/>
      <c r="L2254" s="170">
        <v>45324</v>
      </c>
      <c r="M2254" s="116">
        <v>318.2</v>
      </c>
      <c r="N2254" s="116">
        <v>321.45</v>
      </c>
      <c r="O2254" s="116">
        <v>316.5</v>
      </c>
      <c r="P2254" s="116">
        <v>318.89999999999998</v>
      </c>
      <c r="Q2254" s="116">
        <v>318.2</v>
      </c>
      <c r="R2254">
        <v>707719</v>
      </c>
    </row>
    <row r="2255" spans="1:18" x14ac:dyDescent="0.25">
      <c r="A2255" s="170">
        <v>45324</v>
      </c>
      <c r="B2255" s="116">
        <v>321.10000000000002</v>
      </c>
      <c r="C2255" s="116">
        <v>318.10000000000002</v>
      </c>
      <c r="D2255" s="116">
        <v>316.5</v>
      </c>
      <c r="E2255" s="116">
        <v>317.75</v>
      </c>
      <c r="F2255" s="116">
        <v>318.10000000000002</v>
      </c>
      <c r="G2255">
        <v>151303</v>
      </c>
      <c r="H2255" s="116"/>
      <c r="I2255" s="116"/>
      <c r="L2255" s="170">
        <v>45327</v>
      </c>
      <c r="M2255" s="116">
        <v>315.5</v>
      </c>
      <c r="N2255" s="116">
        <v>319.75</v>
      </c>
      <c r="O2255" s="116">
        <v>314.5</v>
      </c>
      <c r="P2255" s="116">
        <v>318.2</v>
      </c>
      <c r="Q2255" s="116">
        <v>315.5</v>
      </c>
      <c r="R2255">
        <v>802078</v>
      </c>
    </row>
    <row r="2256" spans="1:18" x14ac:dyDescent="0.25">
      <c r="A2256" s="170">
        <v>45327</v>
      </c>
      <c r="B2256" s="116">
        <v>319.89999999999998</v>
      </c>
      <c r="C2256" s="116">
        <v>316.14999999999998</v>
      </c>
      <c r="D2256" s="116">
        <v>314.5</v>
      </c>
      <c r="E2256" s="116">
        <v>318.64999999999998</v>
      </c>
      <c r="F2256" s="116">
        <v>316.14999999999998</v>
      </c>
      <c r="G2256">
        <v>59553</v>
      </c>
      <c r="H2256" s="116"/>
      <c r="I2256" s="116"/>
      <c r="L2256" s="170">
        <v>45328</v>
      </c>
      <c r="M2256" s="116">
        <v>315.89999999999998</v>
      </c>
      <c r="N2256" s="116">
        <v>318.7</v>
      </c>
      <c r="O2256" s="116">
        <v>313.5</v>
      </c>
      <c r="P2256" s="116">
        <v>315.5</v>
      </c>
      <c r="Q2256" s="116">
        <v>315.89999999999998</v>
      </c>
      <c r="R2256">
        <v>433851</v>
      </c>
    </row>
    <row r="2257" spans="1:18" x14ac:dyDescent="0.25">
      <c r="A2257" s="170">
        <v>45328</v>
      </c>
      <c r="B2257" s="116">
        <v>318.55</v>
      </c>
      <c r="C2257" s="116">
        <v>315.89999999999998</v>
      </c>
      <c r="D2257" s="116">
        <v>313.7</v>
      </c>
      <c r="E2257" s="116">
        <v>315.05</v>
      </c>
      <c r="F2257" s="116">
        <v>315.89999999999998</v>
      </c>
      <c r="G2257">
        <v>82884</v>
      </c>
      <c r="H2257" s="116"/>
      <c r="I2257" s="116"/>
      <c r="L2257" s="170">
        <v>45329</v>
      </c>
      <c r="M2257" s="116">
        <v>315.89999999999998</v>
      </c>
      <c r="N2257" s="116">
        <v>318.75</v>
      </c>
      <c r="O2257" s="116">
        <v>315</v>
      </c>
      <c r="P2257" s="116">
        <v>317</v>
      </c>
      <c r="Q2257" s="116">
        <v>315.89999999999998</v>
      </c>
      <c r="R2257">
        <v>430490</v>
      </c>
    </row>
    <row r="2258" spans="1:18" x14ac:dyDescent="0.25">
      <c r="A2258" s="170">
        <v>45329</v>
      </c>
      <c r="B2258" s="116">
        <v>318.5</v>
      </c>
      <c r="C2258" s="116">
        <v>315.64999999999998</v>
      </c>
      <c r="D2258" s="116">
        <v>315</v>
      </c>
      <c r="E2258" s="116">
        <v>317</v>
      </c>
      <c r="F2258" s="116">
        <v>315.64999999999998</v>
      </c>
      <c r="G2258">
        <v>87248</v>
      </c>
      <c r="H2258" s="116"/>
      <c r="I2258" s="116"/>
      <c r="L2258" s="170">
        <v>45330</v>
      </c>
      <c r="M2258" s="116">
        <v>314.35000000000002</v>
      </c>
      <c r="N2258" s="116">
        <v>317.2</v>
      </c>
      <c r="O2258" s="116">
        <v>313</v>
      </c>
      <c r="P2258" s="116">
        <v>317</v>
      </c>
      <c r="Q2258" s="116">
        <v>314.35000000000002</v>
      </c>
      <c r="R2258">
        <v>403828</v>
      </c>
    </row>
    <row r="2259" spans="1:18" x14ac:dyDescent="0.25">
      <c r="A2259" s="170">
        <v>45330</v>
      </c>
      <c r="B2259" s="116">
        <v>317.89999999999998</v>
      </c>
      <c r="C2259" s="116">
        <v>314.45</v>
      </c>
      <c r="D2259" s="116">
        <v>313.2</v>
      </c>
      <c r="E2259" s="116">
        <v>317.89999999999998</v>
      </c>
      <c r="F2259" s="116">
        <v>314.45</v>
      </c>
      <c r="G2259">
        <v>23135</v>
      </c>
      <c r="H2259" s="116"/>
      <c r="I2259" s="116"/>
      <c r="L2259" s="170">
        <v>45331</v>
      </c>
      <c r="M2259" s="116">
        <v>312.60000000000002</v>
      </c>
      <c r="N2259" s="116">
        <v>314.75</v>
      </c>
      <c r="O2259" s="116">
        <v>310.5</v>
      </c>
      <c r="P2259" s="116">
        <v>314.35000000000002</v>
      </c>
      <c r="Q2259" s="116">
        <v>312.60000000000002</v>
      </c>
      <c r="R2259">
        <v>290538</v>
      </c>
    </row>
    <row r="2260" spans="1:18" x14ac:dyDescent="0.25">
      <c r="A2260" s="170">
        <v>45331</v>
      </c>
      <c r="B2260" s="116">
        <v>314.75</v>
      </c>
      <c r="C2260" s="116">
        <v>312.55</v>
      </c>
      <c r="D2260" s="116">
        <v>310.60000000000002</v>
      </c>
      <c r="E2260" s="116">
        <v>314.75</v>
      </c>
      <c r="F2260" s="116">
        <v>312.55</v>
      </c>
      <c r="G2260">
        <v>54196</v>
      </c>
      <c r="H2260" s="116"/>
      <c r="I2260" s="116"/>
      <c r="L2260" s="170">
        <v>45334</v>
      </c>
      <c r="M2260" s="116">
        <v>308.3</v>
      </c>
      <c r="N2260" s="116">
        <v>316.39999999999998</v>
      </c>
      <c r="O2260" s="116">
        <v>306.39999999999998</v>
      </c>
      <c r="P2260" s="116">
        <v>313.95</v>
      </c>
      <c r="Q2260" s="116">
        <v>308.3</v>
      </c>
      <c r="R2260">
        <v>439066</v>
      </c>
    </row>
    <row r="2261" spans="1:18" x14ac:dyDescent="0.25">
      <c r="A2261" s="170">
        <v>45334</v>
      </c>
      <c r="B2261" s="116">
        <v>316.64999999999998</v>
      </c>
      <c r="C2261" s="116">
        <v>308.2</v>
      </c>
      <c r="D2261" s="116">
        <v>306.3</v>
      </c>
      <c r="E2261" s="116">
        <v>314.25</v>
      </c>
      <c r="F2261" s="116">
        <v>308.2</v>
      </c>
      <c r="G2261">
        <v>30827</v>
      </c>
      <c r="H2261" s="116"/>
      <c r="I2261" s="116"/>
      <c r="L2261" s="170">
        <v>45335</v>
      </c>
      <c r="M2261" s="116">
        <v>308.39999999999998</v>
      </c>
      <c r="N2261" s="116">
        <v>310.89999999999998</v>
      </c>
      <c r="O2261" s="116">
        <v>305</v>
      </c>
      <c r="P2261" s="116">
        <v>308.3</v>
      </c>
      <c r="Q2261" s="116">
        <v>308.39999999999998</v>
      </c>
      <c r="R2261">
        <v>331920</v>
      </c>
    </row>
    <row r="2262" spans="1:18" x14ac:dyDescent="0.25">
      <c r="A2262" s="170">
        <v>45335</v>
      </c>
      <c r="B2262" s="116">
        <v>311</v>
      </c>
      <c r="C2262" s="116">
        <v>308.25</v>
      </c>
      <c r="D2262" s="116">
        <v>305.25</v>
      </c>
      <c r="E2262" s="116">
        <v>308.2</v>
      </c>
      <c r="F2262" s="116">
        <v>308.25</v>
      </c>
      <c r="G2262">
        <v>32382</v>
      </c>
      <c r="H2262" s="116"/>
      <c r="I2262" s="116"/>
      <c r="L2262" s="170">
        <v>45336</v>
      </c>
      <c r="M2262" s="116">
        <v>310.25</v>
      </c>
      <c r="N2262" s="116">
        <v>311</v>
      </c>
      <c r="O2262" s="116">
        <v>305.7</v>
      </c>
      <c r="P2262" s="116">
        <v>306</v>
      </c>
      <c r="Q2262" s="116">
        <v>310.25</v>
      </c>
      <c r="R2262">
        <v>228976</v>
      </c>
    </row>
    <row r="2263" spans="1:18" x14ac:dyDescent="0.25">
      <c r="A2263" s="170">
        <v>45336</v>
      </c>
      <c r="B2263" s="116">
        <v>311.10000000000002</v>
      </c>
      <c r="C2263" s="116">
        <v>310.05</v>
      </c>
      <c r="D2263" s="116">
        <v>306</v>
      </c>
      <c r="E2263" s="116">
        <v>306.45</v>
      </c>
      <c r="F2263" s="116">
        <v>310.05</v>
      </c>
      <c r="G2263">
        <v>21953</v>
      </c>
      <c r="H2263" s="116"/>
      <c r="I2263" s="116"/>
      <c r="L2263" s="170">
        <v>45337</v>
      </c>
      <c r="M2263" s="116">
        <v>314.89999999999998</v>
      </c>
      <c r="N2263" s="116">
        <v>318</v>
      </c>
      <c r="O2263" s="116">
        <v>310</v>
      </c>
      <c r="P2263" s="116">
        <v>318</v>
      </c>
      <c r="Q2263" s="116">
        <v>314.89999999999998</v>
      </c>
      <c r="R2263">
        <v>398989</v>
      </c>
    </row>
    <row r="2264" spans="1:18" x14ac:dyDescent="0.25">
      <c r="A2264" s="170">
        <v>45337</v>
      </c>
      <c r="B2264" s="116">
        <v>318</v>
      </c>
      <c r="C2264" s="116">
        <v>315.10000000000002</v>
      </c>
      <c r="D2264" s="116">
        <v>310.25</v>
      </c>
      <c r="E2264" s="116">
        <v>318</v>
      </c>
      <c r="F2264" s="116">
        <v>315.10000000000002</v>
      </c>
      <c r="G2264">
        <v>29109</v>
      </c>
      <c r="H2264" s="116"/>
      <c r="I2264" s="116"/>
      <c r="L2264" s="170">
        <v>45338</v>
      </c>
      <c r="M2264" s="116">
        <v>313.14999999999998</v>
      </c>
      <c r="N2264" s="116">
        <v>316.45</v>
      </c>
      <c r="O2264" s="116">
        <v>312.5</v>
      </c>
      <c r="P2264" s="116">
        <v>315</v>
      </c>
      <c r="Q2264" s="116">
        <v>313.14999999999998</v>
      </c>
      <c r="R2264">
        <v>225066</v>
      </c>
    </row>
    <row r="2265" spans="1:18" x14ac:dyDescent="0.25">
      <c r="A2265" s="170">
        <v>45338</v>
      </c>
      <c r="B2265" s="116">
        <v>316</v>
      </c>
      <c r="C2265" s="116">
        <v>312.95</v>
      </c>
      <c r="D2265" s="116">
        <v>312</v>
      </c>
      <c r="E2265" s="116">
        <v>315</v>
      </c>
      <c r="F2265" s="116">
        <v>312.95</v>
      </c>
      <c r="G2265">
        <v>50457</v>
      </c>
      <c r="H2265" s="116"/>
      <c r="I2265" s="116"/>
      <c r="L2265" s="170">
        <v>45341</v>
      </c>
      <c r="M2265" s="116">
        <v>311.10000000000002</v>
      </c>
      <c r="N2265" s="116">
        <v>314.89999999999998</v>
      </c>
      <c r="O2265" s="116">
        <v>310.5</v>
      </c>
      <c r="P2265" s="116">
        <v>313.3</v>
      </c>
      <c r="Q2265" s="116">
        <v>311.10000000000002</v>
      </c>
      <c r="R2265">
        <v>278687</v>
      </c>
    </row>
    <row r="2266" spans="1:18" x14ac:dyDescent="0.25">
      <c r="A2266" s="170">
        <v>45341</v>
      </c>
      <c r="B2266" s="116">
        <v>314.75</v>
      </c>
      <c r="C2266" s="116">
        <v>311.10000000000002</v>
      </c>
      <c r="D2266" s="116">
        <v>310.60000000000002</v>
      </c>
      <c r="E2266" s="116">
        <v>313.5</v>
      </c>
      <c r="F2266" s="116">
        <v>311.10000000000002</v>
      </c>
      <c r="G2266">
        <v>25322</v>
      </c>
      <c r="H2266" s="116"/>
      <c r="I2266" s="116"/>
      <c r="L2266" s="170">
        <v>45342</v>
      </c>
      <c r="M2266" s="116">
        <v>311.10000000000002</v>
      </c>
      <c r="N2266" s="116">
        <v>313</v>
      </c>
      <c r="O2266" s="116">
        <v>310.5</v>
      </c>
      <c r="P2266" s="116">
        <v>311</v>
      </c>
      <c r="Q2266" s="116">
        <v>311.10000000000002</v>
      </c>
      <c r="R2266">
        <v>194595</v>
      </c>
    </row>
    <row r="2267" spans="1:18" x14ac:dyDescent="0.25">
      <c r="A2267" s="170">
        <v>45342</v>
      </c>
      <c r="B2267" s="116">
        <v>313</v>
      </c>
      <c r="C2267" s="116">
        <v>311.10000000000002</v>
      </c>
      <c r="D2267" s="116">
        <v>310.55</v>
      </c>
      <c r="E2267" s="116">
        <v>311.39999999999998</v>
      </c>
      <c r="F2267" s="116">
        <v>311.10000000000002</v>
      </c>
      <c r="G2267">
        <v>37150</v>
      </c>
      <c r="H2267" s="116"/>
      <c r="I2267" s="116"/>
      <c r="L2267" s="170">
        <v>45343</v>
      </c>
      <c r="M2267" s="116">
        <v>309.10000000000002</v>
      </c>
      <c r="N2267" s="116">
        <v>312.89999999999998</v>
      </c>
      <c r="O2267" s="116">
        <v>308.39999999999998</v>
      </c>
      <c r="P2267" s="116">
        <v>310.95</v>
      </c>
      <c r="Q2267" s="116">
        <v>309.10000000000002</v>
      </c>
      <c r="R2267">
        <v>280526</v>
      </c>
    </row>
    <row r="2268" spans="1:18" x14ac:dyDescent="0.25">
      <c r="A2268" s="170">
        <v>45343</v>
      </c>
      <c r="B2268" s="116">
        <v>313.05</v>
      </c>
      <c r="C2268" s="116">
        <v>309.14999999999998</v>
      </c>
      <c r="D2268" s="116">
        <v>308.3</v>
      </c>
      <c r="E2268" s="116">
        <v>313.05</v>
      </c>
      <c r="F2268" s="116">
        <v>309.14999999999998</v>
      </c>
      <c r="G2268">
        <v>64503</v>
      </c>
      <c r="H2268" s="116"/>
      <c r="I2268" s="116"/>
      <c r="L2268" s="170">
        <v>45344</v>
      </c>
      <c r="M2268" s="116">
        <v>310.25</v>
      </c>
      <c r="N2268" s="116">
        <v>311</v>
      </c>
      <c r="O2268" s="116">
        <v>307.95</v>
      </c>
      <c r="P2268" s="116">
        <v>310</v>
      </c>
      <c r="Q2268" s="116">
        <v>310.25</v>
      </c>
      <c r="R2268">
        <v>193163</v>
      </c>
    </row>
    <row r="2269" spans="1:18" x14ac:dyDescent="0.25">
      <c r="A2269" s="170">
        <v>45344</v>
      </c>
      <c r="B2269" s="116">
        <v>311.45</v>
      </c>
      <c r="C2269" s="116">
        <v>310</v>
      </c>
      <c r="D2269" s="116">
        <v>308.05</v>
      </c>
      <c r="E2269" s="116">
        <v>311.45</v>
      </c>
      <c r="F2269" s="116">
        <v>310</v>
      </c>
      <c r="G2269">
        <v>47591</v>
      </c>
      <c r="H2269" s="116"/>
      <c r="I2269" s="116"/>
      <c r="L2269" s="170">
        <v>45345</v>
      </c>
      <c r="M2269" s="116">
        <v>310.64999999999998</v>
      </c>
      <c r="N2269" s="116">
        <v>311.45</v>
      </c>
      <c r="O2269" s="116">
        <v>309.64999999999998</v>
      </c>
      <c r="P2269" s="116">
        <v>310.2</v>
      </c>
      <c r="Q2269" s="116">
        <v>310.64999999999998</v>
      </c>
      <c r="R2269">
        <v>193107</v>
      </c>
    </row>
    <row r="2270" spans="1:18" x14ac:dyDescent="0.25">
      <c r="A2270" s="170">
        <v>45345</v>
      </c>
      <c r="B2270" s="116">
        <v>311.3</v>
      </c>
      <c r="C2270" s="116">
        <v>310.39999999999998</v>
      </c>
      <c r="D2270" s="116">
        <v>309.85000000000002</v>
      </c>
      <c r="E2270" s="116">
        <v>310</v>
      </c>
      <c r="F2270" s="116">
        <v>310.39999999999998</v>
      </c>
      <c r="G2270">
        <v>20235</v>
      </c>
      <c r="H2270" s="116"/>
      <c r="I2270" s="116"/>
      <c r="L2270" s="170">
        <v>45348</v>
      </c>
      <c r="M2270" s="116">
        <v>310.25</v>
      </c>
      <c r="N2270" s="116">
        <v>313.95</v>
      </c>
      <c r="O2270" s="116">
        <v>308.7</v>
      </c>
      <c r="P2270" s="116">
        <v>310.64999999999998</v>
      </c>
      <c r="Q2270" s="116">
        <v>310.25</v>
      </c>
      <c r="R2270">
        <v>349742</v>
      </c>
    </row>
    <row r="2271" spans="1:18" x14ac:dyDescent="0.25">
      <c r="A2271" s="170">
        <v>45348</v>
      </c>
      <c r="B2271" s="116">
        <v>313.75</v>
      </c>
      <c r="C2271" s="116">
        <v>310.45</v>
      </c>
      <c r="D2271" s="116">
        <v>308.85000000000002</v>
      </c>
      <c r="E2271" s="116">
        <v>309.55</v>
      </c>
      <c r="F2271" s="116">
        <v>310.45</v>
      </c>
      <c r="G2271">
        <v>25082</v>
      </c>
      <c r="H2271" s="116"/>
      <c r="I2271" s="116"/>
      <c r="L2271" s="170">
        <v>45349</v>
      </c>
      <c r="M2271" s="116">
        <v>309.64999999999998</v>
      </c>
      <c r="N2271" s="116">
        <v>310.5</v>
      </c>
      <c r="O2271" s="116">
        <v>308.3</v>
      </c>
      <c r="P2271" s="116">
        <v>310</v>
      </c>
      <c r="Q2271" s="116">
        <v>309.64999999999998</v>
      </c>
      <c r="R2271">
        <v>262548</v>
      </c>
    </row>
    <row r="2272" spans="1:18" x14ac:dyDescent="0.25">
      <c r="A2272" s="170">
        <v>45349</v>
      </c>
      <c r="B2272" s="116">
        <v>310.85000000000002</v>
      </c>
      <c r="C2272" s="116">
        <v>309.39999999999998</v>
      </c>
      <c r="D2272" s="116">
        <v>308.35000000000002</v>
      </c>
      <c r="E2272" s="116">
        <v>310.85000000000002</v>
      </c>
      <c r="F2272" s="116">
        <v>309.39999999999998</v>
      </c>
      <c r="G2272">
        <v>74033</v>
      </c>
      <c r="H2272" s="116"/>
      <c r="I2272" s="116"/>
      <c r="L2272" s="170">
        <v>45350</v>
      </c>
      <c r="M2272" s="116">
        <v>309</v>
      </c>
      <c r="N2272" s="116">
        <v>311.35000000000002</v>
      </c>
      <c r="O2272" s="116">
        <v>307.55</v>
      </c>
      <c r="P2272" s="116">
        <v>310.5</v>
      </c>
      <c r="Q2272" s="116">
        <v>309</v>
      </c>
      <c r="R2272">
        <v>312859</v>
      </c>
    </row>
    <row r="2273" spans="1:18" x14ac:dyDescent="0.25">
      <c r="A2273" s="170">
        <v>45350</v>
      </c>
      <c r="B2273" s="116">
        <v>311.14999999999998</v>
      </c>
      <c r="C2273" s="116">
        <v>309.05</v>
      </c>
      <c r="D2273" s="116">
        <v>307.5</v>
      </c>
      <c r="E2273" s="116">
        <v>310.5</v>
      </c>
      <c r="F2273" s="116">
        <v>309.05</v>
      </c>
      <c r="G2273">
        <v>68739</v>
      </c>
      <c r="H2273" s="116"/>
      <c r="I2273" s="116"/>
      <c r="L2273" s="170">
        <v>45351</v>
      </c>
      <c r="M2273" s="116">
        <v>306.45</v>
      </c>
      <c r="N2273" s="116">
        <v>308.89999999999998</v>
      </c>
      <c r="O2273" s="116">
        <v>306</v>
      </c>
      <c r="P2273" s="116">
        <v>308.89999999999998</v>
      </c>
      <c r="Q2273" s="116">
        <v>306.45</v>
      </c>
      <c r="R2273">
        <v>283041</v>
      </c>
    </row>
    <row r="2274" spans="1:18" x14ac:dyDescent="0.25">
      <c r="A2274" s="170">
        <v>45351</v>
      </c>
      <c r="B2274" s="116">
        <v>309</v>
      </c>
      <c r="C2274" s="116">
        <v>306.39999999999998</v>
      </c>
      <c r="D2274" s="116">
        <v>306.10000000000002</v>
      </c>
      <c r="E2274" s="116">
        <v>309</v>
      </c>
      <c r="F2274" s="116">
        <v>306.39999999999998</v>
      </c>
      <c r="G2274">
        <v>65229</v>
      </c>
      <c r="H2274" s="116"/>
      <c r="I2274" s="116"/>
      <c r="L2274" s="170">
        <v>45352</v>
      </c>
      <c r="M2274" s="116">
        <v>308.75</v>
      </c>
      <c r="N2274" s="116">
        <v>313.39999999999998</v>
      </c>
      <c r="O2274" s="116">
        <v>307.14999999999998</v>
      </c>
      <c r="P2274" s="116">
        <v>307.95</v>
      </c>
      <c r="Q2274" s="116">
        <v>308.75</v>
      </c>
      <c r="R2274">
        <v>331401</v>
      </c>
    </row>
    <row r="2275" spans="1:18" x14ac:dyDescent="0.25">
      <c r="A2275" s="170">
        <v>45352</v>
      </c>
      <c r="B2275" s="116">
        <v>313.14999999999998</v>
      </c>
      <c r="C2275" s="116">
        <v>308.89999999999998</v>
      </c>
      <c r="D2275" s="116">
        <v>307.60000000000002</v>
      </c>
      <c r="E2275" s="116">
        <v>308.3</v>
      </c>
      <c r="F2275" s="116">
        <v>308.89999999999998</v>
      </c>
      <c r="G2275">
        <v>24456</v>
      </c>
      <c r="H2275" s="116"/>
      <c r="I2275" s="116"/>
      <c r="L2275" s="170">
        <v>45353</v>
      </c>
      <c r="M2275" s="116">
        <v>312.60000000000002</v>
      </c>
      <c r="N2275" s="116">
        <v>313</v>
      </c>
      <c r="O2275" s="116">
        <v>308.05</v>
      </c>
      <c r="P2275" s="116">
        <v>309.5</v>
      </c>
      <c r="Q2275" s="116">
        <v>312.60000000000002</v>
      </c>
      <c r="R2275">
        <v>106339</v>
      </c>
    </row>
    <row r="2276" spans="1:18" x14ac:dyDescent="0.25">
      <c r="A2276" s="170">
        <v>45353</v>
      </c>
      <c r="B2276" s="116">
        <v>312.8</v>
      </c>
      <c r="C2276" s="116">
        <v>312.35000000000002</v>
      </c>
      <c r="D2276" s="116">
        <v>308.35000000000002</v>
      </c>
      <c r="E2276" s="116">
        <v>311.35000000000002</v>
      </c>
      <c r="F2276" s="116">
        <v>312.35000000000002</v>
      </c>
      <c r="G2276">
        <v>15817</v>
      </c>
      <c r="H2276" s="116"/>
      <c r="I2276" s="116"/>
      <c r="L2276" s="170">
        <v>45355</v>
      </c>
      <c r="M2276" s="116">
        <v>312.2</v>
      </c>
      <c r="N2276" s="116">
        <v>314.95</v>
      </c>
      <c r="O2276" s="116">
        <v>310.75</v>
      </c>
      <c r="P2276" s="116">
        <v>313</v>
      </c>
      <c r="Q2276" s="116">
        <v>312.2</v>
      </c>
      <c r="R2276">
        <v>421726</v>
      </c>
    </row>
    <row r="2277" spans="1:18" x14ac:dyDescent="0.25">
      <c r="A2277" s="170">
        <v>45355</v>
      </c>
      <c r="B2277" s="116">
        <v>314.95</v>
      </c>
      <c r="C2277" s="116">
        <v>312.2</v>
      </c>
      <c r="D2277" s="116">
        <v>310.8</v>
      </c>
      <c r="E2277" s="116">
        <v>313</v>
      </c>
      <c r="F2277" s="116">
        <v>312.2</v>
      </c>
      <c r="G2277">
        <v>26764</v>
      </c>
      <c r="H2277" s="116"/>
      <c r="I2277" s="116"/>
      <c r="L2277" s="170">
        <v>45356</v>
      </c>
      <c r="M2277" s="116">
        <v>308.14999999999998</v>
      </c>
      <c r="N2277" s="116">
        <v>313.39999999999998</v>
      </c>
      <c r="O2277" s="116">
        <v>307</v>
      </c>
      <c r="P2277" s="116">
        <v>312.5</v>
      </c>
      <c r="Q2277" s="116">
        <v>308.14999999999998</v>
      </c>
      <c r="R2277">
        <v>418677</v>
      </c>
    </row>
    <row r="2278" spans="1:18" x14ac:dyDescent="0.25">
      <c r="A2278" s="170">
        <v>45356</v>
      </c>
      <c r="B2278" s="116">
        <v>313.05</v>
      </c>
      <c r="C2278" s="116">
        <v>308.89999999999998</v>
      </c>
      <c r="D2278" s="116">
        <v>307.05</v>
      </c>
      <c r="E2278" s="116">
        <v>312.35000000000002</v>
      </c>
      <c r="F2278" s="116">
        <v>308.89999999999998</v>
      </c>
      <c r="G2278">
        <v>53889</v>
      </c>
      <c r="H2278" s="116"/>
      <c r="I2278" s="116"/>
      <c r="L2278" s="170">
        <v>45357</v>
      </c>
      <c r="M2278" s="116">
        <v>307.55</v>
      </c>
      <c r="N2278" s="116">
        <v>308.95</v>
      </c>
      <c r="O2278" s="116">
        <v>306.05</v>
      </c>
      <c r="P2278" s="116">
        <v>307</v>
      </c>
      <c r="Q2278" s="116">
        <v>307.55</v>
      </c>
      <c r="R2278">
        <v>268163</v>
      </c>
    </row>
    <row r="2279" spans="1:18" x14ac:dyDescent="0.25">
      <c r="A2279" s="170">
        <v>45357</v>
      </c>
      <c r="B2279" s="116">
        <v>308.89999999999998</v>
      </c>
      <c r="C2279" s="116">
        <v>307.75</v>
      </c>
      <c r="D2279" s="116">
        <v>306.14999999999998</v>
      </c>
      <c r="E2279" s="116">
        <v>307.45</v>
      </c>
      <c r="F2279" s="116">
        <v>307.75</v>
      </c>
      <c r="G2279">
        <v>55091</v>
      </c>
      <c r="H2279" s="116"/>
      <c r="I2279" s="116"/>
      <c r="L2279" s="170">
        <v>45358</v>
      </c>
      <c r="M2279" s="116">
        <v>310.95</v>
      </c>
      <c r="N2279" s="116">
        <v>312.8</v>
      </c>
      <c r="O2279" s="116">
        <v>308.05</v>
      </c>
      <c r="P2279" s="116">
        <v>308.60000000000002</v>
      </c>
      <c r="Q2279" s="116">
        <v>310.95</v>
      </c>
      <c r="R2279">
        <v>310481</v>
      </c>
    </row>
    <row r="2280" spans="1:18" x14ac:dyDescent="0.25">
      <c r="A2280" s="170">
        <v>45358</v>
      </c>
      <c r="B2280" s="116">
        <v>312.5</v>
      </c>
      <c r="C2280" s="116">
        <v>310.64999999999998</v>
      </c>
      <c r="D2280" s="116">
        <v>307.14999999999998</v>
      </c>
      <c r="E2280" s="116">
        <v>307.14999999999998</v>
      </c>
      <c r="F2280" s="116">
        <v>310.64999999999998</v>
      </c>
      <c r="G2280">
        <v>55902</v>
      </c>
      <c r="H2280" s="116"/>
      <c r="I2280" s="116"/>
      <c r="L2280" s="170">
        <v>45362</v>
      </c>
      <c r="M2280" s="116">
        <v>308.39999999999998</v>
      </c>
      <c r="N2280" s="116">
        <v>312.8</v>
      </c>
      <c r="O2280" s="116">
        <v>308.05</v>
      </c>
      <c r="P2280" s="116">
        <v>310.95</v>
      </c>
      <c r="Q2280" s="116">
        <v>308.39999999999998</v>
      </c>
      <c r="R2280">
        <v>240075</v>
      </c>
    </row>
    <row r="2281" spans="1:18" x14ac:dyDescent="0.25">
      <c r="A2281" s="170">
        <v>45362</v>
      </c>
      <c r="B2281" s="116">
        <v>312.05</v>
      </c>
      <c r="C2281" s="116">
        <v>308.35000000000002</v>
      </c>
      <c r="D2281" s="116">
        <v>308.05</v>
      </c>
      <c r="E2281" s="116">
        <v>311.95</v>
      </c>
      <c r="F2281" s="116">
        <v>308.35000000000002</v>
      </c>
      <c r="G2281">
        <v>25739</v>
      </c>
      <c r="H2281" s="116"/>
      <c r="I2281" s="116"/>
      <c r="L2281" s="170">
        <v>45363</v>
      </c>
      <c r="M2281" s="116">
        <v>308.45</v>
      </c>
      <c r="N2281" s="116">
        <v>309.7</v>
      </c>
      <c r="O2281" s="116">
        <v>305.55</v>
      </c>
      <c r="P2281" s="116">
        <v>309.7</v>
      </c>
      <c r="Q2281" s="116">
        <v>308.45</v>
      </c>
      <c r="R2281">
        <v>301099</v>
      </c>
    </row>
    <row r="2282" spans="1:18" x14ac:dyDescent="0.25">
      <c r="A2282" s="170">
        <v>45363</v>
      </c>
      <c r="B2282" s="116">
        <v>310.14999999999998</v>
      </c>
      <c r="C2282" s="116">
        <v>308.39999999999998</v>
      </c>
      <c r="D2282" s="116">
        <v>305.55</v>
      </c>
      <c r="E2282" s="116">
        <v>310.14999999999998</v>
      </c>
      <c r="F2282" s="116">
        <v>308.39999999999998</v>
      </c>
      <c r="G2282">
        <v>17668</v>
      </c>
      <c r="H2282" s="116"/>
      <c r="I2282" s="116"/>
      <c r="L2282" s="170">
        <v>45364</v>
      </c>
      <c r="M2282" s="116">
        <v>301.8</v>
      </c>
      <c r="N2282" s="116">
        <v>308.7</v>
      </c>
      <c r="O2282" s="116">
        <v>300</v>
      </c>
      <c r="P2282" s="116">
        <v>308.45</v>
      </c>
      <c r="Q2282" s="116">
        <v>301.8</v>
      </c>
      <c r="R2282">
        <v>560411</v>
      </c>
    </row>
    <row r="2283" spans="1:18" x14ac:dyDescent="0.25">
      <c r="A2283" s="170">
        <v>45364</v>
      </c>
      <c r="B2283" s="116">
        <v>309.14999999999998</v>
      </c>
      <c r="C2283" s="116">
        <v>301.5</v>
      </c>
      <c r="D2283" s="116">
        <v>300.14999999999998</v>
      </c>
      <c r="E2283" s="116">
        <v>309.14999999999998</v>
      </c>
      <c r="F2283" s="116">
        <v>301.5</v>
      </c>
      <c r="G2283">
        <v>36288</v>
      </c>
      <c r="H2283" s="116"/>
      <c r="I2283" s="116"/>
      <c r="L2283" s="170">
        <v>45365</v>
      </c>
      <c r="M2283" s="116">
        <v>304.2</v>
      </c>
      <c r="N2283" s="116">
        <v>306.7</v>
      </c>
      <c r="O2283" s="116">
        <v>298</v>
      </c>
      <c r="P2283" s="116">
        <v>301.8</v>
      </c>
      <c r="Q2283" s="116">
        <v>304.2</v>
      </c>
      <c r="R2283">
        <v>520707</v>
      </c>
    </row>
    <row r="2284" spans="1:18" x14ac:dyDescent="0.25">
      <c r="A2284" s="170">
        <v>45365</v>
      </c>
      <c r="B2284" s="116">
        <v>306.45</v>
      </c>
      <c r="C2284" s="116">
        <v>304.10000000000002</v>
      </c>
      <c r="D2284" s="116">
        <v>297.95</v>
      </c>
      <c r="E2284" s="116">
        <v>301.60000000000002</v>
      </c>
      <c r="F2284" s="116">
        <v>304.10000000000002</v>
      </c>
      <c r="G2284">
        <v>83278</v>
      </c>
      <c r="H2284" s="116"/>
      <c r="I2284" s="116"/>
      <c r="L2284" s="170">
        <v>45366</v>
      </c>
      <c r="M2284" s="116">
        <v>289.39999999999998</v>
      </c>
      <c r="N2284" s="116">
        <v>304</v>
      </c>
      <c r="O2284" s="116">
        <v>284.60000000000002</v>
      </c>
      <c r="P2284" s="116">
        <v>304</v>
      </c>
      <c r="Q2284" s="116">
        <v>289.39999999999998</v>
      </c>
      <c r="R2284">
        <v>3154634</v>
      </c>
    </row>
    <row r="2285" spans="1:18" x14ac:dyDescent="0.25">
      <c r="A2285" s="170">
        <v>45366</v>
      </c>
      <c r="B2285" s="116">
        <v>304.55</v>
      </c>
      <c r="C2285" s="116">
        <v>289.75</v>
      </c>
      <c r="D2285" s="116">
        <v>285</v>
      </c>
      <c r="E2285" s="116">
        <v>304.55</v>
      </c>
      <c r="F2285" s="116">
        <v>289.75</v>
      </c>
      <c r="G2285">
        <v>125375</v>
      </c>
      <c r="H2285" s="116"/>
      <c r="I2285" s="116"/>
      <c r="L2285" s="170">
        <v>45369</v>
      </c>
      <c r="M2285" s="116">
        <v>295.45</v>
      </c>
      <c r="N2285" s="116">
        <v>296.5</v>
      </c>
      <c r="O2285" s="116">
        <v>289.39999999999998</v>
      </c>
      <c r="P2285" s="116">
        <v>289.39999999999998</v>
      </c>
      <c r="Q2285" s="116">
        <v>295.45</v>
      </c>
      <c r="R2285">
        <v>685732</v>
      </c>
    </row>
    <row r="2286" spans="1:18" x14ac:dyDescent="0.25">
      <c r="A2286" s="170">
        <v>45369</v>
      </c>
      <c r="B2286" s="116">
        <v>296.45</v>
      </c>
      <c r="C2286" s="116">
        <v>295.3</v>
      </c>
      <c r="D2286" s="116">
        <v>289.5</v>
      </c>
      <c r="E2286" s="116">
        <v>289.7</v>
      </c>
      <c r="F2286" s="116">
        <v>295.3</v>
      </c>
      <c r="G2286">
        <v>113603</v>
      </c>
      <c r="H2286" s="116"/>
      <c r="I2286" s="116"/>
      <c r="L2286" s="170">
        <v>45370</v>
      </c>
      <c r="M2286" s="116">
        <v>293.39999999999998</v>
      </c>
      <c r="N2286" s="116">
        <v>295.89999999999998</v>
      </c>
      <c r="O2286" s="116">
        <v>291.5</v>
      </c>
      <c r="P2286" s="116">
        <v>294.95</v>
      </c>
      <c r="Q2286" s="116">
        <v>293.39999999999998</v>
      </c>
      <c r="R2286">
        <v>366865</v>
      </c>
    </row>
    <row r="2287" spans="1:18" x14ac:dyDescent="0.25">
      <c r="A2287" s="170">
        <v>45370</v>
      </c>
      <c r="B2287" s="116">
        <v>296.25</v>
      </c>
      <c r="C2287" s="116">
        <v>293.14999999999998</v>
      </c>
      <c r="D2287" s="116">
        <v>291.39999999999998</v>
      </c>
      <c r="E2287" s="116">
        <v>296.25</v>
      </c>
      <c r="F2287" s="116">
        <v>293.14999999999998</v>
      </c>
      <c r="G2287">
        <v>36147</v>
      </c>
      <c r="H2287" s="116"/>
      <c r="I2287" s="116"/>
      <c r="L2287" s="170">
        <v>45371</v>
      </c>
      <c r="M2287" s="116">
        <v>291.7</v>
      </c>
      <c r="N2287" s="116">
        <v>295.3</v>
      </c>
      <c r="O2287" s="116">
        <v>290.8</v>
      </c>
      <c r="P2287" s="116">
        <v>294.95</v>
      </c>
      <c r="Q2287" s="116">
        <v>291.7</v>
      </c>
      <c r="R2287">
        <v>331332</v>
      </c>
    </row>
    <row r="2288" spans="1:18" x14ac:dyDescent="0.25">
      <c r="A2288" s="170">
        <v>45371</v>
      </c>
      <c r="B2288" s="116">
        <v>295.5</v>
      </c>
      <c r="C2288" s="116">
        <v>291.75</v>
      </c>
      <c r="D2288" s="116">
        <v>290.7</v>
      </c>
      <c r="E2288" s="116">
        <v>295.5</v>
      </c>
      <c r="F2288" s="116">
        <v>291.75</v>
      </c>
      <c r="G2288">
        <v>30680</v>
      </c>
      <c r="H2288" s="116"/>
      <c r="I2288" s="116"/>
      <c r="L2288" s="170">
        <v>45372</v>
      </c>
      <c r="M2288" s="116">
        <v>293.89999999999998</v>
      </c>
      <c r="N2288" s="116">
        <v>296.45</v>
      </c>
      <c r="O2288" s="116">
        <v>292</v>
      </c>
      <c r="P2288" s="116">
        <v>292</v>
      </c>
      <c r="Q2288" s="116">
        <v>293.89999999999998</v>
      </c>
      <c r="R2288">
        <v>367193</v>
      </c>
    </row>
    <row r="2289" spans="1:18" x14ac:dyDescent="0.25">
      <c r="A2289" s="170">
        <v>45372</v>
      </c>
      <c r="B2289" s="116">
        <v>296.45</v>
      </c>
      <c r="C2289" s="116">
        <v>294</v>
      </c>
      <c r="D2289" s="116">
        <v>291.64999999999998</v>
      </c>
      <c r="E2289" s="116">
        <v>291.64999999999998</v>
      </c>
      <c r="F2289" s="116">
        <v>294</v>
      </c>
      <c r="G2289">
        <v>72854</v>
      </c>
      <c r="H2289" s="116"/>
      <c r="I2289" s="116"/>
      <c r="L2289" s="170">
        <v>45373</v>
      </c>
      <c r="M2289" s="116">
        <v>296</v>
      </c>
      <c r="N2289" s="116">
        <v>297.95</v>
      </c>
      <c r="O2289" s="116">
        <v>293.2</v>
      </c>
      <c r="P2289" s="116">
        <v>294</v>
      </c>
      <c r="Q2289" s="116">
        <v>296</v>
      </c>
      <c r="R2289">
        <v>563796</v>
      </c>
    </row>
    <row r="2290" spans="1:18" x14ac:dyDescent="0.25">
      <c r="A2290" s="170">
        <v>45373</v>
      </c>
      <c r="B2290" s="116">
        <v>297.8</v>
      </c>
      <c r="C2290" s="116">
        <v>296.05</v>
      </c>
      <c r="D2290" s="116">
        <v>293.8</v>
      </c>
      <c r="E2290" s="116">
        <v>294.95</v>
      </c>
      <c r="F2290" s="116">
        <v>296.05</v>
      </c>
      <c r="G2290">
        <v>74779</v>
      </c>
      <c r="H2290" s="116"/>
      <c r="I2290" s="116"/>
      <c r="L2290" s="170">
        <v>45377</v>
      </c>
      <c r="M2290" s="116">
        <v>294.89999999999998</v>
      </c>
      <c r="N2290" s="116">
        <v>298.95</v>
      </c>
      <c r="O2290" s="116">
        <v>294.3</v>
      </c>
      <c r="P2290" s="116">
        <v>297.85000000000002</v>
      </c>
      <c r="Q2290" s="116">
        <v>294.89999999999998</v>
      </c>
      <c r="R2290">
        <v>455958</v>
      </c>
    </row>
    <row r="2291" spans="1:18" x14ac:dyDescent="0.25">
      <c r="A2291" s="170">
        <v>45377</v>
      </c>
      <c r="B2291" s="116">
        <v>298.75</v>
      </c>
      <c r="C2291" s="116">
        <v>294.85000000000002</v>
      </c>
      <c r="D2291" s="116">
        <v>294.5</v>
      </c>
      <c r="E2291" s="116">
        <v>296.35000000000002</v>
      </c>
      <c r="F2291" s="116">
        <v>294.85000000000002</v>
      </c>
      <c r="G2291">
        <v>100121</v>
      </c>
      <c r="H2291" s="116"/>
      <c r="I2291" s="116"/>
      <c r="L2291" s="170">
        <v>45378</v>
      </c>
      <c r="M2291" s="116">
        <v>293.7</v>
      </c>
      <c r="N2291" s="116">
        <v>297.8</v>
      </c>
      <c r="O2291" s="116">
        <v>293</v>
      </c>
      <c r="P2291" s="116">
        <v>294.25</v>
      </c>
      <c r="Q2291" s="116">
        <v>293.7</v>
      </c>
      <c r="R2291">
        <v>465415</v>
      </c>
    </row>
    <row r="2292" spans="1:18" x14ac:dyDescent="0.25">
      <c r="A2292" s="170">
        <v>45378</v>
      </c>
      <c r="B2292" s="116">
        <v>297.8</v>
      </c>
      <c r="C2292" s="116">
        <v>293.75</v>
      </c>
      <c r="D2292" s="116">
        <v>293</v>
      </c>
      <c r="E2292" s="116">
        <v>294.55</v>
      </c>
      <c r="F2292" s="116">
        <v>293.75</v>
      </c>
      <c r="G2292">
        <v>36041</v>
      </c>
      <c r="H2292" s="116"/>
      <c r="I2292" s="116"/>
      <c r="L2292" s="170">
        <v>45379</v>
      </c>
      <c r="M2292" s="116">
        <v>292.3</v>
      </c>
      <c r="N2292" s="116">
        <v>296.14999999999998</v>
      </c>
      <c r="O2292" s="116">
        <v>290.10000000000002</v>
      </c>
      <c r="P2292" s="116">
        <v>293.7</v>
      </c>
      <c r="Q2292" s="116">
        <v>292.3</v>
      </c>
      <c r="R2292">
        <v>452622</v>
      </c>
    </row>
    <row r="2293" spans="1:18" x14ac:dyDescent="0.25">
      <c r="A2293" s="170">
        <v>45379</v>
      </c>
      <c r="B2293" s="116">
        <v>295.95</v>
      </c>
      <c r="C2293" s="116">
        <v>292.25</v>
      </c>
      <c r="D2293" s="116">
        <v>291</v>
      </c>
      <c r="E2293" s="116">
        <v>294</v>
      </c>
      <c r="F2293" s="116">
        <v>292.25</v>
      </c>
      <c r="G2293">
        <v>98738</v>
      </c>
      <c r="H2293" s="116"/>
      <c r="I2293" s="116"/>
      <c r="L2293" s="170">
        <v>45383</v>
      </c>
      <c r="M2293" s="116">
        <v>306.14999999999998</v>
      </c>
      <c r="N2293" s="116">
        <v>307.55</v>
      </c>
      <c r="O2293" s="116">
        <v>294.14999999999998</v>
      </c>
      <c r="P2293" s="116">
        <v>295.45</v>
      </c>
      <c r="Q2293" s="116">
        <v>306.14999999999998</v>
      </c>
      <c r="R2293">
        <v>916687</v>
      </c>
    </row>
    <row r="2294" spans="1:18" x14ac:dyDescent="0.25">
      <c r="A2294" s="170">
        <v>45383</v>
      </c>
      <c r="B2294" s="116">
        <v>307.60000000000002</v>
      </c>
      <c r="C2294" s="116">
        <v>306.2</v>
      </c>
      <c r="D2294" s="116">
        <v>295.14999999999998</v>
      </c>
      <c r="E2294" s="116">
        <v>295.14999999999998</v>
      </c>
      <c r="F2294" s="116">
        <v>306.2</v>
      </c>
      <c r="G2294">
        <v>36085</v>
      </c>
      <c r="H2294" s="116"/>
      <c r="I2294" s="116"/>
      <c r="L2294" s="170">
        <v>45384</v>
      </c>
      <c r="M2294" s="116">
        <v>315.64999999999998</v>
      </c>
      <c r="N2294" s="116">
        <v>319.89999999999998</v>
      </c>
      <c r="O2294" s="116">
        <v>304.35000000000002</v>
      </c>
      <c r="P2294" s="116">
        <v>306.14999999999998</v>
      </c>
      <c r="Q2294" s="116">
        <v>315.64999999999998</v>
      </c>
      <c r="R2294">
        <v>1847216</v>
      </c>
    </row>
    <row r="2295" spans="1:18" x14ac:dyDescent="0.25">
      <c r="A2295" s="170">
        <v>45384</v>
      </c>
      <c r="B2295" s="116">
        <v>319.39999999999998</v>
      </c>
      <c r="C2295" s="116">
        <v>315.85000000000002</v>
      </c>
      <c r="D2295" s="116">
        <v>304.75</v>
      </c>
      <c r="E2295" s="116">
        <v>306.5</v>
      </c>
      <c r="F2295" s="116">
        <v>315.85000000000002</v>
      </c>
      <c r="G2295">
        <v>262849</v>
      </c>
      <c r="H2295" s="116"/>
      <c r="I2295" s="116"/>
      <c r="L2295" s="170">
        <v>45385</v>
      </c>
      <c r="M2295" s="116">
        <v>328.35</v>
      </c>
      <c r="N2295" s="116">
        <v>330.3</v>
      </c>
      <c r="O2295" s="116">
        <v>320.5</v>
      </c>
      <c r="P2295" s="116">
        <v>321</v>
      </c>
      <c r="Q2295" s="116">
        <v>328.35</v>
      </c>
      <c r="R2295">
        <v>5708706</v>
      </c>
    </row>
    <row r="2296" spans="1:18" x14ac:dyDescent="0.25">
      <c r="A2296" s="170">
        <v>45385</v>
      </c>
      <c r="B2296" s="116">
        <v>330</v>
      </c>
      <c r="C2296" s="116">
        <v>328.2</v>
      </c>
      <c r="D2296" s="116">
        <v>320</v>
      </c>
      <c r="E2296" s="116">
        <v>320</v>
      </c>
      <c r="F2296" s="116">
        <v>328.2</v>
      </c>
      <c r="G2296">
        <v>675478</v>
      </c>
      <c r="H2296" s="116"/>
      <c r="I2296" s="116"/>
      <c r="L2296" s="170">
        <v>45386</v>
      </c>
      <c r="M2296" s="116">
        <v>337.85</v>
      </c>
      <c r="N2296" s="116">
        <v>341.2</v>
      </c>
      <c r="O2296" s="116">
        <v>332.65</v>
      </c>
      <c r="P2296" s="116">
        <v>334.8</v>
      </c>
      <c r="Q2296" s="116">
        <v>337.85</v>
      </c>
      <c r="R2296">
        <v>5296425</v>
      </c>
    </row>
    <row r="2297" spans="1:18" x14ac:dyDescent="0.25">
      <c r="A2297" s="170">
        <v>45386</v>
      </c>
      <c r="B2297" s="116">
        <v>341.3</v>
      </c>
      <c r="C2297" s="116">
        <v>338</v>
      </c>
      <c r="D2297" s="116">
        <v>333</v>
      </c>
      <c r="E2297" s="116">
        <v>335</v>
      </c>
      <c r="F2297" s="116">
        <v>338</v>
      </c>
      <c r="G2297">
        <v>262983</v>
      </c>
      <c r="H2297" s="116"/>
      <c r="I2297" s="116"/>
      <c r="L2297" s="170">
        <v>45387</v>
      </c>
      <c r="M2297" s="116">
        <v>339.95</v>
      </c>
      <c r="N2297" s="116">
        <v>340.4</v>
      </c>
      <c r="O2297" s="116">
        <v>332.1</v>
      </c>
      <c r="P2297" s="116">
        <v>339.5</v>
      </c>
      <c r="Q2297" s="116">
        <v>339.95</v>
      </c>
      <c r="R2297">
        <v>1822499</v>
      </c>
    </row>
    <row r="2298" spans="1:18" x14ac:dyDescent="0.25">
      <c r="A2298" s="170">
        <v>45387</v>
      </c>
      <c r="B2298" s="116">
        <v>340.3</v>
      </c>
      <c r="C2298" s="116">
        <v>339.85</v>
      </c>
      <c r="D2298" s="116">
        <v>332.15</v>
      </c>
      <c r="E2298" s="116">
        <v>340.3</v>
      </c>
      <c r="F2298" s="116">
        <v>339.85</v>
      </c>
      <c r="G2298">
        <v>244421</v>
      </c>
      <c r="H2298" s="116"/>
      <c r="I2298" s="116"/>
      <c r="L2298" s="170">
        <v>45390</v>
      </c>
      <c r="M2298" s="116">
        <v>344.4</v>
      </c>
      <c r="N2298" s="116">
        <v>350.85</v>
      </c>
      <c r="O2298" s="116">
        <v>341.4</v>
      </c>
      <c r="P2298" s="116">
        <v>343.5</v>
      </c>
      <c r="Q2298" s="116">
        <v>344.4</v>
      </c>
      <c r="R2298">
        <v>3220184</v>
      </c>
    </row>
    <row r="2299" spans="1:18" x14ac:dyDescent="0.25">
      <c r="A2299" s="170">
        <v>45390</v>
      </c>
      <c r="B2299" s="116">
        <v>350.8</v>
      </c>
      <c r="C2299" s="116">
        <v>344.5</v>
      </c>
      <c r="D2299" s="116">
        <v>340.15</v>
      </c>
      <c r="E2299" s="116">
        <v>340.15</v>
      </c>
      <c r="F2299" s="116">
        <v>344.5</v>
      </c>
      <c r="G2299">
        <v>176645</v>
      </c>
      <c r="H2299" s="116"/>
      <c r="I2299" s="116"/>
      <c r="L2299" s="170">
        <v>45391</v>
      </c>
      <c r="M2299" s="116">
        <v>398.4</v>
      </c>
      <c r="N2299" s="116">
        <v>408</v>
      </c>
      <c r="O2299" s="116">
        <v>344.05</v>
      </c>
      <c r="P2299" s="116">
        <v>346.1</v>
      </c>
      <c r="Q2299" s="116">
        <v>398.4</v>
      </c>
      <c r="R2299">
        <v>21023442</v>
      </c>
    </row>
    <row r="2300" spans="1:18" x14ac:dyDescent="0.25">
      <c r="A2300" s="170">
        <v>45391</v>
      </c>
      <c r="B2300" s="116">
        <v>407.7</v>
      </c>
      <c r="C2300" s="116">
        <v>398.65</v>
      </c>
      <c r="D2300" s="116">
        <v>343.75</v>
      </c>
      <c r="E2300" s="116">
        <v>345.65</v>
      </c>
      <c r="F2300" s="116">
        <v>398.65</v>
      </c>
      <c r="G2300">
        <v>1684419</v>
      </c>
      <c r="H2300" s="116"/>
      <c r="I2300" s="116"/>
      <c r="L2300" s="170">
        <v>45392</v>
      </c>
      <c r="M2300" s="116">
        <v>401.3</v>
      </c>
      <c r="N2300" s="116">
        <v>414.5</v>
      </c>
      <c r="O2300" s="116">
        <v>388.45</v>
      </c>
      <c r="P2300" s="116">
        <v>400</v>
      </c>
      <c r="Q2300" s="116">
        <v>401.3</v>
      </c>
      <c r="R2300">
        <v>13104407</v>
      </c>
    </row>
    <row r="2301" spans="1:18" x14ac:dyDescent="0.25">
      <c r="A2301" s="170">
        <v>45392</v>
      </c>
      <c r="B2301" s="116">
        <v>414.45</v>
      </c>
      <c r="C2301" s="116">
        <v>401.4</v>
      </c>
      <c r="D2301" s="116">
        <v>388.3</v>
      </c>
      <c r="E2301" s="116">
        <v>399.95</v>
      </c>
      <c r="F2301" s="116">
        <v>401.4</v>
      </c>
      <c r="G2301">
        <v>1104294</v>
      </c>
      <c r="H2301" s="116"/>
      <c r="I2301" s="116"/>
      <c r="L2301" s="170">
        <v>45394</v>
      </c>
      <c r="M2301" s="116">
        <v>431.95</v>
      </c>
      <c r="N2301" s="116">
        <v>437.8</v>
      </c>
      <c r="O2301" s="116">
        <v>394.05</v>
      </c>
      <c r="P2301" s="116">
        <v>402</v>
      </c>
      <c r="Q2301" s="116">
        <v>431.95</v>
      </c>
      <c r="R2301">
        <v>19951451</v>
      </c>
    </row>
    <row r="2302" spans="1:18" x14ac:dyDescent="0.25">
      <c r="A2302" s="170">
        <v>45394</v>
      </c>
      <c r="B2302" s="116">
        <v>437.8</v>
      </c>
      <c r="C2302" s="116">
        <v>431.85</v>
      </c>
      <c r="D2302" s="116">
        <v>394</v>
      </c>
      <c r="E2302" s="116">
        <v>400.9</v>
      </c>
      <c r="F2302" s="116">
        <v>431.85</v>
      </c>
      <c r="G2302">
        <v>1616570</v>
      </c>
      <c r="H2302" s="116"/>
      <c r="I2302" s="116"/>
      <c r="L2302" s="170">
        <v>45397</v>
      </c>
      <c r="M2302" s="116">
        <v>407.25</v>
      </c>
      <c r="N2302" s="116">
        <v>427.3</v>
      </c>
      <c r="O2302" s="116">
        <v>402</v>
      </c>
      <c r="P2302" s="116">
        <v>425</v>
      </c>
      <c r="Q2302" s="116">
        <v>407.25</v>
      </c>
      <c r="R2302">
        <v>9041149</v>
      </c>
    </row>
    <row r="2303" spans="1:18" x14ac:dyDescent="0.25">
      <c r="A2303" s="170">
        <v>45397</v>
      </c>
      <c r="B2303" s="116">
        <v>427.45</v>
      </c>
      <c r="C2303" s="116">
        <v>407.25</v>
      </c>
      <c r="D2303" s="116">
        <v>402</v>
      </c>
      <c r="E2303" s="116">
        <v>423.25</v>
      </c>
      <c r="F2303" s="116">
        <v>407.25</v>
      </c>
      <c r="G2303">
        <v>580256</v>
      </c>
      <c r="H2303" s="116"/>
      <c r="I2303" s="116"/>
      <c r="L2303" s="170">
        <v>45398</v>
      </c>
      <c r="M2303" s="116">
        <v>402.75</v>
      </c>
      <c r="N2303" s="116">
        <v>418</v>
      </c>
      <c r="O2303" s="116">
        <v>400</v>
      </c>
      <c r="P2303" s="116">
        <v>406</v>
      </c>
      <c r="Q2303" s="116">
        <v>402.75</v>
      </c>
      <c r="R2303">
        <v>4248215</v>
      </c>
    </row>
    <row r="2304" spans="1:18" x14ac:dyDescent="0.25">
      <c r="A2304" s="170">
        <v>45398</v>
      </c>
      <c r="B2304" s="116">
        <v>418.05</v>
      </c>
      <c r="C2304" s="116">
        <v>402.5</v>
      </c>
      <c r="D2304" s="116">
        <v>400</v>
      </c>
      <c r="E2304" s="116">
        <v>406.45</v>
      </c>
      <c r="F2304" s="116">
        <v>402.5</v>
      </c>
      <c r="G2304">
        <v>436682</v>
      </c>
      <c r="H2304" s="116"/>
      <c r="I2304" s="116"/>
      <c r="L2304" s="170">
        <v>45400</v>
      </c>
      <c r="M2304" s="116">
        <v>404.95</v>
      </c>
      <c r="N2304" s="116">
        <v>417.55</v>
      </c>
      <c r="O2304" s="116">
        <v>403</v>
      </c>
      <c r="P2304" s="116">
        <v>405.35</v>
      </c>
      <c r="Q2304" s="116">
        <v>404.95</v>
      </c>
      <c r="R2304">
        <v>3100128</v>
      </c>
    </row>
    <row r="2305" spans="1:18" x14ac:dyDescent="0.25">
      <c r="A2305" s="170">
        <v>45400</v>
      </c>
      <c r="B2305" s="116">
        <v>417.6</v>
      </c>
      <c r="C2305" s="116">
        <v>404.75</v>
      </c>
      <c r="D2305" s="116">
        <v>403</v>
      </c>
      <c r="E2305" s="116">
        <v>405.8</v>
      </c>
      <c r="F2305" s="116">
        <v>404.75</v>
      </c>
      <c r="G2305">
        <v>171077</v>
      </c>
      <c r="H2305" s="116"/>
      <c r="I2305" s="116"/>
      <c r="L2305" s="170">
        <v>45401</v>
      </c>
      <c r="M2305" s="116">
        <v>398.7</v>
      </c>
      <c r="N2305" s="116">
        <v>410.1</v>
      </c>
      <c r="O2305" s="116">
        <v>393.2</v>
      </c>
      <c r="P2305" s="116">
        <v>404</v>
      </c>
      <c r="Q2305" s="116">
        <v>398.7</v>
      </c>
      <c r="R2305">
        <v>3834728</v>
      </c>
    </row>
    <row r="2306" spans="1:18" x14ac:dyDescent="0.25">
      <c r="A2306" s="170">
        <v>45401</v>
      </c>
      <c r="B2306" s="116">
        <v>411.1</v>
      </c>
      <c r="C2306" s="116">
        <v>398.85</v>
      </c>
      <c r="D2306" s="116">
        <v>392.6</v>
      </c>
      <c r="E2306" s="116">
        <v>404.5</v>
      </c>
      <c r="F2306" s="116">
        <v>398.85</v>
      </c>
      <c r="G2306">
        <v>191814</v>
      </c>
      <c r="H2306" s="116"/>
      <c r="I2306" s="116"/>
      <c r="L2306" s="170">
        <v>45404</v>
      </c>
      <c r="M2306" s="116">
        <v>409.7</v>
      </c>
      <c r="N2306" s="116">
        <v>419.9</v>
      </c>
      <c r="O2306" s="116">
        <v>397.6</v>
      </c>
      <c r="P2306" s="116">
        <v>399</v>
      </c>
      <c r="Q2306" s="116">
        <v>409.7</v>
      </c>
      <c r="R2306">
        <v>3212026</v>
      </c>
    </row>
    <row r="2307" spans="1:18" x14ac:dyDescent="0.25">
      <c r="A2307" s="170">
        <v>45404</v>
      </c>
      <c r="B2307" s="116">
        <v>419.95</v>
      </c>
      <c r="C2307" s="116">
        <v>409.65</v>
      </c>
      <c r="D2307" s="116">
        <v>397.05</v>
      </c>
      <c r="E2307" s="116">
        <v>399</v>
      </c>
      <c r="F2307" s="116">
        <v>409.65</v>
      </c>
      <c r="G2307">
        <v>356909</v>
      </c>
      <c r="H2307" s="116"/>
      <c r="I2307" s="116"/>
      <c r="L2307" s="170">
        <v>45405</v>
      </c>
      <c r="M2307" s="116">
        <v>404.5</v>
      </c>
      <c r="N2307" s="116">
        <v>415.9</v>
      </c>
      <c r="O2307" s="116">
        <v>403</v>
      </c>
      <c r="P2307" s="116">
        <v>412</v>
      </c>
      <c r="Q2307" s="116">
        <v>404.5</v>
      </c>
      <c r="R2307">
        <v>1716625</v>
      </c>
    </row>
    <row r="2308" spans="1:18" x14ac:dyDescent="0.25">
      <c r="A2308" s="170">
        <v>45405</v>
      </c>
      <c r="B2308" s="116">
        <v>415.95</v>
      </c>
      <c r="C2308" s="116">
        <v>403.95</v>
      </c>
      <c r="D2308" s="116">
        <v>403</v>
      </c>
      <c r="E2308" s="116">
        <v>414</v>
      </c>
      <c r="F2308" s="116">
        <v>403.95</v>
      </c>
      <c r="G2308">
        <v>67544</v>
      </c>
      <c r="H2308" s="116"/>
      <c r="I2308" s="116"/>
      <c r="L2308" s="170">
        <v>45406</v>
      </c>
      <c r="M2308" s="116">
        <v>409.6</v>
      </c>
      <c r="N2308" s="116">
        <v>413.9</v>
      </c>
      <c r="O2308" s="116">
        <v>406.55</v>
      </c>
      <c r="P2308" s="116">
        <v>406.55</v>
      </c>
      <c r="Q2308" s="116">
        <v>409.6</v>
      </c>
      <c r="R2308">
        <v>1271005</v>
      </c>
    </row>
    <row r="2309" spans="1:18" x14ac:dyDescent="0.25">
      <c r="A2309" s="170">
        <v>45406</v>
      </c>
      <c r="B2309" s="116">
        <v>413.35</v>
      </c>
      <c r="C2309" s="116">
        <v>409.65</v>
      </c>
      <c r="D2309" s="116">
        <v>406.05</v>
      </c>
      <c r="E2309" s="116">
        <v>406.05</v>
      </c>
      <c r="F2309" s="116">
        <v>409.65</v>
      </c>
      <c r="G2309">
        <v>40300</v>
      </c>
      <c r="H2309" s="116"/>
      <c r="I2309" s="116"/>
      <c r="L2309" s="170">
        <v>45407</v>
      </c>
      <c r="M2309" s="116">
        <v>411.5</v>
      </c>
      <c r="N2309" s="116">
        <v>423.95</v>
      </c>
      <c r="O2309" s="116">
        <v>407.5</v>
      </c>
      <c r="P2309" s="116">
        <v>409.6</v>
      </c>
      <c r="Q2309" s="116">
        <v>411.5</v>
      </c>
      <c r="R2309">
        <v>2419866</v>
      </c>
    </row>
    <row r="2310" spans="1:18" x14ac:dyDescent="0.25">
      <c r="A2310" s="170">
        <v>45407</v>
      </c>
      <c r="B2310" s="116">
        <v>423.8</v>
      </c>
      <c r="C2310" s="116">
        <v>411.55</v>
      </c>
      <c r="D2310" s="116">
        <v>407.7</v>
      </c>
      <c r="E2310" s="116">
        <v>409.6</v>
      </c>
      <c r="F2310" s="116">
        <v>411.55</v>
      </c>
      <c r="G2310">
        <v>307854</v>
      </c>
      <c r="H2310" s="116"/>
      <c r="I2310" s="116"/>
      <c r="L2310" s="170">
        <v>45408</v>
      </c>
      <c r="M2310" s="116">
        <v>421.6</v>
      </c>
      <c r="N2310" s="116">
        <v>429</v>
      </c>
      <c r="O2310" s="116">
        <v>412.05</v>
      </c>
      <c r="P2310" s="116">
        <v>413.5</v>
      </c>
      <c r="Q2310" s="116">
        <v>421.6</v>
      </c>
      <c r="R2310">
        <v>3812770</v>
      </c>
    </row>
    <row r="2311" spans="1:18" x14ac:dyDescent="0.25">
      <c r="A2311" s="170">
        <v>45408</v>
      </c>
      <c r="B2311" s="116">
        <v>428.95</v>
      </c>
      <c r="C2311" s="116">
        <v>421.6</v>
      </c>
      <c r="D2311" s="116">
        <v>412.4</v>
      </c>
      <c r="E2311" s="116">
        <v>414.45</v>
      </c>
      <c r="F2311" s="116">
        <v>421.6</v>
      </c>
      <c r="G2311">
        <v>359324</v>
      </c>
      <c r="H2311" s="116"/>
      <c r="I2311" s="116"/>
      <c r="L2311" s="170">
        <v>45411</v>
      </c>
      <c r="M2311" s="116">
        <v>424.25</v>
      </c>
      <c r="N2311" s="116">
        <v>427.85</v>
      </c>
      <c r="O2311" s="116">
        <v>421.8</v>
      </c>
      <c r="P2311" s="116">
        <v>425.35</v>
      </c>
      <c r="Q2311" s="116">
        <v>424.25</v>
      </c>
      <c r="R2311">
        <v>1474786</v>
      </c>
    </row>
    <row r="2312" spans="1:18" x14ac:dyDescent="0.25">
      <c r="A2312" s="170">
        <v>45411</v>
      </c>
      <c r="B2312" s="116">
        <v>427.95</v>
      </c>
      <c r="C2312" s="116">
        <v>424.1</v>
      </c>
      <c r="D2312" s="116">
        <v>421.7</v>
      </c>
      <c r="E2312" s="116">
        <v>423.7</v>
      </c>
      <c r="F2312" s="116">
        <v>424.1</v>
      </c>
      <c r="G2312">
        <v>152022</v>
      </c>
      <c r="H2312" s="116"/>
      <c r="I2312" s="116"/>
      <c r="L2312" s="170">
        <v>45412</v>
      </c>
      <c r="M2312" s="116">
        <v>426.95</v>
      </c>
      <c r="N2312" s="116">
        <v>442.55</v>
      </c>
      <c r="O2312" s="116">
        <v>425.25</v>
      </c>
      <c r="P2312" s="116">
        <v>427.5</v>
      </c>
      <c r="Q2312" s="116">
        <v>426.95</v>
      </c>
      <c r="R2312">
        <v>2369092</v>
      </c>
    </row>
    <row r="2313" spans="1:18" x14ac:dyDescent="0.25">
      <c r="A2313" s="170">
        <v>45412</v>
      </c>
      <c r="B2313" s="116">
        <v>442.4</v>
      </c>
      <c r="C2313" s="116">
        <v>426.85</v>
      </c>
      <c r="D2313" s="116">
        <v>425.1</v>
      </c>
      <c r="E2313" s="116">
        <v>427.05</v>
      </c>
      <c r="F2313" s="116">
        <v>426.85</v>
      </c>
      <c r="G2313">
        <v>163843</v>
      </c>
      <c r="H2313" s="116"/>
      <c r="I2313" s="116"/>
      <c r="L2313" s="170">
        <v>45414</v>
      </c>
      <c r="M2313" s="116">
        <v>432.1</v>
      </c>
      <c r="N2313" s="116">
        <v>437.35</v>
      </c>
      <c r="O2313" s="116">
        <v>424.2</v>
      </c>
      <c r="P2313" s="116">
        <v>428.8</v>
      </c>
      <c r="Q2313" s="116">
        <v>432.1</v>
      </c>
      <c r="R2313">
        <v>2249997</v>
      </c>
    </row>
    <row r="2314" spans="1:18" x14ac:dyDescent="0.25">
      <c r="A2314" s="170">
        <v>45414</v>
      </c>
      <c r="B2314" s="116">
        <v>437.35</v>
      </c>
      <c r="C2314" s="116">
        <v>431.95</v>
      </c>
      <c r="D2314" s="116">
        <v>425</v>
      </c>
      <c r="E2314" s="116">
        <v>428.3</v>
      </c>
      <c r="F2314" s="116">
        <v>431.95</v>
      </c>
      <c r="G2314">
        <v>70975</v>
      </c>
      <c r="H2314" s="116"/>
      <c r="I2314" s="116"/>
      <c r="L2314" s="170">
        <v>45415</v>
      </c>
      <c r="M2314" s="116">
        <v>470.1</v>
      </c>
      <c r="N2314" s="116">
        <v>478.4</v>
      </c>
      <c r="O2314" s="116">
        <v>438.2</v>
      </c>
      <c r="P2314" s="116">
        <v>438.2</v>
      </c>
      <c r="Q2314" s="116">
        <v>470.1</v>
      </c>
      <c r="R2314">
        <v>10396501</v>
      </c>
    </row>
    <row r="2315" spans="1:18" x14ac:dyDescent="0.25">
      <c r="A2315" s="170">
        <v>45415</v>
      </c>
      <c r="B2315" s="116">
        <v>478.05</v>
      </c>
      <c r="C2315" s="116">
        <v>471.55</v>
      </c>
      <c r="D2315" s="116">
        <v>438</v>
      </c>
      <c r="E2315" s="116">
        <v>438.65</v>
      </c>
      <c r="F2315" s="116">
        <v>471.55</v>
      </c>
      <c r="G2315">
        <v>400447</v>
      </c>
      <c r="H2315" s="116"/>
      <c r="I2315" s="116"/>
      <c r="L2315" s="170">
        <v>45418</v>
      </c>
      <c r="M2315" s="116">
        <v>464.25</v>
      </c>
      <c r="N2315" s="116">
        <v>476.8</v>
      </c>
      <c r="O2315" s="116">
        <v>443.1</v>
      </c>
      <c r="P2315" s="116">
        <v>474</v>
      </c>
      <c r="Q2315" s="116">
        <v>464.25</v>
      </c>
      <c r="R2315">
        <v>5386921</v>
      </c>
    </row>
    <row r="2316" spans="1:18" x14ac:dyDescent="0.25">
      <c r="A2316" s="170">
        <v>45418</v>
      </c>
      <c r="B2316" s="116">
        <v>477.55</v>
      </c>
      <c r="C2316" s="116">
        <v>464.05</v>
      </c>
      <c r="D2316" s="116">
        <v>442.9</v>
      </c>
      <c r="E2316" s="116">
        <v>474.95</v>
      </c>
      <c r="F2316" s="116">
        <v>464.05</v>
      </c>
      <c r="G2316">
        <v>546218</v>
      </c>
      <c r="H2316" s="116"/>
      <c r="I2316" s="116"/>
      <c r="L2316" s="170">
        <v>45419</v>
      </c>
      <c r="M2316" s="116">
        <v>445.8</v>
      </c>
      <c r="N2316" s="116">
        <v>467.4</v>
      </c>
      <c r="O2316" s="116">
        <v>433.65</v>
      </c>
      <c r="P2316" s="116">
        <v>464.25</v>
      </c>
      <c r="Q2316" s="116">
        <v>445.8</v>
      </c>
      <c r="R2316">
        <v>3599889</v>
      </c>
    </row>
    <row r="2317" spans="1:18" x14ac:dyDescent="0.25">
      <c r="A2317" s="170">
        <v>45419</v>
      </c>
      <c r="B2317" s="116">
        <v>467.35</v>
      </c>
      <c r="C2317" s="116">
        <v>445.85</v>
      </c>
      <c r="D2317" s="116">
        <v>434.1</v>
      </c>
      <c r="E2317" s="116">
        <v>464.9</v>
      </c>
      <c r="F2317" s="116">
        <v>445.85</v>
      </c>
      <c r="G2317">
        <v>192545</v>
      </c>
      <c r="H2317" s="116"/>
      <c r="I2317" s="116"/>
      <c r="L2317" s="170">
        <v>45420</v>
      </c>
      <c r="M2317" s="116">
        <v>471.85</v>
      </c>
      <c r="N2317" s="116">
        <v>487</v>
      </c>
      <c r="O2317" s="116">
        <v>444.35</v>
      </c>
      <c r="P2317" s="116">
        <v>446.7</v>
      </c>
      <c r="Q2317" s="116">
        <v>471.85</v>
      </c>
      <c r="R2317">
        <v>8896879</v>
      </c>
    </row>
    <row r="2318" spans="1:18" x14ac:dyDescent="0.25">
      <c r="A2318" s="170">
        <v>45420</v>
      </c>
      <c r="B2318" s="116">
        <v>486.8</v>
      </c>
      <c r="C2318" s="116">
        <v>472.2</v>
      </c>
      <c r="D2318" s="116">
        <v>416.5</v>
      </c>
      <c r="E2318" s="116">
        <v>416.5</v>
      </c>
      <c r="F2318" s="116">
        <v>472.2</v>
      </c>
      <c r="G2318">
        <v>670428</v>
      </c>
      <c r="H2318" s="116"/>
      <c r="I2318" s="116"/>
      <c r="L2318" s="170">
        <v>45421</v>
      </c>
      <c r="M2318" s="116">
        <v>456.15</v>
      </c>
      <c r="N2318" s="116">
        <v>486.8</v>
      </c>
      <c r="O2318" s="116">
        <v>451.3</v>
      </c>
      <c r="P2318" s="116">
        <v>472.8</v>
      </c>
      <c r="Q2318" s="116">
        <v>456.15</v>
      </c>
      <c r="R2318">
        <v>3884464</v>
      </c>
    </row>
    <row r="2319" spans="1:18" x14ac:dyDescent="0.25">
      <c r="A2319" s="170">
        <v>45421</v>
      </c>
      <c r="B2319" s="116">
        <v>486.75</v>
      </c>
      <c r="C2319" s="116">
        <v>456.1</v>
      </c>
      <c r="D2319" s="116">
        <v>451.25</v>
      </c>
      <c r="E2319" s="116">
        <v>472.25</v>
      </c>
      <c r="F2319" s="116">
        <v>456.1</v>
      </c>
      <c r="G2319">
        <v>509852</v>
      </c>
      <c r="H2319" s="116"/>
      <c r="I2319" s="116"/>
      <c r="L2319" s="170">
        <v>45422</v>
      </c>
      <c r="M2319" s="116">
        <v>525.5</v>
      </c>
      <c r="N2319" s="116">
        <v>540.95000000000005</v>
      </c>
      <c r="O2319" s="116">
        <v>460.3</v>
      </c>
      <c r="P2319" s="116">
        <v>460.95</v>
      </c>
      <c r="Q2319" s="116">
        <v>525.5</v>
      </c>
      <c r="R2319">
        <v>28236129</v>
      </c>
    </row>
    <row r="2320" spans="1:18" x14ac:dyDescent="0.25">
      <c r="A2320" s="170">
        <v>45422</v>
      </c>
      <c r="B2320" s="116">
        <v>540.85</v>
      </c>
      <c r="C2320" s="116">
        <v>527.6</v>
      </c>
      <c r="D2320" s="116">
        <v>460.5</v>
      </c>
      <c r="E2320" s="116">
        <v>461</v>
      </c>
      <c r="F2320" s="116">
        <v>527.6</v>
      </c>
      <c r="G2320">
        <v>1365011</v>
      </c>
      <c r="H2320" s="116"/>
      <c r="I2320" s="116"/>
      <c r="L2320" s="170">
        <v>45425</v>
      </c>
      <c r="M2320" s="116">
        <v>579.1</v>
      </c>
      <c r="N2320" s="116">
        <v>586</v>
      </c>
      <c r="O2320" s="116">
        <v>506.8</v>
      </c>
      <c r="P2320" s="116">
        <v>529</v>
      </c>
      <c r="Q2320" s="116">
        <v>579.1</v>
      </c>
      <c r="R2320">
        <v>25340856</v>
      </c>
    </row>
    <row r="2321" spans="1:18" x14ac:dyDescent="0.25">
      <c r="A2321" s="170">
        <v>45425</v>
      </c>
      <c r="B2321" s="116">
        <v>585.9</v>
      </c>
      <c r="C2321" s="116">
        <v>578.85</v>
      </c>
      <c r="D2321" s="116">
        <v>507</v>
      </c>
      <c r="E2321" s="116">
        <v>529.54999999999995</v>
      </c>
      <c r="F2321" s="116">
        <v>578.85</v>
      </c>
      <c r="G2321">
        <v>1955659</v>
      </c>
      <c r="H2321" s="116"/>
      <c r="I2321" s="116"/>
      <c r="L2321" s="170">
        <v>45426</v>
      </c>
      <c r="M2321" s="116">
        <v>559.9</v>
      </c>
      <c r="N2321" s="116">
        <v>582</v>
      </c>
      <c r="O2321" s="116">
        <v>547.29999999999995</v>
      </c>
      <c r="P2321" s="116">
        <v>578.6</v>
      </c>
      <c r="Q2321" s="116">
        <v>559.9</v>
      </c>
      <c r="R2321">
        <v>17152568</v>
      </c>
    </row>
    <row r="2322" spans="1:18" x14ac:dyDescent="0.25">
      <c r="A2322" s="170">
        <v>45426</v>
      </c>
      <c r="B2322" s="116">
        <v>582.04999999999995</v>
      </c>
      <c r="C2322" s="116">
        <v>560.04999999999995</v>
      </c>
      <c r="D2322" s="116">
        <v>547</v>
      </c>
      <c r="E2322" s="116">
        <v>578.79999999999995</v>
      </c>
      <c r="F2322" s="116">
        <v>560.04999999999995</v>
      </c>
      <c r="G2322">
        <v>987355</v>
      </c>
      <c r="H2322" s="116"/>
      <c r="I2322" s="116"/>
      <c r="L2322" s="170">
        <v>45427</v>
      </c>
      <c r="M2322" s="116">
        <v>560.85</v>
      </c>
      <c r="N2322" s="116">
        <v>580</v>
      </c>
      <c r="O2322" s="116">
        <v>545.54999999999995</v>
      </c>
      <c r="P2322" s="116">
        <v>557.5</v>
      </c>
      <c r="Q2322" s="116">
        <v>560.85</v>
      </c>
      <c r="R2322">
        <v>4213134</v>
      </c>
    </row>
    <row r="2323" spans="1:18" x14ac:dyDescent="0.25">
      <c r="A2323" s="170">
        <v>45427</v>
      </c>
      <c r="B2323" s="116">
        <v>579.85</v>
      </c>
      <c r="C2323" s="116">
        <v>560.5</v>
      </c>
      <c r="D2323" s="116">
        <v>545.79999999999995</v>
      </c>
      <c r="E2323" s="116">
        <v>557.9</v>
      </c>
      <c r="F2323" s="116">
        <v>560.5</v>
      </c>
      <c r="G2323">
        <v>402589</v>
      </c>
      <c r="H2323" s="116"/>
      <c r="I2323" s="116"/>
      <c r="L2323" s="170">
        <v>45428</v>
      </c>
      <c r="M2323" s="116">
        <v>583.29999999999995</v>
      </c>
      <c r="N2323" s="116">
        <v>589</v>
      </c>
      <c r="O2323" s="116">
        <v>556.5</v>
      </c>
      <c r="P2323" s="116">
        <v>566.5</v>
      </c>
      <c r="Q2323" s="116">
        <v>583.29999999999995</v>
      </c>
      <c r="R2323">
        <v>5205070</v>
      </c>
    </row>
    <row r="2324" spans="1:18" x14ac:dyDescent="0.25">
      <c r="A2324" s="170">
        <v>45428</v>
      </c>
      <c r="B2324" s="116">
        <v>589</v>
      </c>
      <c r="C2324" s="116">
        <v>583.25</v>
      </c>
      <c r="D2324" s="116">
        <v>557.35</v>
      </c>
      <c r="E2324" s="116">
        <v>568.75</v>
      </c>
      <c r="F2324" s="116">
        <v>583.25</v>
      </c>
      <c r="G2324">
        <v>226915</v>
      </c>
      <c r="H2324" s="116"/>
      <c r="I2324" s="116"/>
      <c r="L2324" s="170">
        <v>45429</v>
      </c>
      <c r="M2324" s="116">
        <v>590.20000000000005</v>
      </c>
      <c r="N2324" s="116">
        <v>619.1</v>
      </c>
      <c r="O2324" s="116">
        <v>578.4</v>
      </c>
      <c r="P2324" s="116">
        <v>584.75</v>
      </c>
      <c r="Q2324" s="116">
        <v>590.20000000000005</v>
      </c>
      <c r="R2324">
        <v>6519031</v>
      </c>
    </row>
    <row r="2325" spans="1:18" x14ac:dyDescent="0.25">
      <c r="A2325" s="170">
        <v>45429</v>
      </c>
      <c r="B2325" s="116">
        <v>618.79999999999995</v>
      </c>
      <c r="C2325" s="116">
        <v>589.35</v>
      </c>
      <c r="D2325" s="116">
        <v>578.20000000000005</v>
      </c>
      <c r="E2325" s="116">
        <v>582.25</v>
      </c>
      <c r="F2325" s="116">
        <v>589.35</v>
      </c>
      <c r="G2325">
        <v>350146</v>
      </c>
      <c r="H2325" s="116"/>
      <c r="I2325" s="116"/>
      <c r="L2325" s="170">
        <v>45430</v>
      </c>
      <c r="M2325" s="116">
        <v>619.70000000000005</v>
      </c>
      <c r="N2325" s="116">
        <v>619.70000000000005</v>
      </c>
      <c r="O2325" s="116">
        <v>596</v>
      </c>
      <c r="P2325" s="116">
        <v>596</v>
      </c>
      <c r="Q2325" s="116">
        <v>619.70000000000005</v>
      </c>
      <c r="R2325">
        <v>1089404</v>
      </c>
    </row>
    <row r="2326" spans="1:18" x14ac:dyDescent="0.25">
      <c r="A2326" s="170">
        <v>45430</v>
      </c>
      <c r="B2326" s="116">
        <v>618.79999999999995</v>
      </c>
      <c r="C2326" s="116">
        <v>618.79999999999995</v>
      </c>
      <c r="D2326" s="116">
        <v>596</v>
      </c>
      <c r="E2326" s="116">
        <v>597.65</v>
      </c>
      <c r="F2326" s="116">
        <v>618.79999999999995</v>
      </c>
      <c r="G2326">
        <v>44032</v>
      </c>
      <c r="H2326" s="116"/>
      <c r="I2326" s="116"/>
      <c r="L2326" s="170">
        <v>45433</v>
      </c>
      <c r="M2326" s="116">
        <v>741.3</v>
      </c>
      <c r="N2326" s="116">
        <v>743.6</v>
      </c>
      <c r="O2326" s="116">
        <v>625.1</v>
      </c>
      <c r="P2326" s="116">
        <v>636.75</v>
      </c>
      <c r="Q2326" s="116">
        <v>741.3</v>
      </c>
      <c r="R2326">
        <v>15462688</v>
      </c>
    </row>
    <row r="2327" spans="1:18" x14ac:dyDescent="0.25">
      <c r="A2327" s="170">
        <v>45433</v>
      </c>
      <c r="B2327" s="116">
        <v>742.55</v>
      </c>
      <c r="C2327" s="116">
        <v>742.05</v>
      </c>
      <c r="D2327" s="116">
        <v>625.9</v>
      </c>
      <c r="E2327" s="116">
        <v>633</v>
      </c>
      <c r="F2327" s="116">
        <v>742.05</v>
      </c>
      <c r="G2327">
        <v>810380</v>
      </c>
      <c r="H2327" s="116"/>
      <c r="I2327" s="116"/>
      <c r="L2327" s="170">
        <v>45434</v>
      </c>
      <c r="M2327" s="116">
        <v>772.3</v>
      </c>
      <c r="N2327" s="116">
        <v>807.7</v>
      </c>
      <c r="O2327" s="116">
        <v>712.35</v>
      </c>
      <c r="P2327" s="116">
        <v>768</v>
      </c>
      <c r="Q2327" s="116">
        <v>772.3</v>
      </c>
      <c r="R2327">
        <v>17441458</v>
      </c>
    </row>
    <row r="2328" spans="1:18" x14ac:dyDescent="0.25">
      <c r="A2328" s="170">
        <v>45434</v>
      </c>
      <c r="B2328" s="116">
        <v>807</v>
      </c>
      <c r="C2328" s="116">
        <v>772.7</v>
      </c>
      <c r="D2328" s="116">
        <v>712.05</v>
      </c>
      <c r="E2328" s="116">
        <v>761.15</v>
      </c>
      <c r="F2328" s="116">
        <v>772.7</v>
      </c>
      <c r="G2328">
        <v>1445477</v>
      </c>
      <c r="H2328" s="116"/>
      <c r="I2328" s="116"/>
      <c r="L2328" s="170">
        <v>45435</v>
      </c>
      <c r="M2328" s="116">
        <v>740.9</v>
      </c>
      <c r="N2328" s="116">
        <v>758.9</v>
      </c>
      <c r="O2328" s="116">
        <v>711.9</v>
      </c>
      <c r="P2328" s="116">
        <v>758.75</v>
      </c>
      <c r="Q2328" s="116">
        <v>740.9</v>
      </c>
      <c r="R2328">
        <v>6795842</v>
      </c>
    </row>
    <row r="2329" spans="1:18" x14ac:dyDescent="0.25">
      <c r="A2329" s="170">
        <v>45435</v>
      </c>
      <c r="B2329" s="116">
        <v>759.9</v>
      </c>
      <c r="C2329" s="116">
        <v>740.55</v>
      </c>
      <c r="D2329" s="116">
        <v>710.6</v>
      </c>
      <c r="E2329" s="116">
        <v>759.9</v>
      </c>
      <c r="F2329" s="116">
        <v>740.55</v>
      </c>
      <c r="G2329">
        <v>759678</v>
      </c>
      <c r="H2329" s="116"/>
      <c r="I2329" s="116"/>
      <c r="L2329" s="170">
        <v>45436</v>
      </c>
      <c r="M2329" s="116">
        <v>742.65</v>
      </c>
      <c r="N2329" s="116">
        <v>760</v>
      </c>
      <c r="O2329" s="116">
        <v>728</v>
      </c>
      <c r="P2329" s="116">
        <v>740</v>
      </c>
      <c r="Q2329" s="116">
        <v>742.65</v>
      </c>
      <c r="R2329">
        <v>2234866</v>
      </c>
    </row>
    <row r="2330" spans="1:18" x14ac:dyDescent="0.25">
      <c r="A2330" s="170">
        <v>45436</v>
      </c>
      <c r="B2330" s="116">
        <v>759.95</v>
      </c>
      <c r="C2330" s="116">
        <v>741.45</v>
      </c>
      <c r="D2330" s="116">
        <v>728.7</v>
      </c>
      <c r="E2330" s="116">
        <v>736.15</v>
      </c>
      <c r="F2330" s="116">
        <v>741.45</v>
      </c>
      <c r="G2330">
        <v>151674</v>
      </c>
      <c r="H2330" s="116"/>
      <c r="I2330" s="116"/>
      <c r="L2330" s="170">
        <v>45439</v>
      </c>
      <c r="M2330" s="116">
        <v>706.9</v>
      </c>
      <c r="N2330" s="116">
        <v>749.7</v>
      </c>
      <c r="O2330" s="116">
        <v>700</v>
      </c>
      <c r="P2330" s="116">
        <v>746</v>
      </c>
      <c r="Q2330" s="116">
        <v>706.9</v>
      </c>
      <c r="R2330">
        <v>2122125</v>
      </c>
    </row>
    <row r="2331" spans="1:18" x14ac:dyDescent="0.25">
      <c r="A2331" s="170">
        <v>45439</v>
      </c>
      <c r="B2331" s="116">
        <v>750.35</v>
      </c>
      <c r="C2331" s="116">
        <v>707.35</v>
      </c>
      <c r="D2331" s="116">
        <v>700</v>
      </c>
      <c r="E2331" s="116">
        <v>746.8</v>
      </c>
      <c r="F2331" s="116">
        <v>707.35</v>
      </c>
      <c r="G2331">
        <v>245226</v>
      </c>
      <c r="H2331" s="116"/>
      <c r="I2331" s="116"/>
      <c r="L2331" s="170">
        <v>45440</v>
      </c>
      <c r="M2331" s="116">
        <v>716.3</v>
      </c>
      <c r="N2331" s="116">
        <v>746</v>
      </c>
      <c r="O2331" s="116">
        <v>703</v>
      </c>
      <c r="P2331" s="116">
        <v>714</v>
      </c>
      <c r="Q2331" s="116">
        <v>716.3</v>
      </c>
      <c r="R2331">
        <v>3413004</v>
      </c>
    </row>
    <row r="2332" spans="1:18" x14ac:dyDescent="0.25">
      <c r="A2332" s="170">
        <v>45440</v>
      </c>
      <c r="B2332" s="116">
        <v>746.6</v>
      </c>
      <c r="C2332" s="116">
        <v>715.6</v>
      </c>
      <c r="D2332" s="116">
        <v>703.2</v>
      </c>
      <c r="E2332" s="116">
        <v>710.05</v>
      </c>
      <c r="F2332" s="116">
        <v>715.6</v>
      </c>
      <c r="G2332">
        <v>387522</v>
      </c>
      <c r="H2332" s="116"/>
      <c r="I2332" s="116"/>
      <c r="L2332" s="170">
        <v>45441</v>
      </c>
      <c r="M2332" s="116">
        <v>711.8</v>
      </c>
      <c r="N2332" s="116">
        <v>732</v>
      </c>
      <c r="O2332" s="116">
        <v>706.9</v>
      </c>
      <c r="P2332" s="116">
        <v>719.9</v>
      </c>
      <c r="Q2332" s="116">
        <v>711.8</v>
      </c>
      <c r="R2332">
        <v>1808030</v>
      </c>
    </row>
    <row r="2333" spans="1:18" x14ac:dyDescent="0.25">
      <c r="A2333" s="170">
        <v>45441</v>
      </c>
      <c r="B2333" s="116">
        <v>732.6</v>
      </c>
      <c r="C2333" s="116">
        <v>711.75</v>
      </c>
      <c r="D2333" s="116">
        <v>707</v>
      </c>
      <c r="E2333" s="116">
        <v>719</v>
      </c>
      <c r="F2333" s="116">
        <v>711.75</v>
      </c>
      <c r="G2333">
        <v>96748</v>
      </c>
      <c r="H2333" s="116"/>
      <c r="I2333" s="116"/>
      <c r="L2333" s="170">
        <v>45442</v>
      </c>
      <c r="M2333" s="116">
        <v>666.5</v>
      </c>
      <c r="N2333" s="116">
        <v>714.8</v>
      </c>
      <c r="O2333" s="116">
        <v>660</v>
      </c>
      <c r="P2333" s="116">
        <v>707</v>
      </c>
      <c r="Q2333" s="116">
        <v>666.5</v>
      </c>
      <c r="R2333">
        <v>2466965</v>
      </c>
    </row>
    <row r="2334" spans="1:18" x14ac:dyDescent="0.25">
      <c r="A2334" s="170">
        <v>45442</v>
      </c>
      <c r="B2334" s="116">
        <v>715</v>
      </c>
      <c r="C2334" s="116">
        <v>667.65</v>
      </c>
      <c r="D2334" s="116">
        <v>660</v>
      </c>
      <c r="E2334" s="116">
        <v>706.8</v>
      </c>
      <c r="F2334" s="116">
        <v>667.65</v>
      </c>
      <c r="G2334">
        <v>150664</v>
      </c>
      <c r="H2334" s="116"/>
      <c r="I2334" s="116"/>
      <c r="L2334" s="170">
        <v>45443</v>
      </c>
      <c r="M2334" s="116">
        <v>687.25</v>
      </c>
      <c r="N2334" s="116">
        <v>706.55</v>
      </c>
      <c r="O2334" s="116">
        <v>675.25</v>
      </c>
      <c r="P2334" s="116">
        <v>678.8</v>
      </c>
      <c r="Q2334" s="116">
        <v>687.25</v>
      </c>
      <c r="R2334">
        <v>2590960</v>
      </c>
    </row>
    <row r="2335" spans="1:18" x14ac:dyDescent="0.25">
      <c r="A2335" s="170">
        <v>45443</v>
      </c>
      <c r="B2335" s="116">
        <v>706.35</v>
      </c>
      <c r="C2335" s="116">
        <v>687</v>
      </c>
      <c r="D2335" s="116">
        <v>675.6</v>
      </c>
      <c r="E2335" s="116">
        <v>675.6</v>
      </c>
      <c r="F2335" s="116">
        <v>687</v>
      </c>
      <c r="G2335">
        <v>293908</v>
      </c>
      <c r="H2335" s="116"/>
      <c r="I2335" s="116"/>
      <c r="L2335" s="170">
        <v>45446</v>
      </c>
      <c r="M2335" s="116">
        <v>696.4</v>
      </c>
      <c r="N2335" s="116">
        <v>740</v>
      </c>
      <c r="O2335" s="116">
        <v>695</v>
      </c>
      <c r="P2335" s="116">
        <v>740</v>
      </c>
      <c r="Q2335" s="116">
        <v>696.4</v>
      </c>
      <c r="R2335">
        <v>1661075</v>
      </c>
    </row>
    <row r="2336" spans="1:18" x14ac:dyDescent="0.25">
      <c r="A2336" s="170">
        <v>45446</v>
      </c>
      <c r="B2336" s="116">
        <v>735.35</v>
      </c>
      <c r="C2336" s="116">
        <v>696.3</v>
      </c>
      <c r="D2336" s="116">
        <v>694.85</v>
      </c>
      <c r="E2336" s="116">
        <v>726.1</v>
      </c>
      <c r="F2336" s="116">
        <v>696.3</v>
      </c>
      <c r="G2336">
        <v>74091</v>
      </c>
      <c r="H2336" s="116"/>
      <c r="I2336" s="116"/>
      <c r="L2336" s="170">
        <v>45447</v>
      </c>
      <c r="M2336" s="116">
        <v>639.35</v>
      </c>
      <c r="N2336" s="116">
        <v>693.75</v>
      </c>
      <c r="O2336" s="116">
        <v>626.79999999999995</v>
      </c>
      <c r="P2336" s="116">
        <v>692.75</v>
      </c>
      <c r="Q2336" s="116">
        <v>639.35</v>
      </c>
      <c r="R2336">
        <v>1984752</v>
      </c>
    </row>
    <row r="2337" spans="1:18" x14ac:dyDescent="0.25">
      <c r="A2337" s="170">
        <v>45447</v>
      </c>
      <c r="B2337" s="116">
        <v>696.2</v>
      </c>
      <c r="C2337" s="116">
        <v>636.6</v>
      </c>
      <c r="D2337" s="116">
        <v>626.70000000000005</v>
      </c>
      <c r="E2337" s="116">
        <v>696.2</v>
      </c>
      <c r="F2337" s="116">
        <v>636.6</v>
      </c>
      <c r="G2337">
        <v>125130</v>
      </c>
      <c r="H2337" s="116"/>
      <c r="I2337" s="116"/>
      <c r="L2337" s="170">
        <v>45448</v>
      </c>
      <c r="M2337" s="116">
        <v>676.85</v>
      </c>
      <c r="N2337" s="116">
        <v>687</v>
      </c>
      <c r="O2337" s="116">
        <v>596.79999999999995</v>
      </c>
      <c r="P2337" s="116">
        <v>639</v>
      </c>
      <c r="Q2337" s="116">
        <v>676.85</v>
      </c>
      <c r="R2337">
        <v>1764071</v>
      </c>
    </row>
    <row r="2338" spans="1:18" x14ac:dyDescent="0.25">
      <c r="A2338" s="170">
        <v>45448</v>
      </c>
      <c r="B2338" s="116">
        <v>686.45</v>
      </c>
      <c r="C2338" s="116">
        <v>677.45</v>
      </c>
      <c r="D2338" s="116">
        <v>595.79999999999995</v>
      </c>
      <c r="E2338" s="116">
        <v>644.95000000000005</v>
      </c>
      <c r="F2338" s="116">
        <v>677.45</v>
      </c>
      <c r="G2338">
        <v>92866</v>
      </c>
      <c r="H2338" s="116"/>
      <c r="I2338" s="116"/>
      <c r="L2338" s="170">
        <v>45449</v>
      </c>
      <c r="M2338" s="116">
        <v>687.8</v>
      </c>
      <c r="N2338" s="116">
        <v>703.5</v>
      </c>
      <c r="O2338" s="116">
        <v>675</v>
      </c>
      <c r="P2338" s="116">
        <v>681.95</v>
      </c>
      <c r="Q2338" s="116">
        <v>687.8</v>
      </c>
      <c r="R2338">
        <v>1059101</v>
      </c>
    </row>
    <row r="2339" spans="1:18" x14ac:dyDescent="0.25">
      <c r="A2339" s="170">
        <v>45449</v>
      </c>
      <c r="B2339" s="116">
        <v>702.95</v>
      </c>
      <c r="C2339" s="116">
        <v>687.85</v>
      </c>
      <c r="D2339" s="116">
        <v>676</v>
      </c>
      <c r="E2339" s="116">
        <v>685.9</v>
      </c>
      <c r="F2339" s="116">
        <v>687.85</v>
      </c>
      <c r="G2339">
        <v>127671</v>
      </c>
      <c r="H2339" s="116"/>
      <c r="I2339" s="116"/>
      <c r="L2339" s="170">
        <v>45450</v>
      </c>
      <c r="M2339" s="116">
        <v>688.15</v>
      </c>
      <c r="N2339" s="116">
        <v>699.7</v>
      </c>
      <c r="O2339" s="116">
        <v>683</v>
      </c>
      <c r="P2339" s="116">
        <v>691.9</v>
      </c>
      <c r="Q2339" s="116">
        <v>688.15</v>
      </c>
      <c r="R2339">
        <v>872911</v>
      </c>
    </row>
    <row r="2340" spans="1:18" x14ac:dyDescent="0.25">
      <c r="A2340" s="170">
        <v>45450</v>
      </c>
      <c r="B2340" s="116">
        <v>699.85</v>
      </c>
      <c r="C2340" s="116">
        <v>687.95</v>
      </c>
      <c r="D2340" s="116">
        <v>683.35</v>
      </c>
      <c r="E2340" s="116">
        <v>694.1</v>
      </c>
      <c r="F2340" s="116">
        <v>687.95</v>
      </c>
      <c r="G2340">
        <v>94105</v>
      </c>
      <c r="H2340" s="116"/>
      <c r="I2340" s="116"/>
      <c r="L2340" s="170">
        <v>45453</v>
      </c>
      <c r="M2340" s="116">
        <v>669.65</v>
      </c>
      <c r="N2340" s="116">
        <v>686.05</v>
      </c>
      <c r="O2340" s="116">
        <v>665</v>
      </c>
      <c r="P2340" s="116">
        <v>686.05</v>
      </c>
      <c r="Q2340" s="116">
        <v>669.65</v>
      </c>
      <c r="R2340">
        <v>880093</v>
      </c>
    </row>
    <row r="2341" spans="1:18" x14ac:dyDescent="0.25">
      <c r="A2341" s="170">
        <v>45453</v>
      </c>
      <c r="B2341" s="116">
        <v>687.95</v>
      </c>
      <c r="C2341" s="116">
        <v>669.5</v>
      </c>
      <c r="D2341" s="116">
        <v>665.15</v>
      </c>
      <c r="E2341" s="116">
        <v>687.95</v>
      </c>
      <c r="F2341" s="116">
        <v>669.5</v>
      </c>
      <c r="G2341">
        <v>73217</v>
      </c>
      <c r="H2341" s="116"/>
      <c r="I2341" s="116"/>
      <c r="L2341" s="170">
        <v>45454</v>
      </c>
      <c r="M2341" s="116">
        <v>696.55</v>
      </c>
      <c r="N2341" s="116">
        <v>716</v>
      </c>
      <c r="O2341" s="116">
        <v>672</v>
      </c>
      <c r="P2341" s="116">
        <v>672.4</v>
      </c>
      <c r="Q2341" s="116">
        <v>696.55</v>
      </c>
      <c r="R2341">
        <v>1993799</v>
      </c>
    </row>
    <row r="2342" spans="1:18" x14ac:dyDescent="0.25">
      <c r="A2342" s="170">
        <v>45454</v>
      </c>
      <c r="B2342" s="116">
        <v>716.1</v>
      </c>
      <c r="C2342" s="116">
        <v>696.5</v>
      </c>
      <c r="D2342" s="116">
        <v>671</v>
      </c>
      <c r="E2342" s="116">
        <v>671</v>
      </c>
      <c r="F2342" s="116">
        <v>696.5</v>
      </c>
      <c r="G2342">
        <v>129559</v>
      </c>
      <c r="H2342" s="116"/>
      <c r="I2342" s="116"/>
      <c r="L2342" s="170">
        <v>45455</v>
      </c>
      <c r="M2342" s="116">
        <v>688.25</v>
      </c>
      <c r="N2342" s="116">
        <v>703.35</v>
      </c>
      <c r="O2342" s="116">
        <v>679.55</v>
      </c>
      <c r="P2342" s="116">
        <v>700</v>
      </c>
      <c r="Q2342" s="116">
        <v>688.25</v>
      </c>
      <c r="R2342">
        <v>769297</v>
      </c>
    </row>
    <row r="2343" spans="1:18" x14ac:dyDescent="0.25">
      <c r="A2343" s="170">
        <v>45455</v>
      </c>
      <c r="B2343" s="116">
        <v>703.95</v>
      </c>
      <c r="C2343" s="116">
        <v>688.15</v>
      </c>
      <c r="D2343" s="116">
        <v>680</v>
      </c>
      <c r="E2343" s="116">
        <v>700</v>
      </c>
      <c r="F2343" s="116">
        <v>688.15</v>
      </c>
      <c r="G2343">
        <v>54652</v>
      </c>
      <c r="H2343" s="116"/>
      <c r="I2343" s="116"/>
      <c r="L2343" s="170">
        <v>45456</v>
      </c>
      <c r="M2343" s="116">
        <v>672.4</v>
      </c>
      <c r="N2343" s="116">
        <v>695.1</v>
      </c>
      <c r="O2343" s="116">
        <v>670</v>
      </c>
      <c r="P2343" s="116">
        <v>694</v>
      </c>
      <c r="Q2343" s="116">
        <v>672.4</v>
      </c>
      <c r="R2343">
        <v>874207</v>
      </c>
    </row>
    <row r="2344" spans="1:18" x14ac:dyDescent="0.25">
      <c r="A2344" s="170">
        <v>45456</v>
      </c>
      <c r="B2344" s="116">
        <v>696.5</v>
      </c>
      <c r="C2344" s="116">
        <v>672.45</v>
      </c>
      <c r="D2344" s="116">
        <v>671.1</v>
      </c>
      <c r="E2344" s="116">
        <v>690.65</v>
      </c>
      <c r="F2344" s="116">
        <v>672.45</v>
      </c>
      <c r="G2344">
        <v>46595</v>
      </c>
      <c r="H2344" s="116"/>
      <c r="I2344" s="116"/>
      <c r="L2344" s="170">
        <v>45457</v>
      </c>
      <c r="M2344" s="116">
        <v>661.9</v>
      </c>
      <c r="N2344" s="116">
        <v>676.4</v>
      </c>
      <c r="O2344" s="116">
        <v>659.55</v>
      </c>
      <c r="P2344" s="116">
        <v>675.9</v>
      </c>
      <c r="Q2344" s="116">
        <v>661.9</v>
      </c>
      <c r="R2344">
        <v>1052979</v>
      </c>
    </row>
    <row r="2345" spans="1:18" x14ac:dyDescent="0.25">
      <c r="A2345" s="170">
        <v>45457</v>
      </c>
      <c r="B2345" s="116">
        <v>677.8</v>
      </c>
      <c r="C2345" s="116">
        <v>662</v>
      </c>
      <c r="D2345" s="116">
        <v>660</v>
      </c>
      <c r="E2345" s="116">
        <v>677.8</v>
      </c>
      <c r="F2345" s="116">
        <v>662</v>
      </c>
      <c r="G2345">
        <v>153348</v>
      </c>
      <c r="H2345" s="116"/>
      <c r="I2345" s="116"/>
      <c r="L2345" s="170">
        <v>45461</v>
      </c>
      <c r="M2345" s="116">
        <v>645.75</v>
      </c>
      <c r="N2345" s="116">
        <v>666</v>
      </c>
      <c r="O2345" s="116">
        <v>644.4</v>
      </c>
      <c r="P2345" s="116">
        <v>664</v>
      </c>
      <c r="Q2345" s="116">
        <v>645.75</v>
      </c>
      <c r="R2345">
        <v>982672</v>
      </c>
    </row>
    <row r="2346" spans="1:18" x14ac:dyDescent="0.25">
      <c r="A2346" s="170">
        <v>45461</v>
      </c>
      <c r="B2346" s="116">
        <v>666.9</v>
      </c>
      <c r="C2346" s="116">
        <v>645.65</v>
      </c>
      <c r="D2346" s="116">
        <v>644.1</v>
      </c>
      <c r="E2346" s="116">
        <v>661.95</v>
      </c>
      <c r="F2346" s="116">
        <v>645.65</v>
      </c>
      <c r="G2346">
        <v>159793</v>
      </c>
      <c r="H2346" s="116"/>
      <c r="I2346" s="116"/>
      <c r="L2346" s="170">
        <v>45462</v>
      </c>
      <c r="M2346" s="116">
        <v>633.45000000000005</v>
      </c>
      <c r="N2346" s="116">
        <v>658</v>
      </c>
      <c r="O2346" s="116">
        <v>630.29999999999995</v>
      </c>
      <c r="P2346" s="116">
        <v>647</v>
      </c>
      <c r="Q2346" s="116">
        <v>633.45000000000005</v>
      </c>
      <c r="R2346">
        <v>867046</v>
      </c>
    </row>
    <row r="2347" spans="1:18" x14ac:dyDescent="0.25">
      <c r="A2347" s="170">
        <v>45462</v>
      </c>
      <c r="B2347" s="116">
        <v>658.35</v>
      </c>
      <c r="C2347" s="116">
        <v>633.15</v>
      </c>
      <c r="D2347" s="116">
        <v>630</v>
      </c>
      <c r="E2347" s="116">
        <v>646.25</v>
      </c>
      <c r="F2347" s="116">
        <v>633.15</v>
      </c>
      <c r="G2347">
        <v>37737</v>
      </c>
      <c r="H2347" s="116"/>
      <c r="I2347" s="116"/>
      <c r="L2347" s="170">
        <v>45463</v>
      </c>
      <c r="M2347" s="116">
        <v>647.54999999999995</v>
      </c>
      <c r="N2347" s="116">
        <v>673.95</v>
      </c>
      <c r="O2347" s="116">
        <v>634.6</v>
      </c>
      <c r="P2347" s="116">
        <v>635.4</v>
      </c>
      <c r="Q2347" s="116">
        <v>647.54999999999995</v>
      </c>
      <c r="R2347">
        <v>2227735</v>
      </c>
    </row>
    <row r="2348" spans="1:18" x14ac:dyDescent="0.25">
      <c r="A2348" s="170">
        <v>45463</v>
      </c>
      <c r="B2348" s="116">
        <v>673.7</v>
      </c>
      <c r="C2348" s="116">
        <v>647.65</v>
      </c>
      <c r="D2348" s="116">
        <v>634.85</v>
      </c>
      <c r="E2348" s="116">
        <v>635</v>
      </c>
      <c r="F2348" s="116">
        <v>647.65</v>
      </c>
      <c r="G2348">
        <v>114021</v>
      </c>
      <c r="H2348" s="116"/>
      <c r="I2348" s="116"/>
      <c r="L2348" s="170">
        <v>45464</v>
      </c>
      <c r="M2348" s="116">
        <v>664.55</v>
      </c>
      <c r="N2348" s="116">
        <v>684</v>
      </c>
      <c r="O2348" s="116">
        <v>642</v>
      </c>
      <c r="P2348" s="116">
        <v>652.29999999999995</v>
      </c>
      <c r="Q2348" s="116">
        <v>664.55</v>
      </c>
      <c r="R2348">
        <v>2688586</v>
      </c>
    </row>
    <row r="2349" spans="1:18" x14ac:dyDescent="0.25">
      <c r="A2349" s="170">
        <v>45464</v>
      </c>
      <c r="B2349" s="116">
        <v>683.95</v>
      </c>
      <c r="C2349" s="116">
        <v>663.9</v>
      </c>
      <c r="D2349" s="116">
        <v>642</v>
      </c>
      <c r="E2349" s="116">
        <v>656.95</v>
      </c>
      <c r="F2349" s="116">
        <v>663.9</v>
      </c>
      <c r="G2349">
        <v>303367</v>
      </c>
      <c r="H2349" s="116"/>
      <c r="I2349" s="116"/>
      <c r="L2349" s="170">
        <v>45467</v>
      </c>
      <c r="M2349" s="116">
        <v>659.5</v>
      </c>
      <c r="N2349" s="116">
        <v>666.8</v>
      </c>
      <c r="O2349" s="116">
        <v>650.54999999999995</v>
      </c>
      <c r="P2349" s="116">
        <v>662.1</v>
      </c>
      <c r="Q2349" s="116">
        <v>659.5</v>
      </c>
      <c r="R2349">
        <v>626230</v>
      </c>
    </row>
    <row r="2350" spans="1:18" x14ac:dyDescent="0.25">
      <c r="A2350" s="170">
        <v>45467</v>
      </c>
      <c r="B2350" s="116">
        <v>667.1</v>
      </c>
      <c r="C2350" s="116">
        <v>659.3</v>
      </c>
      <c r="D2350" s="116">
        <v>650.65</v>
      </c>
      <c r="E2350" s="116">
        <v>663.6</v>
      </c>
      <c r="F2350" s="116">
        <v>659.3</v>
      </c>
      <c r="G2350">
        <v>36966</v>
      </c>
      <c r="H2350" s="116"/>
      <c r="I2350" s="116"/>
      <c r="L2350" s="170">
        <v>45468</v>
      </c>
      <c r="M2350" s="116">
        <v>663.9</v>
      </c>
      <c r="N2350" s="116">
        <v>672</v>
      </c>
      <c r="O2350" s="116">
        <v>655</v>
      </c>
      <c r="P2350" s="116">
        <v>659</v>
      </c>
      <c r="Q2350" s="116">
        <v>663.9</v>
      </c>
      <c r="R2350">
        <v>713278</v>
      </c>
    </row>
    <row r="2351" spans="1:18" x14ac:dyDescent="0.25">
      <c r="A2351" s="170">
        <v>45468</v>
      </c>
      <c r="B2351" s="116">
        <v>671</v>
      </c>
      <c r="C2351" s="116">
        <v>664.2</v>
      </c>
      <c r="D2351" s="116">
        <v>655.1</v>
      </c>
      <c r="E2351" s="116">
        <v>664.95</v>
      </c>
      <c r="F2351" s="116">
        <v>664.2</v>
      </c>
      <c r="G2351">
        <v>40964</v>
      </c>
      <c r="H2351" s="116"/>
      <c r="I2351" s="116"/>
      <c r="L2351" s="170">
        <v>45469</v>
      </c>
      <c r="M2351" s="116">
        <v>650</v>
      </c>
      <c r="N2351" s="116">
        <v>664.8</v>
      </c>
      <c r="O2351" s="116">
        <v>648</v>
      </c>
      <c r="P2351" s="116">
        <v>664.8</v>
      </c>
      <c r="Q2351" s="116">
        <v>650</v>
      </c>
      <c r="R2351">
        <v>492273</v>
      </c>
    </row>
    <row r="2352" spans="1:18" x14ac:dyDescent="0.25">
      <c r="A2352" s="170">
        <v>45469</v>
      </c>
      <c r="B2352" s="116">
        <v>665.6</v>
      </c>
      <c r="C2352" s="116">
        <v>649.9</v>
      </c>
      <c r="D2352" s="116">
        <v>647.79999999999995</v>
      </c>
      <c r="E2352" s="116">
        <v>661.6</v>
      </c>
      <c r="F2352" s="116">
        <v>649.9</v>
      </c>
      <c r="G2352">
        <v>112523</v>
      </c>
      <c r="H2352" s="116"/>
      <c r="I2352" s="116"/>
      <c r="L2352" s="170">
        <v>45470</v>
      </c>
      <c r="M2352" s="116">
        <v>673.25</v>
      </c>
      <c r="N2352" s="116">
        <v>679.45</v>
      </c>
      <c r="O2352" s="116">
        <v>646.25</v>
      </c>
      <c r="P2352" s="116">
        <v>650.9</v>
      </c>
      <c r="Q2352" s="116">
        <v>673.25</v>
      </c>
      <c r="R2352">
        <v>1332637</v>
      </c>
    </row>
    <row r="2353" spans="1:18" x14ac:dyDescent="0.25">
      <c r="A2353" s="170">
        <v>45470</v>
      </c>
      <c r="B2353" s="116">
        <v>679</v>
      </c>
      <c r="C2353" s="116">
        <v>672.35</v>
      </c>
      <c r="D2353" s="116">
        <v>646.6</v>
      </c>
      <c r="E2353" s="116">
        <v>650.9</v>
      </c>
      <c r="F2353" s="116">
        <v>672.35</v>
      </c>
      <c r="G2353">
        <v>52063</v>
      </c>
      <c r="H2353" s="116"/>
      <c r="I2353" s="116"/>
      <c r="L2353" s="170">
        <v>45471</v>
      </c>
      <c r="M2353" s="116">
        <v>669.65</v>
      </c>
      <c r="N2353" s="116">
        <v>679.3</v>
      </c>
      <c r="O2353" s="116">
        <v>662.3</v>
      </c>
      <c r="P2353" s="116">
        <v>673.55</v>
      </c>
      <c r="Q2353" s="116">
        <v>669.65</v>
      </c>
      <c r="R2353">
        <v>742344</v>
      </c>
    </row>
    <row r="2354" spans="1:18" x14ac:dyDescent="0.25">
      <c r="A2354" s="170">
        <v>45471</v>
      </c>
      <c r="B2354" s="116">
        <v>679.1</v>
      </c>
      <c r="C2354" s="116">
        <v>668.9</v>
      </c>
      <c r="D2354" s="116">
        <v>663</v>
      </c>
      <c r="E2354" s="116">
        <v>675</v>
      </c>
      <c r="F2354" s="116">
        <v>668.9</v>
      </c>
      <c r="G2354">
        <v>33751</v>
      </c>
      <c r="H2354" s="116"/>
      <c r="I2354" s="116"/>
      <c r="L2354" s="170">
        <v>45474</v>
      </c>
      <c r="M2354" s="116">
        <v>656.75</v>
      </c>
      <c r="N2354" s="116">
        <v>673</v>
      </c>
      <c r="O2354" s="116">
        <v>650</v>
      </c>
      <c r="P2354" s="116">
        <v>670</v>
      </c>
      <c r="Q2354" s="116">
        <v>656.75</v>
      </c>
      <c r="R2354">
        <v>1045453</v>
      </c>
    </row>
    <row r="2355" spans="1:18" x14ac:dyDescent="0.25">
      <c r="A2355" s="170">
        <v>45474</v>
      </c>
      <c r="B2355" s="116">
        <v>674.5</v>
      </c>
      <c r="C2355" s="116">
        <v>656.8</v>
      </c>
      <c r="D2355" s="116">
        <v>650.20000000000005</v>
      </c>
      <c r="E2355" s="116">
        <v>668.85</v>
      </c>
      <c r="F2355" s="116">
        <v>656.8</v>
      </c>
      <c r="G2355">
        <v>43753</v>
      </c>
      <c r="H2355" s="116"/>
      <c r="I2355" s="116"/>
      <c r="L2355" s="170">
        <v>45475</v>
      </c>
      <c r="M2355" s="116">
        <v>652.5</v>
      </c>
      <c r="N2355" s="116">
        <v>659.9</v>
      </c>
      <c r="O2355" s="116">
        <v>650</v>
      </c>
      <c r="P2355" s="116">
        <v>659.9</v>
      </c>
      <c r="Q2355" s="116">
        <v>652.5</v>
      </c>
      <c r="R2355">
        <v>435691</v>
      </c>
    </row>
    <row r="2356" spans="1:18" x14ac:dyDescent="0.25">
      <c r="A2356" s="170">
        <v>45475</v>
      </c>
      <c r="B2356" s="116">
        <v>663.2</v>
      </c>
      <c r="C2356" s="116">
        <v>652.29999999999995</v>
      </c>
      <c r="D2356" s="116">
        <v>650.04999999999995</v>
      </c>
      <c r="E2356" s="116">
        <v>657.55</v>
      </c>
      <c r="F2356" s="116">
        <v>652.29999999999995</v>
      </c>
      <c r="G2356">
        <v>56291</v>
      </c>
      <c r="H2356" s="116"/>
      <c r="I2356" s="116"/>
      <c r="L2356" s="170">
        <v>45476</v>
      </c>
      <c r="M2356" s="116">
        <v>673.15</v>
      </c>
      <c r="N2356" s="116">
        <v>684</v>
      </c>
      <c r="O2356" s="116">
        <v>652</v>
      </c>
      <c r="P2356" s="116">
        <v>654.9</v>
      </c>
      <c r="Q2356" s="116">
        <v>673.15</v>
      </c>
      <c r="R2356">
        <v>1488309</v>
      </c>
    </row>
    <row r="2357" spans="1:18" x14ac:dyDescent="0.25">
      <c r="A2357" s="170">
        <v>45476</v>
      </c>
      <c r="B2357" s="116">
        <v>683.55</v>
      </c>
      <c r="C2357" s="116">
        <v>673.05</v>
      </c>
      <c r="D2357" s="116">
        <v>652.04999999999995</v>
      </c>
      <c r="E2357" s="116">
        <v>654</v>
      </c>
      <c r="F2357" s="116">
        <v>673.05</v>
      </c>
      <c r="G2357">
        <v>54141</v>
      </c>
      <c r="H2357" s="116"/>
      <c r="I2357" s="116"/>
      <c r="L2357" s="170">
        <v>45477</v>
      </c>
      <c r="M2357" s="116">
        <v>686.05</v>
      </c>
      <c r="N2357" s="116">
        <v>695</v>
      </c>
      <c r="O2357" s="116">
        <v>680</v>
      </c>
      <c r="P2357" s="116">
        <v>680</v>
      </c>
      <c r="Q2357" s="116">
        <v>686.05</v>
      </c>
      <c r="R2357">
        <v>1496295</v>
      </c>
    </row>
    <row r="2358" spans="1:18" x14ac:dyDescent="0.25">
      <c r="A2358" s="170">
        <v>45477</v>
      </c>
      <c r="B2358" s="116">
        <v>695.95</v>
      </c>
      <c r="C2358" s="116">
        <v>685.7</v>
      </c>
      <c r="D2358" s="116">
        <v>681.2</v>
      </c>
      <c r="E2358" s="116">
        <v>682</v>
      </c>
      <c r="F2358" s="116">
        <v>685.7</v>
      </c>
      <c r="G2358">
        <v>63704</v>
      </c>
      <c r="H2358" s="116"/>
      <c r="I2358" s="116"/>
      <c r="L2358" s="170">
        <v>45478</v>
      </c>
      <c r="M2358" s="116">
        <v>693.15</v>
      </c>
      <c r="N2358" s="116">
        <v>696</v>
      </c>
      <c r="O2358" s="116">
        <v>680.25</v>
      </c>
      <c r="P2358" s="116">
        <v>688</v>
      </c>
      <c r="Q2358" s="116">
        <v>693.15</v>
      </c>
      <c r="R2358">
        <v>1137292</v>
      </c>
    </row>
    <row r="2359" spans="1:18" x14ac:dyDescent="0.25">
      <c r="A2359" s="170">
        <v>45478</v>
      </c>
      <c r="B2359" s="116">
        <v>696.5</v>
      </c>
      <c r="C2359" s="116">
        <v>692.85</v>
      </c>
      <c r="D2359" s="116">
        <v>680.05</v>
      </c>
      <c r="E2359" s="116">
        <v>686.85</v>
      </c>
      <c r="F2359" s="116">
        <v>692.85</v>
      </c>
      <c r="G2359">
        <v>42255</v>
      </c>
      <c r="H2359" s="116"/>
      <c r="I2359" s="116"/>
      <c r="L2359" s="170">
        <v>45481</v>
      </c>
      <c r="M2359" s="116">
        <v>686.15</v>
      </c>
      <c r="N2359" s="116">
        <v>717</v>
      </c>
      <c r="O2359" s="116">
        <v>680.9</v>
      </c>
      <c r="P2359" s="116">
        <v>698</v>
      </c>
      <c r="Q2359" s="116">
        <v>686.15</v>
      </c>
      <c r="R2359">
        <v>1463483</v>
      </c>
    </row>
    <row r="2360" spans="1:18" x14ac:dyDescent="0.25">
      <c r="A2360" s="170">
        <v>45481</v>
      </c>
      <c r="B2360" s="116">
        <v>717.1</v>
      </c>
      <c r="C2360" s="116">
        <v>685.45</v>
      </c>
      <c r="D2360" s="116">
        <v>681</v>
      </c>
      <c r="E2360" s="116">
        <v>699</v>
      </c>
      <c r="F2360" s="116">
        <v>685.45</v>
      </c>
      <c r="G2360">
        <v>60990</v>
      </c>
      <c r="H2360" s="116"/>
      <c r="I2360" s="116"/>
      <c r="L2360" s="170">
        <v>45482</v>
      </c>
      <c r="M2360" s="116">
        <v>673.15</v>
      </c>
      <c r="N2360" s="116">
        <v>699.6</v>
      </c>
      <c r="O2360" s="116">
        <v>669</v>
      </c>
      <c r="P2360" s="116">
        <v>688.9</v>
      </c>
      <c r="Q2360" s="116">
        <v>673.15</v>
      </c>
      <c r="R2360">
        <v>588087</v>
      </c>
    </row>
    <row r="2361" spans="1:18" x14ac:dyDescent="0.25">
      <c r="A2361" s="170">
        <v>45482</v>
      </c>
      <c r="B2361" s="116">
        <v>699.5</v>
      </c>
      <c r="C2361" s="116">
        <v>673.45</v>
      </c>
      <c r="D2361" s="116">
        <v>669.15</v>
      </c>
      <c r="E2361" s="116">
        <v>693.95</v>
      </c>
      <c r="F2361" s="116">
        <v>673.45</v>
      </c>
      <c r="G2361">
        <v>28959</v>
      </c>
      <c r="H2361" s="116"/>
      <c r="I2361" s="116"/>
      <c r="L2361" s="170">
        <v>45483</v>
      </c>
      <c r="M2361" s="116">
        <v>659.2</v>
      </c>
      <c r="N2361" s="116">
        <v>677.55</v>
      </c>
      <c r="O2361" s="116">
        <v>651</v>
      </c>
      <c r="P2361" s="116">
        <v>677.55</v>
      </c>
      <c r="Q2361" s="116">
        <v>659.2</v>
      </c>
      <c r="R2361">
        <v>545551</v>
      </c>
    </row>
    <row r="2362" spans="1:18" x14ac:dyDescent="0.25">
      <c r="A2362" s="170">
        <v>45483</v>
      </c>
      <c r="B2362" s="116">
        <v>680</v>
      </c>
      <c r="C2362" s="116">
        <v>660.25</v>
      </c>
      <c r="D2362" s="116">
        <v>651.1</v>
      </c>
      <c r="E2362" s="116">
        <v>677</v>
      </c>
      <c r="F2362" s="116">
        <v>660.25</v>
      </c>
      <c r="G2362">
        <v>90572</v>
      </c>
      <c r="H2362" s="116"/>
      <c r="I2362" s="116"/>
      <c r="L2362" s="170">
        <v>45484</v>
      </c>
      <c r="M2362" s="116">
        <v>671.6</v>
      </c>
      <c r="N2362" s="116">
        <v>680.4</v>
      </c>
      <c r="O2362" s="116">
        <v>661</v>
      </c>
      <c r="P2362" s="116">
        <v>663.6</v>
      </c>
      <c r="Q2362" s="116">
        <v>671.6</v>
      </c>
      <c r="R2362">
        <v>503106</v>
      </c>
    </row>
    <row r="2363" spans="1:18" x14ac:dyDescent="0.25">
      <c r="A2363" s="170">
        <v>45484</v>
      </c>
      <c r="B2363" s="116">
        <v>680</v>
      </c>
      <c r="C2363" s="116">
        <v>672.6</v>
      </c>
      <c r="D2363" s="116">
        <v>660</v>
      </c>
      <c r="E2363" s="116">
        <v>661.75</v>
      </c>
      <c r="F2363" s="116">
        <v>672.6</v>
      </c>
      <c r="G2363">
        <v>81529</v>
      </c>
      <c r="H2363" s="116"/>
      <c r="I2363" s="116"/>
      <c r="L2363" s="170">
        <v>45485</v>
      </c>
      <c r="M2363" s="116">
        <v>664.65</v>
      </c>
      <c r="N2363" s="116">
        <v>684</v>
      </c>
      <c r="O2363" s="116">
        <v>660</v>
      </c>
      <c r="P2363" s="116">
        <v>679.95</v>
      </c>
      <c r="Q2363" s="116">
        <v>664.65</v>
      </c>
      <c r="R2363">
        <v>536850</v>
      </c>
    </row>
    <row r="2364" spans="1:18" x14ac:dyDescent="0.25">
      <c r="A2364" s="170">
        <v>45485</v>
      </c>
      <c r="B2364" s="116">
        <v>683.45</v>
      </c>
      <c r="C2364" s="116">
        <v>665.15</v>
      </c>
      <c r="D2364" s="116">
        <v>660</v>
      </c>
      <c r="E2364" s="116">
        <v>679.25</v>
      </c>
      <c r="F2364" s="116">
        <v>665.15</v>
      </c>
      <c r="G2364">
        <v>85297</v>
      </c>
      <c r="H2364" s="116"/>
      <c r="I2364" s="116"/>
      <c r="L2364" s="170">
        <v>45488</v>
      </c>
      <c r="M2364" s="116">
        <v>659.7</v>
      </c>
      <c r="N2364" s="116">
        <v>669.9</v>
      </c>
      <c r="O2364" s="116">
        <v>653</v>
      </c>
      <c r="P2364" s="116">
        <v>668</v>
      </c>
      <c r="Q2364" s="116">
        <v>659.7</v>
      </c>
      <c r="R2364">
        <v>398746</v>
      </c>
    </row>
    <row r="2365" spans="1:18" x14ac:dyDescent="0.25">
      <c r="A2365" s="170">
        <v>45488</v>
      </c>
      <c r="B2365" s="116">
        <v>670</v>
      </c>
      <c r="C2365" s="116">
        <v>659.6</v>
      </c>
      <c r="D2365" s="116">
        <v>653.25</v>
      </c>
      <c r="E2365" s="116">
        <v>668</v>
      </c>
      <c r="F2365" s="116">
        <v>659.6</v>
      </c>
      <c r="G2365">
        <v>63016</v>
      </c>
      <c r="H2365" s="116"/>
      <c r="I2365" s="116"/>
      <c r="L2365" s="170">
        <v>45489</v>
      </c>
      <c r="M2365" s="116">
        <v>662.1</v>
      </c>
      <c r="N2365" s="116">
        <v>663.45</v>
      </c>
      <c r="O2365" s="116">
        <v>655</v>
      </c>
      <c r="P2365" s="116">
        <v>660.5</v>
      </c>
      <c r="Q2365" s="116">
        <v>662.1</v>
      </c>
      <c r="R2365">
        <v>396045</v>
      </c>
    </row>
    <row r="2366" spans="1:18" x14ac:dyDescent="0.25">
      <c r="A2366" s="170">
        <v>45489</v>
      </c>
      <c r="B2366" s="116">
        <v>664.95</v>
      </c>
      <c r="C2366" s="116">
        <v>661.65</v>
      </c>
      <c r="D2366" s="116">
        <v>655.04999999999995</v>
      </c>
      <c r="E2366" s="116">
        <v>664.95</v>
      </c>
      <c r="F2366" s="116">
        <v>661.65</v>
      </c>
      <c r="G2366">
        <v>14988</v>
      </c>
      <c r="H2366" s="116"/>
      <c r="I2366" s="116"/>
      <c r="L2366" s="170">
        <v>45491</v>
      </c>
      <c r="M2366" s="116">
        <v>647.9</v>
      </c>
      <c r="N2366" s="116">
        <v>669.5</v>
      </c>
      <c r="O2366" s="116">
        <v>646</v>
      </c>
      <c r="P2366" s="116">
        <v>667</v>
      </c>
      <c r="Q2366" s="116">
        <v>647.9</v>
      </c>
      <c r="R2366">
        <v>597374</v>
      </c>
    </row>
    <row r="2367" spans="1:18" x14ac:dyDescent="0.25">
      <c r="A2367" s="170">
        <v>45491</v>
      </c>
      <c r="B2367" s="116">
        <v>672.85</v>
      </c>
      <c r="C2367" s="116">
        <v>648.29999999999995</v>
      </c>
      <c r="D2367" s="116">
        <v>646.04999999999995</v>
      </c>
      <c r="E2367" s="116">
        <v>660.05</v>
      </c>
      <c r="F2367" s="116">
        <v>648.29999999999995</v>
      </c>
      <c r="G2367">
        <v>43731</v>
      </c>
      <c r="H2367" s="116"/>
      <c r="I2367" s="116"/>
      <c r="L2367" s="170">
        <v>45492</v>
      </c>
      <c r="M2367" s="116">
        <v>641.75</v>
      </c>
      <c r="N2367" s="116">
        <v>654.54999999999995</v>
      </c>
      <c r="O2367" s="116">
        <v>635</v>
      </c>
      <c r="P2367" s="116">
        <v>647.95000000000005</v>
      </c>
      <c r="Q2367" s="116">
        <v>641.75</v>
      </c>
      <c r="R2367">
        <v>488014</v>
      </c>
    </row>
    <row r="2368" spans="1:18" x14ac:dyDescent="0.25">
      <c r="A2368" s="170">
        <v>45492</v>
      </c>
      <c r="B2368" s="116">
        <v>653.45000000000005</v>
      </c>
      <c r="C2368" s="116">
        <v>639.4</v>
      </c>
      <c r="D2368" s="116">
        <v>633.20000000000005</v>
      </c>
      <c r="E2368" s="116">
        <v>647.04999999999995</v>
      </c>
      <c r="F2368" s="116">
        <v>639.4</v>
      </c>
      <c r="G2368">
        <v>93110</v>
      </c>
      <c r="H2368" s="116"/>
      <c r="I2368" s="116"/>
      <c r="L2368" s="170">
        <v>45495</v>
      </c>
      <c r="M2368" s="116">
        <v>632</v>
      </c>
      <c r="N2368" s="116">
        <v>638.85</v>
      </c>
      <c r="O2368" s="116">
        <v>624</v>
      </c>
      <c r="P2368" s="116">
        <v>632</v>
      </c>
      <c r="Q2368" s="116">
        <v>632</v>
      </c>
      <c r="R2368">
        <v>481431</v>
      </c>
    </row>
    <row r="2369" spans="1:18" x14ac:dyDescent="0.25">
      <c r="A2369" s="170">
        <v>45495</v>
      </c>
      <c r="B2369" s="116">
        <v>637.25</v>
      </c>
      <c r="C2369" s="116">
        <v>630.45000000000005</v>
      </c>
      <c r="D2369" s="116">
        <v>625</v>
      </c>
      <c r="E2369" s="116">
        <v>631.25</v>
      </c>
      <c r="F2369" s="116">
        <v>630.45000000000005</v>
      </c>
      <c r="G2369">
        <v>34639</v>
      </c>
      <c r="H2369" s="116"/>
      <c r="I2369" s="116"/>
      <c r="L2369" s="170">
        <v>45496</v>
      </c>
      <c r="M2369" s="116">
        <v>622.45000000000005</v>
      </c>
      <c r="N2369" s="116">
        <v>635.9</v>
      </c>
      <c r="O2369" s="116">
        <v>604.95000000000005</v>
      </c>
      <c r="P2369" s="116">
        <v>632</v>
      </c>
      <c r="Q2369" s="116">
        <v>622.45000000000005</v>
      </c>
      <c r="R2369">
        <v>470578</v>
      </c>
    </row>
    <row r="2370" spans="1:18" x14ac:dyDescent="0.25">
      <c r="A2370" s="170">
        <v>45496</v>
      </c>
      <c r="B2370" s="116">
        <v>636.25</v>
      </c>
      <c r="C2370" s="116">
        <v>622.35</v>
      </c>
      <c r="D2370" s="116">
        <v>605.04999999999995</v>
      </c>
      <c r="E2370" s="116">
        <v>632.29999999999995</v>
      </c>
      <c r="F2370" s="116">
        <v>622.35</v>
      </c>
      <c r="G2370">
        <v>20966</v>
      </c>
      <c r="H2370" s="116"/>
      <c r="I2370" s="116"/>
      <c r="L2370" s="170">
        <v>45497</v>
      </c>
      <c r="M2370" s="116">
        <v>634.35</v>
      </c>
      <c r="N2370" s="116">
        <v>645.95000000000005</v>
      </c>
      <c r="O2370" s="116">
        <v>624</v>
      </c>
      <c r="P2370" s="116">
        <v>624.1</v>
      </c>
      <c r="Q2370" s="116">
        <v>634.35</v>
      </c>
      <c r="R2370">
        <v>336587</v>
      </c>
    </row>
    <row r="2371" spans="1:18" x14ac:dyDescent="0.25">
      <c r="A2371" s="170">
        <v>45497</v>
      </c>
      <c r="B2371" s="116">
        <v>645.15</v>
      </c>
      <c r="C2371" s="116">
        <v>632.65</v>
      </c>
      <c r="D2371" s="116">
        <v>622.4</v>
      </c>
      <c r="E2371" s="116">
        <v>622.4</v>
      </c>
      <c r="F2371" s="116">
        <v>632.65</v>
      </c>
      <c r="G2371">
        <v>29870</v>
      </c>
      <c r="H2371" s="116"/>
      <c r="I2371" s="116"/>
      <c r="L2371" s="170">
        <v>45498</v>
      </c>
      <c r="M2371" s="116">
        <v>611.45000000000005</v>
      </c>
      <c r="N2371" s="116">
        <v>629.04999999999995</v>
      </c>
      <c r="O2371" s="116">
        <v>608.25</v>
      </c>
      <c r="P2371" s="116">
        <v>627.04999999999995</v>
      </c>
      <c r="Q2371" s="116">
        <v>611.45000000000005</v>
      </c>
      <c r="R2371">
        <v>783701</v>
      </c>
    </row>
    <row r="2372" spans="1:18" x14ac:dyDescent="0.25">
      <c r="A2372" s="170">
        <v>45498</v>
      </c>
      <c r="B2372" s="116">
        <v>632.35</v>
      </c>
      <c r="C2372" s="116">
        <v>611.54999999999995</v>
      </c>
      <c r="D2372" s="116">
        <v>608.1</v>
      </c>
      <c r="E2372" s="116">
        <v>632.35</v>
      </c>
      <c r="F2372" s="116">
        <v>611.54999999999995</v>
      </c>
      <c r="G2372">
        <v>38275</v>
      </c>
      <c r="H2372" s="116"/>
      <c r="I2372" s="116"/>
      <c r="L2372" s="170">
        <v>45499</v>
      </c>
      <c r="M2372" s="116">
        <v>603.5</v>
      </c>
      <c r="N2372" s="116">
        <v>624</v>
      </c>
      <c r="O2372" s="116">
        <v>599</v>
      </c>
      <c r="P2372" s="116">
        <v>610.04999999999995</v>
      </c>
      <c r="Q2372" s="116">
        <v>603.5</v>
      </c>
      <c r="R2372">
        <v>915304</v>
      </c>
    </row>
    <row r="2373" spans="1:18" x14ac:dyDescent="0.25">
      <c r="A2373" s="170">
        <v>45499</v>
      </c>
      <c r="B2373" s="116">
        <v>623.29999999999995</v>
      </c>
      <c r="C2373" s="116">
        <v>603.95000000000005</v>
      </c>
      <c r="D2373" s="116">
        <v>600</v>
      </c>
      <c r="E2373" s="116">
        <v>610</v>
      </c>
      <c r="F2373" s="116">
        <v>603.95000000000005</v>
      </c>
      <c r="G2373">
        <v>93463</v>
      </c>
      <c r="H2373" s="116"/>
      <c r="I2373" s="116"/>
      <c r="L2373" s="170">
        <v>45502</v>
      </c>
      <c r="M2373" s="116">
        <v>633.70000000000005</v>
      </c>
      <c r="N2373" s="116">
        <v>642</v>
      </c>
      <c r="O2373" s="116">
        <v>608.20000000000005</v>
      </c>
      <c r="P2373" s="116">
        <v>611</v>
      </c>
      <c r="Q2373" s="116">
        <v>633.70000000000005</v>
      </c>
      <c r="R2373">
        <v>759838</v>
      </c>
    </row>
    <row r="2374" spans="1:18" x14ac:dyDescent="0.25">
      <c r="A2374" s="170">
        <v>45502</v>
      </c>
      <c r="B2374" s="116">
        <v>641</v>
      </c>
      <c r="C2374" s="116">
        <v>634.4</v>
      </c>
      <c r="D2374" s="116">
        <v>608.5</v>
      </c>
      <c r="E2374" s="116">
        <v>610.04999999999995</v>
      </c>
      <c r="F2374" s="116">
        <v>634.4</v>
      </c>
      <c r="G2374">
        <v>126824</v>
      </c>
      <c r="H2374" s="116"/>
      <c r="I2374" s="116"/>
      <c r="L2374" s="170">
        <v>45503</v>
      </c>
      <c r="M2374" s="116">
        <v>641.5</v>
      </c>
      <c r="N2374" s="116">
        <v>647.70000000000005</v>
      </c>
      <c r="O2374" s="116">
        <v>635.20000000000005</v>
      </c>
      <c r="P2374" s="116">
        <v>640</v>
      </c>
      <c r="Q2374" s="116">
        <v>641.5</v>
      </c>
      <c r="R2374">
        <v>526190</v>
      </c>
    </row>
    <row r="2375" spans="1:18" x14ac:dyDescent="0.25">
      <c r="A2375" s="170">
        <v>45503</v>
      </c>
      <c r="B2375" s="116">
        <v>648.85</v>
      </c>
      <c r="C2375" s="116">
        <v>641.5</v>
      </c>
      <c r="D2375" s="116">
        <v>635</v>
      </c>
      <c r="E2375" s="116">
        <v>638.04999999999995</v>
      </c>
      <c r="F2375" s="116">
        <v>641.5</v>
      </c>
      <c r="G2375">
        <v>77523</v>
      </c>
      <c r="H2375" s="116"/>
      <c r="I2375" s="116"/>
      <c r="L2375" s="170">
        <v>45504</v>
      </c>
      <c r="M2375" s="116">
        <v>646.85</v>
      </c>
      <c r="N2375" s="116">
        <v>654.5</v>
      </c>
      <c r="O2375" s="116">
        <v>633.04999999999995</v>
      </c>
      <c r="P2375" s="116">
        <v>637</v>
      </c>
      <c r="Q2375" s="116">
        <v>646.85</v>
      </c>
      <c r="R2375">
        <v>422937</v>
      </c>
    </row>
    <row r="2376" spans="1:18" x14ac:dyDescent="0.25">
      <c r="A2376" s="170">
        <v>45504</v>
      </c>
      <c r="B2376" s="116">
        <v>652</v>
      </c>
      <c r="C2376" s="116">
        <v>646.45000000000005</v>
      </c>
      <c r="D2376" s="116">
        <v>633</v>
      </c>
      <c r="E2376" s="116">
        <v>640.95000000000005</v>
      </c>
      <c r="F2376" s="116">
        <v>646.45000000000005</v>
      </c>
      <c r="G2376">
        <v>62570</v>
      </c>
      <c r="H2376" s="116"/>
      <c r="I2376" s="116"/>
      <c r="L2376" s="170">
        <v>45505</v>
      </c>
      <c r="M2376" s="116">
        <v>647.6</v>
      </c>
      <c r="N2376" s="116">
        <v>655.7</v>
      </c>
      <c r="O2376" s="116">
        <v>639.20000000000005</v>
      </c>
      <c r="P2376" s="116">
        <v>654</v>
      </c>
      <c r="Q2376" s="116">
        <v>647.6</v>
      </c>
      <c r="R2376">
        <v>540659</v>
      </c>
    </row>
    <row r="2377" spans="1:18" x14ac:dyDescent="0.25">
      <c r="A2377" s="170">
        <v>45505</v>
      </c>
      <c r="B2377" s="116">
        <v>655.45</v>
      </c>
      <c r="C2377" s="116">
        <v>647.54999999999995</v>
      </c>
      <c r="D2377" s="116">
        <v>639.95000000000005</v>
      </c>
      <c r="E2377" s="116">
        <v>652.04999999999995</v>
      </c>
      <c r="F2377" s="116">
        <v>647.54999999999995</v>
      </c>
      <c r="G2377">
        <v>25020</v>
      </c>
      <c r="H2377" s="116"/>
      <c r="I2377" s="116"/>
      <c r="L2377" s="170">
        <v>45506</v>
      </c>
      <c r="M2377" s="116">
        <v>651.79999999999995</v>
      </c>
      <c r="N2377" s="116">
        <v>663.15</v>
      </c>
      <c r="O2377" s="116">
        <v>632.54999999999995</v>
      </c>
      <c r="P2377" s="116">
        <v>640</v>
      </c>
      <c r="Q2377" s="116">
        <v>651.79999999999995</v>
      </c>
      <c r="R2377">
        <v>1155061</v>
      </c>
    </row>
    <row r="2378" spans="1:18" x14ac:dyDescent="0.25">
      <c r="A2378" s="170">
        <v>45506</v>
      </c>
      <c r="B2378" s="116">
        <v>664.35</v>
      </c>
      <c r="C2378" s="116">
        <v>651.85</v>
      </c>
      <c r="D2378" s="116">
        <v>632.04999999999995</v>
      </c>
      <c r="E2378" s="116">
        <v>640.79999999999995</v>
      </c>
      <c r="F2378" s="116">
        <v>651.85</v>
      </c>
      <c r="G2378">
        <v>57988</v>
      </c>
      <c r="H2378" s="116"/>
      <c r="I2378" s="116"/>
      <c r="L2378" s="170">
        <v>45509</v>
      </c>
      <c r="M2378" s="116">
        <v>617.15</v>
      </c>
      <c r="N2378" s="116">
        <v>636</v>
      </c>
      <c r="O2378" s="116">
        <v>609.1</v>
      </c>
      <c r="P2378" s="116">
        <v>626.04999999999995</v>
      </c>
      <c r="Q2378" s="116">
        <v>617.15</v>
      </c>
      <c r="R2378">
        <v>812500</v>
      </c>
    </row>
    <row r="2379" spans="1:18" x14ac:dyDescent="0.25">
      <c r="A2379" s="170">
        <v>45509</v>
      </c>
      <c r="B2379" s="116">
        <v>637.95000000000005</v>
      </c>
      <c r="C2379" s="116">
        <v>617.65</v>
      </c>
      <c r="D2379" s="116">
        <v>609.04999999999995</v>
      </c>
      <c r="E2379" s="116">
        <v>637.95000000000005</v>
      </c>
      <c r="F2379" s="116">
        <v>617.65</v>
      </c>
      <c r="G2379">
        <v>182163</v>
      </c>
      <c r="H2379" s="116"/>
      <c r="I2379" s="116"/>
      <c r="L2379" s="170">
        <v>45510</v>
      </c>
      <c r="M2379" s="116">
        <v>608.70000000000005</v>
      </c>
      <c r="N2379" s="116">
        <v>629.95000000000005</v>
      </c>
      <c r="O2379" s="116">
        <v>605</v>
      </c>
      <c r="P2379" s="116">
        <v>615</v>
      </c>
      <c r="Q2379" s="116">
        <v>608.70000000000005</v>
      </c>
      <c r="R2379">
        <v>490504</v>
      </c>
    </row>
    <row r="2380" spans="1:18" x14ac:dyDescent="0.25">
      <c r="A2380" s="170">
        <v>45510</v>
      </c>
      <c r="B2380" s="116">
        <v>629.5</v>
      </c>
      <c r="C2380" s="116">
        <v>609</v>
      </c>
      <c r="D2380" s="116">
        <v>605.29999999999995</v>
      </c>
      <c r="E2380" s="116">
        <v>612.20000000000005</v>
      </c>
      <c r="F2380" s="116">
        <v>609</v>
      </c>
      <c r="G2380">
        <v>78488</v>
      </c>
      <c r="H2380" s="116"/>
      <c r="I2380" s="116"/>
      <c r="L2380" s="170">
        <v>45511</v>
      </c>
      <c r="M2380" s="116">
        <v>595.35</v>
      </c>
      <c r="N2380" s="116">
        <v>632</v>
      </c>
      <c r="O2380" s="116">
        <v>591.4</v>
      </c>
      <c r="P2380" s="116">
        <v>615</v>
      </c>
      <c r="Q2380" s="116">
        <v>595.35</v>
      </c>
      <c r="R2380">
        <v>1411776</v>
      </c>
    </row>
    <row r="2381" spans="1:18" x14ac:dyDescent="0.25">
      <c r="A2381" s="170">
        <v>45511</v>
      </c>
      <c r="B2381" s="116">
        <v>632.1</v>
      </c>
      <c r="C2381" s="116">
        <v>595.04999999999995</v>
      </c>
      <c r="D2381" s="116">
        <v>591.29999999999995</v>
      </c>
      <c r="E2381" s="116">
        <v>611.04999999999995</v>
      </c>
      <c r="F2381" s="116">
        <v>595.04999999999995</v>
      </c>
      <c r="G2381">
        <v>155384</v>
      </c>
      <c r="H2381" s="116"/>
      <c r="I2381" s="116"/>
      <c r="L2381" s="170">
        <v>45512</v>
      </c>
      <c r="M2381" s="116">
        <v>599.95000000000005</v>
      </c>
      <c r="N2381" s="116">
        <v>604.4</v>
      </c>
      <c r="O2381" s="116">
        <v>588</v>
      </c>
      <c r="P2381" s="116">
        <v>598.5</v>
      </c>
      <c r="Q2381" s="116">
        <v>599.95000000000005</v>
      </c>
      <c r="R2381">
        <v>752219</v>
      </c>
    </row>
    <row r="2382" spans="1:18" x14ac:dyDescent="0.25">
      <c r="A2382" s="170">
        <v>45512</v>
      </c>
      <c r="B2382" s="116">
        <v>604</v>
      </c>
      <c r="C2382" s="116">
        <v>598.45000000000005</v>
      </c>
      <c r="D2382" s="116">
        <v>588.04999999999995</v>
      </c>
      <c r="E2382" s="116">
        <v>602</v>
      </c>
      <c r="F2382" s="116">
        <v>598.45000000000005</v>
      </c>
      <c r="G2382">
        <v>39507</v>
      </c>
      <c r="H2382" s="116"/>
      <c r="I2382" s="116"/>
      <c r="L2382" s="170">
        <v>45513</v>
      </c>
      <c r="M2382" s="116">
        <v>594</v>
      </c>
      <c r="N2382" s="116">
        <v>610.4</v>
      </c>
      <c r="O2382" s="116">
        <v>592</v>
      </c>
      <c r="P2382" s="116">
        <v>610.4</v>
      </c>
      <c r="Q2382" s="116">
        <v>594</v>
      </c>
      <c r="R2382">
        <v>455571</v>
      </c>
    </row>
    <row r="2383" spans="1:18" x14ac:dyDescent="0.25">
      <c r="A2383" s="170">
        <v>45513</v>
      </c>
      <c r="B2383" s="116">
        <v>612</v>
      </c>
      <c r="C2383" s="116">
        <v>594.04999999999995</v>
      </c>
      <c r="D2383" s="116">
        <v>592.25</v>
      </c>
      <c r="E2383" s="116">
        <v>610</v>
      </c>
      <c r="F2383" s="116">
        <v>594.04999999999995</v>
      </c>
      <c r="G2383">
        <v>26928</v>
      </c>
      <c r="H2383" s="116"/>
      <c r="I2383" s="116"/>
      <c r="L2383" s="170">
        <v>45516</v>
      </c>
      <c r="M2383" s="116">
        <v>614.20000000000005</v>
      </c>
      <c r="N2383" s="116">
        <v>627.9</v>
      </c>
      <c r="O2383" s="116">
        <v>599</v>
      </c>
      <c r="P2383" s="116">
        <v>599.95000000000005</v>
      </c>
      <c r="Q2383" s="116">
        <v>614.20000000000005</v>
      </c>
      <c r="R2383">
        <v>930564</v>
      </c>
    </row>
    <row r="2384" spans="1:18" x14ac:dyDescent="0.25">
      <c r="A2384" s="170">
        <v>45516</v>
      </c>
      <c r="B2384" s="116">
        <v>627.70000000000005</v>
      </c>
      <c r="C2384" s="116">
        <v>614.45000000000005</v>
      </c>
      <c r="D2384" s="116">
        <v>594.15</v>
      </c>
      <c r="E2384" s="116">
        <v>594.15</v>
      </c>
      <c r="F2384" s="116">
        <v>614.45000000000005</v>
      </c>
      <c r="G2384">
        <v>121214</v>
      </c>
      <c r="H2384" s="116"/>
      <c r="I2384" s="116"/>
      <c r="L2384" s="170">
        <v>45517</v>
      </c>
      <c r="M2384" s="116">
        <v>580</v>
      </c>
      <c r="N2384" s="116">
        <v>618</v>
      </c>
      <c r="O2384" s="116">
        <v>576.25</v>
      </c>
      <c r="P2384" s="116">
        <v>618</v>
      </c>
      <c r="Q2384" s="116">
        <v>580</v>
      </c>
      <c r="R2384">
        <v>1345889</v>
      </c>
    </row>
    <row r="2385" spans="1:18" x14ac:dyDescent="0.25">
      <c r="A2385" s="170">
        <v>45517</v>
      </c>
      <c r="B2385" s="116">
        <v>619.95000000000005</v>
      </c>
      <c r="C2385" s="116">
        <v>580.54999999999995</v>
      </c>
      <c r="D2385" s="116">
        <v>576</v>
      </c>
      <c r="E2385" s="116">
        <v>615.45000000000005</v>
      </c>
      <c r="F2385" s="116">
        <v>580.54999999999995</v>
      </c>
      <c r="G2385">
        <v>159725</v>
      </c>
      <c r="H2385" s="116"/>
      <c r="I2385" s="116"/>
      <c r="L2385" s="170">
        <v>45518</v>
      </c>
      <c r="M2385" s="116">
        <v>571.75</v>
      </c>
      <c r="N2385" s="116">
        <v>618</v>
      </c>
      <c r="O2385" s="116">
        <v>544.04999999999995</v>
      </c>
      <c r="P2385" s="116">
        <v>562</v>
      </c>
      <c r="Q2385" s="116">
        <v>571.75</v>
      </c>
      <c r="R2385">
        <v>3055207</v>
      </c>
    </row>
    <row r="2386" spans="1:18" x14ac:dyDescent="0.25">
      <c r="A2386" s="170">
        <v>45518</v>
      </c>
      <c r="B2386" s="116">
        <v>615.5</v>
      </c>
      <c r="C2386" s="116">
        <v>572.95000000000005</v>
      </c>
      <c r="D2386" s="116">
        <v>544.15</v>
      </c>
      <c r="E2386" s="116">
        <v>569.95000000000005</v>
      </c>
      <c r="F2386" s="116">
        <v>572.95000000000005</v>
      </c>
      <c r="G2386">
        <v>311723</v>
      </c>
      <c r="H2386" s="116"/>
      <c r="I2386" s="116"/>
      <c r="L2386" s="170">
        <v>45520</v>
      </c>
      <c r="M2386" s="116">
        <v>519.9</v>
      </c>
      <c r="N2386" s="116">
        <v>544</v>
      </c>
      <c r="O2386" s="116">
        <v>516.04999999999995</v>
      </c>
      <c r="P2386" s="116">
        <v>530</v>
      </c>
      <c r="Q2386" s="116">
        <v>519.9</v>
      </c>
      <c r="R2386">
        <v>11319240</v>
      </c>
    </row>
    <row r="2387" spans="1:18" x14ac:dyDescent="0.25">
      <c r="A2387" s="170">
        <v>45520</v>
      </c>
      <c r="B2387" s="116">
        <v>544.29999999999995</v>
      </c>
      <c r="C2387" s="116">
        <v>519.95000000000005</v>
      </c>
      <c r="D2387" s="116">
        <v>516.79999999999995</v>
      </c>
      <c r="E2387" s="116">
        <v>530.29999999999995</v>
      </c>
      <c r="F2387" s="116">
        <v>519.95000000000005</v>
      </c>
      <c r="G2387">
        <v>939596</v>
      </c>
      <c r="H2387" s="116"/>
      <c r="I2387" s="116"/>
      <c r="L2387" s="170">
        <v>45523</v>
      </c>
      <c r="M2387" s="116">
        <v>495.7</v>
      </c>
      <c r="N2387" s="116">
        <v>498.55</v>
      </c>
      <c r="O2387" s="116">
        <v>488.05</v>
      </c>
      <c r="P2387" s="116">
        <v>490</v>
      </c>
      <c r="Q2387" s="116">
        <v>495.7</v>
      </c>
      <c r="R2387">
        <v>26422597</v>
      </c>
    </row>
    <row r="2388" spans="1:18" x14ac:dyDescent="0.25">
      <c r="A2388" s="170">
        <v>45523</v>
      </c>
      <c r="B2388" s="116">
        <v>498.7</v>
      </c>
      <c r="C2388" s="116">
        <v>495.75</v>
      </c>
      <c r="D2388" s="116">
        <v>488.65</v>
      </c>
      <c r="E2388" s="116">
        <v>490</v>
      </c>
      <c r="F2388" s="116">
        <v>495.75</v>
      </c>
      <c r="G2388">
        <v>2335703</v>
      </c>
      <c r="H2388" s="116"/>
      <c r="I2388" s="116"/>
      <c r="L2388" s="170">
        <v>45524</v>
      </c>
      <c r="M2388" s="116">
        <v>512.6</v>
      </c>
      <c r="N2388" s="116">
        <v>514.20000000000005</v>
      </c>
      <c r="O2388" s="116">
        <v>496.3</v>
      </c>
      <c r="P2388" s="116">
        <v>496.3</v>
      </c>
      <c r="Q2388" s="116">
        <v>512.6</v>
      </c>
      <c r="R2388">
        <v>21919526</v>
      </c>
    </row>
    <row r="2389" spans="1:18" x14ac:dyDescent="0.25">
      <c r="A2389" s="170">
        <v>45524</v>
      </c>
      <c r="B2389" s="116">
        <v>513.9</v>
      </c>
      <c r="C2389" s="116">
        <v>512.29999999999995</v>
      </c>
      <c r="D2389" s="116">
        <v>495.75</v>
      </c>
      <c r="E2389" s="116">
        <v>495.75</v>
      </c>
      <c r="F2389" s="116">
        <v>512.29999999999995</v>
      </c>
      <c r="G2389">
        <v>1589414</v>
      </c>
      <c r="H2389" s="116"/>
      <c r="I2389" s="116"/>
      <c r="L2389" s="170">
        <v>45525</v>
      </c>
      <c r="M2389" s="116">
        <v>510.85</v>
      </c>
      <c r="N2389" s="116">
        <v>516.9</v>
      </c>
      <c r="O2389" s="116">
        <v>508.75</v>
      </c>
      <c r="P2389" s="116">
        <v>515.95000000000005</v>
      </c>
      <c r="Q2389" s="116">
        <v>510.85</v>
      </c>
      <c r="R2389">
        <v>7475230</v>
      </c>
    </row>
    <row r="2390" spans="1:18" x14ac:dyDescent="0.25">
      <c r="A2390" s="170">
        <v>45525</v>
      </c>
      <c r="B2390" s="116">
        <v>516.95000000000005</v>
      </c>
      <c r="C2390" s="116">
        <v>510.9</v>
      </c>
      <c r="D2390" s="116">
        <v>509</v>
      </c>
      <c r="E2390" s="116">
        <v>516.45000000000005</v>
      </c>
      <c r="F2390" s="116">
        <v>510.9</v>
      </c>
      <c r="G2390">
        <v>456550</v>
      </c>
      <c r="H2390" s="116"/>
      <c r="I2390" s="116"/>
      <c r="L2390" s="170">
        <v>45526</v>
      </c>
      <c r="M2390" s="116">
        <v>518.65</v>
      </c>
      <c r="N2390" s="116">
        <v>519.85</v>
      </c>
      <c r="O2390" s="116">
        <v>512.15</v>
      </c>
      <c r="P2390" s="116">
        <v>512.9</v>
      </c>
      <c r="Q2390" s="116">
        <v>518.65</v>
      </c>
      <c r="R2390">
        <v>7868421</v>
      </c>
    </row>
    <row r="2391" spans="1:18" x14ac:dyDescent="0.25">
      <c r="A2391" s="170">
        <v>45526</v>
      </c>
      <c r="B2391" s="116">
        <v>519.85</v>
      </c>
      <c r="C2391" s="116">
        <v>518.65</v>
      </c>
      <c r="D2391" s="116">
        <v>512.5</v>
      </c>
      <c r="E2391" s="116">
        <v>512.5</v>
      </c>
      <c r="F2391" s="116">
        <v>518.65</v>
      </c>
      <c r="G2391">
        <v>590497</v>
      </c>
      <c r="H2391" s="116"/>
      <c r="I2391" s="116"/>
      <c r="L2391" s="170">
        <v>45527</v>
      </c>
      <c r="M2391" s="116">
        <v>513.79999999999995</v>
      </c>
      <c r="N2391" s="116">
        <v>519.65</v>
      </c>
      <c r="O2391" s="116">
        <v>512.54999999999995</v>
      </c>
      <c r="P2391" s="116">
        <v>517</v>
      </c>
      <c r="Q2391" s="116">
        <v>513.79999999999995</v>
      </c>
      <c r="R2391">
        <v>4980038</v>
      </c>
    </row>
    <row r="2392" spans="1:18" x14ac:dyDescent="0.25">
      <c r="A2392" s="170">
        <v>45527</v>
      </c>
      <c r="B2392" s="116">
        <v>519.79999999999995</v>
      </c>
      <c r="C2392" s="116">
        <v>513.9</v>
      </c>
      <c r="D2392" s="116">
        <v>512</v>
      </c>
      <c r="E2392" s="116">
        <v>516.15</v>
      </c>
      <c r="F2392" s="116">
        <v>513.9</v>
      </c>
      <c r="G2392">
        <v>550024</v>
      </c>
      <c r="H2392" s="116"/>
      <c r="I2392" s="116"/>
      <c r="L2392" s="170">
        <v>45530</v>
      </c>
      <c r="M2392" s="116">
        <v>528.1</v>
      </c>
      <c r="N2392" s="116">
        <v>528.95000000000005</v>
      </c>
      <c r="O2392" s="116">
        <v>517.1</v>
      </c>
      <c r="P2392" s="116">
        <v>518</v>
      </c>
      <c r="Q2392" s="116">
        <v>528.1</v>
      </c>
      <c r="R2392">
        <v>8083106</v>
      </c>
    </row>
    <row r="2393" spans="1:18" x14ac:dyDescent="0.25">
      <c r="A2393" s="170">
        <v>45530</v>
      </c>
      <c r="B2393" s="116">
        <v>528.79999999999995</v>
      </c>
      <c r="C2393" s="116">
        <v>528.20000000000005</v>
      </c>
      <c r="D2393" s="116">
        <v>517.35</v>
      </c>
      <c r="E2393" s="116">
        <v>517.35</v>
      </c>
      <c r="F2393" s="116">
        <v>528.20000000000005</v>
      </c>
      <c r="G2393">
        <v>959372</v>
      </c>
      <c r="H2393" s="116"/>
      <c r="I2393" s="116"/>
      <c r="L2393" s="170">
        <v>45531</v>
      </c>
      <c r="M2393" s="116">
        <v>532.35</v>
      </c>
      <c r="N2393" s="116">
        <v>537.6</v>
      </c>
      <c r="O2393" s="116">
        <v>530</v>
      </c>
      <c r="P2393" s="116">
        <v>531</v>
      </c>
      <c r="Q2393" s="116">
        <v>532.35</v>
      </c>
      <c r="R2393">
        <v>5904226</v>
      </c>
    </row>
    <row r="2394" spans="1:18" x14ac:dyDescent="0.25">
      <c r="A2394" s="170">
        <v>45531</v>
      </c>
      <c r="B2394" s="116">
        <v>537.70000000000005</v>
      </c>
      <c r="C2394" s="116">
        <v>532.25</v>
      </c>
      <c r="D2394" s="116">
        <v>530</v>
      </c>
      <c r="E2394" s="116">
        <v>530.04999999999995</v>
      </c>
      <c r="F2394" s="116">
        <v>532.25</v>
      </c>
      <c r="G2394">
        <v>719489</v>
      </c>
      <c r="H2394" s="116"/>
      <c r="I2394" s="116"/>
      <c r="L2394" s="170">
        <v>45532</v>
      </c>
      <c r="M2394" s="116">
        <v>511.25</v>
      </c>
      <c r="N2394" s="116">
        <v>514.9</v>
      </c>
      <c r="O2394" s="116">
        <v>509.45</v>
      </c>
      <c r="P2394" s="116">
        <v>514.9</v>
      </c>
      <c r="Q2394" s="116">
        <v>511.25</v>
      </c>
      <c r="R2394">
        <v>3918470</v>
      </c>
    </row>
    <row r="2395" spans="1:18" x14ac:dyDescent="0.25">
      <c r="A2395" s="170">
        <v>45532</v>
      </c>
      <c r="B2395" s="116">
        <v>515</v>
      </c>
      <c r="C2395" s="116">
        <v>511.15</v>
      </c>
      <c r="D2395" s="116">
        <v>509.5</v>
      </c>
      <c r="E2395" s="116">
        <v>514.9</v>
      </c>
      <c r="F2395" s="116">
        <v>511.15</v>
      </c>
      <c r="G2395">
        <v>155723</v>
      </c>
      <c r="H2395" s="116"/>
      <c r="I2395" s="116"/>
      <c r="L2395" s="170">
        <v>45533</v>
      </c>
      <c r="M2395" s="116">
        <v>496.5</v>
      </c>
      <c r="N2395" s="116">
        <v>508.6</v>
      </c>
      <c r="O2395" s="116">
        <v>492.4</v>
      </c>
      <c r="P2395" s="116">
        <v>507.95</v>
      </c>
      <c r="Q2395" s="116">
        <v>496.5</v>
      </c>
      <c r="R2395">
        <v>5148826</v>
      </c>
    </row>
    <row r="2396" spans="1:18" x14ac:dyDescent="0.25">
      <c r="A2396" s="170">
        <v>45533</v>
      </c>
      <c r="B2396" s="116">
        <v>509.5</v>
      </c>
      <c r="C2396" s="116">
        <v>496.5</v>
      </c>
      <c r="D2396" s="116">
        <v>492.55</v>
      </c>
      <c r="E2396" s="116">
        <v>509.5</v>
      </c>
      <c r="F2396" s="116">
        <v>496.5</v>
      </c>
      <c r="G2396">
        <v>265938</v>
      </c>
      <c r="H2396" s="116"/>
      <c r="I2396" s="116"/>
      <c r="L2396" s="170">
        <v>45534</v>
      </c>
      <c r="M2396" s="116">
        <v>500.75</v>
      </c>
      <c r="N2396" s="116">
        <v>502</v>
      </c>
      <c r="O2396" s="116">
        <v>495</v>
      </c>
      <c r="P2396" s="116">
        <v>499</v>
      </c>
      <c r="Q2396" s="116">
        <v>500.75</v>
      </c>
      <c r="R2396">
        <v>2166880</v>
      </c>
    </row>
    <row r="2397" spans="1:18" x14ac:dyDescent="0.25">
      <c r="A2397" s="170">
        <v>45534</v>
      </c>
      <c r="B2397" s="116">
        <v>502.15</v>
      </c>
      <c r="C2397" s="116">
        <v>500</v>
      </c>
      <c r="D2397" s="116">
        <v>495.1</v>
      </c>
      <c r="E2397" s="116">
        <v>499</v>
      </c>
      <c r="F2397" s="116">
        <v>500</v>
      </c>
      <c r="G2397">
        <v>298650</v>
      </c>
      <c r="H2397" s="116"/>
      <c r="I2397" s="116"/>
      <c r="L2397" s="170">
        <v>45537</v>
      </c>
      <c r="M2397" s="116">
        <v>493.85</v>
      </c>
      <c r="N2397" s="116">
        <v>502.45</v>
      </c>
      <c r="O2397" s="116">
        <v>492</v>
      </c>
      <c r="P2397" s="116">
        <v>502</v>
      </c>
      <c r="Q2397" s="116">
        <v>493.85</v>
      </c>
      <c r="R2397">
        <v>2338864</v>
      </c>
    </row>
    <row r="2398" spans="1:18" x14ac:dyDescent="0.25">
      <c r="A2398" s="170">
        <v>45537</v>
      </c>
      <c r="B2398" s="116">
        <v>502.3</v>
      </c>
      <c r="C2398" s="116">
        <v>493.65</v>
      </c>
      <c r="D2398" s="116">
        <v>491.8</v>
      </c>
      <c r="E2398" s="116">
        <v>502</v>
      </c>
      <c r="F2398" s="116">
        <v>493.65</v>
      </c>
      <c r="G2398">
        <v>344428</v>
      </c>
      <c r="H2398" s="116"/>
      <c r="I2398" s="116"/>
      <c r="L2398" s="170">
        <v>45538</v>
      </c>
      <c r="M2398" s="116">
        <v>492.55</v>
      </c>
      <c r="N2398" s="116">
        <v>496.9</v>
      </c>
      <c r="O2398" s="116">
        <v>490.25</v>
      </c>
      <c r="P2398" s="116">
        <v>493.05</v>
      </c>
      <c r="Q2398" s="116">
        <v>492.55</v>
      </c>
      <c r="R2398">
        <v>1772852</v>
      </c>
    </row>
    <row r="2399" spans="1:18" x14ac:dyDescent="0.25">
      <c r="A2399" s="170">
        <v>45538</v>
      </c>
      <c r="B2399" s="116">
        <v>496.95</v>
      </c>
      <c r="C2399" s="116">
        <v>492.35</v>
      </c>
      <c r="D2399" s="116">
        <v>490.55</v>
      </c>
      <c r="E2399" s="116">
        <v>494</v>
      </c>
      <c r="F2399" s="116">
        <v>492.35</v>
      </c>
      <c r="G2399">
        <v>71073</v>
      </c>
      <c r="H2399" s="116"/>
      <c r="I2399" s="116"/>
      <c r="L2399" s="170">
        <v>45539</v>
      </c>
      <c r="M2399" s="116">
        <v>485.9</v>
      </c>
      <c r="N2399" s="116">
        <v>489</v>
      </c>
      <c r="O2399" s="116">
        <v>481.05</v>
      </c>
      <c r="P2399" s="116">
        <v>489</v>
      </c>
      <c r="Q2399" s="116">
        <v>485.9</v>
      </c>
      <c r="R2399">
        <v>2637897</v>
      </c>
    </row>
    <row r="2400" spans="1:18" x14ac:dyDescent="0.25">
      <c r="A2400" s="170">
        <v>45539</v>
      </c>
      <c r="B2400" s="116">
        <v>490</v>
      </c>
      <c r="C2400" s="116">
        <v>485.3</v>
      </c>
      <c r="D2400" s="116">
        <v>481.2</v>
      </c>
      <c r="E2400" s="116">
        <v>489.55</v>
      </c>
      <c r="F2400" s="116">
        <v>485.3</v>
      </c>
      <c r="G2400">
        <v>119546</v>
      </c>
      <c r="H2400" s="116"/>
      <c r="I2400" s="116"/>
      <c r="L2400" s="170">
        <v>45540</v>
      </c>
      <c r="M2400" s="116">
        <v>495.7</v>
      </c>
      <c r="N2400" s="116">
        <v>496.7</v>
      </c>
      <c r="O2400" s="116">
        <v>488</v>
      </c>
      <c r="P2400" s="116">
        <v>489</v>
      </c>
      <c r="Q2400" s="116">
        <v>495.7</v>
      </c>
      <c r="R2400">
        <v>1948919</v>
      </c>
    </row>
    <row r="2401" spans="1:18" x14ac:dyDescent="0.25">
      <c r="A2401" s="170">
        <v>45540</v>
      </c>
      <c r="B2401" s="116">
        <v>496.95</v>
      </c>
      <c r="C2401" s="116">
        <v>495.2</v>
      </c>
      <c r="D2401" s="116">
        <v>488</v>
      </c>
      <c r="E2401" s="116">
        <v>489.75</v>
      </c>
      <c r="F2401" s="116">
        <v>495.2</v>
      </c>
      <c r="G2401">
        <v>99389</v>
      </c>
      <c r="H2401" s="116"/>
      <c r="I2401" s="116"/>
      <c r="L2401" s="170">
        <v>45541</v>
      </c>
      <c r="M2401" s="116">
        <v>486.85</v>
      </c>
      <c r="N2401" s="116">
        <v>497.4</v>
      </c>
      <c r="O2401" s="116">
        <v>485.55</v>
      </c>
      <c r="P2401" s="116">
        <v>496.6</v>
      </c>
      <c r="Q2401" s="116">
        <v>486.85</v>
      </c>
      <c r="R2401">
        <v>1938403</v>
      </c>
    </row>
    <row r="2402" spans="1:18" x14ac:dyDescent="0.25">
      <c r="A2402" s="170">
        <v>45541</v>
      </c>
      <c r="B2402" s="116">
        <v>499.95</v>
      </c>
      <c r="C2402" s="116">
        <v>486.8</v>
      </c>
      <c r="D2402" s="116">
        <v>486</v>
      </c>
      <c r="E2402" s="116">
        <v>498</v>
      </c>
      <c r="F2402" s="116">
        <v>486.8</v>
      </c>
      <c r="G2402">
        <v>66295</v>
      </c>
      <c r="H2402" s="116"/>
      <c r="I2402" s="116"/>
      <c r="L2402" s="170">
        <v>45544</v>
      </c>
      <c r="M2402" s="116">
        <v>480.1</v>
      </c>
      <c r="N2402" s="116">
        <v>486</v>
      </c>
      <c r="O2402" s="116">
        <v>477</v>
      </c>
      <c r="P2402" s="116">
        <v>484.75</v>
      </c>
      <c r="Q2402" s="116">
        <v>480.1</v>
      </c>
      <c r="R2402">
        <v>1742601</v>
      </c>
    </row>
    <row r="2403" spans="1:18" x14ac:dyDescent="0.25">
      <c r="A2403" s="170">
        <v>45544</v>
      </c>
      <c r="B2403" s="116">
        <v>486.8</v>
      </c>
      <c r="C2403" s="116">
        <v>480.05</v>
      </c>
      <c r="D2403" s="116">
        <v>476.75</v>
      </c>
      <c r="E2403" s="116">
        <v>486.8</v>
      </c>
      <c r="F2403" s="116">
        <v>480.05</v>
      </c>
      <c r="G2403">
        <v>88976</v>
      </c>
      <c r="H2403" s="116"/>
      <c r="I2403" s="116"/>
      <c r="L2403" s="170">
        <v>45545</v>
      </c>
      <c r="M2403" s="116">
        <v>486.9</v>
      </c>
      <c r="N2403" s="116">
        <v>491</v>
      </c>
      <c r="O2403" s="116">
        <v>479</v>
      </c>
      <c r="P2403" s="116">
        <v>483.6</v>
      </c>
      <c r="Q2403" s="116">
        <v>486.9</v>
      </c>
      <c r="R2403">
        <v>1518727</v>
      </c>
    </row>
    <row r="2404" spans="1:18" x14ac:dyDescent="0.25">
      <c r="A2404" s="170">
        <v>45545</v>
      </c>
      <c r="B2404" s="116">
        <v>491.15</v>
      </c>
      <c r="C2404" s="116">
        <v>486.65</v>
      </c>
      <c r="D2404" s="116">
        <v>479.8</v>
      </c>
      <c r="E2404" s="116">
        <v>483</v>
      </c>
      <c r="F2404" s="116">
        <v>486.65</v>
      </c>
      <c r="G2404">
        <v>47986</v>
      </c>
      <c r="H2404" s="116"/>
      <c r="I2404" s="116"/>
      <c r="L2404" s="170">
        <v>45546</v>
      </c>
      <c r="M2404" s="116">
        <v>476.55</v>
      </c>
      <c r="N2404" s="116">
        <v>488</v>
      </c>
      <c r="O2404" s="116">
        <v>475.4</v>
      </c>
      <c r="P2404" s="116">
        <v>488</v>
      </c>
      <c r="Q2404" s="116">
        <v>476.55</v>
      </c>
      <c r="R2404">
        <v>1444929</v>
      </c>
    </row>
    <row r="2405" spans="1:18" x14ac:dyDescent="0.25">
      <c r="A2405" s="170">
        <v>45546</v>
      </c>
      <c r="B2405" s="116">
        <v>489.85</v>
      </c>
      <c r="C2405" s="116">
        <v>476.45</v>
      </c>
      <c r="D2405" s="116">
        <v>475.55</v>
      </c>
      <c r="E2405" s="116">
        <v>489.85</v>
      </c>
      <c r="F2405" s="116">
        <v>476.45</v>
      </c>
      <c r="G2405">
        <v>64053</v>
      </c>
      <c r="H2405" s="116"/>
      <c r="I2405" s="116"/>
      <c r="L2405" s="170">
        <v>45547</v>
      </c>
      <c r="M2405" s="116">
        <v>489.8</v>
      </c>
      <c r="N2405" s="116">
        <v>491</v>
      </c>
      <c r="O2405" s="116">
        <v>479.4</v>
      </c>
      <c r="P2405" s="116">
        <v>480</v>
      </c>
      <c r="Q2405" s="116">
        <v>489.8</v>
      </c>
      <c r="R2405">
        <v>1743746</v>
      </c>
    </row>
    <row r="2406" spans="1:18" x14ac:dyDescent="0.25">
      <c r="A2406" s="170">
        <v>45547</v>
      </c>
      <c r="B2406" s="116">
        <v>490.85</v>
      </c>
      <c r="C2406" s="116">
        <v>489.6</v>
      </c>
      <c r="D2406" s="116">
        <v>479.5</v>
      </c>
      <c r="E2406" s="116">
        <v>483.5</v>
      </c>
      <c r="F2406" s="116">
        <v>489.6</v>
      </c>
      <c r="G2406">
        <v>42780</v>
      </c>
      <c r="H2406" s="116"/>
      <c r="I2406" s="116"/>
      <c r="L2406" s="170">
        <v>45548</v>
      </c>
      <c r="M2406" s="116">
        <v>496.6</v>
      </c>
      <c r="N2406" s="116">
        <v>504</v>
      </c>
      <c r="O2406" s="116">
        <v>493.4</v>
      </c>
      <c r="P2406" s="116">
        <v>494.7</v>
      </c>
      <c r="Q2406" s="116">
        <v>496.6</v>
      </c>
      <c r="R2406">
        <v>2483381</v>
      </c>
    </row>
    <row r="2407" spans="1:18" x14ac:dyDescent="0.25">
      <c r="A2407" s="170">
        <v>45548</v>
      </c>
      <c r="B2407" s="116">
        <v>504</v>
      </c>
      <c r="C2407" s="116">
        <v>496.55</v>
      </c>
      <c r="D2407" s="116">
        <v>494.6</v>
      </c>
      <c r="E2407" s="116">
        <v>495.7</v>
      </c>
      <c r="F2407" s="116">
        <v>496.55</v>
      </c>
      <c r="G2407">
        <v>108422</v>
      </c>
      <c r="H2407" s="116"/>
      <c r="I2407" s="116"/>
      <c r="L2407" s="170">
        <v>45551</v>
      </c>
      <c r="M2407" s="116">
        <v>496.45</v>
      </c>
      <c r="N2407" s="116">
        <v>508.4</v>
      </c>
      <c r="O2407" s="116">
        <v>494.05</v>
      </c>
      <c r="P2407" s="116">
        <v>501</v>
      </c>
      <c r="Q2407" s="116">
        <v>496.45</v>
      </c>
      <c r="R2407">
        <v>2072142</v>
      </c>
    </row>
    <row r="2408" spans="1:18" x14ac:dyDescent="0.25">
      <c r="A2408" s="170">
        <v>45551</v>
      </c>
      <c r="B2408" s="116">
        <v>508.6</v>
      </c>
      <c r="C2408" s="116">
        <v>496.45</v>
      </c>
      <c r="D2408" s="116">
        <v>494.25</v>
      </c>
      <c r="E2408" s="116">
        <v>500.5</v>
      </c>
      <c r="F2408" s="116">
        <v>496.45</v>
      </c>
      <c r="G2408">
        <v>72755</v>
      </c>
      <c r="H2408" s="116"/>
      <c r="I2408" s="116"/>
      <c r="L2408" s="170">
        <v>45552</v>
      </c>
      <c r="M2408" s="116">
        <v>490.9</v>
      </c>
      <c r="N2408" s="116">
        <v>498.95</v>
      </c>
      <c r="O2408" s="116">
        <v>489.5</v>
      </c>
      <c r="P2408" s="116">
        <v>498</v>
      </c>
      <c r="Q2408" s="116">
        <v>490.9</v>
      </c>
      <c r="R2408">
        <v>1008673</v>
      </c>
    </row>
    <row r="2409" spans="1:18" x14ac:dyDescent="0.25">
      <c r="A2409" s="170">
        <v>45552</v>
      </c>
      <c r="B2409" s="116">
        <v>499.95</v>
      </c>
      <c r="C2409" s="116">
        <v>491</v>
      </c>
      <c r="D2409" s="116">
        <v>489.8</v>
      </c>
      <c r="E2409" s="116">
        <v>496.9</v>
      </c>
      <c r="F2409" s="116">
        <v>491</v>
      </c>
      <c r="G2409">
        <v>112054</v>
      </c>
      <c r="H2409" s="116"/>
      <c r="I2409" s="116"/>
      <c r="L2409" s="170">
        <v>45553</v>
      </c>
      <c r="M2409" s="116">
        <v>485</v>
      </c>
      <c r="N2409" s="116">
        <v>496</v>
      </c>
      <c r="O2409" s="116">
        <v>483.6</v>
      </c>
      <c r="P2409" s="116">
        <v>495</v>
      </c>
      <c r="Q2409" s="116">
        <v>485</v>
      </c>
      <c r="R2409">
        <v>1280911</v>
      </c>
    </row>
    <row r="2410" spans="1:18" x14ac:dyDescent="0.25">
      <c r="A2410" s="170">
        <v>45553</v>
      </c>
      <c r="B2410" s="116">
        <v>495.7</v>
      </c>
      <c r="C2410" s="116">
        <v>485</v>
      </c>
      <c r="D2410" s="116">
        <v>483.85</v>
      </c>
      <c r="E2410" s="116">
        <v>494.05</v>
      </c>
      <c r="F2410" s="116">
        <v>485</v>
      </c>
      <c r="G2410">
        <v>148320</v>
      </c>
      <c r="H2410" s="116"/>
      <c r="I2410" s="116"/>
      <c r="L2410" s="170">
        <v>45554</v>
      </c>
      <c r="M2410" s="116">
        <v>489.45</v>
      </c>
      <c r="N2410" s="116">
        <v>496</v>
      </c>
      <c r="O2410" s="116">
        <v>478.55</v>
      </c>
      <c r="P2410" s="116">
        <v>492</v>
      </c>
      <c r="Q2410" s="116">
        <v>489.45</v>
      </c>
      <c r="R2410">
        <v>1815671</v>
      </c>
    </row>
    <row r="2411" spans="1:18" x14ac:dyDescent="0.25">
      <c r="A2411" s="170">
        <v>45554</v>
      </c>
      <c r="B2411" s="116">
        <v>495.9</v>
      </c>
      <c r="C2411" s="116">
        <v>489.55</v>
      </c>
      <c r="D2411" s="116">
        <v>478.6</v>
      </c>
      <c r="E2411" s="116">
        <v>491</v>
      </c>
      <c r="F2411" s="116">
        <v>489.55</v>
      </c>
      <c r="G2411">
        <v>268195</v>
      </c>
      <c r="H2411" s="116"/>
      <c r="I2411" s="116"/>
      <c r="L2411" s="170">
        <v>45555</v>
      </c>
      <c r="M2411" s="116">
        <v>500.7</v>
      </c>
      <c r="N2411" s="116">
        <v>504.15</v>
      </c>
      <c r="O2411" s="116">
        <v>492.3</v>
      </c>
      <c r="P2411" s="116">
        <v>494.7</v>
      </c>
      <c r="Q2411" s="116">
        <v>500.7</v>
      </c>
      <c r="R2411">
        <v>2846982</v>
      </c>
    </row>
    <row r="2412" spans="1:18" x14ac:dyDescent="0.25">
      <c r="A2412" s="170">
        <v>45555</v>
      </c>
      <c r="B2412" s="116">
        <v>504</v>
      </c>
      <c r="C2412" s="116">
        <v>500.35</v>
      </c>
      <c r="D2412" s="116">
        <v>493</v>
      </c>
      <c r="E2412" s="116">
        <v>494.95</v>
      </c>
      <c r="F2412" s="116">
        <v>500.35</v>
      </c>
      <c r="G2412">
        <v>378649</v>
      </c>
      <c r="H2412" s="116"/>
      <c r="I2412" s="116"/>
      <c r="L2412" s="170">
        <v>45558</v>
      </c>
      <c r="M2412" s="116">
        <v>503.9</v>
      </c>
      <c r="N2412" s="116">
        <v>508.05</v>
      </c>
      <c r="O2412" s="116">
        <v>498.25</v>
      </c>
      <c r="P2412" s="116">
        <v>501</v>
      </c>
      <c r="Q2412" s="116">
        <v>503.9</v>
      </c>
      <c r="R2412">
        <v>2163517</v>
      </c>
    </row>
    <row r="2413" spans="1:18" x14ac:dyDescent="0.25">
      <c r="A2413" s="170">
        <v>45558</v>
      </c>
      <c r="B2413" s="116">
        <v>507.9</v>
      </c>
      <c r="C2413" s="116">
        <v>503.5</v>
      </c>
      <c r="D2413" s="116">
        <v>498.15</v>
      </c>
      <c r="E2413" s="116">
        <v>500.7</v>
      </c>
      <c r="F2413" s="116">
        <v>503.5</v>
      </c>
      <c r="G2413">
        <v>133375</v>
      </c>
      <c r="H2413" s="116"/>
      <c r="I2413" s="116"/>
      <c r="L2413" s="170">
        <v>45559</v>
      </c>
      <c r="M2413" s="116">
        <v>507.6</v>
      </c>
      <c r="N2413" s="116">
        <v>514</v>
      </c>
      <c r="O2413" s="116">
        <v>504.1</v>
      </c>
      <c r="P2413" s="116">
        <v>505</v>
      </c>
      <c r="Q2413" s="116">
        <v>507.6</v>
      </c>
      <c r="R2413">
        <v>3461449</v>
      </c>
    </row>
    <row r="2414" spans="1:18" x14ac:dyDescent="0.25">
      <c r="A2414" s="170">
        <v>45559</v>
      </c>
      <c r="B2414" s="116">
        <v>513.95000000000005</v>
      </c>
      <c r="C2414" s="116">
        <v>507.4</v>
      </c>
      <c r="D2414" s="116">
        <v>504.45</v>
      </c>
      <c r="E2414" s="116">
        <v>505.95</v>
      </c>
      <c r="F2414" s="116">
        <v>507.4</v>
      </c>
      <c r="G2414">
        <v>138571</v>
      </c>
      <c r="H2414" s="116"/>
      <c r="I2414" s="116"/>
      <c r="L2414" s="170">
        <v>45560</v>
      </c>
      <c r="M2414" s="116">
        <v>511.2</v>
      </c>
      <c r="N2414" s="116">
        <v>514.95000000000005</v>
      </c>
      <c r="O2414" s="116">
        <v>506.4</v>
      </c>
      <c r="P2414" s="116">
        <v>514</v>
      </c>
      <c r="Q2414" s="116">
        <v>511.2</v>
      </c>
      <c r="R2414">
        <v>3997321</v>
      </c>
    </row>
    <row r="2415" spans="1:18" x14ac:dyDescent="0.25">
      <c r="A2415" s="170">
        <v>45560</v>
      </c>
      <c r="B2415" s="116">
        <v>514.75</v>
      </c>
      <c r="C2415" s="116">
        <v>511.15</v>
      </c>
      <c r="D2415" s="116">
        <v>506.5</v>
      </c>
      <c r="E2415" s="116">
        <v>513</v>
      </c>
      <c r="F2415" s="116">
        <v>511.15</v>
      </c>
      <c r="G2415">
        <v>99221</v>
      </c>
      <c r="H2415" s="116"/>
      <c r="I2415" s="116"/>
      <c r="L2415" s="170">
        <v>45561</v>
      </c>
      <c r="M2415" s="116">
        <v>517</v>
      </c>
      <c r="N2415" s="116">
        <v>520.95000000000005</v>
      </c>
      <c r="O2415" s="116">
        <v>504.05</v>
      </c>
      <c r="P2415" s="116">
        <v>511.15</v>
      </c>
      <c r="Q2415" s="116">
        <v>517</v>
      </c>
      <c r="R2415">
        <v>3887216</v>
      </c>
    </row>
    <row r="2416" spans="1:18" x14ac:dyDescent="0.25">
      <c r="A2416" s="170">
        <v>45561</v>
      </c>
      <c r="B2416" s="116">
        <v>520.6</v>
      </c>
      <c r="C2416" s="116">
        <v>516.9</v>
      </c>
      <c r="D2416" s="116">
        <v>504.05</v>
      </c>
      <c r="E2416" s="116">
        <v>512</v>
      </c>
      <c r="F2416" s="116">
        <v>516.9</v>
      </c>
      <c r="G2416">
        <v>130186</v>
      </c>
      <c r="H2416" s="116"/>
      <c r="I2416" s="116"/>
      <c r="L2416" s="170">
        <v>45562</v>
      </c>
      <c r="M2416" s="116">
        <v>523.04999999999995</v>
      </c>
      <c r="N2416" s="116">
        <v>525.4</v>
      </c>
      <c r="O2416" s="116">
        <v>516.54999999999995</v>
      </c>
      <c r="P2416" s="116">
        <v>525</v>
      </c>
      <c r="Q2416" s="116">
        <v>523.04999999999995</v>
      </c>
      <c r="R2416">
        <v>3789679</v>
      </c>
    </row>
    <row r="2417" spans="1:18" x14ac:dyDescent="0.25">
      <c r="A2417" s="170">
        <v>45562</v>
      </c>
      <c r="B2417" s="116">
        <v>525.4</v>
      </c>
      <c r="C2417" s="116">
        <v>522.70000000000005</v>
      </c>
      <c r="D2417" s="116">
        <v>517.1</v>
      </c>
      <c r="E2417" s="116">
        <v>523</v>
      </c>
      <c r="F2417" s="116">
        <v>522.70000000000005</v>
      </c>
      <c r="G2417">
        <v>141021</v>
      </c>
      <c r="H2417" s="116"/>
      <c r="I2417" s="116"/>
      <c r="L2417" s="170">
        <v>45565</v>
      </c>
      <c r="M2417" s="116">
        <v>522.5</v>
      </c>
      <c r="N2417" s="116">
        <v>531.25</v>
      </c>
      <c r="O2417" s="116">
        <v>516.85</v>
      </c>
      <c r="P2417" s="116">
        <v>525</v>
      </c>
      <c r="Q2417" s="116">
        <v>522.5</v>
      </c>
      <c r="R2417">
        <v>3995531</v>
      </c>
    </row>
    <row r="2418" spans="1:18" x14ac:dyDescent="0.25">
      <c r="A2418" s="170">
        <v>45565</v>
      </c>
      <c r="B2418" s="116">
        <v>531.25</v>
      </c>
      <c r="C2418" s="116">
        <v>522.29999999999995</v>
      </c>
      <c r="D2418" s="116">
        <v>517</v>
      </c>
      <c r="E2418" s="116">
        <v>524</v>
      </c>
      <c r="F2418" s="116">
        <v>522.29999999999995</v>
      </c>
      <c r="G2418">
        <v>127139</v>
      </c>
      <c r="H2418" s="116"/>
      <c r="I2418" s="116"/>
      <c r="L2418" s="170">
        <v>45566</v>
      </c>
      <c r="M2418" s="116">
        <v>519.9</v>
      </c>
      <c r="N2418" s="116">
        <v>524</v>
      </c>
      <c r="O2418" s="116">
        <v>511.85</v>
      </c>
      <c r="P2418" s="116">
        <v>522.9</v>
      </c>
      <c r="Q2418" s="116">
        <v>519.9</v>
      </c>
      <c r="R2418">
        <v>1884521</v>
      </c>
    </row>
    <row r="2419" spans="1:18" x14ac:dyDescent="0.25">
      <c r="A2419" s="170">
        <v>45566</v>
      </c>
      <c r="B2419" s="116">
        <v>524.54999999999995</v>
      </c>
      <c r="C2419" s="116">
        <v>519.85</v>
      </c>
      <c r="D2419" s="116">
        <v>512</v>
      </c>
      <c r="E2419" s="116">
        <v>522</v>
      </c>
      <c r="F2419" s="116">
        <v>519.85</v>
      </c>
      <c r="G2419">
        <v>81648</v>
      </c>
      <c r="H2419" s="116"/>
      <c r="I2419" s="116"/>
      <c r="L2419" s="170">
        <v>45568</v>
      </c>
      <c r="M2419" s="116">
        <v>522.9</v>
      </c>
      <c r="N2419" s="116">
        <v>533.54999999999995</v>
      </c>
      <c r="O2419" s="116">
        <v>512.54999999999995</v>
      </c>
      <c r="P2419" s="116">
        <v>517</v>
      </c>
      <c r="Q2419" s="116">
        <v>522.9</v>
      </c>
      <c r="R2419">
        <v>5498929</v>
      </c>
    </row>
    <row r="2420" spans="1:18" x14ac:dyDescent="0.25">
      <c r="A2420" s="170">
        <v>45568</v>
      </c>
      <c r="B2420" s="116">
        <v>533.5</v>
      </c>
      <c r="C2420" s="116">
        <v>522.45000000000005</v>
      </c>
      <c r="D2420" s="116">
        <v>512.45000000000005</v>
      </c>
      <c r="E2420" s="116">
        <v>514.1</v>
      </c>
      <c r="F2420" s="116">
        <v>522.45000000000005</v>
      </c>
      <c r="G2420">
        <v>168939</v>
      </c>
      <c r="H2420" s="116"/>
      <c r="I2420" s="116"/>
      <c r="L2420" s="170">
        <v>45569</v>
      </c>
      <c r="M2420" s="116">
        <v>517.25</v>
      </c>
      <c r="N2420" s="116">
        <v>526.65</v>
      </c>
      <c r="O2420" s="116">
        <v>509.85</v>
      </c>
      <c r="P2420" s="116">
        <v>523.15</v>
      </c>
      <c r="Q2420" s="116">
        <v>517.25</v>
      </c>
      <c r="R2420">
        <v>1877538</v>
      </c>
    </row>
    <row r="2421" spans="1:18" x14ac:dyDescent="0.25">
      <c r="A2421" s="170">
        <v>45569</v>
      </c>
      <c r="B2421" s="116">
        <v>526.85</v>
      </c>
      <c r="C2421" s="116">
        <v>517.5</v>
      </c>
      <c r="D2421" s="116">
        <v>509.5</v>
      </c>
      <c r="E2421" s="116">
        <v>523.95000000000005</v>
      </c>
      <c r="F2421" s="116">
        <v>517.5</v>
      </c>
      <c r="G2421">
        <v>66669</v>
      </c>
      <c r="H2421" s="116"/>
      <c r="I2421" s="116"/>
      <c r="L2421" s="170">
        <v>45572</v>
      </c>
      <c r="M2421" s="116">
        <v>495.4</v>
      </c>
      <c r="N2421" s="116">
        <v>524</v>
      </c>
      <c r="O2421" s="116">
        <v>490.5</v>
      </c>
      <c r="P2421" s="116">
        <v>524</v>
      </c>
      <c r="Q2421" s="116">
        <v>495.4</v>
      </c>
      <c r="R2421">
        <v>1936964</v>
      </c>
    </row>
    <row r="2422" spans="1:18" x14ac:dyDescent="0.25">
      <c r="A2422" s="170">
        <v>45572</v>
      </c>
      <c r="B2422" s="116">
        <v>523.25</v>
      </c>
      <c r="C2422" s="116">
        <v>494.55</v>
      </c>
      <c r="D2422" s="116">
        <v>490.05</v>
      </c>
      <c r="E2422" s="116">
        <v>520</v>
      </c>
      <c r="F2422" s="116">
        <v>494.55</v>
      </c>
      <c r="G2422">
        <v>292992</v>
      </c>
      <c r="H2422" s="116"/>
      <c r="I2422" s="116"/>
      <c r="L2422" s="170">
        <v>45573</v>
      </c>
      <c r="M2422" s="116">
        <v>510.8</v>
      </c>
      <c r="N2422" s="116">
        <v>513.6</v>
      </c>
      <c r="O2422" s="116">
        <v>492.65</v>
      </c>
      <c r="P2422" s="116">
        <v>495.4</v>
      </c>
      <c r="Q2422" s="116">
        <v>510.8</v>
      </c>
      <c r="R2422">
        <v>1747070</v>
      </c>
    </row>
    <row r="2423" spans="1:18" x14ac:dyDescent="0.25">
      <c r="A2423" s="170">
        <v>45573</v>
      </c>
      <c r="B2423" s="116">
        <v>513</v>
      </c>
      <c r="C2423" s="116">
        <v>510.9</v>
      </c>
      <c r="D2423" s="116">
        <v>494</v>
      </c>
      <c r="E2423" s="116">
        <v>495</v>
      </c>
      <c r="F2423" s="116">
        <v>510.9</v>
      </c>
      <c r="G2423">
        <v>79025</v>
      </c>
      <c r="H2423" s="116"/>
      <c r="I2423" s="116"/>
      <c r="L2423" s="170">
        <v>45574</v>
      </c>
      <c r="M2423" s="116">
        <v>505.45</v>
      </c>
      <c r="N2423" s="116">
        <v>514.95000000000005</v>
      </c>
      <c r="O2423" s="116">
        <v>503.85</v>
      </c>
      <c r="P2423" s="116">
        <v>509.1</v>
      </c>
      <c r="Q2423" s="116">
        <v>505.45</v>
      </c>
      <c r="R2423">
        <v>910097</v>
      </c>
    </row>
    <row r="2424" spans="1:18" x14ac:dyDescent="0.25">
      <c r="A2424" s="170">
        <v>45574</v>
      </c>
      <c r="B2424" s="116">
        <v>515</v>
      </c>
      <c r="C2424" s="116">
        <v>505.2</v>
      </c>
      <c r="D2424" s="116">
        <v>503.5</v>
      </c>
      <c r="E2424" s="116">
        <v>507.15</v>
      </c>
      <c r="F2424" s="116">
        <v>505.2</v>
      </c>
      <c r="G2424">
        <v>90281</v>
      </c>
      <c r="H2424" s="116"/>
      <c r="I2424" s="116"/>
      <c r="L2424" s="170">
        <v>45575</v>
      </c>
      <c r="M2424" s="116">
        <v>508.8</v>
      </c>
      <c r="N2424" s="116">
        <v>513</v>
      </c>
      <c r="O2424" s="116">
        <v>506</v>
      </c>
      <c r="P2424" s="116">
        <v>506</v>
      </c>
      <c r="Q2424" s="116">
        <v>508.8</v>
      </c>
      <c r="R2424">
        <v>677683</v>
      </c>
    </row>
    <row r="2425" spans="1:18" x14ac:dyDescent="0.25">
      <c r="A2425" s="170">
        <v>45575</v>
      </c>
      <c r="B2425" s="116">
        <v>513</v>
      </c>
      <c r="C2425" s="116">
        <v>508.45</v>
      </c>
      <c r="D2425" s="116">
        <v>505.35</v>
      </c>
      <c r="E2425" s="116">
        <v>505.35</v>
      </c>
      <c r="F2425" s="116">
        <v>508.45</v>
      </c>
      <c r="G2425">
        <v>34019</v>
      </c>
      <c r="H2425" s="116"/>
      <c r="I2425" s="116"/>
      <c r="L2425" s="170">
        <v>45576</v>
      </c>
      <c r="M2425" s="116">
        <v>504.15</v>
      </c>
      <c r="N2425" s="116">
        <v>512</v>
      </c>
      <c r="O2425" s="116">
        <v>502</v>
      </c>
      <c r="P2425" s="116">
        <v>508.8</v>
      </c>
      <c r="Q2425" s="116">
        <v>504.15</v>
      </c>
      <c r="R2425">
        <v>511306</v>
      </c>
    </row>
    <row r="2426" spans="1:18" x14ac:dyDescent="0.25">
      <c r="A2426" s="170">
        <v>45576</v>
      </c>
      <c r="B2426" s="116">
        <v>511.9</v>
      </c>
      <c r="C2426" s="116">
        <v>504.05</v>
      </c>
      <c r="D2426" s="116">
        <v>502.5</v>
      </c>
      <c r="E2426" s="116">
        <v>509</v>
      </c>
      <c r="F2426" s="116">
        <v>504.05</v>
      </c>
      <c r="G2426">
        <v>23421</v>
      </c>
      <c r="H2426" s="116"/>
      <c r="I2426" s="116"/>
      <c r="L2426" s="170">
        <v>45579</v>
      </c>
      <c r="M2426" s="116">
        <v>520.20000000000005</v>
      </c>
      <c r="N2426" s="116">
        <v>522.79999999999995</v>
      </c>
      <c r="O2426" s="116">
        <v>506.6</v>
      </c>
      <c r="P2426" s="116">
        <v>506.7</v>
      </c>
      <c r="Q2426" s="116">
        <v>520.20000000000005</v>
      </c>
      <c r="R2426">
        <v>1883076</v>
      </c>
    </row>
    <row r="2427" spans="1:18" x14ac:dyDescent="0.25">
      <c r="A2427" s="170">
        <v>45579</v>
      </c>
      <c r="B2427" s="116">
        <v>522.5</v>
      </c>
      <c r="C2427" s="116">
        <v>519.95000000000005</v>
      </c>
      <c r="D2427" s="116">
        <v>506</v>
      </c>
      <c r="E2427" s="116">
        <v>509</v>
      </c>
      <c r="F2427" s="116">
        <v>519.95000000000005</v>
      </c>
      <c r="G2427">
        <v>54351</v>
      </c>
      <c r="H2427" s="116"/>
      <c r="I2427" s="116"/>
      <c r="L2427" s="170">
        <v>45580</v>
      </c>
      <c r="M2427" s="116">
        <v>514.4</v>
      </c>
      <c r="N2427" s="116">
        <v>523.54999999999995</v>
      </c>
      <c r="O2427" s="116">
        <v>511.3</v>
      </c>
      <c r="P2427" s="116">
        <v>520.29999999999995</v>
      </c>
      <c r="Q2427" s="116">
        <v>514.4</v>
      </c>
      <c r="R2427">
        <v>1233163</v>
      </c>
    </row>
    <row r="2428" spans="1:18" x14ac:dyDescent="0.25">
      <c r="A2428" s="170">
        <v>45580</v>
      </c>
      <c r="B2428" s="116">
        <v>523.4</v>
      </c>
      <c r="C2428" s="116">
        <v>514.5</v>
      </c>
      <c r="D2428" s="116">
        <v>511.35</v>
      </c>
      <c r="E2428" s="116">
        <v>520</v>
      </c>
      <c r="F2428" s="116">
        <v>514.5</v>
      </c>
      <c r="G2428">
        <v>56270</v>
      </c>
      <c r="H2428" s="116"/>
      <c r="I2428" s="116"/>
      <c r="L2428" s="170">
        <v>45581</v>
      </c>
      <c r="M2428" s="116">
        <v>510.4</v>
      </c>
      <c r="N2428" s="116">
        <v>519.95000000000005</v>
      </c>
      <c r="O2428" s="116">
        <v>508.65</v>
      </c>
      <c r="P2428" s="116">
        <v>514.4</v>
      </c>
      <c r="Q2428" s="116">
        <v>510.4</v>
      </c>
      <c r="R2428">
        <v>972108</v>
      </c>
    </row>
    <row r="2429" spans="1:18" x14ac:dyDescent="0.25">
      <c r="A2429" s="170">
        <v>45581</v>
      </c>
      <c r="B2429" s="116">
        <v>520.54999999999995</v>
      </c>
      <c r="C2429" s="116">
        <v>510.6</v>
      </c>
      <c r="D2429" s="116">
        <v>508.15</v>
      </c>
      <c r="E2429" s="116">
        <v>514.95000000000005</v>
      </c>
      <c r="F2429" s="116">
        <v>510.6</v>
      </c>
      <c r="G2429">
        <v>118056</v>
      </c>
      <c r="H2429" s="116"/>
      <c r="I2429" s="116"/>
      <c r="L2429" s="170">
        <v>45582</v>
      </c>
      <c r="M2429" s="116">
        <v>508.2</v>
      </c>
      <c r="N2429" s="116">
        <v>516.95000000000005</v>
      </c>
      <c r="O2429" s="116">
        <v>502.1</v>
      </c>
      <c r="P2429" s="116">
        <v>511.2</v>
      </c>
      <c r="Q2429" s="116">
        <v>508.2</v>
      </c>
      <c r="R2429">
        <v>886030</v>
      </c>
    </row>
    <row r="2430" spans="1:18" x14ac:dyDescent="0.25">
      <c r="A2430" s="170">
        <v>45582</v>
      </c>
      <c r="B2430" s="116">
        <v>517.15</v>
      </c>
      <c r="C2430" s="116">
        <v>507.95</v>
      </c>
      <c r="D2430" s="116">
        <v>502.05</v>
      </c>
      <c r="E2430" s="116">
        <v>510.05</v>
      </c>
      <c r="F2430" s="116">
        <v>507.95</v>
      </c>
      <c r="G2430">
        <v>124230</v>
      </c>
      <c r="H2430" s="116"/>
      <c r="I2430" s="116"/>
      <c r="L2430" s="170">
        <v>45583</v>
      </c>
      <c r="M2430" s="116">
        <v>506.5</v>
      </c>
      <c r="N2430" s="116">
        <v>520</v>
      </c>
      <c r="O2430" s="116">
        <v>494</v>
      </c>
      <c r="P2430" s="116">
        <v>505.95</v>
      </c>
      <c r="Q2430" s="116">
        <v>506.5</v>
      </c>
      <c r="R2430">
        <v>3491646</v>
      </c>
    </row>
    <row r="2431" spans="1:18" x14ac:dyDescent="0.25">
      <c r="A2431" s="170">
        <v>45583</v>
      </c>
      <c r="B2431" s="116">
        <v>520</v>
      </c>
      <c r="C2431" s="116">
        <v>507.5</v>
      </c>
      <c r="D2431" s="116">
        <v>494.75</v>
      </c>
      <c r="E2431" s="116">
        <v>506.9</v>
      </c>
      <c r="F2431" s="116">
        <v>507.5</v>
      </c>
      <c r="G2431">
        <v>186828</v>
      </c>
      <c r="H2431" s="116"/>
      <c r="I2431" s="116"/>
      <c r="L2431" s="170">
        <v>45586</v>
      </c>
      <c r="M2431" s="116">
        <v>501.75</v>
      </c>
      <c r="N2431" s="116">
        <v>521.79999999999995</v>
      </c>
      <c r="O2431" s="116">
        <v>500</v>
      </c>
      <c r="P2431" s="116">
        <v>519.35</v>
      </c>
      <c r="Q2431" s="116">
        <v>501.75</v>
      </c>
      <c r="R2431">
        <v>2266446</v>
      </c>
    </row>
    <row r="2432" spans="1:18" x14ac:dyDescent="0.25">
      <c r="A2432" s="170">
        <v>45586</v>
      </c>
      <c r="B2432" s="116">
        <v>521.95000000000005</v>
      </c>
      <c r="C2432" s="116">
        <v>501.55</v>
      </c>
      <c r="D2432" s="116">
        <v>500.05</v>
      </c>
      <c r="E2432" s="116">
        <v>517.04999999999995</v>
      </c>
      <c r="F2432" s="116">
        <v>501.55</v>
      </c>
      <c r="G2432">
        <v>186473</v>
      </c>
      <c r="H2432" s="116"/>
      <c r="I2432" s="116"/>
      <c r="L2432" s="170">
        <v>45587</v>
      </c>
      <c r="M2432" s="116">
        <v>513.6</v>
      </c>
      <c r="N2432" s="116">
        <v>523</v>
      </c>
      <c r="O2432" s="116">
        <v>505.45</v>
      </c>
      <c r="P2432" s="116">
        <v>505.8</v>
      </c>
      <c r="Q2432" s="116">
        <v>513.6</v>
      </c>
      <c r="R2432">
        <v>4802288</v>
      </c>
    </row>
    <row r="2433" spans="1:18" x14ac:dyDescent="0.25">
      <c r="A2433" s="170">
        <v>45587</v>
      </c>
      <c r="B2433" s="116">
        <v>523</v>
      </c>
      <c r="C2433" s="116">
        <v>513.45000000000005</v>
      </c>
      <c r="D2433" s="116">
        <v>504.7</v>
      </c>
      <c r="E2433" s="116">
        <v>506</v>
      </c>
      <c r="F2433" s="116">
        <v>513.45000000000005</v>
      </c>
      <c r="G2433">
        <v>230251</v>
      </c>
      <c r="H2433" s="116"/>
      <c r="I2433" s="116"/>
      <c r="L2433" s="170">
        <v>45588</v>
      </c>
      <c r="M2433" s="116">
        <v>523.70000000000005</v>
      </c>
      <c r="N2433" s="116">
        <v>535</v>
      </c>
      <c r="O2433" s="116">
        <v>515.1</v>
      </c>
      <c r="P2433" s="116">
        <v>515.1</v>
      </c>
      <c r="Q2433" s="116">
        <v>523.70000000000005</v>
      </c>
      <c r="R2433">
        <v>4761151</v>
      </c>
    </row>
    <row r="2434" spans="1:18" x14ac:dyDescent="0.25">
      <c r="A2434" s="170">
        <v>45588</v>
      </c>
      <c r="B2434" s="116">
        <v>535.25</v>
      </c>
      <c r="C2434" s="116">
        <v>523.45000000000005</v>
      </c>
      <c r="D2434" s="116">
        <v>515.65</v>
      </c>
      <c r="E2434" s="116">
        <v>516</v>
      </c>
      <c r="F2434" s="116">
        <v>523.45000000000005</v>
      </c>
      <c r="G2434">
        <v>191153</v>
      </c>
      <c r="H2434" s="116"/>
      <c r="I2434" s="116"/>
      <c r="L2434" s="170">
        <v>45589</v>
      </c>
      <c r="M2434" s="116">
        <v>539.5</v>
      </c>
      <c r="N2434" s="116">
        <v>549</v>
      </c>
      <c r="O2434" s="116">
        <v>526.45000000000005</v>
      </c>
      <c r="P2434" s="116">
        <v>526.45000000000005</v>
      </c>
      <c r="Q2434" s="116">
        <v>539.5</v>
      </c>
      <c r="R2434">
        <v>5302861</v>
      </c>
    </row>
    <row r="2435" spans="1:18" x14ac:dyDescent="0.25">
      <c r="A2435" s="170">
        <v>45589</v>
      </c>
      <c r="B2435" s="116">
        <v>548.9</v>
      </c>
      <c r="C2435" s="116">
        <v>539.20000000000005</v>
      </c>
      <c r="D2435" s="116">
        <v>525.04999999999995</v>
      </c>
      <c r="E2435" s="116">
        <v>525.04999999999995</v>
      </c>
      <c r="F2435" s="116">
        <v>539.20000000000005</v>
      </c>
      <c r="G2435">
        <v>222368</v>
      </c>
      <c r="H2435" s="116"/>
      <c r="I2435" s="116"/>
      <c r="L2435" s="170">
        <v>45590</v>
      </c>
      <c r="M2435" s="116">
        <v>510.05</v>
      </c>
      <c r="N2435" s="116">
        <v>539.5</v>
      </c>
      <c r="O2435" s="116">
        <v>503.15</v>
      </c>
      <c r="P2435" s="116">
        <v>538.5</v>
      </c>
      <c r="Q2435" s="116">
        <v>510.05</v>
      </c>
      <c r="R2435">
        <v>3661702</v>
      </c>
    </row>
    <row r="2436" spans="1:18" x14ac:dyDescent="0.25">
      <c r="A2436" s="170">
        <v>45590</v>
      </c>
      <c r="B2436" s="116">
        <v>539.35</v>
      </c>
      <c r="C2436" s="116">
        <v>509.75</v>
      </c>
      <c r="D2436" s="116">
        <v>503.3</v>
      </c>
      <c r="E2436" s="116">
        <v>537.29999999999995</v>
      </c>
      <c r="F2436" s="116">
        <v>509.75</v>
      </c>
      <c r="G2436">
        <v>148633</v>
      </c>
      <c r="H2436" s="116"/>
      <c r="I2436" s="116"/>
      <c r="L2436" s="170">
        <v>45593</v>
      </c>
      <c r="M2436" s="116">
        <v>526.65</v>
      </c>
      <c r="N2436" s="116">
        <v>529.5</v>
      </c>
      <c r="O2436" s="116">
        <v>512</v>
      </c>
      <c r="P2436" s="116">
        <v>515.5</v>
      </c>
      <c r="Q2436" s="116">
        <v>526.65</v>
      </c>
      <c r="R2436">
        <v>1853445</v>
      </c>
    </row>
    <row r="2437" spans="1:18" x14ac:dyDescent="0.25">
      <c r="A2437" s="170">
        <v>45593</v>
      </c>
      <c r="B2437" s="116">
        <v>529.5</v>
      </c>
      <c r="C2437" s="116">
        <v>526.75</v>
      </c>
      <c r="D2437" s="116">
        <v>511.85</v>
      </c>
      <c r="E2437" s="116">
        <v>513.04999999999995</v>
      </c>
      <c r="F2437" s="116">
        <v>526.75</v>
      </c>
      <c r="G2437">
        <v>76392</v>
      </c>
      <c r="H2437" s="116"/>
      <c r="I2437" s="116"/>
      <c r="L2437" s="170">
        <v>45594</v>
      </c>
      <c r="M2437" s="116">
        <v>550.15</v>
      </c>
      <c r="N2437" s="116">
        <v>553.85</v>
      </c>
      <c r="O2437" s="116">
        <v>527.95000000000005</v>
      </c>
      <c r="P2437" s="116">
        <v>528.45000000000005</v>
      </c>
      <c r="Q2437" s="116">
        <v>550.15</v>
      </c>
      <c r="R2437">
        <v>4291983</v>
      </c>
    </row>
    <row r="2438" spans="1:18" x14ac:dyDescent="0.25">
      <c r="A2438" s="170">
        <v>45594</v>
      </c>
      <c r="B2438" s="116">
        <v>554</v>
      </c>
      <c r="C2438" s="116">
        <v>550.20000000000005</v>
      </c>
      <c r="D2438" s="116">
        <v>527.54999999999995</v>
      </c>
      <c r="E2438" s="116">
        <v>528.9</v>
      </c>
      <c r="F2438" s="116">
        <v>550.20000000000005</v>
      </c>
      <c r="G2438">
        <v>526726</v>
      </c>
      <c r="H2438" s="116"/>
      <c r="I2438" s="116"/>
      <c r="L2438" s="170">
        <v>45595</v>
      </c>
      <c r="M2438" s="116">
        <v>560.4</v>
      </c>
      <c r="N2438" s="116">
        <v>575.4</v>
      </c>
      <c r="O2438" s="116">
        <v>552.15</v>
      </c>
      <c r="P2438" s="116">
        <v>555</v>
      </c>
      <c r="Q2438" s="116">
        <v>560.4</v>
      </c>
      <c r="R2438">
        <v>4040718</v>
      </c>
    </row>
    <row r="2439" spans="1:18" x14ac:dyDescent="0.25">
      <c r="A2439" s="170">
        <v>45595</v>
      </c>
      <c r="B2439" s="116">
        <v>575</v>
      </c>
      <c r="C2439" s="116">
        <v>560.20000000000005</v>
      </c>
      <c r="D2439" s="116">
        <v>552.25</v>
      </c>
      <c r="E2439" s="116">
        <v>555</v>
      </c>
      <c r="F2439" s="116">
        <v>560.20000000000005</v>
      </c>
      <c r="G2439">
        <v>546128</v>
      </c>
      <c r="H2439" s="116"/>
      <c r="I2439" s="116"/>
      <c r="L2439" s="170">
        <v>45596</v>
      </c>
      <c r="M2439" s="116">
        <v>553.20000000000005</v>
      </c>
      <c r="N2439" s="116">
        <v>564</v>
      </c>
      <c r="O2439" s="116">
        <v>540</v>
      </c>
      <c r="P2439" s="116">
        <v>563</v>
      </c>
      <c r="Q2439" s="116">
        <v>553.20000000000005</v>
      </c>
      <c r="R2439">
        <v>2265460</v>
      </c>
    </row>
    <row r="2440" spans="1:18" x14ac:dyDescent="0.25">
      <c r="A2440" s="170">
        <v>45596</v>
      </c>
      <c r="B2440" s="116">
        <v>563.4</v>
      </c>
      <c r="C2440" s="116">
        <v>552.4</v>
      </c>
      <c r="D2440" s="116">
        <v>530</v>
      </c>
      <c r="E2440" s="116">
        <v>560.25</v>
      </c>
      <c r="F2440" s="116">
        <v>552.4</v>
      </c>
      <c r="G2440">
        <v>135179</v>
      </c>
      <c r="H2440" s="116"/>
      <c r="I2440" s="116"/>
      <c r="L2440" s="170">
        <v>45597</v>
      </c>
      <c r="M2440" s="116">
        <v>558.25</v>
      </c>
      <c r="N2440" s="116">
        <v>564.79999999999995</v>
      </c>
      <c r="O2440" s="116">
        <v>552</v>
      </c>
      <c r="P2440" s="116">
        <v>558.95000000000005</v>
      </c>
      <c r="Q2440" s="116">
        <v>558.25</v>
      </c>
      <c r="R2440">
        <v>570057</v>
      </c>
    </row>
    <row r="2441" spans="1:18" x14ac:dyDescent="0.25">
      <c r="A2441" s="170">
        <v>45597</v>
      </c>
      <c r="B2441" s="116">
        <v>565</v>
      </c>
      <c r="C2441" s="116">
        <v>558.79999999999995</v>
      </c>
      <c r="D2441" s="116">
        <v>554.29999999999995</v>
      </c>
      <c r="E2441" s="116">
        <v>559.95000000000005</v>
      </c>
      <c r="F2441" s="116">
        <v>558.79999999999995</v>
      </c>
      <c r="G2441">
        <v>28923</v>
      </c>
      <c r="H2441" s="116"/>
      <c r="I2441" s="116"/>
      <c r="L2441" s="170">
        <v>45600</v>
      </c>
      <c r="M2441" s="116">
        <v>543.79999999999995</v>
      </c>
      <c r="N2441" s="116">
        <v>559.54999999999995</v>
      </c>
      <c r="O2441" s="116">
        <v>523.04999999999995</v>
      </c>
      <c r="P2441" s="116">
        <v>559</v>
      </c>
      <c r="Q2441" s="116">
        <v>543.79999999999995</v>
      </c>
      <c r="R2441">
        <v>3242281</v>
      </c>
    </row>
    <row r="2442" spans="1:18" x14ac:dyDescent="0.25">
      <c r="A2442" s="170">
        <v>45600</v>
      </c>
      <c r="B2442" s="116">
        <v>559.75</v>
      </c>
      <c r="C2442" s="116">
        <v>543.20000000000005</v>
      </c>
      <c r="D2442" s="116">
        <v>523.15</v>
      </c>
      <c r="E2442" s="116">
        <v>559.75</v>
      </c>
      <c r="F2442" s="116">
        <v>543.20000000000005</v>
      </c>
      <c r="G2442">
        <v>332941</v>
      </c>
      <c r="H2442" s="116"/>
      <c r="I2442" s="116"/>
      <c r="L2442" s="170">
        <v>45601</v>
      </c>
      <c r="M2442" s="116">
        <v>559.65</v>
      </c>
      <c r="N2442" s="116">
        <v>565</v>
      </c>
      <c r="O2442" s="116">
        <v>542.79999999999995</v>
      </c>
      <c r="P2442" s="116">
        <v>545</v>
      </c>
      <c r="Q2442" s="116">
        <v>559.65</v>
      </c>
      <c r="R2442">
        <v>2598508</v>
      </c>
    </row>
    <row r="2443" spans="1:18" x14ac:dyDescent="0.25">
      <c r="A2443" s="170">
        <v>45601</v>
      </c>
      <c r="B2443" s="116">
        <v>565</v>
      </c>
      <c r="C2443" s="116">
        <v>559.45000000000005</v>
      </c>
      <c r="D2443" s="116">
        <v>542</v>
      </c>
      <c r="E2443" s="116">
        <v>546.54999999999995</v>
      </c>
      <c r="F2443" s="116">
        <v>559.45000000000005</v>
      </c>
      <c r="G2443">
        <v>159802</v>
      </c>
      <c r="H2443" s="116"/>
      <c r="I2443" s="116"/>
      <c r="L2443" s="170">
        <v>45602</v>
      </c>
      <c r="M2443" s="116">
        <v>513.1</v>
      </c>
      <c r="N2443" s="116">
        <v>523.4</v>
      </c>
      <c r="O2443" s="116">
        <v>512.25</v>
      </c>
      <c r="P2443" s="116">
        <v>520</v>
      </c>
      <c r="Q2443" s="116">
        <v>513.1</v>
      </c>
      <c r="R2443">
        <v>11690198</v>
      </c>
    </row>
    <row r="2444" spans="1:18" x14ac:dyDescent="0.25">
      <c r="A2444" s="170">
        <v>45602</v>
      </c>
      <c r="B2444" s="116">
        <v>523.6</v>
      </c>
      <c r="C2444" s="116">
        <v>513.15</v>
      </c>
      <c r="D2444" s="116">
        <v>512</v>
      </c>
      <c r="E2444" s="116">
        <v>520.85</v>
      </c>
      <c r="F2444" s="116">
        <v>513.15</v>
      </c>
      <c r="G2444">
        <v>472428</v>
      </c>
      <c r="H2444" s="116"/>
      <c r="I2444" s="116"/>
      <c r="L2444" s="170">
        <v>45603</v>
      </c>
      <c r="M2444" s="116">
        <v>507.6</v>
      </c>
      <c r="N2444" s="116">
        <v>509.7</v>
      </c>
      <c r="O2444" s="116">
        <v>505.55</v>
      </c>
      <c r="P2444" s="116">
        <v>507.7</v>
      </c>
      <c r="Q2444" s="116">
        <v>507.6</v>
      </c>
      <c r="R2444">
        <v>7355515</v>
      </c>
    </row>
    <row r="2445" spans="1:18" x14ac:dyDescent="0.25">
      <c r="A2445" s="170">
        <v>45603</v>
      </c>
      <c r="B2445" s="116">
        <v>509.8</v>
      </c>
      <c r="C2445" s="116">
        <v>507.65</v>
      </c>
      <c r="D2445" s="116">
        <v>505.6</v>
      </c>
      <c r="E2445" s="116">
        <v>507.5</v>
      </c>
      <c r="F2445" s="116">
        <v>507.65</v>
      </c>
      <c r="G2445">
        <v>552940</v>
      </c>
      <c r="H2445" s="116"/>
      <c r="I2445" s="116"/>
      <c r="L2445" s="170">
        <v>45604</v>
      </c>
      <c r="M2445" s="116">
        <v>506.25</v>
      </c>
      <c r="N2445" s="116">
        <v>512.79999999999995</v>
      </c>
      <c r="O2445" s="116">
        <v>505.05</v>
      </c>
      <c r="P2445" s="116">
        <v>509.7</v>
      </c>
      <c r="Q2445" s="116">
        <v>506.25</v>
      </c>
      <c r="R2445">
        <v>3200423</v>
      </c>
    </row>
    <row r="2446" spans="1:18" x14ac:dyDescent="0.25">
      <c r="A2446" s="170">
        <v>45604</v>
      </c>
      <c r="B2446" s="116">
        <v>512.9</v>
      </c>
      <c r="C2446" s="116">
        <v>506.25</v>
      </c>
      <c r="D2446" s="116">
        <v>505</v>
      </c>
      <c r="E2446" s="116">
        <v>509.05</v>
      </c>
      <c r="F2446" s="116">
        <v>506.25</v>
      </c>
      <c r="G2446">
        <v>288279</v>
      </c>
      <c r="H2446" s="116"/>
      <c r="I2446" s="116"/>
      <c r="L2446" s="170">
        <v>45607</v>
      </c>
      <c r="M2446" s="116">
        <v>506.1</v>
      </c>
      <c r="N2446" s="116">
        <v>509.65</v>
      </c>
      <c r="O2446" s="116">
        <v>494</v>
      </c>
      <c r="P2446" s="116">
        <v>505.9</v>
      </c>
      <c r="Q2446" s="116">
        <v>506.1</v>
      </c>
      <c r="R2446">
        <v>5111496</v>
      </c>
    </row>
    <row r="2447" spans="1:18" x14ac:dyDescent="0.25">
      <c r="A2447" s="170">
        <v>45607</v>
      </c>
      <c r="B2447" s="116">
        <v>509.45</v>
      </c>
      <c r="C2447" s="116">
        <v>506.4</v>
      </c>
      <c r="D2447" s="116">
        <v>494</v>
      </c>
      <c r="E2447" s="116">
        <v>505.35</v>
      </c>
      <c r="F2447" s="116">
        <v>506.4</v>
      </c>
      <c r="G2447">
        <v>339582</v>
      </c>
      <c r="H2447" s="116"/>
      <c r="I2447" s="116"/>
      <c r="L2447" s="170">
        <v>45608</v>
      </c>
      <c r="M2447" s="116">
        <v>500.7</v>
      </c>
      <c r="N2447" s="116">
        <v>512.25</v>
      </c>
      <c r="O2447" s="116">
        <v>498.2</v>
      </c>
      <c r="P2447" s="116">
        <v>509</v>
      </c>
      <c r="Q2447" s="116">
        <v>500.7</v>
      </c>
      <c r="R2447">
        <v>2222208</v>
      </c>
    </row>
    <row r="2448" spans="1:18" x14ac:dyDescent="0.25">
      <c r="A2448" s="170">
        <v>45608</v>
      </c>
      <c r="B2448" s="116">
        <v>512</v>
      </c>
      <c r="C2448" s="116">
        <v>500.7</v>
      </c>
      <c r="D2448" s="116">
        <v>498</v>
      </c>
      <c r="E2448" s="116">
        <v>506.55</v>
      </c>
      <c r="F2448" s="116">
        <v>500.7</v>
      </c>
      <c r="G2448">
        <v>214811</v>
      </c>
      <c r="H2448" s="116"/>
      <c r="I2448" s="116"/>
      <c r="L2448" s="170">
        <v>45609</v>
      </c>
      <c r="M2448" s="116">
        <v>485.7</v>
      </c>
      <c r="N2448" s="116">
        <v>503.15</v>
      </c>
      <c r="O2448" s="116">
        <v>484</v>
      </c>
      <c r="P2448" s="116">
        <v>497</v>
      </c>
      <c r="Q2448" s="116">
        <v>485.7</v>
      </c>
      <c r="R2448">
        <v>2639677</v>
      </c>
    </row>
    <row r="2449" spans="1:18" x14ac:dyDescent="0.25">
      <c r="A2449" s="170">
        <v>45609</v>
      </c>
      <c r="B2449" s="116">
        <v>502.9</v>
      </c>
      <c r="C2449" s="116">
        <v>485.45</v>
      </c>
      <c r="D2449" s="116">
        <v>484</v>
      </c>
      <c r="E2449" s="116">
        <v>497</v>
      </c>
      <c r="F2449" s="116">
        <v>485.45</v>
      </c>
      <c r="G2449">
        <v>280808</v>
      </c>
      <c r="H2449" s="116"/>
      <c r="I2449" s="116"/>
      <c r="L2449" s="170">
        <v>45610</v>
      </c>
      <c r="M2449" s="116">
        <v>495.35</v>
      </c>
      <c r="N2449" s="116">
        <v>497.65</v>
      </c>
      <c r="O2449" s="116">
        <v>484.75</v>
      </c>
      <c r="P2449" s="116">
        <v>487.05</v>
      </c>
      <c r="Q2449" s="116">
        <v>495.35</v>
      </c>
      <c r="R2449">
        <v>1576044</v>
      </c>
    </row>
    <row r="2450" spans="1:18" x14ac:dyDescent="0.25">
      <c r="A2450" s="170">
        <v>45610</v>
      </c>
      <c r="B2450" s="116">
        <v>497.45</v>
      </c>
      <c r="C2450" s="116">
        <v>494.5</v>
      </c>
      <c r="D2450" s="116">
        <v>485.25</v>
      </c>
      <c r="E2450" s="116">
        <v>486.55</v>
      </c>
      <c r="F2450" s="116">
        <v>494.5</v>
      </c>
      <c r="G2450">
        <v>70537</v>
      </c>
      <c r="H2450" s="116"/>
      <c r="I2450" s="116"/>
      <c r="L2450" s="170">
        <v>45614</v>
      </c>
      <c r="M2450" s="116">
        <v>496.35</v>
      </c>
      <c r="N2450" s="116">
        <v>503.9</v>
      </c>
      <c r="O2450" s="116">
        <v>494.8</v>
      </c>
      <c r="P2450" s="116">
        <v>503.6</v>
      </c>
      <c r="Q2450" s="116">
        <v>496.35</v>
      </c>
      <c r="R2450">
        <v>2851127</v>
      </c>
    </row>
    <row r="2451" spans="1:18" x14ac:dyDescent="0.25">
      <c r="A2451" s="170">
        <v>45614</v>
      </c>
      <c r="B2451" s="116">
        <v>504.65</v>
      </c>
      <c r="C2451" s="116">
        <v>496.2</v>
      </c>
      <c r="D2451" s="116">
        <v>494.5</v>
      </c>
      <c r="E2451" s="116">
        <v>503</v>
      </c>
      <c r="F2451" s="116">
        <v>496.2</v>
      </c>
      <c r="G2451">
        <v>93153</v>
      </c>
      <c r="H2451" s="116"/>
      <c r="I2451" s="116"/>
      <c r="L2451" s="170">
        <v>45615</v>
      </c>
      <c r="M2451" s="116">
        <v>492.15</v>
      </c>
      <c r="N2451" s="116">
        <v>500.4</v>
      </c>
      <c r="O2451" s="116">
        <v>490</v>
      </c>
      <c r="P2451" s="116">
        <v>500</v>
      </c>
      <c r="Q2451" s="116">
        <v>492.15</v>
      </c>
      <c r="R2451">
        <v>1336754</v>
      </c>
    </row>
    <row r="2452" spans="1:18" x14ac:dyDescent="0.25">
      <c r="A2452" s="170">
        <v>45615</v>
      </c>
      <c r="B2452" s="116">
        <v>500.45</v>
      </c>
      <c r="C2452" s="116">
        <v>491.75</v>
      </c>
      <c r="D2452" s="116">
        <v>488.75</v>
      </c>
      <c r="E2452" s="116">
        <v>499.05</v>
      </c>
      <c r="F2452" s="116">
        <v>491.75</v>
      </c>
      <c r="G2452">
        <v>40398</v>
      </c>
      <c r="H2452" s="116"/>
      <c r="I2452" s="116"/>
      <c r="L2452" s="170">
        <v>45617</v>
      </c>
      <c r="M2452" s="116">
        <v>487.05</v>
      </c>
      <c r="N2452" s="116">
        <v>492.95</v>
      </c>
      <c r="O2452" s="116">
        <v>483.2</v>
      </c>
      <c r="P2452" s="116">
        <v>492.15</v>
      </c>
      <c r="Q2452" s="116">
        <v>487.05</v>
      </c>
      <c r="R2452">
        <v>1546003</v>
      </c>
    </row>
    <row r="2453" spans="1:18" x14ac:dyDescent="0.25">
      <c r="A2453" s="170">
        <v>45617</v>
      </c>
      <c r="B2453" s="116">
        <v>492.95</v>
      </c>
      <c r="C2453" s="116">
        <v>486.95</v>
      </c>
      <c r="D2453" s="116">
        <v>483.25</v>
      </c>
      <c r="E2453" s="116">
        <v>492.95</v>
      </c>
      <c r="F2453" s="116">
        <v>486.95</v>
      </c>
      <c r="G2453">
        <v>73902</v>
      </c>
      <c r="H2453" s="116"/>
      <c r="I2453" s="116"/>
      <c r="L2453" s="170">
        <v>45618</v>
      </c>
      <c r="M2453" s="116">
        <v>489.25</v>
      </c>
      <c r="N2453" s="116">
        <v>491.7</v>
      </c>
      <c r="O2453" s="116">
        <v>485.15</v>
      </c>
      <c r="P2453" s="116">
        <v>488</v>
      </c>
      <c r="Q2453" s="116">
        <v>489.25</v>
      </c>
      <c r="R2453">
        <v>1077937</v>
      </c>
    </row>
    <row r="2454" spans="1:18" x14ac:dyDescent="0.25">
      <c r="A2454" s="170">
        <v>45618</v>
      </c>
      <c r="B2454" s="116">
        <v>494.45</v>
      </c>
      <c r="C2454" s="116">
        <v>491.7</v>
      </c>
      <c r="D2454" s="116">
        <v>485.75</v>
      </c>
      <c r="E2454" s="116">
        <v>487.05</v>
      </c>
      <c r="F2454" s="116">
        <v>491.7</v>
      </c>
      <c r="G2454">
        <v>36060</v>
      </c>
      <c r="H2454" s="116"/>
      <c r="I2454" s="116"/>
      <c r="L2454" s="170">
        <v>45621</v>
      </c>
      <c r="M2454" s="116">
        <v>498.5</v>
      </c>
      <c r="N2454" s="116">
        <v>501.5</v>
      </c>
      <c r="O2454" s="116">
        <v>495.7</v>
      </c>
      <c r="P2454" s="116">
        <v>498</v>
      </c>
      <c r="Q2454" s="116">
        <v>498.5</v>
      </c>
      <c r="R2454">
        <v>1695909</v>
      </c>
    </row>
    <row r="2455" spans="1:18" x14ac:dyDescent="0.25">
      <c r="A2455" s="170">
        <v>45621</v>
      </c>
      <c r="B2455" s="116">
        <v>501.2</v>
      </c>
      <c r="C2455" s="116">
        <v>498.9</v>
      </c>
      <c r="D2455" s="116">
        <v>495.55</v>
      </c>
      <c r="E2455" s="116">
        <v>496.7</v>
      </c>
      <c r="F2455" s="116">
        <v>498.9</v>
      </c>
      <c r="G2455">
        <v>111640</v>
      </c>
      <c r="H2455" s="116"/>
      <c r="I2455" s="116"/>
      <c r="L2455" s="170">
        <v>45622</v>
      </c>
      <c r="M2455" s="116">
        <v>494.45</v>
      </c>
      <c r="N2455" s="116">
        <v>499.7</v>
      </c>
      <c r="O2455" s="116">
        <v>493.2</v>
      </c>
      <c r="P2455" s="116">
        <v>499</v>
      </c>
      <c r="Q2455" s="116">
        <v>494.45</v>
      </c>
      <c r="R2455">
        <v>768923</v>
      </c>
    </row>
    <row r="2456" spans="1:18" x14ac:dyDescent="0.25">
      <c r="A2456" s="170">
        <v>45622</v>
      </c>
      <c r="B2456" s="116">
        <v>501.9</v>
      </c>
      <c r="C2456" s="116">
        <v>494.15</v>
      </c>
      <c r="D2456" s="116">
        <v>493.1</v>
      </c>
      <c r="E2456" s="116">
        <v>501.9</v>
      </c>
      <c r="F2456" s="116">
        <v>494.15</v>
      </c>
      <c r="G2456">
        <v>81431</v>
      </c>
      <c r="H2456" s="116"/>
      <c r="I2456" s="116"/>
      <c r="L2456" s="170">
        <v>45623</v>
      </c>
      <c r="M2456" s="116">
        <v>499.95</v>
      </c>
      <c r="N2456" s="116">
        <v>501</v>
      </c>
      <c r="O2456" s="116">
        <v>494</v>
      </c>
      <c r="P2456" s="116">
        <v>494</v>
      </c>
      <c r="Q2456" s="116">
        <v>499.95</v>
      </c>
      <c r="R2456">
        <v>787949</v>
      </c>
    </row>
    <row r="2457" spans="1:18" x14ac:dyDescent="0.25">
      <c r="A2457" s="170">
        <v>45623</v>
      </c>
      <c r="B2457" s="116">
        <v>501.15</v>
      </c>
      <c r="C2457" s="116">
        <v>500</v>
      </c>
      <c r="D2457" s="116">
        <v>493.15</v>
      </c>
      <c r="E2457" s="116">
        <v>494</v>
      </c>
      <c r="F2457" s="116">
        <v>500</v>
      </c>
      <c r="G2457">
        <v>32725</v>
      </c>
      <c r="H2457" s="116"/>
      <c r="I2457" s="116"/>
      <c r="L2457" s="170">
        <v>45624</v>
      </c>
      <c r="M2457" s="116">
        <v>494.05</v>
      </c>
      <c r="N2457" s="116">
        <v>501</v>
      </c>
      <c r="O2457" s="116">
        <v>493</v>
      </c>
      <c r="P2457" s="116">
        <v>500</v>
      </c>
      <c r="Q2457" s="116">
        <v>494.05</v>
      </c>
      <c r="R2457">
        <v>919432</v>
      </c>
    </row>
    <row r="2458" spans="1:18" x14ac:dyDescent="0.25">
      <c r="A2458" s="170">
        <v>45624</v>
      </c>
      <c r="B2458" s="116">
        <v>500.95</v>
      </c>
      <c r="C2458" s="116">
        <v>494.1</v>
      </c>
      <c r="D2458" s="116">
        <v>493</v>
      </c>
      <c r="E2458" s="116">
        <v>500</v>
      </c>
      <c r="F2458" s="116">
        <v>494.1</v>
      </c>
      <c r="G2458">
        <v>117986</v>
      </c>
      <c r="H2458" s="116"/>
      <c r="I2458" s="116"/>
      <c r="L2458" s="170">
        <v>45625</v>
      </c>
      <c r="M2458" s="116">
        <v>504.6</v>
      </c>
      <c r="N2458" s="116">
        <v>505.9</v>
      </c>
      <c r="O2458" s="116">
        <v>491.6</v>
      </c>
      <c r="P2458" s="116">
        <v>495.8</v>
      </c>
      <c r="Q2458" s="116">
        <v>504.6</v>
      </c>
      <c r="R2458">
        <v>1565002</v>
      </c>
    </row>
    <row r="2459" spans="1:18" x14ac:dyDescent="0.25">
      <c r="A2459" s="170">
        <v>45625</v>
      </c>
      <c r="B2459" s="116">
        <v>505.6</v>
      </c>
      <c r="C2459" s="116">
        <v>504.65</v>
      </c>
      <c r="D2459" s="116">
        <v>491.45</v>
      </c>
      <c r="E2459" s="116">
        <v>496</v>
      </c>
      <c r="F2459" s="116">
        <v>504.65</v>
      </c>
      <c r="G2459">
        <v>183878</v>
      </c>
      <c r="H2459" s="116"/>
      <c r="I2459" s="116"/>
      <c r="L2459" s="170">
        <v>45628</v>
      </c>
      <c r="M2459" s="116">
        <v>502.85</v>
      </c>
      <c r="N2459" s="116">
        <v>506.75</v>
      </c>
      <c r="O2459" s="116">
        <v>499.1</v>
      </c>
      <c r="P2459" s="116">
        <v>502.05</v>
      </c>
      <c r="Q2459" s="116">
        <v>502.85</v>
      </c>
      <c r="R2459">
        <v>868957</v>
      </c>
    </row>
    <row r="2460" spans="1:18" x14ac:dyDescent="0.25">
      <c r="A2460" s="170">
        <v>45628</v>
      </c>
      <c r="B2460" s="116">
        <v>506.4</v>
      </c>
      <c r="C2460" s="116">
        <v>502.75</v>
      </c>
      <c r="D2460" s="116">
        <v>498.65</v>
      </c>
      <c r="E2460" s="116">
        <v>504.5</v>
      </c>
      <c r="F2460" s="116">
        <v>502.75</v>
      </c>
      <c r="G2460">
        <v>125959</v>
      </c>
      <c r="H2460" s="116"/>
      <c r="I2460" s="116"/>
      <c r="L2460" s="170">
        <v>45629</v>
      </c>
      <c r="M2460" s="116">
        <v>507.15</v>
      </c>
      <c r="N2460" s="116">
        <v>508.4</v>
      </c>
      <c r="O2460" s="116">
        <v>500.5</v>
      </c>
      <c r="P2460" s="116">
        <v>503.05</v>
      </c>
      <c r="Q2460" s="116">
        <v>507.15</v>
      </c>
      <c r="R2460">
        <v>1157338</v>
      </c>
    </row>
    <row r="2461" spans="1:18" x14ac:dyDescent="0.25">
      <c r="A2461" s="170">
        <v>45629</v>
      </c>
      <c r="B2461" s="116">
        <v>508.3</v>
      </c>
      <c r="C2461" s="116">
        <v>507.2</v>
      </c>
      <c r="D2461" s="116">
        <v>500.85</v>
      </c>
      <c r="E2461" s="116">
        <v>503.95</v>
      </c>
      <c r="F2461" s="116">
        <v>507.2</v>
      </c>
      <c r="G2461">
        <v>53757</v>
      </c>
      <c r="H2461" s="116"/>
      <c r="I2461" s="116"/>
      <c r="L2461" s="170">
        <v>45630</v>
      </c>
      <c r="M2461" s="116">
        <v>506.95</v>
      </c>
      <c r="N2461" s="116">
        <v>510.9</v>
      </c>
      <c r="O2461" s="116">
        <v>504.8</v>
      </c>
      <c r="P2461" s="116">
        <v>507.5</v>
      </c>
      <c r="Q2461" s="116">
        <v>506.95</v>
      </c>
      <c r="R2461">
        <v>889376</v>
      </c>
    </row>
    <row r="2462" spans="1:18" x14ac:dyDescent="0.25">
      <c r="A2462" s="170">
        <v>45630</v>
      </c>
      <c r="B2462" s="116">
        <v>510.7</v>
      </c>
      <c r="C2462" s="116">
        <v>506.75</v>
      </c>
      <c r="D2462" s="116">
        <v>505</v>
      </c>
      <c r="E2462" s="116">
        <v>507.5</v>
      </c>
      <c r="F2462" s="116">
        <v>506.75</v>
      </c>
      <c r="G2462">
        <v>102757</v>
      </c>
      <c r="H2462" s="116"/>
      <c r="I2462" s="116"/>
      <c r="L2462" s="170">
        <v>45631</v>
      </c>
      <c r="M2462" s="116">
        <v>500.6</v>
      </c>
      <c r="N2462" s="116">
        <v>508.05</v>
      </c>
      <c r="O2462" s="116">
        <v>499.1</v>
      </c>
      <c r="P2462" s="116">
        <v>508</v>
      </c>
      <c r="Q2462" s="116">
        <v>500.6</v>
      </c>
      <c r="R2462">
        <v>903208</v>
      </c>
    </row>
    <row r="2463" spans="1:18" x14ac:dyDescent="0.25">
      <c r="A2463" s="170">
        <v>45631</v>
      </c>
      <c r="B2463" s="116">
        <v>509</v>
      </c>
      <c r="C2463" s="116">
        <v>500.55</v>
      </c>
      <c r="D2463" s="116">
        <v>499.2</v>
      </c>
      <c r="E2463" s="116">
        <v>508.55</v>
      </c>
      <c r="F2463" s="116">
        <v>500.55</v>
      </c>
      <c r="G2463">
        <v>52301</v>
      </c>
      <c r="H2463" s="116"/>
      <c r="I2463" s="116"/>
      <c r="L2463" s="170">
        <v>45632</v>
      </c>
      <c r="M2463" s="116">
        <v>510</v>
      </c>
      <c r="N2463" s="116">
        <v>515.4</v>
      </c>
      <c r="O2463" s="116">
        <v>499.45</v>
      </c>
      <c r="P2463" s="116">
        <v>500.6</v>
      </c>
      <c r="Q2463" s="116">
        <v>510</v>
      </c>
      <c r="R2463">
        <v>2915997</v>
      </c>
    </row>
    <row r="2464" spans="1:18" x14ac:dyDescent="0.25">
      <c r="A2464" s="170">
        <v>45632</v>
      </c>
      <c r="B2464" s="116">
        <v>515.4</v>
      </c>
      <c r="C2464" s="116">
        <v>510.15</v>
      </c>
      <c r="D2464" s="116">
        <v>500</v>
      </c>
      <c r="E2464" s="116">
        <v>504.45</v>
      </c>
      <c r="F2464" s="116">
        <v>510.15</v>
      </c>
      <c r="G2464">
        <v>129384</v>
      </c>
      <c r="H2464" s="116"/>
      <c r="I2464" s="116"/>
      <c r="L2464" s="170">
        <v>45635</v>
      </c>
      <c r="M2464" s="116">
        <v>506.5</v>
      </c>
      <c r="N2464" s="116">
        <v>512.54999999999995</v>
      </c>
      <c r="O2464" s="116">
        <v>505.2</v>
      </c>
      <c r="P2464" s="116">
        <v>510</v>
      </c>
      <c r="Q2464" s="116">
        <v>506.5</v>
      </c>
      <c r="R2464">
        <v>868376</v>
      </c>
    </row>
    <row r="2465" spans="1:18" x14ac:dyDescent="0.25">
      <c r="A2465" s="170">
        <v>45635</v>
      </c>
      <c r="B2465" s="116">
        <v>512.54999999999995</v>
      </c>
      <c r="C2465" s="116">
        <v>506.5</v>
      </c>
      <c r="D2465" s="116">
        <v>505</v>
      </c>
      <c r="E2465" s="116">
        <v>510.35</v>
      </c>
      <c r="F2465" s="116">
        <v>506.5</v>
      </c>
      <c r="G2465">
        <v>95343</v>
      </c>
      <c r="H2465" s="116"/>
      <c r="I2465" s="116"/>
      <c r="L2465" s="170">
        <v>45636</v>
      </c>
      <c r="M2465" s="116">
        <v>498.45</v>
      </c>
      <c r="N2465" s="116">
        <v>509.25</v>
      </c>
      <c r="O2465" s="116">
        <v>498</v>
      </c>
      <c r="P2465" s="116">
        <v>508.7</v>
      </c>
      <c r="Q2465" s="116">
        <v>498.45</v>
      </c>
      <c r="R2465">
        <v>1326710</v>
      </c>
    </row>
    <row r="2466" spans="1:18" x14ac:dyDescent="0.25">
      <c r="A2466" s="170">
        <v>45636</v>
      </c>
      <c r="B2466" s="116">
        <v>509.85</v>
      </c>
      <c r="C2466" s="116">
        <v>498.55</v>
      </c>
      <c r="D2466" s="116">
        <v>498</v>
      </c>
      <c r="E2466" s="116">
        <v>509.85</v>
      </c>
      <c r="F2466" s="116">
        <v>498.55</v>
      </c>
      <c r="G2466">
        <v>116527</v>
      </c>
      <c r="H2466" s="116"/>
      <c r="I2466" s="116"/>
      <c r="L2466" s="170">
        <v>45637</v>
      </c>
      <c r="M2466" s="116">
        <v>509.15</v>
      </c>
      <c r="N2466" s="116">
        <v>516.4</v>
      </c>
      <c r="O2466" s="116">
        <v>497.6</v>
      </c>
      <c r="P2466" s="116">
        <v>499.9</v>
      </c>
      <c r="Q2466" s="116">
        <v>509.15</v>
      </c>
      <c r="R2466">
        <v>3159856</v>
      </c>
    </row>
    <row r="2467" spans="1:18" x14ac:dyDescent="0.25">
      <c r="A2467" s="170">
        <v>45637</v>
      </c>
      <c r="B2467" s="116">
        <v>516</v>
      </c>
      <c r="C2467" s="116">
        <v>509</v>
      </c>
      <c r="D2467" s="116">
        <v>497.95</v>
      </c>
      <c r="E2467" s="116">
        <v>499.25</v>
      </c>
      <c r="F2467" s="116">
        <v>509</v>
      </c>
      <c r="G2467">
        <v>355334</v>
      </c>
      <c r="H2467" s="116"/>
      <c r="I2467" s="116"/>
      <c r="L2467" s="170">
        <v>45638</v>
      </c>
      <c r="M2467" s="116">
        <v>501.55</v>
      </c>
      <c r="N2467" s="116">
        <v>513.95000000000005</v>
      </c>
      <c r="O2467" s="116">
        <v>501</v>
      </c>
      <c r="P2467" s="116">
        <v>510.85</v>
      </c>
      <c r="Q2467" s="116">
        <v>501.55</v>
      </c>
      <c r="R2467">
        <v>1158128</v>
      </c>
    </row>
    <row r="2468" spans="1:18" x14ac:dyDescent="0.25">
      <c r="A2468" s="170">
        <v>45638</v>
      </c>
      <c r="B2468" s="116">
        <v>513.54999999999995</v>
      </c>
      <c r="C2468" s="116">
        <v>501.65</v>
      </c>
      <c r="D2468" s="116">
        <v>501.05</v>
      </c>
      <c r="E2468" s="116">
        <v>509.2</v>
      </c>
      <c r="F2468" s="116">
        <v>501.65</v>
      </c>
      <c r="G2468">
        <v>45060</v>
      </c>
      <c r="H2468" s="116"/>
      <c r="I2468" s="116"/>
      <c r="L2468" s="170">
        <v>45639</v>
      </c>
      <c r="M2468" s="116">
        <v>500.35</v>
      </c>
      <c r="N2468" s="116">
        <v>502</v>
      </c>
      <c r="O2468" s="116">
        <v>492.1</v>
      </c>
      <c r="P2468" s="116">
        <v>501.15</v>
      </c>
      <c r="Q2468" s="116">
        <v>500.35</v>
      </c>
      <c r="R2468">
        <v>1092238</v>
      </c>
    </row>
    <row r="2469" spans="1:18" x14ac:dyDescent="0.25">
      <c r="A2469" s="170">
        <v>45639</v>
      </c>
      <c r="B2469" s="116">
        <v>501.65</v>
      </c>
      <c r="C2469" s="116">
        <v>500.25</v>
      </c>
      <c r="D2469" s="116">
        <v>491.95</v>
      </c>
      <c r="E2469" s="116">
        <v>501.5</v>
      </c>
      <c r="F2469" s="116">
        <v>500.25</v>
      </c>
      <c r="G2469">
        <v>155383</v>
      </c>
      <c r="H2469" s="116"/>
      <c r="I2469" s="116"/>
      <c r="L2469" s="170">
        <v>45642</v>
      </c>
      <c r="M2469" s="116">
        <v>498.25</v>
      </c>
      <c r="N2469" s="116">
        <v>503.95</v>
      </c>
      <c r="O2469" s="116">
        <v>497.5</v>
      </c>
      <c r="P2469" s="116">
        <v>500.35</v>
      </c>
      <c r="Q2469" s="116">
        <v>498.25</v>
      </c>
      <c r="R2469">
        <v>595620</v>
      </c>
    </row>
    <row r="2470" spans="1:18" x14ac:dyDescent="0.25">
      <c r="A2470" s="170">
        <v>45642</v>
      </c>
      <c r="B2470" s="116">
        <v>504.3</v>
      </c>
      <c r="C2470" s="116">
        <v>498</v>
      </c>
      <c r="D2470" s="116">
        <v>497</v>
      </c>
      <c r="E2470" s="116">
        <v>501</v>
      </c>
      <c r="F2470" s="116">
        <v>498</v>
      </c>
      <c r="G2470">
        <v>26215</v>
      </c>
      <c r="H2470" s="116"/>
      <c r="I2470" s="116"/>
      <c r="L2470" s="170">
        <v>45643</v>
      </c>
      <c r="M2470" s="116">
        <v>490.65</v>
      </c>
      <c r="N2470" s="116">
        <v>501</v>
      </c>
      <c r="O2470" s="116">
        <v>490</v>
      </c>
      <c r="P2470" s="116">
        <v>499.7</v>
      </c>
      <c r="Q2470" s="116">
        <v>490.65</v>
      </c>
      <c r="R2470">
        <v>1068528</v>
      </c>
    </row>
    <row r="2471" spans="1:18" x14ac:dyDescent="0.25">
      <c r="A2471" s="170">
        <v>45643</v>
      </c>
      <c r="B2471" s="116">
        <v>500.9</v>
      </c>
      <c r="C2471" s="116">
        <v>490.7</v>
      </c>
      <c r="D2471" s="116">
        <v>490.1</v>
      </c>
      <c r="E2471" s="116">
        <v>500.25</v>
      </c>
      <c r="F2471" s="116">
        <v>490.7</v>
      </c>
      <c r="G2471">
        <v>35971</v>
      </c>
      <c r="H2471" s="116"/>
      <c r="I2471" s="116"/>
      <c r="L2471" s="170">
        <v>45644</v>
      </c>
      <c r="M2471" s="116">
        <v>485.35</v>
      </c>
      <c r="N2471" s="116">
        <v>492.2</v>
      </c>
      <c r="O2471" s="116">
        <v>481.4</v>
      </c>
      <c r="P2471" s="116">
        <v>491.15</v>
      </c>
      <c r="Q2471" s="116">
        <v>485.35</v>
      </c>
      <c r="R2471">
        <v>910000</v>
      </c>
    </row>
    <row r="2472" spans="1:18" x14ac:dyDescent="0.25">
      <c r="A2472" s="170">
        <v>45644</v>
      </c>
      <c r="B2472" s="116">
        <v>493.3</v>
      </c>
      <c r="C2472" s="116">
        <v>485.3</v>
      </c>
      <c r="D2472" s="116">
        <v>482.05</v>
      </c>
      <c r="E2472" s="116">
        <v>491.05</v>
      </c>
      <c r="F2472" s="116">
        <v>485.3</v>
      </c>
      <c r="G2472">
        <v>88937</v>
      </c>
      <c r="H2472" s="116"/>
      <c r="I2472" s="116"/>
      <c r="L2472" s="170">
        <v>45645</v>
      </c>
      <c r="M2472" s="116">
        <v>479.35</v>
      </c>
      <c r="N2472" s="116">
        <v>483</v>
      </c>
      <c r="O2472" s="116">
        <v>472</v>
      </c>
      <c r="P2472" s="116">
        <v>478.45</v>
      </c>
      <c r="Q2472" s="116">
        <v>479.35</v>
      </c>
      <c r="R2472">
        <v>941093</v>
      </c>
    </row>
    <row r="2473" spans="1:18" x14ac:dyDescent="0.25">
      <c r="A2473" s="170">
        <v>45645</v>
      </c>
      <c r="B2473" s="116">
        <v>482.95</v>
      </c>
      <c r="C2473" s="116">
        <v>479.1</v>
      </c>
      <c r="D2473" s="116">
        <v>471.8</v>
      </c>
      <c r="E2473" s="116">
        <v>475.8</v>
      </c>
      <c r="F2473" s="116">
        <v>479.1</v>
      </c>
      <c r="G2473">
        <v>70824</v>
      </c>
      <c r="H2473" s="116"/>
      <c r="I2473" s="116"/>
      <c r="L2473" s="170">
        <v>45646</v>
      </c>
      <c r="M2473" s="116">
        <v>468.8</v>
      </c>
      <c r="N2473" s="116">
        <v>483.9</v>
      </c>
      <c r="O2473" s="116">
        <v>466.3</v>
      </c>
      <c r="P2473" s="116">
        <v>480</v>
      </c>
      <c r="Q2473" s="116">
        <v>468.8</v>
      </c>
      <c r="R2473">
        <v>935248</v>
      </c>
    </row>
    <row r="2474" spans="1:18" x14ac:dyDescent="0.25">
      <c r="A2474" s="170">
        <v>45646</v>
      </c>
      <c r="B2474" s="116">
        <v>483.65</v>
      </c>
      <c r="C2474" s="116">
        <v>469.35</v>
      </c>
      <c r="D2474" s="116">
        <v>466.9</v>
      </c>
      <c r="E2474" s="116">
        <v>479.45</v>
      </c>
      <c r="F2474" s="116">
        <v>469.35</v>
      </c>
      <c r="G2474">
        <v>35462</v>
      </c>
      <c r="H2474" s="116"/>
      <c r="I2474" s="116"/>
      <c r="L2474" s="170">
        <v>45649</v>
      </c>
      <c r="M2474" s="116">
        <v>463.9</v>
      </c>
      <c r="N2474" s="116">
        <v>473.5</v>
      </c>
      <c r="O2474" s="116">
        <v>462.9</v>
      </c>
      <c r="P2474" s="116">
        <v>471</v>
      </c>
      <c r="Q2474" s="116">
        <v>463.9</v>
      </c>
      <c r="R2474">
        <v>786344</v>
      </c>
    </row>
    <row r="2475" spans="1:18" x14ac:dyDescent="0.25">
      <c r="A2475" s="170">
        <v>45649</v>
      </c>
      <c r="B2475" s="116">
        <v>473.5</v>
      </c>
      <c r="C2475" s="116">
        <v>464</v>
      </c>
      <c r="D2475" s="116">
        <v>463</v>
      </c>
      <c r="E2475" s="116">
        <v>470.15</v>
      </c>
      <c r="F2475" s="116">
        <v>464</v>
      </c>
      <c r="G2475">
        <v>116454</v>
      </c>
      <c r="H2475" s="116"/>
      <c r="I2475" s="116"/>
      <c r="L2475" s="170">
        <v>45650</v>
      </c>
      <c r="M2475" s="116">
        <v>463.4</v>
      </c>
      <c r="N2475" s="116">
        <v>465.8</v>
      </c>
      <c r="O2475" s="116">
        <v>460.45</v>
      </c>
      <c r="P2475" s="116">
        <v>465</v>
      </c>
      <c r="Q2475" s="116">
        <v>463.4</v>
      </c>
      <c r="R2475">
        <v>599367</v>
      </c>
    </row>
    <row r="2476" spans="1:18" x14ac:dyDescent="0.25">
      <c r="A2476" s="170">
        <v>45650</v>
      </c>
      <c r="B2476" s="116">
        <v>469.25</v>
      </c>
      <c r="C2476" s="116">
        <v>463.55</v>
      </c>
      <c r="D2476" s="116">
        <v>460.45</v>
      </c>
      <c r="E2476" s="116">
        <v>464.2</v>
      </c>
      <c r="F2476" s="116">
        <v>463.55</v>
      </c>
      <c r="G2476">
        <v>97453</v>
      </c>
      <c r="H2476" s="116"/>
      <c r="I2476" s="116"/>
      <c r="L2476" s="170">
        <v>45652</v>
      </c>
      <c r="M2476" s="116">
        <v>453.25</v>
      </c>
      <c r="N2476" s="116">
        <v>465</v>
      </c>
      <c r="O2476" s="116">
        <v>451.8</v>
      </c>
      <c r="P2476" s="116">
        <v>463.4</v>
      </c>
      <c r="Q2476" s="116">
        <v>453.25</v>
      </c>
      <c r="R2476">
        <v>981853</v>
      </c>
    </row>
    <row r="2477" spans="1:18" x14ac:dyDescent="0.25">
      <c r="A2477" s="170">
        <v>45652</v>
      </c>
      <c r="B2477" s="116">
        <v>465.1</v>
      </c>
      <c r="C2477" s="116">
        <v>453.25</v>
      </c>
      <c r="D2477" s="116">
        <v>451</v>
      </c>
      <c r="E2477" s="116">
        <v>463.55</v>
      </c>
      <c r="F2477" s="116">
        <v>453.25</v>
      </c>
      <c r="G2477">
        <v>141557</v>
      </c>
      <c r="H2477" s="116"/>
      <c r="I2477" s="116"/>
      <c r="L2477" s="170">
        <v>45653</v>
      </c>
      <c r="M2477" s="116">
        <v>454.7</v>
      </c>
      <c r="N2477" s="116">
        <v>463.25</v>
      </c>
      <c r="O2477" s="116">
        <v>453.85</v>
      </c>
      <c r="P2477" s="116">
        <v>454</v>
      </c>
      <c r="Q2477" s="116">
        <v>454.7</v>
      </c>
      <c r="R2477">
        <v>790788</v>
      </c>
    </row>
    <row r="2478" spans="1:18" x14ac:dyDescent="0.25">
      <c r="A2478" s="170">
        <v>45653</v>
      </c>
      <c r="B2478" s="116">
        <v>463</v>
      </c>
      <c r="C2478" s="116">
        <v>454.5</v>
      </c>
      <c r="D2478" s="116">
        <v>453.8</v>
      </c>
      <c r="E2478" s="116">
        <v>454</v>
      </c>
      <c r="F2478" s="116">
        <v>454.5</v>
      </c>
      <c r="G2478">
        <v>86869</v>
      </c>
      <c r="H2478" s="116"/>
      <c r="I2478" s="116"/>
      <c r="L2478" s="170">
        <v>45656</v>
      </c>
      <c r="M2478" s="116">
        <v>432.4</v>
      </c>
      <c r="N2478" s="116">
        <v>454.7</v>
      </c>
      <c r="O2478" s="116">
        <v>429.6</v>
      </c>
      <c r="P2478" s="116">
        <v>454</v>
      </c>
      <c r="Q2478" s="116">
        <v>432.4</v>
      </c>
      <c r="R2478">
        <v>2763331</v>
      </c>
    </row>
    <row r="2479" spans="1:18" x14ac:dyDescent="0.25">
      <c r="A2479" s="170">
        <v>45656</v>
      </c>
      <c r="B2479" s="116">
        <v>456.8</v>
      </c>
      <c r="C2479" s="116">
        <v>433.5</v>
      </c>
      <c r="D2479" s="116">
        <v>430.25</v>
      </c>
      <c r="E2479" s="116">
        <v>456.8</v>
      </c>
      <c r="F2479" s="116">
        <v>433.5</v>
      </c>
      <c r="G2479">
        <v>114641</v>
      </c>
      <c r="H2479" s="116"/>
      <c r="I2479" s="116"/>
      <c r="L2479" s="170">
        <v>45657</v>
      </c>
      <c r="M2479" s="116">
        <v>444</v>
      </c>
      <c r="N2479" s="116">
        <v>445.5</v>
      </c>
      <c r="O2479" s="116">
        <v>432.6</v>
      </c>
      <c r="P2479" s="116">
        <v>432.6</v>
      </c>
      <c r="Q2479" s="116">
        <v>444</v>
      </c>
      <c r="R2479">
        <v>1432597</v>
      </c>
    </row>
    <row r="2480" spans="1:18" x14ac:dyDescent="0.25">
      <c r="A2480" s="170">
        <v>45657</v>
      </c>
      <c r="B2480" s="116">
        <v>445.5</v>
      </c>
      <c r="C2480" s="116">
        <v>443.7</v>
      </c>
      <c r="D2480" s="116">
        <v>432.7</v>
      </c>
      <c r="E2480" s="116">
        <v>433</v>
      </c>
      <c r="F2480" s="116">
        <v>443.7</v>
      </c>
      <c r="G2480">
        <v>151347</v>
      </c>
      <c r="H2480" s="116"/>
      <c r="I2480" s="116"/>
      <c r="L2480" s="170">
        <v>45658</v>
      </c>
      <c r="M2480" s="116">
        <v>444.05</v>
      </c>
      <c r="N2480" s="116">
        <v>448.4</v>
      </c>
      <c r="O2480" s="116">
        <v>440.95</v>
      </c>
      <c r="P2480" s="116">
        <v>443.9</v>
      </c>
      <c r="Q2480" s="116">
        <v>444.05</v>
      </c>
      <c r="R2480">
        <v>638861</v>
      </c>
    </row>
    <row r="2481" spans="1:18" x14ac:dyDescent="0.25">
      <c r="A2481" s="170">
        <v>45658</v>
      </c>
      <c r="B2481" s="116">
        <v>448.5</v>
      </c>
      <c r="C2481" s="116">
        <v>444.25</v>
      </c>
      <c r="D2481" s="116">
        <v>441.6</v>
      </c>
      <c r="E2481" s="116">
        <v>444</v>
      </c>
      <c r="F2481" s="116">
        <v>444.25</v>
      </c>
      <c r="G2481">
        <v>31456</v>
      </c>
      <c r="H2481" s="116"/>
      <c r="I2481" s="116"/>
      <c r="L2481" s="170">
        <v>45659</v>
      </c>
      <c r="M2481" s="116">
        <v>452.5</v>
      </c>
      <c r="N2481" s="116">
        <v>455.4</v>
      </c>
      <c r="O2481" s="116">
        <v>441.3</v>
      </c>
      <c r="P2481" s="116">
        <v>447</v>
      </c>
      <c r="Q2481" s="116">
        <v>452.5</v>
      </c>
      <c r="R2481">
        <v>1067204</v>
      </c>
    </row>
    <row r="2482" spans="1:18" x14ac:dyDescent="0.25">
      <c r="A2482" s="170">
        <v>45659</v>
      </c>
      <c r="B2482" s="116">
        <v>455.2</v>
      </c>
      <c r="C2482" s="116">
        <v>452.85</v>
      </c>
      <c r="D2482" s="116">
        <v>441.95</v>
      </c>
      <c r="E2482" s="116">
        <v>445.05</v>
      </c>
      <c r="F2482" s="116">
        <v>452.85</v>
      </c>
      <c r="G2482">
        <v>96682</v>
      </c>
      <c r="H2482" s="116"/>
      <c r="I2482" s="116"/>
      <c r="L2482" s="170">
        <v>45660</v>
      </c>
      <c r="M2482" s="116">
        <v>469.15</v>
      </c>
      <c r="N2482" s="116">
        <v>472.5</v>
      </c>
      <c r="O2482" s="116">
        <v>450.85</v>
      </c>
      <c r="P2482" s="116">
        <v>452.5</v>
      </c>
      <c r="Q2482" s="116">
        <v>469.15</v>
      </c>
      <c r="R2482">
        <v>2312908</v>
      </c>
    </row>
    <row r="2483" spans="1:18" x14ac:dyDescent="0.25">
      <c r="A2483" s="170">
        <v>45660</v>
      </c>
      <c r="B2483" s="116">
        <v>472.5</v>
      </c>
      <c r="C2483" s="116">
        <v>469</v>
      </c>
      <c r="D2483" s="116">
        <v>451.05</v>
      </c>
      <c r="E2483" s="116">
        <v>452.5</v>
      </c>
      <c r="F2483" s="116">
        <v>469</v>
      </c>
      <c r="G2483">
        <v>199174</v>
      </c>
      <c r="H2483" s="116"/>
      <c r="I2483" s="116"/>
      <c r="L2483" s="170">
        <v>45663</v>
      </c>
      <c r="M2483" s="116">
        <v>446.8</v>
      </c>
      <c r="N2483" s="116">
        <v>473.2</v>
      </c>
      <c r="O2483" s="116">
        <v>445.05</v>
      </c>
      <c r="P2483" s="116">
        <v>473.2</v>
      </c>
      <c r="Q2483" s="116">
        <v>446.8</v>
      </c>
      <c r="R2483">
        <v>1237423</v>
      </c>
    </row>
    <row r="2484" spans="1:18" x14ac:dyDescent="0.25">
      <c r="A2484" s="170">
        <v>45663</v>
      </c>
      <c r="B2484" s="116">
        <v>476.85</v>
      </c>
      <c r="C2484" s="116">
        <v>446.6</v>
      </c>
      <c r="D2484" s="116">
        <v>445</v>
      </c>
      <c r="E2484" s="116">
        <v>476.85</v>
      </c>
      <c r="F2484" s="116">
        <v>446.6</v>
      </c>
      <c r="G2484">
        <v>73370</v>
      </c>
      <c r="H2484" s="116"/>
      <c r="I2484" s="116"/>
      <c r="L2484" s="170">
        <v>45664</v>
      </c>
      <c r="M2484" s="116">
        <v>448.55</v>
      </c>
      <c r="N2484" s="116">
        <v>454.95</v>
      </c>
      <c r="O2484" s="116">
        <v>447</v>
      </c>
      <c r="P2484" s="116">
        <v>447</v>
      </c>
      <c r="Q2484" s="116">
        <v>448.55</v>
      </c>
      <c r="R2484">
        <v>566242</v>
      </c>
    </row>
    <row r="2485" spans="1:18" x14ac:dyDescent="0.25">
      <c r="A2485" s="170">
        <v>45664</v>
      </c>
      <c r="B2485" s="116">
        <v>454.95</v>
      </c>
      <c r="C2485" s="116">
        <v>448.3</v>
      </c>
      <c r="D2485" s="116">
        <v>446.55</v>
      </c>
      <c r="E2485" s="116">
        <v>446.55</v>
      </c>
      <c r="F2485" s="116">
        <v>448.3</v>
      </c>
      <c r="G2485">
        <v>30955</v>
      </c>
      <c r="H2485" s="116"/>
      <c r="I2485" s="116"/>
      <c r="L2485" s="170">
        <v>45665</v>
      </c>
      <c r="M2485" s="116">
        <v>443.8</v>
      </c>
      <c r="N2485" s="116">
        <v>451</v>
      </c>
      <c r="O2485" s="116">
        <v>432.4</v>
      </c>
      <c r="P2485" s="116">
        <v>449.25</v>
      </c>
      <c r="Q2485" s="116">
        <v>443.8</v>
      </c>
      <c r="R2485">
        <v>1534792</v>
      </c>
    </row>
    <row r="2486" spans="1:18" x14ac:dyDescent="0.25">
      <c r="A2486" s="170">
        <v>45665</v>
      </c>
      <c r="B2486" s="116">
        <v>450.5</v>
      </c>
      <c r="C2486" s="116">
        <v>444.2</v>
      </c>
      <c r="D2486" s="116">
        <v>432.35</v>
      </c>
      <c r="E2486" s="116">
        <v>449.8</v>
      </c>
      <c r="F2486" s="116">
        <v>444.2</v>
      </c>
      <c r="G2486">
        <v>66767</v>
      </c>
      <c r="H2486" s="116"/>
      <c r="I2486" s="116"/>
      <c r="L2486" s="170">
        <v>45666</v>
      </c>
      <c r="M2486" s="116">
        <v>437.7</v>
      </c>
      <c r="N2486" s="116">
        <v>453.15</v>
      </c>
      <c r="O2486" s="116">
        <v>436.1</v>
      </c>
      <c r="P2486" s="116">
        <v>445.4</v>
      </c>
      <c r="Q2486" s="116">
        <v>437.7</v>
      </c>
      <c r="R2486">
        <v>2009603</v>
      </c>
    </row>
    <row r="2487" spans="1:18" x14ac:dyDescent="0.25">
      <c r="A2487" s="170">
        <v>45666</v>
      </c>
      <c r="B2487" s="116">
        <v>453.35</v>
      </c>
      <c r="C2487" s="116">
        <v>438</v>
      </c>
      <c r="D2487" s="116">
        <v>436</v>
      </c>
      <c r="E2487" s="116">
        <v>445.4</v>
      </c>
      <c r="F2487" s="116">
        <v>438</v>
      </c>
      <c r="G2487">
        <v>304423</v>
      </c>
      <c r="H2487" s="116"/>
      <c r="I2487" s="116"/>
      <c r="L2487" s="170">
        <v>45667</v>
      </c>
      <c r="M2487" s="116">
        <v>433.35</v>
      </c>
      <c r="N2487" s="116">
        <v>438.95</v>
      </c>
      <c r="O2487" s="116">
        <v>427.2</v>
      </c>
      <c r="P2487" s="116">
        <v>437.7</v>
      </c>
      <c r="Q2487" s="116">
        <v>433.35</v>
      </c>
      <c r="R2487">
        <v>910052</v>
      </c>
    </row>
    <row r="2488" spans="1:18" x14ac:dyDescent="0.25">
      <c r="A2488" s="170">
        <v>45667</v>
      </c>
      <c r="B2488" s="116">
        <v>438.95</v>
      </c>
      <c r="C2488" s="116">
        <v>433.15</v>
      </c>
      <c r="D2488" s="116">
        <v>427.35</v>
      </c>
      <c r="E2488" s="116">
        <v>437.05</v>
      </c>
      <c r="F2488" s="116">
        <v>433.15</v>
      </c>
      <c r="G2488">
        <v>148867</v>
      </c>
      <c r="H2488" s="116"/>
      <c r="I2488" s="116"/>
      <c r="L2488" s="170">
        <v>45670</v>
      </c>
      <c r="M2488" s="116">
        <v>419.4</v>
      </c>
      <c r="N2488" s="116">
        <v>432.85</v>
      </c>
      <c r="O2488" s="116">
        <v>414.7</v>
      </c>
      <c r="P2488" s="116">
        <v>429.85</v>
      </c>
      <c r="Q2488" s="116">
        <v>419.4</v>
      </c>
      <c r="R2488">
        <v>1845851</v>
      </c>
    </row>
    <row r="2489" spans="1:18" x14ac:dyDescent="0.25">
      <c r="A2489" s="170">
        <v>45670</v>
      </c>
      <c r="B2489" s="116">
        <v>432.9</v>
      </c>
      <c r="C2489" s="116">
        <v>419.55</v>
      </c>
      <c r="D2489" s="116">
        <v>414.85</v>
      </c>
      <c r="E2489" s="116">
        <v>429.05</v>
      </c>
      <c r="F2489" s="116">
        <v>419.55</v>
      </c>
      <c r="G2489">
        <v>110700</v>
      </c>
      <c r="H2489" s="116"/>
      <c r="I2489" s="116"/>
      <c r="L2489" s="170">
        <v>45671</v>
      </c>
      <c r="M2489" s="116">
        <v>436.05</v>
      </c>
      <c r="N2489" s="116">
        <v>439</v>
      </c>
      <c r="O2489" s="116">
        <v>421.9</v>
      </c>
      <c r="P2489" s="116">
        <v>422</v>
      </c>
      <c r="Q2489" s="116">
        <v>436.05</v>
      </c>
      <c r="R2489">
        <v>1148840</v>
      </c>
    </row>
    <row r="2490" spans="1:18" x14ac:dyDescent="0.25">
      <c r="A2490" s="170">
        <v>45671</v>
      </c>
      <c r="B2490" s="116">
        <v>438.9</v>
      </c>
      <c r="C2490" s="116">
        <v>436.25</v>
      </c>
      <c r="D2490" s="116">
        <v>420.35</v>
      </c>
      <c r="E2490" s="116">
        <v>420.35</v>
      </c>
      <c r="F2490" s="116">
        <v>436.25</v>
      </c>
      <c r="G2490">
        <v>105876</v>
      </c>
      <c r="H2490" s="116"/>
      <c r="I2490" s="116"/>
      <c r="L2490" s="170">
        <v>45672</v>
      </c>
      <c r="M2490" s="116">
        <v>442.05</v>
      </c>
      <c r="N2490" s="116">
        <v>448.5</v>
      </c>
      <c r="O2490" s="116">
        <v>436.2</v>
      </c>
      <c r="P2490" s="116">
        <v>436.5</v>
      </c>
      <c r="Q2490" s="116">
        <v>442.05</v>
      </c>
      <c r="R2490">
        <v>713988</v>
      </c>
    </row>
    <row r="2491" spans="1:18" x14ac:dyDescent="0.25">
      <c r="A2491" s="170">
        <v>45672</v>
      </c>
      <c r="B2491" s="116">
        <v>448.35</v>
      </c>
      <c r="C2491" s="116">
        <v>442</v>
      </c>
      <c r="D2491" s="116">
        <v>436.5</v>
      </c>
      <c r="E2491" s="116">
        <v>440.95</v>
      </c>
      <c r="F2491" s="116">
        <v>442</v>
      </c>
      <c r="G2491">
        <v>72239</v>
      </c>
      <c r="H2491" s="116"/>
      <c r="I2491" s="116"/>
      <c r="L2491" s="170">
        <v>45673</v>
      </c>
      <c r="M2491" s="116">
        <v>455.4</v>
      </c>
      <c r="N2491" s="116">
        <v>459.9</v>
      </c>
      <c r="O2491" s="116">
        <v>448.25</v>
      </c>
      <c r="P2491" s="116">
        <v>449</v>
      </c>
      <c r="Q2491" s="116">
        <v>455.4</v>
      </c>
      <c r="R2491">
        <v>1034803</v>
      </c>
    </row>
    <row r="2492" spans="1:18" x14ac:dyDescent="0.25">
      <c r="A2492" s="170">
        <v>45673</v>
      </c>
      <c r="B2492" s="116">
        <v>459.8</v>
      </c>
      <c r="C2492" s="116">
        <v>455.2</v>
      </c>
      <c r="D2492" s="116">
        <v>448.95</v>
      </c>
      <c r="E2492" s="116">
        <v>450.5</v>
      </c>
      <c r="F2492" s="116">
        <v>455.2</v>
      </c>
      <c r="G2492">
        <v>34060</v>
      </c>
      <c r="H2492" s="116"/>
      <c r="I2492" s="116"/>
      <c r="L2492" s="170">
        <v>45674</v>
      </c>
      <c r="M2492" s="116">
        <v>456.85</v>
      </c>
      <c r="N2492" s="116">
        <v>461.9</v>
      </c>
      <c r="O2492" s="116">
        <v>453.9</v>
      </c>
      <c r="P2492" s="116">
        <v>456.5</v>
      </c>
      <c r="Q2492" s="116">
        <v>456.85</v>
      </c>
      <c r="R2492">
        <v>631209</v>
      </c>
    </row>
    <row r="2493" spans="1:18" x14ac:dyDescent="0.25">
      <c r="A2493" s="170">
        <v>45674</v>
      </c>
      <c r="B2493" s="116">
        <v>461.95</v>
      </c>
      <c r="C2493" s="116">
        <v>456.75</v>
      </c>
      <c r="D2493" s="116">
        <v>453.85</v>
      </c>
      <c r="E2493" s="116">
        <v>458.3</v>
      </c>
      <c r="F2493" s="116">
        <v>456.75</v>
      </c>
      <c r="G2493">
        <v>22959</v>
      </c>
      <c r="H2493" s="116"/>
      <c r="I2493" s="116"/>
      <c r="L2493" s="170">
        <v>45677</v>
      </c>
      <c r="M2493" s="116">
        <v>465.5</v>
      </c>
      <c r="N2493" s="116">
        <v>467.05</v>
      </c>
      <c r="O2493" s="116">
        <v>456.6</v>
      </c>
      <c r="P2493" s="116">
        <v>464.2</v>
      </c>
      <c r="Q2493" s="116">
        <v>465.5</v>
      </c>
      <c r="R2493">
        <v>762660</v>
      </c>
    </row>
    <row r="2494" spans="1:18" x14ac:dyDescent="0.25">
      <c r="A2494" s="170">
        <v>45677</v>
      </c>
      <c r="B2494" s="116">
        <v>467</v>
      </c>
      <c r="C2494" s="116">
        <v>465.35</v>
      </c>
      <c r="D2494" s="116">
        <v>456.45</v>
      </c>
      <c r="E2494" s="116">
        <v>464.75</v>
      </c>
      <c r="F2494" s="116">
        <v>465.35</v>
      </c>
      <c r="G2494">
        <v>32877</v>
      </c>
      <c r="H2494" s="116"/>
      <c r="I2494" s="116"/>
      <c r="L2494" s="170">
        <v>45678</v>
      </c>
      <c r="M2494" s="116">
        <v>461</v>
      </c>
      <c r="N2494" s="116">
        <v>472.5</v>
      </c>
      <c r="O2494" s="116">
        <v>458.25</v>
      </c>
      <c r="P2494" s="116">
        <v>463.5</v>
      </c>
      <c r="Q2494" s="116">
        <v>461</v>
      </c>
      <c r="R2494">
        <v>1043422</v>
      </c>
    </row>
    <row r="2495" spans="1:18" x14ac:dyDescent="0.25">
      <c r="A2495" s="170">
        <v>45678</v>
      </c>
      <c r="B2495" s="116">
        <v>472</v>
      </c>
      <c r="C2495" s="116">
        <v>461.1</v>
      </c>
      <c r="D2495" s="116">
        <v>458.85</v>
      </c>
      <c r="E2495" s="116">
        <v>467.9</v>
      </c>
      <c r="F2495" s="116">
        <v>461.1</v>
      </c>
      <c r="G2495">
        <v>28774</v>
      </c>
      <c r="H2495" s="116"/>
      <c r="I2495" s="116"/>
      <c r="L2495" s="170">
        <v>45679</v>
      </c>
      <c r="M2495" s="116">
        <v>469.35</v>
      </c>
      <c r="N2495" s="116">
        <v>470.8</v>
      </c>
      <c r="O2495" s="116">
        <v>459.65</v>
      </c>
      <c r="P2495" s="116">
        <v>466</v>
      </c>
      <c r="Q2495" s="116">
        <v>469.35</v>
      </c>
      <c r="R2495">
        <v>1488217</v>
      </c>
    </row>
    <row r="2496" spans="1:18" x14ac:dyDescent="0.25">
      <c r="A2496" s="170">
        <v>45679</v>
      </c>
      <c r="B2496" s="116">
        <v>470.7</v>
      </c>
      <c r="C2496" s="116">
        <v>469.3</v>
      </c>
      <c r="D2496" s="116">
        <v>459.5</v>
      </c>
      <c r="E2496" s="116">
        <v>464</v>
      </c>
      <c r="F2496" s="116">
        <v>469.3</v>
      </c>
      <c r="G2496">
        <v>133228</v>
      </c>
      <c r="H2496" s="116"/>
      <c r="I2496" s="116"/>
      <c r="L2496" s="170">
        <v>45680</v>
      </c>
      <c r="M2496" s="116">
        <v>474.1</v>
      </c>
      <c r="N2496" s="116">
        <v>479.5</v>
      </c>
      <c r="O2496" s="116">
        <v>465</v>
      </c>
      <c r="P2496" s="116">
        <v>470</v>
      </c>
      <c r="Q2496" s="116">
        <v>474.1</v>
      </c>
      <c r="R2496">
        <v>1013935</v>
      </c>
    </row>
    <row r="2497" spans="1:18" x14ac:dyDescent="0.25">
      <c r="A2497" s="170">
        <v>45680</v>
      </c>
      <c r="B2497" s="116">
        <v>479.35</v>
      </c>
      <c r="C2497" s="116">
        <v>473.75</v>
      </c>
      <c r="D2497" s="116">
        <v>465.45</v>
      </c>
      <c r="E2497" s="116">
        <v>470.5</v>
      </c>
      <c r="F2497" s="116">
        <v>473.75</v>
      </c>
      <c r="G2497">
        <v>53067</v>
      </c>
      <c r="H2497" s="116"/>
      <c r="I2497" s="116"/>
      <c r="L2497" s="170">
        <v>45681</v>
      </c>
      <c r="M2497" s="116">
        <v>466.55</v>
      </c>
      <c r="N2497" s="116">
        <v>480.5</v>
      </c>
      <c r="O2497" s="116">
        <v>461.65</v>
      </c>
      <c r="P2497" s="116">
        <v>477</v>
      </c>
      <c r="Q2497" s="116">
        <v>466.55</v>
      </c>
      <c r="R2497">
        <v>811862</v>
      </c>
    </row>
    <row r="2498" spans="1:18" x14ac:dyDescent="0.25">
      <c r="A2498" s="170">
        <v>45681</v>
      </c>
      <c r="B2498" s="116">
        <v>480.3</v>
      </c>
      <c r="C2498" s="116">
        <v>466.25</v>
      </c>
      <c r="D2498" s="116">
        <v>461.95</v>
      </c>
      <c r="E2498" s="116">
        <v>475.3</v>
      </c>
      <c r="F2498" s="116">
        <v>466.25</v>
      </c>
      <c r="G2498">
        <v>29022</v>
      </c>
      <c r="H2498" s="116"/>
      <c r="I2498" s="116"/>
      <c r="L2498" s="170">
        <v>45684</v>
      </c>
      <c r="M2498" s="116">
        <v>450.85</v>
      </c>
      <c r="N2498" s="116">
        <v>461.95</v>
      </c>
      <c r="O2498" s="116">
        <v>448.45</v>
      </c>
      <c r="P2498" s="116">
        <v>461.7</v>
      </c>
      <c r="Q2498" s="116">
        <v>450.85</v>
      </c>
      <c r="R2498">
        <v>697454</v>
      </c>
    </row>
    <row r="2499" spans="1:18" x14ac:dyDescent="0.25">
      <c r="A2499" s="170">
        <v>45684</v>
      </c>
      <c r="B2499" s="116">
        <v>464.55</v>
      </c>
      <c r="C2499" s="116">
        <v>451.2</v>
      </c>
      <c r="D2499" s="116">
        <v>448.6</v>
      </c>
      <c r="E2499" s="116">
        <v>464.55</v>
      </c>
      <c r="F2499" s="116">
        <v>451.2</v>
      </c>
      <c r="G2499">
        <v>31466</v>
      </c>
      <c r="H2499" s="116"/>
      <c r="I2499" s="116"/>
      <c r="L2499" s="170">
        <v>45685</v>
      </c>
      <c r="M2499" s="116">
        <v>433.2</v>
      </c>
      <c r="N2499" s="116">
        <v>461.2</v>
      </c>
      <c r="O2499" s="116">
        <v>431</v>
      </c>
      <c r="P2499" s="116">
        <v>454</v>
      </c>
      <c r="Q2499" s="116">
        <v>433.2</v>
      </c>
      <c r="R2499">
        <v>2310918</v>
      </c>
    </row>
    <row r="2500" spans="1:18" x14ac:dyDescent="0.25">
      <c r="A2500" s="170">
        <v>45685</v>
      </c>
      <c r="B2500" s="116">
        <v>461</v>
      </c>
      <c r="C2500" s="116">
        <v>433.4</v>
      </c>
      <c r="D2500" s="116">
        <v>431.5</v>
      </c>
      <c r="E2500" s="116">
        <v>452.1</v>
      </c>
      <c r="F2500" s="116">
        <v>433.4</v>
      </c>
      <c r="G2500">
        <v>194446</v>
      </c>
      <c r="H2500" s="116"/>
      <c r="I2500" s="116"/>
      <c r="L2500" s="170">
        <v>45686</v>
      </c>
      <c r="M2500" s="116">
        <v>438.3</v>
      </c>
      <c r="N2500" s="116">
        <v>444.95</v>
      </c>
      <c r="O2500" s="116">
        <v>430</v>
      </c>
      <c r="P2500" s="116">
        <v>440</v>
      </c>
      <c r="Q2500" s="116">
        <v>438.3</v>
      </c>
      <c r="R2500">
        <v>1683342</v>
      </c>
    </row>
    <row r="2501" spans="1:18" x14ac:dyDescent="0.25">
      <c r="A2501" s="170">
        <v>45686</v>
      </c>
      <c r="B2501" s="116">
        <v>445</v>
      </c>
      <c r="C2501" s="116">
        <v>438.15</v>
      </c>
      <c r="D2501" s="116">
        <v>430.1</v>
      </c>
      <c r="E2501" s="116">
        <v>438.45</v>
      </c>
      <c r="F2501" s="116">
        <v>438.15</v>
      </c>
      <c r="G2501">
        <v>142449</v>
      </c>
      <c r="H2501" s="116"/>
      <c r="I2501" s="116"/>
      <c r="L2501" s="170">
        <v>45687</v>
      </c>
      <c r="M2501" s="116">
        <v>441.35</v>
      </c>
      <c r="N2501" s="116">
        <v>452.4</v>
      </c>
      <c r="O2501" s="116">
        <v>438.8</v>
      </c>
      <c r="P2501" s="116">
        <v>439.4</v>
      </c>
      <c r="Q2501" s="116">
        <v>441.35</v>
      </c>
      <c r="R2501">
        <v>711322</v>
      </c>
    </row>
    <row r="2502" spans="1:18" x14ac:dyDescent="0.25">
      <c r="A2502" s="170">
        <v>45687</v>
      </c>
      <c r="B2502" s="116">
        <v>452.2</v>
      </c>
      <c r="C2502" s="116">
        <v>440.95</v>
      </c>
      <c r="D2502" s="116">
        <v>439</v>
      </c>
      <c r="E2502" s="116">
        <v>443.95</v>
      </c>
      <c r="F2502" s="116">
        <v>440.95</v>
      </c>
      <c r="G2502">
        <v>38772</v>
      </c>
      <c r="H2502" s="116"/>
      <c r="I2502" s="116"/>
      <c r="L2502" s="170">
        <v>45688</v>
      </c>
      <c r="M2502" s="116">
        <v>450.15</v>
      </c>
      <c r="N2502" s="116">
        <v>452.35</v>
      </c>
      <c r="O2502" s="116">
        <v>440.5</v>
      </c>
      <c r="P2502" s="116">
        <v>446.5</v>
      </c>
      <c r="Q2502" s="116">
        <v>450.15</v>
      </c>
      <c r="R2502">
        <v>1051297</v>
      </c>
    </row>
    <row r="2503" spans="1:18" x14ac:dyDescent="0.25">
      <c r="A2503" s="170">
        <v>45688</v>
      </c>
      <c r="B2503" s="116">
        <v>452.4</v>
      </c>
      <c r="C2503" s="116">
        <v>449.9</v>
      </c>
      <c r="D2503" s="116">
        <v>440.5</v>
      </c>
      <c r="E2503" s="116">
        <v>448.55</v>
      </c>
      <c r="F2503" s="116">
        <v>449.9</v>
      </c>
      <c r="G2503">
        <v>30747</v>
      </c>
      <c r="H2503" s="116"/>
      <c r="I2503" s="116"/>
      <c r="L2503" s="170">
        <v>45689</v>
      </c>
      <c r="M2503" s="116">
        <v>446</v>
      </c>
      <c r="N2503" s="116">
        <v>457.75</v>
      </c>
      <c r="O2503" s="116">
        <v>442.65</v>
      </c>
      <c r="P2503" s="116">
        <v>450.15</v>
      </c>
      <c r="Q2503" s="116">
        <v>446</v>
      </c>
      <c r="R2503">
        <v>831920</v>
      </c>
    </row>
    <row r="2504" spans="1:18" x14ac:dyDescent="0.25">
      <c r="A2504" s="170">
        <v>45689</v>
      </c>
      <c r="B2504" s="116">
        <v>457.5</v>
      </c>
      <c r="C2504" s="116">
        <v>445.75</v>
      </c>
      <c r="D2504" s="116">
        <v>442.65</v>
      </c>
      <c r="E2504" s="116">
        <v>454.8</v>
      </c>
      <c r="F2504" s="116">
        <v>445.75</v>
      </c>
      <c r="G2504">
        <v>42339</v>
      </c>
      <c r="H2504" s="116"/>
      <c r="I2504" s="116"/>
      <c r="L2504" s="170">
        <v>45691</v>
      </c>
      <c r="M2504" s="116">
        <v>432.55</v>
      </c>
      <c r="N2504" s="116">
        <v>445</v>
      </c>
      <c r="O2504" s="116">
        <v>426.55</v>
      </c>
      <c r="P2504" s="116">
        <v>445</v>
      </c>
      <c r="Q2504" s="116">
        <v>432.55</v>
      </c>
      <c r="R2504">
        <v>1149990</v>
      </c>
    </row>
    <row r="2505" spans="1:18" x14ac:dyDescent="0.25">
      <c r="A2505" s="170">
        <v>45691</v>
      </c>
      <c r="B2505" s="116">
        <v>445.7</v>
      </c>
      <c r="C2505" s="116">
        <v>432.8</v>
      </c>
      <c r="D2505" s="116">
        <v>426.4</v>
      </c>
      <c r="E2505" s="116">
        <v>445.7</v>
      </c>
      <c r="F2505" s="116">
        <v>432.8</v>
      </c>
      <c r="G2505">
        <v>43816</v>
      </c>
      <c r="H2505" s="116"/>
      <c r="I2505" s="116"/>
      <c r="L2505" s="170">
        <v>45692</v>
      </c>
      <c r="M2505" s="116">
        <v>436.9</v>
      </c>
      <c r="N2505" s="116">
        <v>443.9</v>
      </c>
      <c r="O2505" s="116">
        <v>432</v>
      </c>
      <c r="P2505" s="116">
        <v>438.5</v>
      </c>
      <c r="Q2505" s="116">
        <v>436.9</v>
      </c>
      <c r="R2505">
        <v>1049689</v>
      </c>
    </row>
    <row r="2506" spans="1:18" x14ac:dyDescent="0.25">
      <c r="A2506" s="170">
        <v>45692</v>
      </c>
      <c r="B2506" s="116">
        <v>443.55</v>
      </c>
      <c r="C2506" s="116">
        <v>437.15</v>
      </c>
      <c r="D2506" s="116">
        <v>432.2</v>
      </c>
      <c r="E2506" s="116">
        <v>433.2</v>
      </c>
      <c r="F2506" s="116">
        <v>437.15</v>
      </c>
      <c r="G2506">
        <v>67854</v>
      </c>
      <c r="H2506" s="116"/>
      <c r="I2506" s="116"/>
      <c r="L2506" s="170">
        <v>45693</v>
      </c>
      <c r="M2506" s="116">
        <v>467.45</v>
      </c>
      <c r="N2506" s="116">
        <v>469.2</v>
      </c>
      <c r="O2506" s="116">
        <v>438.65</v>
      </c>
      <c r="P2506" s="116">
        <v>442.2</v>
      </c>
      <c r="Q2506" s="116">
        <v>467.45</v>
      </c>
      <c r="R2506">
        <v>3709519</v>
      </c>
    </row>
    <row r="2507" spans="1:18" x14ac:dyDescent="0.25">
      <c r="A2507" s="170">
        <v>45693</v>
      </c>
      <c r="B2507" s="116">
        <v>469.35</v>
      </c>
      <c r="C2507" s="116">
        <v>467.4</v>
      </c>
      <c r="D2507" s="116">
        <v>439</v>
      </c>
      <c r="E2507" s="116">
        <v>442</v>
      </c>
      <c r="F2507" s="116">
        <v>467.4</v>
      </c>
      <c r="G2507">
        <v>340655</v>
      </c>
      <c r="H2507" s="116"/>
      <c r="I2507" s="116"/>
      <c r="L2507" s="170">
        <v>45694</v>
      </c>
      <c r="M2507" s="116">
        <v>442.9</v>
      </c>
      <c r="N2507" s="116">
        <v>467.45</v>
      </c>
      <c r="O2507" s="116">
        <v>441.6</v>
      </c>
      <c r="P2507" s="116">
        <v>465</v>
      </c>
      <c r="Q2507" s="116">
        <v>442.9</v>
      </c>
      <c r="R2507">
        <v>2683938</v>
      </c>
    </row>
    <row r="2508" spans="1:18" x14ac:dyDescent="0.25">
      <c r="A2508" s="170">
        <v>45694</v>
      </c>
      <c r="B2508" s="116">
        <v>466.55</v>
      </c>
      <c r="C2508" s="116">
        <v>443.05</v>
      </c>
      <c r="D2508" s="116">
        <v>441.8</v>
      </c>
      <c r="E2508" s="116">
        <v>466.55</v>
      </c>
      <c r="F2508" s="116">
        <v>443.05</v>
      </c>
      <c r="G2508">
        <v>101236</v>
      </c>
      <c r="H2508" s="116"/>
      <c r="I2508" s="116"/>
      <c r="L2508" s="170">
        <v>45695</v>
      </c>
      <c r="M2508" s="116">
        <v>440.35</v>
      </c>
      <c r="N2508" s="116">
        <v>446.6</v>
      </c>
      <c r="O2508" s="116">
        <v>436.5</v>
      </c>
      <c r="P2508" s="116">
        <v>444</v>
      </c>
      <c r="Q2508" s="116">
        <v>440.35</v>
      </c>
      <c r="R2508">
        <v>1289638</v>
      </c>
    </row>
    <row r="2509" spans="1:18" x14ac:dyDescent="0.25">
      <c r="A2509" s="170">
        <v>45695</v>
      </c>
      <c r="B2509" s="116">
        <v>446</v>
      </c>
      <c r="C2509" s="116">
        <v>440.2</v>
      </c>
      <c r="D2509" s="116">
        <v>436.25</v>
      </c>
      <c r="E2509" s="116">
        <v>443.15</v>
      </c>
      <c r="F2509" s="116">
        <v>440.2</v>
      </c>
      <c r="G2509">
        <v>153413</v>
      </c>
      <c r="H2509" s="116"/>
      <c r="I2509" s="116"/>
      <c r="L2509" s="170">
        <v>45698</v>
      </c>
      <c r="M2509" s="116">
        <v>435.65</v>
      </c>
      <c r="N2509" s="116">
        <v>443.9</v>
      </c>
      <c r="O2509" s="116">
        <v>433</v>
      </c>
      <c r="P2509" s="116">
        <v>441.6</v>
      </c>
      <c r="Q2509" s="116">
        <v>435.65</v>
      </c>
      <c r="R2509">
        <v>1061336</v>
      </c>
    </row>
    <row r="2510" spans="1:18" x14ac:dyDescent="0.25">
      <c r="A2510" s="170">
        <v>45698</v>
      </c>
      <c r="B2510" s="116">
        <v>444.45</v>
      </c>
      <c r="C2510" s="116">
        <v>435.7</v>
      </c>
      <c r="D2510" s="116">
        <v>434.5</v>
      </c>
      <c r="E2510" s="116">
        <v>444.45</v>
      </c>
      <c r="F2510" s="116">
        <v>435.7</v>
      </c>
      <c r="G2510">
        <v>44398</v>
      </c>
      <c r="H2510" s="116"/>
      <c r="I2510" s="116"/>
      <c r="L2510" s="170">
        <v>45699</v>
      </c>
      <c r="M2510" s="116">
        <v>416.85</v>
      </c>
      <c r="N2510" s="116">
        <v>438.45</v>
      </c>
      <c r="O2510" s="116">
        <v>413.95</v>
      </c>
      <c r="P2510" s="116">
        <v>435</v>
      </c>
      <c r="Q2510" s="116">
        <v>416.85</v>
      </c>
      <c r="R2510">
        <v>1597914</v>
      </c>
    </row>
    <row r="2511" spans="1:18" x14ac:dyDescent="0.25">
      <c r="A2511" s="170">
        <v>45699</v>
      </c>
      <c r="B2511" s="116">
        <v>438</v>
      </c>
      <c r="C2511" s="116">
        <v>417.05</v>
      </c>
      <c r="D2511" s="116">
        <v>413.15</v>
      </c>
      <c r="E2511" s="116">
        <v>435.5</v>
      </c>
      <c r="F2511" s="116">
        <v>417.05</v>
      </c>
      <c r="G2511">
        <v>161030</v>
      </c>
      <c r="H2511" s="116"/>
      <c r="I2511" s="116"/>
      <c r="L2511" s="170">
        <v>45700</v>
      </c>
      <c r="M2511" s="116">
        <v>420.35</v>
      </c>
      <c r="N2511" s="116">
        <v>424.3</v>
      </c>
      <c r="O2511" s="116">
        <v>408.3</v>
      </c>
      <c r="P2511" s="116">
        <v>420.25</v>
      </c>
      <c r="Q2511" s="116">
        <v>420.35</v>
      </c>
      <c r="R2511">
        <v>1334554</v>
      </c>
    </row>
    <row r="2512" spans="1:18" x14ac:dyDescent="0.25">
      <c r="A2512" s="170">
        <v>45700</v>
      </c>
      <c r="B2512" s="116">
        <v>424.25</v>
      </c>
      <c r="C2512" s="116">
        <v>420.25</v>
      </c>
      <c r="D2512" s="116">
        <v>408.6</v>
      </c>
      <c r="E2512" s="116">
        <v>420</v>
      </c>
      <c r="F2512" s="116">
        <v>420.25</v>
      </c>
      <c r="G2512">
        <v>177727</v>
      </c>
      <c r="H2512" s="116"/>
      <c r="I2512" s="116"/>
      <c r="L2512" s="170">
        <v>45701</v>
      </c>
      <c r="M2512" s="116">
        <v>411.8</v>
      </c>
      <c r="N2512" s="116">
        <v>426.95</v>
      </c>
      <c r="O2512" s="116">
        <v>411</v>
      </c>
      <c r="P2512" s="116">
        <v>422</v>
      </c>
      <c r="Q2512" s="116">
        <v>411.8</v>
      </c>
      <c r="R2512">
        <v>1237837</v>
      </c>
    </row>
    <row r="2513" spans="1:18" x14ac:dyDescent="0.25">
      <c r="A2513" s="170">
        <v>45701</v>
      </c>
      <c r="B2513" s="116">
        <v>426.8</v>
      </c>
      <c r="C2513" s="116">
        <v>412</v>
      </c>
      <c r="D2513" s="116">
        <v>411</v>
      </c>
      <c r="E2513" s="116">
        <v>422.95</v>
      </c>
      <c r="F2513" s="116">
        <v>412</v>
      </c>
      <c r="G2513">
        <v>71220</v>
      </c>
      <c r="H2513" s="116"/>
      <c r="I2513" s="116"/>
      <c r="L2513" s="170">
        <v>45702</v>
      </c>
      <c r="M2513" s="116">
        <v>416.55</v>
      </c>
      <c r="N2513" s="116">
        <v>422.5</v>
      </c>
      <c r="O2513" s="116">
        <v>410.15</v>
      </c>
      <c r="P2513" s="116">
        <v>414</v>
      </c>
      <c r="Q2513" s="116">
        <v>416.55</v>
      </c>
      <c r="R2513">
        <v>2778054</v>
      </c>
    </row>
    <row r="2514" spans="1:18" x14ac:dyDescent="0.25">
      <c r="A2514" s="170">
        <v>45702</v>
      </c>
      <c r="B2514" s="116">
        <v>422.25</v>
      </c>
      <c r="C2514" s="116">
        <v>416.6</v>
      </c>
      <c r="D2514" s="116">
        <v>410.05</v>
      </c>
      <c r="E2514" s="116">
        <v>417.95</v>
      </c>
      <c r="F2514" s="116">
        <v>416.6</v>
      </c>
      <c r="G2514">
        <v>109321</v>
      </c>
      <c r="H2514" s="116"/>
      <c r="I2514" s="116"/>
      <c r="L2514" s="170">
        <v>45705</v>
      </c>
      <c r="M2514" s="116">
        <v>415.55</v>
      </c>
      <c r="N2514" s="116">
        <v>416.65</v>
      </c>
      <c r="O2514" s="116">
        <v>402.55</v>
      </c>
      <c r="P2514" s="116">
        <v>411.55</v>
      </c>
      <c r="Q2514" s="116">
        <v>415.55</v>
      </c>
      <c r="R2514">
        <v>1569698</v>
      </c>
    </row>
    <row r="2515" spans="1:18" x14ac:dyDescent="0.25">
      <c r="A2515" s="170">
        <v>45705</v>
      </c>
      <c r="B2515" s="116">
        <v>416.75</v>
      </c>
      <c r="C2515" s="116">
        <v>415.7</v>
      </c>
      <c r="D2515" s="116">
        <v>402.55</v>
      </c>
      <c r="E2515" s="116">
        <v>413.95</v>
      </c>
      <c r="F2515" s="116">
        <v>415.7</v>
      </c>
      <c r="G2515">
        <v>179709</v>
      </c>
      <c r="H2515" s="116"/>
      <c r="I2515" s="116"/>
      <c r="L2515" s="170">
        <v>45706</v>
      </c>
      <c r="M2515" s="116">
        <v>409.05</v>
      </c>
      <c r="N2515" s="116">
        <v>419</v>
      </c>
      <c r="O2515" s="116">
        <v>404.7</v>
      </c>
      <c r="P2515" s="116">
        <v>417</v>
      </c>
      <c r="Q2515" s="116">
        <v>409.05</v>
      </c>
      <c r="R2515">
        <v>763874</v>
      </c>
    </row>
    <row r="2516" spans="1:18" x14ac:dyDescent="0.25">
      <c r="A2516" s="170">
        <v>45706</v>
      </c>
      <c r="B2516" s="116">
        <v>419</v>
      </c>
      <c r="C2516" s="116">
        <v>408.8</v>
      </c>
      <c r="D2516" s="116">
        <v>404.8</v>
      </c>
      <c r="E2516" s="116">
        <v>416.1</v>
      </c>
      <c r="F2516" s="116">
        <v>408.8</v>
      </c>
      <c r="G2516">
        <v>100357</v>
      </c>
      <c r="H2516" s="116"/>
      <c r="I2516" s="116"/>
      <c r="L2516" s="170">
        <v>45707</v>
      </c>
      <c r="M2516" s="116">
        <v>413.45</v>
      </c>
      <c r="N2516" s="116">
        <v>414.55</v>
      </c>
      <c r="O2516" s="116">
        <v>406.6</v>
      </c>
      <c r="P2516" s="116">
        <v>409.05</v>
      </c>
      <c r="Q2516" s="116">
        <v>413.45</v>
      </c>
      <c r="R2516">
        <v>984098</v>
      </c>
    </row>
    <row r="2517" spans="1:18" x14ac:dyDescent="0.25">
      <c r="A2517" s="170">
        <v>45707</v>
      </c>
      <c r="B2517" s="116">
        <v>414.75</v>
      </c>
      <c r="C2517" s="116">
        <v>413.45</v>
      </c>
      <c r="D2517" s="116">
        <v>407</v>
      </c>
      <c r="E2517" s="116">
        <v>408.15</v>
      </c>
      <c r="F2517" s="116">
        <v>413.45</v>
      </c>
      <c r="G2517">
        <v>105970</v>
      </c>
      <c r="H2517" s="116"/>
      <c r="I2517" s="116"/>
      <c r="L2517" s="170">
        <v>45708</v>
      </c>
      <c r="M2517" s="116">
        <v>422.85</v>
      </c>
      <c r="N2517" s="116">
        <v>424.25</v>
      </c>
      <c r="O2517" s="116">
        <v>411.8</v>
      </c>
      <c r="P2517" s="116">
        <v>412</v>
      </c>
      <c r="Q2517" s="116">
        <v>422.85</v>
      </c>
      <c r="R2517">
        <v>971143</v>
      </c>
    </row>
    <row r="2518" spans="1:18" x14ac:dyDescent="0.25">
      <c r="A2518" s="170">
        <v>45708</v>
      </c>
      <c r="B2518" s="116">
        <v>424</v>
      </c>
      <c r="C2518" s="116">
        <v>422.6</v>
      </c>
      <c r="D2518" s="116">
        <v>410.25</v>
      </c>
      <c r="E2518" s="116">
        <v>410.25</v>
      </c>
      <c r="F2518" s="116">
        <v>422.6</v>
      </c>
      <c r="G2518">
        <v>83044</v>
      </c>
      <c r="H2518" s="116"/>
      <c r="I2518" s="116"/>
      <c r="L2518" s="170">
        <v>45709</v>
      </c>
      <c r="M2518" s="116">
        <v>426.65</v>
      </c>
      <c r="N2518" s="116">
        <v>430.2</v>
      </c>
      <c r="O2518" s="116">
        <v>420.05</v>
      </c>
      <c r="P2518" s="116">
        <v>422.75</v>
      </c>
      <c r="Q2518" s="116">
        <v>426.65</v>
      </c>
      <c r="R2518">
        <v>1071716</v>
      </c>
    </row>
    <row r="2519" spans="1:18" x14ac:dyDescent="0.25">
      <c r="A2519" s="170">
        <v>45709</v>
      </c>
      <c r="B2519" s="116">
        <v>430.35</v>
      </c>
      <c r="C2519" s="116">
        <v>426.6</v>
      </c>
      <c r="D2519" s="116">
        <v>420.5</v>
      </c>
      <c r="E2519" s="116">
        <v>423</v>
      </c>
      <c r="F2519" s="116">
        <v>426.6</v>
      </c>
      <c r="G2519">
        <v>45222</v>
      </c>
      <c r="H2519" s="116"/>
      <c r="I2519" s="116"/>
      <c r="L2519" s="170">
        <v>45712</v>
      </c>
      <c r="M2519" s="116">
        <v>415.65</v>
      </c>
      <c r="N2519" s="116">
        <v>425.95</v>
      </c>
      <c r="O2519" s="116">
        <v>415.05</v>
      </c>
      <c r="P2519" s="116">
        <v>421</v>
      </c>
      <c r="Q2519" s="116">
        <v>415.65</v>
      </c>
      <c r="R2519">
        <v>1024804</v>
      </c>
    </row>
    <row r="2520" spans="1:18" x14ac:dyDescent="0.25">
      <c r="A2520" s="170">
        <v>45712</v>
      </c>
      <c r="B2520" s="116">
        <v>425.95</v>
      </c>
      <c r="C2520" s="116">
        <v>415.75</v>
      </c>
      <c r="D2520" s="116">
        <v>415.05</v>
      </c>
      <c r="E2520" s="116">
        <v>424.5</v>
      </c>
      <c r="F2520" s="116">
        <v>415.75</v>
      </c>
      <c r="G2520">
        <v>37878</v>
      </c>
      <c r="H2520" s="116"/>
      <c r="I2520" s="116"/>
      <c r="L2520" s="170">
        <v>45713</v>
      </c>
      <c r="M2520" s="116">
        <v>407.25</v>
      </c>
      <c r="N2520" s="116">
        <v>416.85</v>
      </c>
      <c r="O2520" s="116">
        <v>405.1</v>
      </c>
      <c r="P2520" s="116">
        <v>414.75</v>
      </c>
      <c r="Q2520" s="116">
        <v>407.25</v>
      </c>
      <c r="R2520">
        <v>732520</v>
      </c>
    </row>
    <row r="2521" spans="1:18" x14ac:dyDescent="0.25">
      <c r="A2521" s="170">
        <v>45713</v>
      </c>
      <c r="B2521" s="116">
        <v>417.3</v>
      </c>
      <c r="C2521" s="116">
        <v>407.2</v>
      </c>
      <c r="D2521" s="116">
        <v>406</v>
      </c>
      <c r="E2521" s="116">
        <v>415.65</v>
      </c>
      <c r="F2521" s="116">
        <v>407.2</v>
      </c>
      <c r="G2521">
        <v>81104</v>
      </c>
      <c r="H2521" s="116"/>
      <c r="I2521" s="116"/>
      <c r="L2521" s="170">
        <v>45715</v>
      </c>
      <c r="M2521" s="116">
        <v>411.75</v>
      </c>
      <c r="N2521" s="116">
        <v>415</v>
      </c>
      <c r="O2521" s="116">
        <v>403.05</v>
      </c>
      <c r="P2521" s="116">
        <v>407</v>
      </c>
      <c r="Q2521" s="116">
        <v>411.75</v>
      </c>
      <c r="R2521">
        <v>1034655</v>
      </c>
    </row>
    <row r="2522" spans="1:18" x14ac:dyDescent="0.25">
      <c r="A2522" s="170">
        <v>45715</v>
      </c>
      <c r="B2522" s="116">
        <v>414.65</v>
      </c>
      <c r="C2522" s="116">
        <v>411.35</v>
      </c>
      <c r="D2522" s="116">
        <v>403</v>
      </c>
      <c r="E2522" s="116">
        <v>409.8</v>
      </c>
      <c r="F2522" s="116">
        <v>411.35</v>
      </c>
      <c r="G2522">
        <v>75878</v>
      </c>
      <c r="H2522" s="116"/>
      <c r="I2522" s="116"/>
      <c r="L2522" s="170">
        <v>45716</v>
      </c>
      <c r="M2522" s="116">
        <v>390.8</v>
      </c>
      <c r="N2522" s="116">
        <v>407</v>
      </c>
      <c r="O2522" s="116">
        <v>390</v>
      </c>
      <c r="P2522" s="116">
        <v>406</v>
      </c>
      <c r="Q2522" s="116">
        <v>390.8</v>
      </c>
      <c r="R2522">
        <v>1613553</v>
      </c>
    </row>
    <row r="2523" spans="1:18" x14ac:dyDescent="0.25">
      <c r="A2523" s="170">
        <v>45716</v>
      </c>
      <c r="B2523" s="116">
        <v>408.85</v>
      </c>
      <c r="C2523" s="116">
        <v>390.75</v>
      </c>
      <c r="D2523" s="116">
        <v>390</v>
      </c>
      <c r="E2523" s="116">
        <v>408.85</v>
      </c>
      <c r="F2523" s="116">
        <v>390.75</v>
      </c>
      <c r="G2523">
        <v>73227</v>
      </c>
      <c r="H2523" s="116"/>
      <c r="I2523" s="116"/>
      <c r="L2523" s="170">
        <v>45719</v>
      </c>
      <c r="M2523" s="116">
        <v>387.45</v>
      </c>
      <c r="N2523" s="116">
        <v>395.3</v>
      </c>
      <c r="O2523" s="116">
        <v>378.15</v>
      </c>
      <c r="P2523" s="116">
        <v>392</v>
      </c>
      <c r="Q2523" s="116">
        <v>387.45</v>
      </c>
      <c r="R2523">
        <v>2004706</v>
      </c>
    </row>
    <row r="2524" spans="1:18" x14ac:dyDescent="0.25">
      <c r="A2524" s="170">
        <v>45719</v>
      </c>
      <c r="B2524" s="116">
        <v>397.7</v>
      </c>
      <c r="C2524" s="116">
        <v>387.5</v>
      </c>
      <c r="D2524" s="116">
        <v>378.65</v>
      </c>
      <c r="E2524" s="116">
        <v>397.7</v>
      </c>
      <c r="F2524" s="116">
        <v>387.5</v>
      </c>
      <c r="G2524">
        <v>156452</v>
      </c>
      <c r="H2524" s="116"/>
      <c r="I2524" s="116"/>
      <c r="L2524" s="170">
        <v>45720</v>
      </c>
      <c r="M2524" s="116">
        <v>395.45</v>
      </c>
      <c r="N2524" s="116">
        <v>398.7</v>
      </c>
      <c r="O2524" s="116">
        <v>381.45</v>
      </c>
      <c r="P2524" s="116">
        <v>384.9</v>
      </c>
      <c r="Q2524" s="116">
        <v>395.45</v>
      </c>
      <c r="R2524">
        <v>1558931</v>
      </c>
    </row>
    <row r="2525" spans="1:18" x14ac:dyDescent="0.25">
      <c r="A2525" s="170">
        <v>45720</v>
      </c>
      <c r="B2525" s="116">
        <v>398.5</v>
      </c>
      <c r="C2525" s="116">
        <v>395.4</v>
      </c>
      <c r="D2525" s="116">
        <v>381.15</v>
      </c>
      <c r="E2525" s="116">
        <v>385</v>
      </c>
      <c r="F2525" s="116">
        <v>395.4</v>
      </c>
      <c r="G2525">
        <v>174872</v>
      </c>
      <c r="H2525" s="116"/>
      <c r="I2525" s="116"/>
      <c r="L2525" s="170">
        <v>45721</v>
      </c>
      <c r="M2525" s="116">
        <v>411.25</v>
      </c>
      <c r="N2525" s="116">
        <v>412.8</v>
      </c>
      <c r="O2525" s="116">
        <v>395.45</v>
      </c>
      <c r="P2525" s="116">
        <v>395.45</v>
      </c>
      <c r="Q2525" s="116">
        <v>411.25</v>
      </c>
      <c r="R2525">
        <v>1925095</v>
      </c>
    </row>
    <row r="2526" spans="1:18" x14ac:dyDescent="0.25">
      <c r="A2526" s="170">
        <v>45721</v>
      </c>
      <c r="B2526" s="116">
        <v>412.8</v>
      </c>
      <c r="C2526" s="116">
        <v>411.35</v>
      </c>
      <c r="D2526" s="116">
        <v>396.2</v>
      </c>
      <c r="E2526" s="116">
        <v>398.5</v>
      </c>
      <c r="F2526" s="116">
        <v>411.35</v>
      </c>
      <c r="G2526">
        <v>122269</v>
      </c>
      <c r="H2526" s="116"/>
      <c r="I2526" s="116"/>
      <c r="L2526" s="170">
        <v>45722</v>
      </c>
      <c r="M2526" s="116">
        <v>426.1</v>
      </c>
      <c r="N2526" s="116">
        <v>429.35</v>
      </c>
      <c r="O2526" s="116">
        <v>416.25</v>
      </c>
      <c r="P2526" s="116">
        <v>418</v>
      </c>
      <c r="Q2526" s="116">
        <v>426.1</v>
      </c>
      <c r="R2526">
        <v>2634281</v>
      </c>
    </row>
    <row r="2527" spans="1:18" x14ac:dyDescent="0.25">
      <c r="A2527" s="170">
        <v>45722</v>
      </c>
      <c r="B2527" s="116">
        <v>429.2</v>
      </c>
      <c r="C2527" s="116">
        <v>426.1</v>
      </c>
      <c r="D2527" s="116">
        <v>416.5</v>
      </c>
      <c r="E2527" s="116">
        <v>418.95</v>
      </c>
      <c r="F2527" s="116">
        <v>426.1</v>
      </c>
      <c r="G2527">
        <v>207813</v>
      </c>
      <c r="H2527" s="116"/>
      <c r="I2527" s="116"/>
      <c r="L2527" s="170">
        <v>45723</v>
      </c>
      <c r="M2527" s="116">
        <v>429.35</v>
      </c>
      <c r="N2527" s="116">
        <v>437.95</v>
      </c>
      <c r="O2527" s="116">
        <v>428.2</v>
      </c>
      <c r="P2527" s="116">
        <v>430.05</v>
      </c>
      <c r="Q2527" s="116">
        <v>429.35</v>
      </c>
      <c r="R2527">
        <v>2097278</v>
      </c>
    </row>
    <row r="2528" spans="1:18" x14ac:dyDescent="0.25">
      <c r="A2528" s="170">
        <v>45723</v>
      </c>
      <c r="B2528" s="116">
        <v>437.9</v>
      </c>
      <c r="C2528" s="116">
        <v>429.05</v>
      </c>
      <c r="D2528" s="116">
        <v>427.8</v>
      </c>
      <c r="E2528" s="116">
        <v>429.3</v>
      </c>
      <c r="F2528" s="116">
        <v>429.05</v>
      </c>
      <c r="G2528">
        <v>209061</v>
      </c>
      <c r="H2528" s="116"/>
      <c r="I2528" s="116"/>
      <c r="L2528" s="170">
        <v>45726</v>
      </c>
      <c r="M2528" s="116">
        <v>426.45</v>
      </c>
      <c r="N2528" s="116">
        <v>434.05</v>
      </c>
      <c r="O2528" s="116">
        <v>425</v>
      </c>
      <c r="P2528" s="116">
        <v>429.05</v>
      </c>
      <c r="Q2528" s="116">
        <v>426.45</v>
      </c>
      <c r="R2528">
        <v>1448034</v>
      </c>
    </row>
    <row r="2529" spans="1:18" x14ac:dyDescent="0.25">
      <c r="A2529" s="170">
        <v>45726</v>
      </c>
      <c r="B2529" s="116">
        <v>433.95</v>
      </c>
      <c r="C2529" s="116">
        <v>426.7</v>
      </c>
      <c r="D2529" s="116">
        <v>425.35</v>
      </c>
      <c r="E2529" s="116">
        <v>429.95</v>
      </c>
      <c r="F2529" s="116">
        <v>426.7</v>
      </c>
      <c r="G2529">
        <v>62434</v>
      </c>
      <c r="H2529" s="116"/>
      <c r="I2529" s="116"/>
      <c r="L2529" s="170">
        <v>45727</v>
      </c>
      <c r="M2529" s="116">
        <v>427.4</v>
      </c>
      <c r="N2529" s="116">
        <v>431.7</v>
      </c>
      <c r="O2529" s="116">
        <v>420.3</v>
      </c>
      <c r="P2529" s="116">
        <v>422</v>
      </c>
      <c r="Q2529" s="116">
        <v>427.4</v>
      </c>
      <c r="R2529">
        <v>2153628</v>
      </c>
    </row>
    <row r="2530" spans="1:18" x14ac:dyDescent="0.25">
      <c r="A2530" s="170">
        <v>45727</v>
      </c>
      <c r="B2530" s="116">
        <v>431.8</v>
      </c>
      <c r="C2530" s="116">
        <v>427.2</v>
      </c>
      <c r="D2530" s="116">
        <v>420.05</v>
      </c>
      <c r="E2530" s="116">
        <v>421.55</v>
      </c>
      <c r="F2530" s="116">
        <v>427.2</v>
      </c>
      <c r="G2530">
        <v>160402</v>
      </c>
      <c r="H2530" s="116"/>
      <c r="I2530" s="116"/>
      <c r="L2530" s="170">
        <v>45728</v>
      </c>
      <c r="M2530" s="116">
        <v>427.65</v>
      </c>
      <c r="N2530" s="116">
        <v>432.65</v>
      </c>
      <c r="O2530" s="116">
        <v>425.75</v>
      </c>
      <c r="P2530" s="116">
        <v>429</v>
      </c>
      <c r="Q2530" s="116">
        <v>427.65</v>
      </c>
      <c r="R2530">
        <v>1225552</v>
      </c>
    </row>
    <row r="2531" spans="1:18" x14ac:dyDescent="0.25">
      <c r="A2531" s="170">
        <v>45728</v>
      </c>
      <c r="B2531" s="116">
        <v>432.55</v>
      </c>
      <c r="C2531" s="116">
        <v>428</v>
      </c>
      <c r="D2531" s="116">
        <v>425.5</v>
      </c>
      <c r="E2531" s="116">
        <v>428.35</v>
      </c>
      <c r="F2531" s="116">
        <v>428</v>
      </c>
      <c r="G2531">
        <v>52385</v>
      </c>
      <c r="H2531" s="116"/>
      <c r="I2531" s="116"/>
      <c r="L2531" s="170">
        <v>45729</v>
      </c>
      <c r="M2531" s="116">
        <v>430</v>
      </c>
      <c r="N2531" s="116">
        <v>436.9</v>
      </c>
      <c r="O2531" s="116">
        <v>428</v>
      </c>
      <c r="P2531" s="116">
        <v>430</v>
      </c>
      <c r="Q2531" s="116">
        <v>430</v>
      </c>
      <c r="R2531">
        <v>1372791</v>
      </c>
    </row>
    <row r="2532" spans="1:18" x14ac:dyDescent="0.25">
      <c r="A2532" s="170">
        <v>45729</v>
      </c>
      <c r="B2532" s="116">
        <v>436.85</v>
      </c>
      <c r="C2532" s="116">
        <v>429.85</v>
      </c>
      <c r="D2532" s="116">
        <v>428</v>
      </c>
      <c r="E2532" s="116">
        <v>429.4</v>
      </c>
      <c r="F2532" s="116">
        <v>429.85</v>
      </c>
      <c r="G2532">
        <v>125549</v>
      </c>
      <c r="H2532" s="116"/>
      <c r="I2532" s="116"/>
      <c r="L2532" s="170">
        <v>45733</v>
      </c>
      <c r="M2532" s="116">
        <v>435.35</v>
      </c>
      <c r="N2532" s="116">
        <v>442</v>
      </c>
      <c r="O2532" s="116">
        <v>430.55</v>
      </c>
      <c r="P2532" s="116">
        <v>430.55</v>
      </c>
      <c r="Q2532" s="116">
        <v>435.35</v>
      </c>
      <c r="R2532">
        <v>1569518</v>
      </c>
    </row>
    <row r="2533" spans="1:18" x14ac:dyDescent="0.25">
      <c r="A2533" s="170">
        <v>45733</v>
      </c>
      <c r="B2533" s="116">
        <v>442</v>
      </c>
      <c r="C2533" s="116">
        <v>435.3</v>
      </c>
      <c r="D2533" s="116">
        <v>430.6</v>
      </c>
      <c r="E2533" s="116">
        <v>431.15</v>
      </c>
      <c r="F2533" s="116">
        <v>435.3</v>
      </c>
      <c r="G2533">
        <v>88780</v>
      </c>
      <c r="H2533" s="116"/>
      <c r="I2533" s="116"/>
      <c r="L2533" s="170">
        <v>45734</v>
      </c>
      <c r="M2533" s="116">
        <v>436.4</v>
      </c>
      <c r="N2533" s="116">
        <v>439.75</v>
      </c>
      <c r="O2533" s="116">
        <v>435.25</v>
      </c>
      <c r="P2533" s="116">
        <v>437.8</v>
      </c>
      <c r="Q2533" s="116">
        <v>436.4</v>
      </c>
      <c r="R2533">
        <v>1323931</v>
      </c>
    </row>
    <row r="2534" spans="1:18" x14ac:dyDescent="0.25">
      <c r="A2534" s="170">
        <v>45734</v>
      </c>
      <c r="B2534" s="116">
        <v>439.7</v>
      </c>
      <c r="C2534" s="116">
        <v>436.6</v>
      </c>
      <c r="D2534" s="116">
        <v>435.5</v>
      </c>
      <c r="E2534" s="116">
        <v>436.35</v>
      </c>
      <c r="F2534" s="116">
        <v>436.6</v>
      </c>
      <c r="G2534">
        <v>58673</v>
      </c>
      <c r="H2534" s="116"/>
      <c r="I2534" s="116"/>
      <c r="L2534" s="170">
        <v>45735</v>
      </c>
      <c r="M2534" s="116">
        <v>454.25</v>
      </c>
      <c r="N2534" s="116">
        <v>477.8</v>
      </c>
      <c r="O2534" s="116">
        <v>440.25</v>
      </c>
      <c r="P2534" s="116">
        <v>441.5</v>
      </c>
      <c r="Q2534" s="116">
        <v>454.25</v>
      </c>
      <c r="R2534">
        <v>7177341</v>
      </c>
    </row>
    <row r="2535" spans="1:18" x14ac:dyDescent="0.25">
      <c r="A2535" s="170">
        <v>45735</v>
      </c>
      <c r="B2535" s="116">
        <v>477.65</v>
      </c>
      <c r="C2535" s="116">
        <v>454.2</v>
      </c>
      <c r="D2535" s="116">
        <v>438.5</v>
      </c>
      <c r="E2535" s="116">
        <v>438.5</v>
      </c>
      <c r="F2535" s="116">
        <v>454.2</v>
      </c>
      <c r="G2535">
        <v>683221</v>
      </c>
      <c r="H2535" s="116"/>
      <c r="I2535" s="116"/>
      <c r="L2535" s="170">
        <v>45736</v>
      </c>
      <c r="M2535" s="116">
        <v>456.35</v>
      </c>
      <c r="N2535" s="116">
        <v>464</v>
      </c>
      <c r="O2535" s="116">
        <v>445.6</v>
      </c>
      <c r="P2535" s="116">
        <v>458</v>
      </c>
      <c r="Q2535" s="116">
        <v>456.35</v>
      </c>
      <c r="R2535">
        <v>2796560</v>
      </c>
    </row>
    <row r="2536" spans="1:18" x14ac:dyDescent="0.25">
      <c r="A2536" s="170">
        <v>45736</v>
      </c>
      <c r="B2536" s="116">
        <v>464</v>
      </c>
      <c r="C2536" s="116">
        <v>456.4</v>
      </c>
      <c r="D2536" s="116">
        <v>446</v>
      </c>
      <c r="E2536" s="116">
        <v>458.7</v>
      </c>
      <c r="F2536" s="116">
        <v>456.4</v>
      </c>
      <c r="G2536">
        <v>130658</v>
      </c>
      <c r="H2536" s="116"/>
      <c r="I2536" s="116"/>
      <c r="L2536" s="170">
        <v>45737</v>
      </c>
      <c r="M2536" s="116">
        <v>446.4</v>
      </c>
      <c r="N2536" s="116">
        <v>458.6</v>
      </c>
      <c r="O2536" s="116">
        <v>442</v>
      </c>
      <c r="P2536" s="116">
        <v>458.25</v>
      </c>
      <c r="Q2536" s="116">
        <v>446.4</v>
      </c>
      <c r="R2536">
        <v>3772285</v>
      </c>
    </row>
    <row r="2537" spans="1:18" x14ac:dyDescent="0.25">
      <c r="A2537" s="170">
        <v>45737</v>
      </c>
      <c r="B2537" s="116">
        <v>458.55</v>
      </c>
      <c r="C2537" s="116">
        <v>446.4</v>
      </c>
      <c r="D2537" s="116">
        <v>442.2</v>
      </c>
      <c r="E2537" s="116">
        <v>456.6</v>
      </c>
      <c r="F2537" s="116">
        <v>446.4</v>
      </c>
      <c r="G2537">
        <v>212930</v>
      </c>
      <c r="H2537" s="116"/>
      <c r="I2537" s="116"/>
      <c r="L2537" s="170">
        <v>45740</v>
      </c>
      <c r="M2537" s="116">
        <v>453.3</v>
      </c>
      <c r="N2537" s="116">
        <v>457.85</v>
      </c>
      <c r="O2537" s="116">
        <v>448.4</v>
      </c>
      <c r="P2537" s="116">
        <v>448.65</v>
      </c>
      <c r="Q2537" s="116">
        <v>453.3</v>
      </c>
      <c r="R2537">
        <v>1406526</v>
      </c>
    </row>
    <row r="2538" spans="1:18" x14ac:dyDescent="0.25">
      <c r="A2538" s="170">
        <v>45740</v>
      </c>
      <c r="B2538" s="116">
        <v>457.9</v>
      </c>
      <c r="C2538" s="116">
        <v>453.2</v>
      </c>
      <c r="D2538" s="116">
        <v>447.5</v>
      </c>
      <c r="E2538" s="116">
        <v>449.95</v>
      </c>
      <c r="F2538" s="116">
        <v>453.2</v>
      </c>
      <c r="G2538">
        <v>262786</v>
      </c>
      <c r="H2538" s="116"/>
      <c r="I2538" s="116"/>
      <c r="L2538" s="170">
        <v>45741</v>
      </c>
      <c r="M2538" s="116">
        <v>444.45</v>
      </c>
      <c r="N2538" s="116">
        <v>457.05</v>
      </c>
      <c r="O2538" s="116">
        <v>443</v>
      </c>
      <c r="P2538" s="116">
        <v>456.05</v>
      </c>
      <c r="Q2538" s="116">
        <v>444.45</v>
      </c>
      <c r="R2538">
        <v>1269831</v>
      </c>
    </row>
    <row r="2539" spans="1:18" x14ac:dyDescent="0.25">
      <c r="A2539" s="170">
        <v>45741</v>
      </c>
      <c r="B2539" s="116">
        <v>457.35</v>
      </c>
      <c r="C2539" s="116">
        <v>444.3</v>
      </c>
      <c r="D2539" s="116">
        <v>443</v>
      </c>
      <c r="E2539" s="116">
        <v>456.95</v>
      </c>
      <c r="F2539" s="116">
        <v>444.3</v>
      </c>
      <c r="G2539">
        <v>77174</v>
      </c>
      <c r="H2539" s="116"/>
      <c r="I2539" s="116"/>
      <c r="L2539" s="170">
        <v>45742</v>
      </c>
      <c r="M2539" s="116">
        <v>442.2</v>
      </c>
      <c r="N2539" s="116">
        <v>453.8</v>
      </c>
      <c r="O2539" s="116">
        <v>441.15</v>
      </c>
      <c r="P2539" s="116">
        <v>446.25</v>
      </c>
      <c r="Q2539" s="116">
        <v>442.2</v>
      </c>
      <c r="R2539">
        <v>1445183</v>
      </c>
    </row>
    <row r="2540" spans="1:18" x14ac:dyDescent="0.25">
      <c r="A2540" s="170">
        <v>45742</v>
      </c>
      <c r="B2540" s="116">
        <v>453.3</v>
      </c>
      <c r="C2540" s="116">
        <v>442.15</v>
      </c>
      <c r="D2540" s="116">
        <v>441.1</v>
      </c>
      <c r="E2540" s="116">
        <v>445</v>
      </c>
      <c r="F2540" s="116">
        <v>442.15</v>
      </c>
      <c r="G2540">
        <v>99039</v>
      </c>
      <c r="H2540" s="116"/>
      <c r="I2540" s="116"/>
      <c r="L2540" s="170">
        <v>45743</v>
      </c>
      <c r="M2540" s="116">
        <v>447.9</v>
      </c>
      <c r="N2540" s="116">
        <v>449.9</v>
      </c>
      <c r="O2540" s="116">
        <v>440.1</v>
      </c>
      <c r="P2540" s="116">
        <v>443</v>
      </c>
      <c r="Q2540" s="116">
        <v>447.9</v>
      </c>
      <c r="R2540">
        <v>1972572</v>
      </c>
    </row>
    <row r="2541" spans="1:18" x14ac:dyDescent="0.25">
      <c r="A2541" s="170">
        <v>45743</v>
      </c>
      <c r="B2541" s="116">
        <v>449.9</v>
      </c>
      <c r="C2541" s="116">
        <v>446.55</v>
      </c>
      <c r="D2541" s="116">
        <v>440.05</v>
      </c>
      <c r="E2541" s="116">
        <v>441.15</v>
      </c>
      <c r="F2541" s="116">
        <v>446.55</v>
      </c>
      <c r="G2541">
        <v>115272</v>
      </c>
      <c r="H2541" s="116"/>
      <c r="I2541" s="116"/>
      <c r="L2541" s="170">
        <v>45744</v>
      </c>
      <c r="M2541" s="116">
        <v>461.9</v>
      </c>
      <c r="N2541" s="116">
        <v>475</v>
      </c>
      <c r="O2541" s="116">
        <v>451.25</v>
      </c>
      <c r="P2541" s="116">
        <v>452</v>
      </c>
      <c r="Q2541" s="116">
        <v>461.9</v>
      </c>
      <c r="R2541">
        <v>5676960</v>
      </c>
    </row>
    <row r="2542" spans="1:18" x14ac:dyDescent="0.25">
      <c r="A2542" s="170">
        <v>45744</v>
      </c>
      <c r="B2542" s="116">
        <v>475</v>
      </c>
      <c r="C2542" s="116">
        <v>462</v>
      </c>
      <c r="D2542" s="116">
        <v>450.05</v>
      </c>
      <c r="E2542" s="116">
        <v>450.05</v>
      </c>
      <c r="F2542" s="116">
        <v>462</v>
      </c>
      <c r="G2542">
        <v>251084</v>
      </c>
      <c r="H2542" s="116"/>
      <c r="I2542" s="116"/>
      <c r="L2542" s="170">
        <v>45748</v>
      </c>
      <c r="M2542" s="116">
        <v>453.75</v>
      </c>
      <c r="N2542" s="116">
        <v>467</v>
      </c>
      <c r="O2542" s="116">
        <v>452</v>
      </c>
      <c r="P2542" s="116">
        <v>462.55</v>
      </c>
      <c r="Q2542" s="116">
        <v>453.75</v>
      </c>
      <c r="R2542">
        <v>1437487</v>
      </c>
    </row>
    <row r="2543" spans="1:18" x14ac:dyDescent="0.25">
      <c r="A2543" s="170">
        <v>45748</v>
      </c>
      <c r="B2543" s="116">
        <v>467</v>
      </c>
      <c r="C2543" s="116">
        <v>453.75</v>
      </c>
      <c r="D2543" s="116">
        <v>452.6</v>
      </c>
      <c r="E2543" s="116">
        <v>460.2</v>
      </c>
      <c r="F2543" s="116">
        <v>453.75</v>
      </c>
      <c r="G2543">
        <v>156895</v>
      </c>
      <c r="H2543" s="116"/>
      <c r="I2543" s="116"/>
      <c r="L2543" s="170">
        <v>45749</v>
      </c>
      <c r="M2543" s="116">
        <v>460.8</v>
      </c>
      <c r="N2543" s="116">
        <v>463.7</v>
      </c>
      <c r="O2543" s="116">
        <v>446.6</v>
      </c>
      <c r="P2543" s="116">
        <v>453.1</v>
      </c>
      <c r="Q2543" s="116">
        <v>460.8</v>
      </c>
      <c r="R2543">
        <v>1214886</v>
      </c>
    </row>
    <row r="2544" spans="1:18" x14ac:dyDescent="0.25">
      <c r="A2544" s="170">
        <v>45749</v>
      </c>
      <c r="B2544" s="116">
        <v>463.5</v>
      </c>
      <c r="C2544" s="116">
        <v>459.8</v>
      </c>
      <c r="D2544" s="116">
        <v>446.55</v>
      </c>
      <c r="E2544" s="116">
        <v>453.7</v>
      </c>
      <c r="F2544" s="116">
        <v>459.8</v>
      </c>
      <c r="G2544">
        <v>153115</v>
      </c>
      <c r="H2544" s="116"/>
      <c r="I2544" s="116"/>
      <c r="L2544" s="170">
        <v>45750</v>
      </c>
      <c r="M2544" s="116">
        <v>459.15</v>
      </c>
      <c r="N2544" s="116">
        <v>468.45</v>
      </c>
      <c r="O2544" s="116">
        <v>452.6</v>
      </c>
      <c r="P2544" s="116">
        <v>457.85</v>
      </c>
      <c r="Q2544" s="116">
        <v>459.15</v>
      </c>
      <c r="R2544">
        <v>1882318</v>
      </c>
    </row>
    <row r="2545" spans="1:18" x14ac:dyDescent="0.25">
      <c r="A2545" s="170">
        <v>45750</v>
      </c>
      <c r="B2545" s="116">
        <v>468.25</v>
      </c>
      <c r="C2545" s="116">
        <v>459.4</v>
      </c>
      <c r="D2545" s="116">
        <v>452.55</v>
      </c>
      <c r="E2545" s="116">
        <v>459.3</v>
      </c>
      <c r="F2545" s="116">
        <v>459.4</v>
      </c>
      <c r="G2545">
        <v>84819</v>
      </c>
      <c r="H2545" s="116"/>
      <c r="I2545" s="116"/>
      <c r="L2545" s="170">
        <v>45751</v>
      </c>
      <c r="M2545" s="116">
        <v>426.95</v>
      </c>
      <c r="N2545" s="116">
        <v>457.75</v>
      </c>
      <c r="O2545" s="116">
        <v>424</v>
      </c>
      <c r="P2545" s="116">
        <v>457.75</v>
      </c>
      <c r="Q2545" s="116">
        <v>426.95</v>
      </c>
      <c r="R2545">
        <v>3061033</v>
      </c>
    </row>
    <row r="2546" spans="1:18" x14ac:dyDescent="0.25">
      <c r="A2546" s="170">
        <v>45751</v>
      </c>
      <c r="B2546" s="116">
        <v>458</v>
      </c>
      <c r="C2546" s="116">
        <v>427.05</v>
      </c>
      <c r="D2546" s="116">
        <v>424.2</v>
      </c>
      <c r="E2546" s="116">
        <v>458</v>
      </c>
      <c r="F2546" s="116">
        <v>427.05</v>
      </c>
      <c r="G2546">
        <v>284228</v>
      </c>
      <c r="H2546" s="116"/>
      <c r="I2546" s="116"/>
      <c r="L2546" s="170">
        <v>45754</v>
      </c>
      <c r="M2546" s="116">
        <v>406.75</v>
      </c>
      <c r="N2546" s="116">
        <v>410.6</v>
      </c>
      <c r="O2546" s="116">
        <v>388.55</v>
      </c>
      <c r="P2546" s="116">
        <v>390.2</v>
      </c>
      <c r="Q2546" s="116">
        <v>406.75</v>
      </c>
      <c r="R2546">
        <v>2436376</v>
      </c>
    </row>
    <row r="2547" spans="1:18" x14ac:dyDescent="0.25">
      <c r="A2547" s="170">
        <v>45754</v>
      </c>
      <c r="B2547" s="116">
        <v>410.95</v>
      </c>
      <c r="C2547" s="116">
        <v>406.15</v>
      </c>
      <c r="D2547" s="116">
        <v>385.05</v>
      </c>
      <c r="E2547" s="116">
        <v>385.05</v>
      </c>
      <c r="F2547" s="116">
        <v>406.15</v>
      </c>
      <c r="G2547">
        <v>388647</v>
      </c>
      <c r="H2547" s="116"/>
      <c r="I2547" s="116"/>
      <c r="L2547" s="170">
        <v>45755</v>
      </c>
      <c r="M2547" s="116">
        <v>412.05</v>
      </c>
      <c r="N2547" s="116">
        <v>419.9</v>
      </c>
      <c r="O2547" s="116">
        <v>403.35</v>
      </c>
      <c r="P2547" s="116">
        <v>418.95</v>
      </c>
      <c r="Q2547" s="116">
        <v>412.05</v>
      </c>
      <c r="R2547">
        <v>1514564</v>
      </c>
    </row>
    <row r="2548" spans="1:18" x14ac:dyDescent="0.25">
      <c r="A2548" s="170">
        <v>45755</v>
      </c>
      <c r="B2548" s="116">
        <v>419.9</v>
      </c>
      <c r="C2548" s="116">
        <v>411.5</v>
      </c>
      <c r="D2548" s="116">
        <v>403.25</v>
      </c>
      <c r="E2548" s="116">
        <v>419.9</v>
      </c>
      <c r="F2548" s="116">
        <v>411.5</v>
      </c>
      <c r="G2548">
        <v>130161</v>
      </c>
      <c r="H2548" s="116"/>
      <c r="I2548" s="116"/>
      <c r="L2548" s="170">
        <v>45756</v>
      </c>
      <c r="M2548" s="116">
        <v>400.6</v>
      </c>
      <c r="N2548" s="116">
        <v>408.05</v>
      </c>
      <c r="O2548" s="116">
        <v>397.15</v>
      </c>
      <c r="P2548" s="116">
        <v>408</v>
      </c>
      <c r="Q2548" s="116">
        <v>400.6</v>
      </c>
      <c r="R2548">
        <v>1432174</v>
      </c>
    </row>
    <row r="2549" spans="1:18" x14ac:dyDescent="0.25">
      <c r="A2549" s="170">
        <v>45756</v>
      </c>
      <c r="B2549" s="116">
        <v>411.7</v>
      </c>
      <c r="C2549" s="116">
        <v>400.6</v>
      </c>
      <c r="D2549" s="116">
        <v>397.2</v>
      </c>
      <c r="E2549" s="116">
        <v>411.7</v>
      </c>
      <c r="F2549" s="116">
        <v>400.6</v>
      </c>
      <c r="G2549">
        <v>96709</v>
      </c>
      <c r="H2549" s="116"/>
      <c r="I2549" s="116"/>
      <c r="L2549" s="170">
        <v>45758</v>
      </c>
      <c r="M2549" s="116">
        <v>411.05</v>
      </c>
      <c r="N2549" s="116">
        <v>415.65</v>
      </c>
      <c r="O2549" s="116">
        <v>407.1</v>
      </c>
      <c r="P2549" s="116">
        <v>415</v>
      </c>
      <c r="Q2549" s="116">
        <v>411.05</v>
      </c>
      <c r="R2549">
        <v>1561497</v>
      </c>
    </row>
    <row r="2550" spans="1:18" x14ac:dyDescent="0.25">
      <c r="A2550" s="170">
        <v>45758</v>
      </c>
      <c r="B2550" s="116">
        <v>415.5</v>
      </c>
      <c r="C2550" s="116">
        <v>411.2</v>
      </c>
      <c r="D2550" s="116">
        <v>407.2</v>
      </c>
      <c r="E2550" s="116">
        <v>415.45</v>
      </c>
      <c r="F2550" s="116">
        <v>411.2</v>
      </c>
      <c r="G2550">
        <v>145179</v>
      </c>
      <c r="H2550" s="116"/>
      <c r="I2550" s="116"/>
      <c r="L2550" s="170">
        <v>45762</v>
      </c>
      <c r="M2550" s="116">
        <v>433.9</v>
      </c>
      <c r="N2550" s="116">
        <v>435.65</v>
      </c>
      <c r="O2550" s="116">
        <v>418.3</v>
      </c>
      <c r="P2550" s="116">
        <v>419.5</v>
      </c>
      <c r="Q2550" s="116">
        <v>433.9</v>
      </c>
      <c r="R2550">
        <v>1872997</v>
      </c>
    </row>
    <row r="2551" spans="1:18" x14ac:dyDescent="0.25">
      <c r="A2551" s="170">
        <v>45762</v>
      </c>
      <c r="B2551" s="116">
        <v>435.05</v>
      </c>
      <c r="C2551" s="116">
        <v>434.05</v>
      </c>
      <c r="D2551" s="116">
        <v>418.2</v>
      </c>
      <c r="E2551" s="116">
        <v>418.2</v>
      </c>
      <c r="F2551" s="116">
        <v>434.05</v>
      </c>
      <c r="G2551">
        <v>192587</v>
      </c>
      <c r="H2551" s="116"/>
      <c r="I2551" s="116"/>
      <c r="L2551" s="170">
        <v>45763</v>
      </c>
      <c r="M2551" s="116">
        <v>438</v>
      </c>
      <c r="N2551" s="116">
        <v>439</v>
      </c>
      <c r="O2551" s="116">
        <v>426.5</v>
      </c>
      <c r="P2551" s="116">
        <v>432.9</v>
      </c>
      <c r="Q2551" s="116">
        <v>438</v>
      </c>
      <c r="R2551">
        <v>1675647</v>
      </c>
    </row>
    <row r="2552" spans="1:18" x14ac:dyDescent="0.25">
      <c r="A2552" s="170">
        <v>45763</v>
      </c>
      <c r="B2552" s="116">
        <v>438.8</v>
      </c>
      <c r="C2552" s="116">
        <v>437.85</v>
      </c>
      <c r="D2552" s="116">
        <v>426.3</v>
      </c>
      <c r="E2552" s="116">
        <v>437.8</v>
      </c>
      <c r="F2552" s="116">
        <v>437.85</v>
      </c>
      <c r="G2552">
        <v>187117</v>
      </c>
      <c r="H2552" s="116"/>
      <c r="I2552" s="116"/>
      <c r="L2552" s="170">
        <v>45764</v>
      </c>
      <c r="M2552" s="116">
        <v>439.7</v>
      </c>
      <c r="N2552" s="116">
        <v>444.9</v>
      </c>
      <c r="O2552" s="116">
        <v>430.15</v>
      </c>
      <c r="P2552" s="116">
        <v>438</v>
      </c>
      <c r="Q2552" s="116">
        <v>439.7</v>
      </c>
      <c r="R2552">
        <v>2032014</v>
      </c>
    </row>
    <row r="2553" spans="1:18" x14ac:dyDescent="0.25">
      <c r="A2553" s="170">
        <v>45764</v>
      </c>
      <c r="B2553" s="116">
        <v>444.9</v>
      </c>
      <c r="C2553" s="116">
        <v>439.95</v>
      </c>
      <c r="D2553" s="116">
        <v>430.1</v>
      </c>
      <c r="E2553" s="116">
        <v>438.65</v>
      </c>
      <c r="F2553" s="116">
        <v>439.95</v>
      </c>
      <c r="G2553">
        <v>89648</v>
      </c>
      <c r="H2553" s="116"/>
      <c r="I2553" s="116"/>
      <c r="L2553" s="170">
        <v>45768</v>
      </c>
      <c r="M2553" s="116">
        <v>452.45</v>
      </c>
      <c r="N2553" s="116">
        <v>457.85</v>
      </c>
      <c r="O2553" s="116">
        <v>440</v>
      </c>
      <c r="P2553" s="116">
        <v>440</v>
      </c>
      <c r="Q2553" s="116">
        <v>452.45</v>
      </c>
      <c r="R2553">
        <v>1888265</v>
      </c>
    </row>
    <row r="2554" spans="1:18" x14ac:dyDescent="0.25">
      <c r="A2554" s="170">
        <v>45768</v>
      </c>
      <c r="B2554" s="116">
        <v>457.55</v>
      </c>
      <c r="C2554" s="116">
        <v>452.3</v>
      </c>
      <c r="D2554" s="116">
        <v>439.7</v>
      </c>
      <c r="E2554" s="116">
        <v>441.25</v>
      </c>
      <c r="F2554" s="116">
        <v>452.3</v>
      </c>
      <c r="G2554">
        <v>191494</v>
      </c>
      <c r="H2554" s="116"/>
      <c r="I2554" s="116"/>
      <c r="L2554" s="170">
        <v>45769</v>
      </c>
      <c r="M2554" s="116">
        <v>445.75</v>
      </c>
      <c r="N2554" s="116">
        <v>460.75</v>
      </c>
      <c r="O2554" s="116">
        <v>444</v>
      </c>
      <c r="P2554" s="116">
        <v>453</v>
      </c>
      <c r="Q2554" s="116">
        <v>445.75</v>
      </c>
      <c r="R2554">
        <v>2048339</v>
      </c>
    </row>
    <row r="2555" spans="1:18" x14ac:dyDescent="0.25">
      <c r="A2555" s="170">
        <v>45769</v>
      </c>
      <c r="B2555" s="116">
        <v>460.75</v>
      </c>
      <c r="C2555" s="116">
        <v>445.7</v>
      </c>
      <c r="D2555" s="116">
        <v>444</v>
      </c>
      <c r="E2555" s="116">
        <v>454.3</v>
      </c>
      <c r="F2555" s="116">
        <v>445.7</v>
      </c>
      <c r="G2555">
        <v>77657</v>
      </c>
      <c r="H2555" s="116"/>
      <c r="I2555" s="116"/>
      <c r="L2555" s="170">
        <v>45770</v>
      </c>
      <c r="M2555" s="116">
        <v>449.05</v>
      </c>
      <c r="N2555" s="116">
        <v>451.05</v>
      </c>
      <c r="O2555" s="116">
        <v>437.5</v>
      </c>
      <c r="P2555" s="116">
        <v>448.2</v>
      </c>
      <c r="Q2555" s="116">
        <v>449.05</v>
      </c>
      <c r="R2555">
        <v>1607303</v>
      </c>
    </row>
    <row r="2556" spans="1:18" x14ac:dyDescent="0.25">
      <c r="A2556" s="170">
        <v>45770</v>
      </c>
      <c r="B2556" s="116">
        <v>450.8</v>
      </c>
      <c r="C2556" s="116">
        <v>448.8</v>
      </c>
      <c r="D2556" s="116">
        <v>437.6</v>
      </c>
      <c r="E2556" s="116">
        <v>448.1</v>
      </c>
      <c r="F2556" s="116">
        <v>448.8</v>
      </c>
      <c r="G2556">
        <v>73293</v>
      </c>
      <c r="H2556" s="116"/>
      <c r="I2556" s="116"/>
      <c r="L2556" s="170">
        <v>45771</v>
      </c>
      <c r="M2556" s="116">
        <v>459.35</v>
      </c>
      <c r="N2556" s="116">
        <v>464.6</v>
      </c>
      <c r="O2556" s="116">
        <v>446.8</v>
      </c>
      <c r="P2556" s="116">
        <v>449</v>
      </c>
      <c r="Q2556" s="116">
        <v>459.35</v>
      </c>
      <c r="R2556">
        <v>2639584</v>
      </c>
    </row>
    <row r="2557" spans="1:18" x14ac:dyDescent="0.25">
      <c r="A2557" s="170">
        <v>45771</v>
      </c>
      <c r="B2557" s="116">
        <v>464.55</v>
      </c>
      <c r="C2557" s="116">
        <v>459.3</v>
      </c>
      <c r="D2557" s="116">
        <v>447.2</v>
      </c>
      <c r="E2557" s="116">
        <v>449</v>
      </c>
      <c r="F2557" s="116">
        <v>459.3</v>
      </c>
      <c r="G2557">
        <v>106959</v>
      </c>
      <c r="H2557" s="116"/>
      <c r="I2557" s="116"/>
      <c r="L2557" s="170">
        <v>45772</v>
      </c>
      <c r="M2557" s="116">
        <v>445</v>
      </c>
      <c r="N2557" s="116">
        <v>467.9</v>
      </c>
      <c r="O2557" s="116">
        <v>439</v>
      </c>
      <c r="P2557" s="116">
        <v>462.5</v>
      </c>
      <c r="Q2557" s="116">
        <v>445</v>
      </c>
      <c r="R2557">
        <v>4251762</v>
      </c>
    </row>
    <row r="2558" spans="1:18" x14ac:dyDescent="0.25">
      <c r="A2558" s="170">
        <v>45772</v>
      </c>
      <c r="B2558" s="116">
        <v>466.7</v>
      </c>
      <c r="C2558" s="116">
        <v>445.3</v>
      </c>
      <c r="D2558" s="116">
        <v>439</v>
      </c>
      <c r="E2558" s="116">
        <v>462</v>
      </c>
      <c r="F2558" s="116">
        <v>445.3</v>
      </c>
      <c r="G2558">
        <v>240380</v>
      </c>
      <c r="H2558" s="116"/>
      <c r="I2558" s="116"/>
      <c r="L2558" s="170">
        <v>45775</v>
      </c>
      <c r="M2558" s="116">
        <v>452.5</v>
      </c>
      <c r="N2558" s="116">
        <v>459.5</v>
      </c>
      <c r="O2558" s="116">
        <v>445.5</v>
      </c>
      <c r="P2558" s="116">
        <v>452</v>
      </c>
      <c r="Q2558" s="116">
        <v>452.5</v>
      </c>
      <c r="R2558">
        <v>3587317</v>
      </c>
    </row>
    <row r="2559" spans="1:18" x14ac:dyDescent="0.25">
      <c r="A2559" s="170">
        <v>45775</v>
      </c>
      <c r="B2559" s="116">
        <v>459.5</v>
      </c>
      <c r="C2559" s="116">
        <v>452.5</v>
      </c>
      <c r="D2559" s="116">
        <v>445.5</v>
      </c>
      <c r="E2559" s="116">
        <v>452.95</v>
      </c>
      <c r="F2559" s="116">
        <v>452.5</v>
      </c>
      <c r="G2559">
        <v>326878</v>
      </c>
      <c r="H2559" s="116"/>
      <c r="I2559" s="116"/>
      <c r="L2559" s="170">
        <v>45776</v>
      </c>
      <c r="M2559" s="116">
        <v>445.45</v>
      </c>
      <c r="N2559" s="116">
        <v>455.5</v>
      </c>
      <c r="O2559" s="116">
        <v>443.9</v>
      </c>
      <c r="P2559" s="116">
        <v>452</v>
      </c>
      <c r="Q2559" s="116">
        <v>445.45</v>
      </c>
      <c r="R2559">
        <v>1568483</v>
      </c>
    </row>
    <row r="2560" spans="1:18" x14ac:dyDescent="0.25">
      <c r="A2560" s="170">
        <v>45776</v>
      </c>
      <c r="B2560" s="116">
        <v>455.7</v>
      </c>
      <c r="C2560" s="116">
        <v>445.4</v>
      </c>
      <c r="D2560" s="116">
        <v>444.2</v>
      </c>
      <c r="E2560" s="116">
        <v>454.45</v>
      </c>
      <c r="F2560" s="116">
        <v>445.4</v>
      </c>
      <c r="G2560">
        <v>171550</v>
      </c>
      <c r="H2560" s="116"/>
      <c r="I2560" s="116"/>
      <c r="L2560" s="170">
        <v>45777</v>
      </c>
      <c r="M2560" s="116">
        <v>439.2</v>
      </c>
      <c r="N2560" s="116">
        <v>446.5</v>
      </c>
      <c r="O2560" s="116">
        <v>438</v>
      </c>
      <c r="P2560" s="116">
        <v>442.5</v>
      </c>
      <c r="Q2560" s="116">
        <v>439.2</v>
      </c>
      <c r="R2560">
        <v>1278436</v>
      </c>
    </row>
    <row r="2561" spans="1:18" x14ac:dyDescent="0.25">
      <c r="A2561" s="170">
        <v>45777</v>
      </c>
      <c r="B2561" s="116">
        <v>446</v>
      </c>
      <c r="C2561" s="116">
        <v>438.8</v>
      </c>
      <c r="D2561" s="116">
        <v>437.7</v>
      </c>
      <c r="E2561" s="116">
        <v>441.6</v>
      </c>
      <c r="F2561" s="116">
        <v>438.8</v>
      </c>
      <c r="G2561">
        <v>60454</v>
      </c>
      <c r="H2561" s="116"/>
      <c r="I2561" s="116"/>
      <c r="L2561" s="170">
        <v>45779</v>
      </c>
      <c r="M2561" s="116">
        <v>428.7</v>
      </c>
      <c r="N2561" s="116">
        <v>443.25</v>
      </c>
      <c r="O2561" s="116">
        <v>427.2</v>
      </c>
      <c r="P2561" s="116">
        <v>439.2</v>
      </c>
      <c r="Q2561" s="116">
        <v>428.7</v>
      </c>
      <c r="R2561">
        <v>1924034</v>
      </c>
    </row>
    <row r="2562" spans="1:18" x14ac:dyDescent="0.25">
      <c r="A2562" s="170">
        <v>45779</v>
      </c>
      <c r="B2562" s="116">
        <v>443.2</v>
      </c>
      <c r="C2562" s="116">
        <v>428.4</v>
      </c>
      <c r="D2562" s="116">
        <v>427.45</v>
      </c>
      <c r="E2562" s="116">
        <v>440</v>
      </c>
      <c r="F2562" s="116">
        <v>428.4</v>
      </c>
      <c r="G2562">
        <v>81184</v>
      </c>
      <c r="H2562" s="116"/>
      <c r="I2562" s="116"/>
      <c r="L2562" s="170">
        <v>45782</v>
      </c>
      <c r="M2562" s="116">
        <v>428.25</v>
      </c>
      <c r="N2562" s="116">
        <v>432.95</v>
      </c>
      <c r="O2562" s="116">
        <v>426.5</v>
      </c>
      <c r="P2562" s="116">
        <v>430.45</v>
      </c>
      <c r="Q2562" s="116">
        <v>428.25</v>
      </c>
      <c r="R2562">
        <v>850003</v>
      </c>
    </row>
    <row r="2563" spans="1:18" x14ac:dyDescent="0.25">
      <c r="A2563" s="170">
        <v>45782</v>
      </c>
      <c r="B2563" s="116">
        <v>433</v>
      </c>
      <c r="C2563" s="116">
        <v>428.4</v>
      </c>
      <c r="D2563" s="116">
        <v>427</v>
      </c>
      <c r="E2563" s="116">
        <v>428.7</v>
      </c>
      <c r="F2563" s="116">
        <v>428.4</v>
      </c>
      <c r="G2563">
        <v>41110</v>
      </c>
      <c r="H2563" s="116"/>
      <c r="I2563" s="116"/>
      <c r="L2563" s="170">
        <v>45783</v>
      </c>
      <c r="M2563" s="116">
        <v>413.45</v>
      </c>
      <c r="N2563" s="116">
        <v>430.95</v>
      </c>
      <c r="O2563" s="116">
        <v>411.55</v>
      </c>
      <c r="P2563" s="116">
        <v>430</v>
      </c>
      <c r="Q2563" s="116">
        <v>413.45</v>
      </c>
      <c r="R2563">
        <v>1985510</v>
      </c>
    </row>
    <row r="2564" spans="1:18" x14ac:dyDescent="0.25">
      <c r="A2564" s="170">
        <v>45783</v>
      </c>
      <c r="B2564" s="116">
        <v>430.45</v>
      </c>
      <c r="C2564" s="116">
        <v>413.35</v>
      </c>
      <c r="D2564" s="116">
        <v>411.55</v>
      </c>
      <c r="E2564" s="116">
        <v>428.6</v>
      </c>
      <c r="F2564" s="116">
        <v>413.35</v>
      </c>
      <c r="G2564">
        <v>182363</v>
      </c>
      <c r="H2564" s="116"/>
      <c r="I2564" s="116"/>
      <c r="L2564" s="170">
        <v>45784</v>
      </c>
      <c r="M2564" s="116">
        <v>422.7</v>
      </c>
      <c r="N2564" s="116">
        <v>425.55</v>
      </c>
      <c r="O2564" s="116">
        <v>408.4</v>
      </c>
      <c r="P2564" s="116">
        <v>409</v>
      </c>
      <c r="Q2564" s="116">
        <v>422.7</v>
      </c>
      <c r="R2564">
        <v>1550266</v>
      </c>
    </row>
    <row r="2565" spans="1:18" x14ac:dyDescent="0.25">
      <c r="A2565" s="170">
        <v>45784</v>
      </c>
      <c r="B2565" s="116">
        <v>425.4</v>
      </c>
      <c r="C2565" s="116">
        <v>422.65</v>
      </c>
      <c r="D2565" s="116">
        <v>408.25</v>
      </c>
      <c r="E2565" s="116">
        <v>411.35</v>
      </c>
      <c r="F2565" s="116">
        <v>422.65</v>
      </c>
      <c r="G2565">
        <v>91427</v>
      </c>
      <c r="H2565" s="116"/>
      <c r="I2565" s="116"/>
      <c r="L2565" s="170">
        <v>45785</v>
      </c>
      <c r="M2565" s="116">
        <v>409.35</v>
      </c>
      <c r="N2565" s="116">
        <v>425.65</v>
      </c>
      <c r="O2565" s="116">
        <v>408</v>
      </c>
      <c r="P2565" s="116">
        <v>423</v>
      </c>
      <c r="Q2565" s="116">
        <v>409.35</v>
      </c>
      <c r="R2565">
        <v>1372171</v>
      </c>
    </row>
    <row r="2566" spans="1:18" x14ac:dyDescent="0.25">
      <c r="A2566" s="170">
        <v>45785</v>
      </c>
      <c r="B2566" s="116">
        <v>425</v>
      </c>
      <c r="C2566" s="116">
        <v>409.2</v>
      </c>
      <c r="D2566" s="116">
        <v>407.7</v>
      </c>
      <c r="E2566" s="116">
        <v>422.25</v>
      </c>
      <c r="F2566" s="116">
        <v>409.2</v>
      </c>
      <c r="G2566">
        <v>45180</v>
      </c>
      <c r="H2566" s="116"/>
      <c r="I2566" s="116"/>
      <c r="L2566" s="170">
        <v>45786</v>
      </c>
      <c r="M2566" s="116">
        <v>408.35</v>
      </c>
      <c r="N2566" s="116">
        <v>410.35</v>
      </c>
      <c r="O2566" s="116">
        <v>398</v>
      </c>
      <c r="P2566" s="116">
        <v>398</v>
      </c>
      <c r="Q2566" s="116">
        <v>408.35</v>
      </c>
      <c r="R2566">
        <v>1511686</v>
      </c>
    </row>
    <row r="2567" spans="1:18" x14ac:dyDescent="0.25">
      <c r="A2567" s="170">
        <v>45786</v>
      </c>
      <c r="B2567" s="116">
        <v>409.9</v>
      </c>
      <c r="C2567" s="116">
        <v>408.1</v>
      </c>
      <c r="D2567" s="116">
        <v>399.8</v>
      </c>
      <c r="E2567" s="116">
        <v>400</v>
      </c>
      <c r="F2567" s="116">
        <v>408.1</v>
      </c>
      <c r="G2567">
        <v>67654</v>
      </c>
      <c r="H2567" s="116"/>
      <c r="I2567" s="116"/>
      <c r="L2567" s="170">
        <v>45789</v>
      </c>
      <c r="M2567" s="116">
        <v>434.95</v>
      </c>
      <c r="N2567" s="116">
        <v>436.4</v>
      </c>
      <c r="O2567" s="116">
        <v>420</v>
      </c>
      <c r="P2567" s="116">
        <v>420</v>
      </c>
      <c r="Q2567" s="116">
        <v>434.95</v>
      </c>
      <c r="R2567">
        <v>2766591</v>
      </c>
    </row>
    <row r="2568" spans="1:18" x14ac:dyDescent="0.25">
      <c r="A2568" s="170">
        <v>45789</v>
      </c>
      <c r="B2568" s="116">
        <v>436.3</v>
      </c>
      <c r="C2568" s="116">
        <v>434.95</v>
      </c>
      <c r="D2568" s="116">
        <v>420.05</v>
      </c>
      <c r="E2568" s="116">
        <v>420.95</v>
      </c>
      <c r="F2568" s="116">
        <v>434.95</v>
      </c>
      <c r="G2568">
        <v>90854</v>
      </c>
      <c r="H2568" s="116"/>
      <c r="I2568" s="116"/>
      <c r="L2568" s="170">
        <v>45790</v>
      </c>
      <c r="M2568" s="116">
        <v>428.9</v>
      </c>
      <c r="N2568" s="116">
        <v>436.1</v>
      </c>
      <c r="O2568" s="116">
        <v>427</v>
      </c>
      <c r="P2568" s="116">
        <v>435</v>
      </c>
      <c r="Q2568" s="116">
        <v>428.9</v>
      </c>
      <c r="R2568">
        <v>1485369</v>
      </c>
    </row>
    <row r="2569" spans="1:18" x14ac:dyDescent="0.25">
      <c r="A2569" s="170">
        <v>45790</v>
      </c>
      <c r="B2569" s="116">
        <v>436.85</v>
      </c>
      <c r="C2569" s="116">
        <v>428.55</v>
      </c>
      <c r="D2569" s="116">
        <v>427.1</v>
      </c>
      <c r="E2569" s="116">
        <v>436.85</v>
      </c>
      <c r="F2569" s="116">
        <v>428.55</v>
      </c>
      <c r="G2569">
        <v>152631</v>
      </c>
      <c r="H2569" s="116"/>
      <c r="I2569" s="116"/>
      <c r="L2569" s="170">
        <v>45791</v>
      </c>
      <c r="M2569" s="116">
        <v>438.95</v>
      </c>
      <c r="N2569" s="116">
        <v>440.7</v>
      </c>
      <c r="O2569" s="116">
        <v>429.8</v>
      </c>
      <c r="P2569" s="116">
        <v>430.85</v>
      </c>
      <c r="Q2569" s="116">
        <v>438.95</v>
      </c>
      <c r="R2569">
        <v>2432511</v>
      </c>
    </row>
    <row r="2570" spans="1:18" x14ac:dyDescent="0.25">
      <c r="A2570" s="170">
        <v>45791</v>
      </c>
      <c r="B2570" s="116">
        <v>440.5</v>
      </c>
      <c r="C2570" s="116">
        <v>439</v>
      </c>
      <c r="D2570" s="116">
        <v>429.65</v>
      </c>
      <c r="E2570" s="116">
        <v>429.65</v>
      </c>
      <c r="F2570" s="116">
        <v>439</v>
      </c>
      <c r="G2570">
        <v>112149</v>
      </c>
      <c r="H2570" s="116"/>
      <c r="I2570" s="116"/>
      <c r="L2570" s="170">
        <v>45792</v>
      </c>
      <c r="M2570" s="116">
        <v>440.75</v>
      </c>
      <c r="N2570" s="116">
        <v>444.25</v>
      </c>
      <c r="O2570" s="116">
        <v>437.5</v>
      </c>
      <c r="P2570" s="116">
        <v>440</v>
      </c>
      <c r="Q2570" s="116">
        <v>440.75</v>
      </c>
      <c r="R2570">
        <v>2087164</v>
      </c>
    </row>
    <row r="2571" spans="1:18" x14ac:dyDescent="0.25">
      <c r="A2571" s="170">
        <v>45792</v>
      </c>
      <c r="B2571" s="116">
        <v>444.15</v>
      </c>
      <c r="C2571" s="116">
        <v>440.45</v>
      </c>
      <c r="D2571" s="116">
        <v>437.3</v>
      </c>
      <c r="E2571" s="116">
        <v>439.55</v>
      </c>
      <c r="F2571" s="116">
        <v>440.45</v>
      </c>
      <c r="G2571">
        <v>198249</v>
      </c>
      <c r="H2571" s="116"/>
      <c r="I2571" s="116"/>
      <c r="L2571" s="170">
        <v>45793</v>
      </c>
      <c r="M2571" s="116">
        <v>442.3</v>
      </c>
      <c r="N2571" s="116">
        <v>445</v>
      </c>
      <c r="O2571" s="116">
        <v>439.45</v>
      </c>
      <c r="P2571" s="116">
        <v>442.9</v>
      </c>
      <c r="Q2571" s="116">
        <v>442.3</v>
      </c>
      <c r="R2571">
        <v>1416394</v>
      </c>
    </row>
    <row r="2572" spans="1:18" x14ac:dyDescent="0.25">
      <c r="A2572" s="170">
        <v>45793</v>
      </c>
      <c r="B2572" s="116">
        <v>445</v>
      </c>
      <c r="C2572" s="116">
        <v>442.3</v>
      </c>
      <c r="D2572" s="116">
        <v>439.8</v>
      </c>
      <c r="E2572" s="116">
        <v>441.3</v>
      </c>
      <c r="F2572" s="116">
        <v>442.3</v>
      </c>
      <c r="G2572">
        <v>81522</v>
      </c>
      <c r="H2572" s="116"/>
      <c r="I2572" s="116"/>
      <c r="L2572" s="170">
        <v>45796</v>
      </c>
      <c r="M2572" s="116">
        <v>448.2</v>
      </c>
      <c r="N2572" s="116">
        <v>455.9</v>
      </c>
      <c r="O2572" s="116">
        <v>442</v>
      </c>
      <c r="P2572" s="116">
        <v>442.25</v>
      </c>
      <c r="Q2572" s="116">
        <v>448.2</v>
      </c>
      <c r="R2572">
        <v>2755475</v>
      </c>
    </row>
    <row r="2573" spans="1:18" x14ac:dyDescent="0.25">
      <c r="A2573" s="170">
        <v>45796</v>
      </c>
      <c r="B2573" s="116">
        <v>455.9</v>
      </c>
      <c r="C2573" s="116">
        <v>449.3</v>
      </c>
      <c r="D2573" s="116">
        <v>441.25</v>
      </c>
      <c r="E2573" s="116">
        <v>441.25</v>
      </c>
      <c r="F2573" s="116">
        <v>449.3</v>
      </c>
      <c r="G2573">
        <v>338162</v>
      </c>
      <c r="H2573" s="116"/>
      <c r="I2573" s="116"/>
      <c r="L2573" s="170">
        <v>45797</v>
      </c>
      <c r="M2573" s="116">
        <v>435.3</v>
      </c>
      <c r="N2573" s="116">
        <v>455.2</v>
      </c>
      <c r="O2573" s="116">
        <v>434</v>
      </c>
      <c r="P2573" s="116">
        <v>453.5</v>
      </c>
      <c r="Q2573" s="116">
        <v>435.3</v>
      </c>
      <c r="R2573">
        <v>2712376</v>
      </c>
    </row>
    <row r="2574" spans="1:18" x14ac:dyDescent="0.25">
      <c r="A2574" s="170">
        <v>45797</v>
      </c>
      <c r="B2574" s="116">
        <v>455.65</v>
      </c>
      <c r="C2574" s="116">
        <v>435.4</v>
      </c>
      <c r="D2574" s="116">
        <v>434</v>
      </c>
      <c r="E2574" s="116">
        <v>455.65</v>
      </c>
      <c r="F2574" s="116">
        <v>435.4</v>
      </c>
      <c r="G2574">
        <v>246448</v>
      </c>
      <c r="H2574" s="116"/>
      <c r="I2574" s="116"/>
      <c r="L2574" s="170">
        <v>45798</v>
      </c>
      <c r="M2574" s="116">
        <v>442.05</v>
      </c>
      <c r="N2574" s="116">
        <v>444.5</v>
      </c>
      <c r="O2574" s="116">
        <v>433.7</v>
      </c>
      <c r="P2574" s="116">
        <v>437.75</v>
      </c>
      <c r="Q2574" s="116">
        <v>442.05</v>
      </c>
      <c r="R2574">
        <v>1683181</v>
      </c>
    </row>
    <row r="2575" spans="1:18" x14ac:dyDescent="0.25">
      <c r="A2575" s="170">
        <v>45798</v>
      </c>
      <c r="B2575" s="116">
        <v>447.2</v>
      </c>
      <c r="C2575" s="116">
        <v>443.5</v>
      </c>
      <c r="D2575" s="116">
        <v>434.15</v>
      </c>
      <c r="E2575" s="116">
        <v>438.65</v>
      </c>
      <c r="F2575" s="116">
        <v>443.5</v>
      </c>
      <c r="G2575">
        <v>233900</v>
      </c>
      <c r="H2575" s="116"/>
      <c r="I2575" s="116"/>
      <c r="L2575" s="170">
        <v>45799</v>
      </c>
      <c r="M2575" s="116">
        <v>442.4</v>
      </c>
      <c r="N2575" s="116">
        <v>447.9</v>
      </c>
      <c r="O2575" s="116">
        <v>437.65</v>
      </c>
      <c r="P2575" s="116">
        <v>444.2</v>
      </c>
      <c r="Q2575" s="116">
        <v>442.4</v>
      </c>
      <c r="R2575">
        <v>2701432</v>
      </c>
    </row>
    <row r="2576" spans="1:18" x14ac:dyDescent="0.25">
      <c r="A2576" s="170">
        <v>45799</v>
      </c>
      <c r="B2576" s="116">
        <v>447.7</v>
      </c>
      <c r="C2576" s="116">
        <v>442.4</v>
      </c>
      <c r="D2576" s="116">
        <v>437.95</v>
      </c>
      <c r="E2576" s="116">
        <v>444.75</v>
      </c>
      <c r="F2576" s="116">
        <v>442.4</v>
      </c>
      <c r="G2576">
        <v>131838</v>
      </c>
      <c r="H2576" s="116"/>
      <c r="I2576" s="116"/>
      <c r="L2576" s="170">
        <v>45800</v>
      </c>
      <c r="M2576" s="116">
        <v>447.05</v>
      </c>
      <c r="N2576" s="116">
        <v>449.7</v>
      </c>
      <c r="O2576" s="116">
        <v>437.8</v>
      </c>
      <c r="P2576" s="116">
        <v>442.15</v>
      </c>
      <c r="Q2576" s="116">
        <v>447.05</v>
      </c>
      <c r="R2576">
        <v>2040334</v>
      </c>
    </row>
    <row r="2577" spans="1:18" x14ac:dyDescent="0.25">
      <c r="A2577" s="170">
        <v>45800</v>
      </c>
      <c r="B2577" s="116">
        <v>449.5</v>
      </c>
      <c r="C2577" s="116">
        <v>447.25</v>
      </c>
      <c r="D2577" s="116">
        <v>438</v>
      </c>
      <c r="E2577" s="116">
        <v>442.4</v>
      </c>
      <c r="F2577" s="116">
        <v>447.25</v>
      </c>
      <c r="G2577">
        <v>226806</v>
      </c>
      <c r="H2577" s="116"/>
      <c r="I2577" s="116"/>
      <c r="L2577" s="170">
        <v>45803</v>
      </c>
      <c r="M2577" s="116">
        <v>450.95</v>
      </c>
      <c r="N2577" s="116">
        <v>453.1</v>
      </c>
      <c r="O2577" s="116">
        <v>447.35</v>
      </c>
      <c r="P2577" s="116">
        <v>449</v>
      </c>
      <c r="Q2577" s="116">
        <v>450.95</v>
      </c>
      <c r="R2577">
        <v>1255104</v>
      </c>
    </row>
    <row r="2578" spans="1:18" x14ac:dyDescent="0.25">
      <c r="A2578" s="170">
        <v>45803</v>
      </c>
      <c r="B2578" s="116">
        <v>452.95</v>
      </c>
      <c r="C2578" s="116">
        <v>450.95</v>
      </c>
      <c r="D2578" s="116">
        <v>447.2</v>
      </c>
      <c r="E2578" s="116">
        <v>449.75</v>
      </c>
      <c r="F2578" s="116">
        <v>450.95</v>
      </c>
      <c r="G2578">
        <v>181313</v>
      </c>
      <c r="H2578" s="116"/>
      <c r="I2578" s="116"/>
      <c r="L2578" s="170">
        <v>45804</v>
      </c>
      <c r="M2578" s="116">
        <v>451.5</v>
      </c>
      <c r="N2578" s="116">
        <v>455</v>
      </c>
      <c r="O2578" s="116">
        <v>447.5</v>
      </c>
      <c r="P2578" s="116">
        <v>451</v>
      </c>
      <c r="Q2578" s="116">
        <v>451.5</v>
      </c>
      <c r="R2578">
        <v>1283321</v>
      </c>
    </row>
    <row r="2579" spans="1:18" x14ac:dyDescent="0.25">
      <c r="A2579" s="170">
        <v>45804</v>
      </c>
      <c r="B2579" s="116">
        <v>454.8</v>
      </c>
      <c r="C2579" s="116">
        <v>451.35</v>
      </c>
      <c r="D2579" s="116">
        <v>447.4</v>
      </c>
      <c r="E2579" s="116">
        <v>451</v>
      </c>
      <c r="F2579" s="116">
        <v>451.35</v>
      </c>
      <c r="G2579">
        <v>174320</v>
      </c>
      <c r="H2579" s="116"/>
      <c r="I2579" s="116"/>
      <c r="L2579" s="170">
        <v>45805</v>
      </c>
      <c r="M2579" s="116">
        <v>452.6</v>
      </c>
      <c r="N2579" s="116">
        <v>456.95</v>
      </c>
      <c r="O2579" s="116">
        <v>450.5</v>
      </c>
      <c r="P2579" s="116">
        <v>453.3</v>
      </c>
      <c r="Q2579" s="116">
        <v>452.6</v>
      </c>
      <c r="R2579">
        <v>1806651</v>
      </c>
    </row>
    <row r="2580" spans="1:18" x14ac:dyDescent="0.25">
      <c r="A2580" s="170">
        <v>45805</v>
      </c>
      <c r="B2580" s="116">
        <v>457.1</v>
      </c>
      <c r="C2580" s="116">
        <v>452.45</v>
      </c>
      <c r="D2580" s="116">
        <v>450.5</v>
      </c>
      <c r="E2580" s="116">
        <v>452.8</v>
      </c>
      <c r="F2580" s="116">
        <v>452.45</v>
      </c>
      <c r="G2580">
        <v>79916</v>
      </c>
      <c r="H2580" s="116"/>
      <c r="I2580" s="116"/>
      <c r="L2580" s="170">
        <v>45806</v>
      </c>
      <c r="M2580" s="116">
        <v>464.75</v>
      </c>
      <c r="N2580" s="116">
        <v>466</v>
      </c>
      <c r="O2580" s="116">
        <v>453.15</v>
      </c>
      <c r="P2580" s="116">
        <v>453.55</v>
      </c>
      <c r="Q2580" s="116">
        <v>464.75</v>
      </c>
      <c r="R2580">
        <v>3994727</v>
      </c>
    </row>
    <row r="2581" spans="1:18" x14ac:dyDescent="0.25">
      <c r="A2581" s="170">
        <v>45806</v>
      </c>
      <c r="B2581" s="116">
        <v>466</v>
      </c>
      <c r="C2581" s="116">
        <v>464.7</v>
      </c>
      <c r="D2581" s="116">
        <v>453.3</v>
      </c>
      <c r="E2581" s="116">
        <v>454.7</v>
      </c>
      <c r="F2581" s="116">
        <v>464.7</v>
      </c>
      <c r="G2581">
        <v>223099</v>
      </c>
      <c r="H2581" s="116"/>
      <c r="I2581" s="116"/>
      <c r="L2581" s="170">
        <v>45807</v>
      </c>
      <c r="M2581" s="116">
        <v>458.2</v>
      </c>
      <c r="N2581" s="116">
        <v>469.9</v>
      </c>
      <c r="O2581" s="116">
        <v>453.5</v>
      </c>
      <c r="P2581" s="116">
        <v>466.9</v>
      </c>
      <c r="Q2581" s="116">
        <v>458.2</v>
      </c>
      <c r="R2581">
        <v>3055427</v>
      </c>
    </row>
    <row r="2582" spans="1:18" x14ac:dyDescent="0.25">
      <c r="A2582" s="170">
        <v>45807</v>
      </c>
      <c r="B2582" s="116">
        <v>469.8</v>
      </c>
      <c r="C2582" s="116">
        <v>458.25</v>
      </c>
      <c r="D2582" s="116">
        <v>453.8</v>
      </c>
      <c r="E2582" s="116">
        <v>469.8</v>
      </c>
      <c r="F2582" s="116">
        <v>458.25</v>
      </c>
      <c r="G2582">
        <v>141626</v>
      </c>
      <c r="H2582" s="116"/>
      <c r="I2582" s="116"/>
      <c r="L2582" s="170">
        <v>45810</v>
      </c>
      <c r="M2582" s="116">
        <v>453.15</v>
      </c>
      <c r="N2582" s="116">
        <v>460.9</v>
      </c>
      <c r="O2582" s="116">
        <v>450.5</v>
      </c>
      <c r="P2582" s="116">
        <v>457</v>
      </c>
      <c r="Q2582" s="116">
        <v>453.15</v>
      </c>
      <c r="R2582">
        <v>2132482</v>
      </c>
    </row>
    <row r="2583" spans="1:18" x14ac:dyDescent="0.25">
      <c r="A2583" s="170">
        <v>45810</v>
      </c>
      <c r="B2583" s="116">
        <v>461</v>
      </c>
      <c r="C2583" s="116">
        <v>452.9</v>
      </c>
      <c r="D2583" s="116">
        <v>450.05</v>
      </c>
      <c r="E2583" s="116">
        <v>454.2</v>
      </c>
      <c r="F2583" s="116">
        <v>452.9</v>
      </c>
      <c r="G2583">
        <v>227357</v>
      </c>
      <c r="H2583" s="116"/>
      <c r="I2583" s="116"/>
      <c r="L2583" s="170">
        <v>45811</v>
      </c>
      <c r="M2583" s="116">
        <v>468.75</v>
      </c>
      <c r="N2583" s="116">
        <v>474.4</v>
      </c>
      <c r="O2583" s="116">
        <v>457.65</v>
      </c>
      <c r="P2583" s="116">
        <v>457.8</v>
      </c>
      <c r="Q2583" s="116">
        <v>468.75</v>
      </c>
      <c r="R2583">
        <v>8004970</v>
      </c>
    </row>
    <row r="2584" spans="1:18" x14ac:dyDescent="0.25">
      <c r="A2584" s="170">
        <v>45811</v>
      </c>
      <c r="B2584" s="116">
        <v>474.4</v>
      </c>
      <c r="C2584" s="116">
        <v>468.7</v>
      </c>
      <c r="D2584" s="116">
        <v>456.3</v>
      </c>
      <c r="E2584" s="116">
        <v>456.3</v>
      </c>
      <c r="F2584" s="116">
        <v>468.7</v>
      </c>
      <c r="G2584">
        <v>557888</v>
      </c>
      <c r="H2584" s="116"/>
      <c r="I2584" s="116"/>
      <c r="L2584" s="170">
        <v>45812</v>
      </c>
      <c r="M2584" s="116">
        <v>468</v>
      </c>
      <c r="N2584" s="116">
        <v>472</v>
      </c>
      <c r="O2584" s="116">
        <v>452.05</v>
      </c>
      <c r="P2584" s="116">
        <v>472</v>
      </c>
      <c r="Q2584" s="116">
        <v>468</v>
      </c>
      <c r="R2584">
        <v>4555219</v>
      </c>
    </row>
    <row r="2585" spans="1:18" x14ac:dyDescent="0.25">
      <c r="A2585" s="170">
        <v>45812</v>
      </c>
      <c r="B2585" s="116">
        <v>472.9</v>
      </c>
      <c r="C2585" s="116">
        <v>467.6</v>
      </c>
      <c r="D2585" s="116">
        <v>452.4</v>
      </c>
      <c r="E2585" s="116">
        <v>472.9</v>
      </c>
      <c r="F2585" s="116">
        <v>467.6</v>
      </c>
      <c r="G2585">
        <v>142673</v>
      </c>
      <c r="H2585" s="116"/>
      <c r="I2585" s="116"/>
      <c r="L2585" s="170">
        <v>45813</v>
      </c>
      <c r="M2585" s="116">
        <v>491.6</v>
      </c>
      <c r="N2585" s="116">
        <v>497</v>
      </c>
      <c r="O2585" s="116">
        <v>467.2</v>
      </c>
      <c r="P2585" s="116">
        <v>469.7</v>
      </c>
      <c r="Q2585" s="116">
        <v>491.6</v>
      </c>
      <c r="R2585">
        <v>7873786</v>
      </c>
    </row>
    <row r="2586" spans="1:18" x14ac:dyDescent="0.25">
      <c r="A2586" s="170">
        <v>45813</v>
      </c>
      <c r="B2586" s="116">
        <v>497.2</v>
      </c>
      <c r="C2586" s="116">
        <v>492.1</v>
      </c>
      <c r="D2586" s="116">
        <v>467.2</v>
      </c>
      <c r="E2586" s="116">
        <v>469.45</v>
      </c>
      <c r="F2586" s="116">
        <v>492.1</v>
      </c>
      <c r="G2586">
        <v>292997</v>
      </c>
      <c r="H2586" s="116"/>
      <c r="I2586" s="116"/>
      <c r="L2586" s="170">
        <v>45814</v>
      </c>
      <c r="M2586" s="116">
        <v>502.25</v>
      </c>
      <c r="N2586" s="116">
        <v>510.9</v>
      </c>
      <c r="O2586" s="116">
        <v>495</v>
      </c>
      <c r="P2586" s="116">
        <v>501.6</v>
      </c>
      <c r="Q2586" s="116">
        <v>502.25</v>
      </c>
      <c r="R2586">
        <v>15506056</v>
      </c>
    </row>
    <row r="2587" spans="1:18" x14ac:dyDescent="0.25">
      <c r="A2587" s="170">
        <v>45814</v>
      </c>
      <c r="B2587" s="116">
        <v>510.75</v>
      </c>
      <c r="C2587" s="116">
        <v>502.2</v>
      </c>
      <c r="D2587" s="116">
        <v>494.95</v>
      </c>
      <c r="E2587" s="116">
        <v>501.95</v>
      </c>
      <c r="F2587" s="116">
        <v>502.2</v>
      </c>
      <c r="G2587">
        <v>1331330</v>
      </c>
      <c r="H2587" s="116"/>
      <c r="I2587" s="116"/>
      <c r="L2587" s="170">
        <v>45817</v>
      </c>
      <c r="M2587" s="116">
        <v>525</v>
      </c>
      <c r="N2587" s="116">
        <v>532.70000000000005</v>
      </c>
      <c r="O2587" s="116">
        <v>508</v>
      </c>
      <c r="P2587" s="116">
        <v>511</v>
      </c>
      <c r="Q2587" s="116">
        <v>525</v>
      </c>
      <c r="R2587">
        <v>12608520</v>
      </c>
    </row>
    <row r="2588" spans="1:18" x14ac:dyDescent="0.25">
      <c r="A2588" s="170">
        <v>45817</v>
      </c>
      <c r="B2588" s="116">
        <v>532.5</v>
      </c>
      <c r="C2588" s="116">
        <v>525.15</v>
      </c>
      <c r="D2588" s="116">
        <v>507.8</v>
      </c>
      <c r="E2588" s="116">
        <v>511</v>
      </c>
      <c r="F2588" s="116">
        <v>525.15</v>
      </c>
      <c r="G2588">
        <v>783985</v>
      </c>
      <c r="H2588" s="116"/>
      <c r="I2588" s="116"/>
      <c r="L2588" s="170">
        <v>45818</v>
      </c>
      <c r="M2588" s="116">
        <v>534.04999999999995</v>
      </c>
      <c r="N2588" s="116">
        <v>546.79999999999995</v>
      </c>
      <c r="O2588" s="116">
        <v>528.1</v>
      </c>
      <c r="P2588" s="116">
        <v>530</v>
      </c>
      <c r="Q2588" s="116">
        <v>534.04999999999995</v>
      </c>
      <c r="R2588">
        <v>11077729</v>
      </c>
    </row>
    <row r="2589" spans="1:18" x14ac:dyDescent="0.25">
      <c r="A2589" s="170">
        <v>45818</v>
      </c>
      <c r="B2589" s="116">
        <v>546.95000000000005</v>
      </c>
      <c r="C2589" s="116">
        <v>533.70000000000005</v>
      </c>
      <c r="D2589" s="116">
        <v>528</v>
      </c>
      <c r="E2589" s="116">
        <v>532.29999999999995</v>
      </c>
      <c r="F2589" s="116">
        <v>533.70000000000005</v>
      </c>
      <c r="G2589">
        <v>1036340</v>
      </c>
      <c r="H2589" s="116"/>
      <c r="I2589" s="116"/>
      <c r="L2589" s="170">
        <v>45819</v>
      </c>
      <c r="M2589" s="116">
        <v>520.54999999999995</v>
      </c>
      <c r="N2589" s="116">
        <v>540.70000000000005</v>
      </c>
      <c r="O2589" s="116">
        <v>518.70000000000005</v>
      </c>
      <c r="P2589" s="116">
        <v>538.04999999999995</v>
      </c>
      <c r="Q2589" s="116">
        <v>520.54999999999995</v>
      </c>
      <c r="R2589">
        <v>8771715</v>
      </c>
    </row>
    <row r="2590" spans="1:18" x14ac:dyDescent="0.25">
      <c r="A2590" s="170">
        <v>45819</v>
      </c>
      <c r="B2590" s="116">
        <v>540.54999999999995</v>
      </c>
      <c r="C2590" s="116">
        <v>520.4</v>
      </c>
      <c r="D2590" s="116">
        <v>518.20000000000005</v>
      </c>
      <c r="E2590" s="116">
        <v>539.70000000000005</v>
      </c>
      <c r="F2590" s="116">
        <v>520.4</v>
      </c>
      <c r="G2590">
        <v>476696</v>
      </c>
      <c r="H2590" s="116"/>
      <c r="I2590" s="116"/>
      <c r="L2590" s="170">
        <v>45820</v>
      </c>
      <c r="M2590" s="116">
        <v>517.25</v>
      </c>
      <c r="N2590" s="116">
        <v>530.85</v>
      </c>
      <c r="O2590" s="116">
        <v>513.9</v>
      </c>
      <c r="P2590" s="116">
        <v>520</v>
      </c>
      <c r="Q2590" s="116">
        <v>517.25</v>
      </c>
      <c r="R2590">
        <v>5827617</v>
      </c>
    </row>
    <row r="2591" spans="1:18" x14ac:dyDescent="0.25">
      <c r="A2591" s="170">
        <v>45820</v>
      </c>
      <c r="B2591" s="116">
        <v>531.1</v>
      </c>
      <c r="C2591" s="116">
        <v>516.95000000000005</v>
      </c>
      <c r="D2591" s="116">
        <v>514</v>
      </c>
      <c r="E2591" s="116">
        <v>520.4</v>
      </c>
      <c r="F2591" s="116">
        <v>516.95000000000005</v>
      </c>
      <c r="G2591">
        <v>280535</v>
      </c>
      <c r="H2591" s="116"/>
      <c r="I2591" s="116"/>
      <c r="L2591" s="170">
        <v>45821</v>
      </c>
      <c r="M2591" s="116">
        <v>514.25</v>
      </c>
      <c r="N2591" s="116">
        <v>521</v>
      </c>
      <c r="O2591" s="116">
        <v>502.15</v>
      </c>
      <c r="P2591" s="116">
        <v>505</v>
      </c>
      <c r="Q2591" s="116">
        <v>514.25</v>
      </c>
      <c r="R2591">
        <v>5153341</v>
      </c>
    </row>
    <row r="2592" spans="1:18" x14ac:dyDescent="0.25">
      <c r="A2592" s="170">
        <v>45821</v>
      </c>
      <c r="B2592" s="116">
        <v>521.1</v>
      </c>
      <c r="C2592" s="116">
        <v>514.4</v>
      </c>
      <c r="D2592" s="116">
        <v>502.7</v>
      </c>
      <c r="E2592" s="116">
        <v>508.8</v>
      </c>
      <c r="F2592" s="116">
        <v>514.4</v>
      </c>
      <c r="G2592">
        <v>223393</v>
      </c>
      <c r="H2592" s="116"/>
      <c r="I2592" s="116"/>
      <c r="L2592" s="170">
        <v>45824</v>
      </c>
      <c r="M2592" s="116">
        <v>512.95000000000005</v>
      </c>
      <c r="N2592" s="116">
        <v>520.04999999999995</v>
      </c>
      <c r="O2592" s="116">
        <v>502.35</v>
      </c>
      <c r="P2592" s="116">
        <v>520</v>
      </c>
      <c r="Q2592" s="116">
        <v>512.95000000000005</v>
      </c>
      <c r="R2592">
        <v>4005115</v>
      </c>
    </row>
    <row r="2593" spans="1:18" x14ac:dyDescent="0.25">
      <c r="A2593" s="170">
        <v>45824</v>
      </c>
      <c r="B2593" s="116">
        <v>519.95000000000005</v>
      </c>
      <c r="C2593" s="116">
        <v>513.04999999999995</v>
      </c>
      <c r="D2593" s="116">
        <v>502.3</v>
      </c>
      <c r="E2593" s="116">
        <v>517.04999999999995</v>
      </c>
      <c r="F2593" s="116">
        <v>513.04999999999995</v>
      </c>
      <c r="G2593">
        <v>368907</v>
      </c>
      <c r="H2593" s="116"/>
      <c r="I2593" s="116"/>
      <c r="L2593" s="170">
        <v>45825</v>
      </c>
      <c r="M2593" s="116">
        <v>486.35</v>
      </c>
      <c r="N2593" s="116">
        <v>506.6</v>
      </c>
      <c r="O2593" s="116">
        <v>483.05</v>
      </c>
      <c r="P2593" s="116">
        <v>505</v>
      </c>
      <c r="Q2593" s="116">
        <v>486.35</v>
      </c>
      <c r="R2593">
        <v>9622550</v>
      </c>
    </row>
    <row r="2594" spans="1:18" x14ac:dyDescent="0.25">
      <c r="A2594" s="170">
        <v>45825</v>
      </c>
      <c r="B2594" s="116">
        <v>506.5</v>
      </c>
      <c r="C2594" s="116">
        <v>486.4</v>
      </c>
      <c r="D2594" s="116">
        <v>483.2</v>
      </c>
      <c r="E2594" s="116">
        <v>505</v>
      </c>
      <c r="F2594" s="116">
        <v>486.4</v>
      </c>
      <c r="G2594">
        <v>735274</v>
      </c>
      <c r="H2594" s="116"/>
      <c r="I2594" s="116"/>
      <c r="L2594" s="170">
        <v>45826</v>
      </c>
      <c r="M2594" s="116">
        <v>452.8</v>
      </c>
      <c r="N2594" s="116">
        <v>465</v>
      </c>
      <c r="O2594" s="116">
        <v>451.2</v>
      </c>
      <c r="P2594" s="116">
        <v>462</v>
      </c>
      <c r="Q2594" s="116">
        <v>452.8</v>
      </c>
      <c r="R2594">
        <v>142069446</v>
      </c>
    </row>
    <row r="2595" spans="1:18" x14ac:dyDescent="0.25">
      <c r="A2595" s="170">
        <v>45826</v>
      </c>
      <c r="B2595" s="116">
        <v>464.25</v>
      </c>
      <c r="C2595" s="116">
        <v>452.9</v>
      </c>
      <c r="D2595" s="116">
        <v>451.5</v>
      </c>
      <c r="E2595" s="116">
        <v>462.4</v>
      </c>
      <c r="F2595" s="116">
        <v>452.9</v>
      </c>
      <c r="G2595">
        <v>9747893</v>
      </c>
      <c r="H2595" s="116"/>
      <c r="I2595" s="116"/>
      <c r="L2595" s="170">
        <v>45827</v>
      </c>
      <c r="M2595" s="116">
        <v>437.45</v>
      </c>
      <c r="N2595" s="116">
        <v>456.05</v>
      </c>
      <c r="O2595" s="116">
        <v>435.5</v>
      </c>
      <c r="P2595" s="116">
        <v>454.1</v>
      </c>
      <c r="Q2595" s="116">
        <v>437.45</v>
      </c>
      <c r="R2595">
        <v>16137205</v>
      </c>
    </row>
    <row r="2596" spans="1:18" x14ac:dyDescent="0.25">
      <c r="A2596" s="170">
        <v>45827</v>
      </c>
      <c r="B2596" s="116">
        <v>456.95</v>
      </c>
      <c r="C2596" s="116">
        <v>437.4</v>
      </c>
      <c r="D2596" s="116">
        <v>435.6</v>
      </c>
      <c r="E2596" s="116">
        <v>456.95</v>
      </c>
      <c r="F2596" s="116">
        <v>437.4</v>
      </c>
      <c r="G2596">
        <v>1103202</v>
      </c>
      <c r="H2596" s="116"/>
      <c r="I2596" s="116"/>
      <c r="L2596" s="170">
        <v>45828</v>
      </c>
      <c r="M2596" s="116">
        <v>438.6</v>
      </c>
      <c r="N2596" s="116">
        <v>441.7</v>
      </c>
      <c r="O2596" s="116">
        <v>434.75</v>
      </c>
      <c r="P2596" s="116">
        <v>437.85</v>
      </c>
      <c r="Q2596" s="116">
        <v>438.6</v>
      </c>
      <c r="R2596">
        <v>9792306</v>
      </c>
    </row>
    <row r="2597" spans="1:18" x14ac:dyDescent="0.25">
      <c r="A2597" s="170">
        <v>45828</v>
      </c>
      <c r="B2597" s="116">
        <v>441.5</v>
      </c>
      <c r="C2597" s="116">
        <v>438.6</v>
      </c>
      <c r="D2597" s="116">
        <v>434.9</v>
      </c>
      <c r="E2597" s="116">
        <v>437.5</v>
      </c>
      <c r="F2597" s="116">
        <v>438.6</v>
      </c>
      <c r="G2597">
        <v>388909</v>
      </c>
      <c r="H2597" s="116"/>
      <c r="I2597" s="116"/>
      <c r="L2597" s="170">
        <v>45831</v>
      </c>
      <c r="M2597" s="116">
        <v>440.55</v>
      </c>
      <c r="N2597" s="116">
        <v>445.6</v>
      </c>
      <c r="O2597" s="116">
        <v>435.25</v>
      </c>
      <c r="P2597" s="116">
        <v>435.7</v>
      </c>
      <c r="Q2597" s="116">
        <v>440.55</v>
      </c>
      <c r="R2597">
        <v>7981302</v>
      </c>
    </row>
    <row r="2598" spans="1:18" x14ac:dyDescent="0.25">
      <c r="A2598" s="170">
        <v>45831</v>
      </c>
      <c r="B2598" s="116">
        <v>445.5</v>
      </c>
      <c r="C2598" s="116">
        <v>440.6</v>
      </c>
      <c r="D2598" s="116">
        <v>435.5</v>
      </c>
      <c r="E2598" s="116">
        <v>436.95</v>
      </c>
      <c r="F2598" s="116">
        <v>440.6</v>
      </c>
      <c r="G2598">
        <v>297568</v>
      </c>
      <c r="H2598" s="116"/>
      <c r="I2598" s="116"/>
      <c r="L2598" s="170">
        <v>45832</v>
      </c>
      <c r="M2598" s="116">
        <v>442.9</v>
      </c>
      <c r="N2598" s="116">
        <v>447.9</v>
      </c>
      <c r="O2598" s="116">
        <v>439.6</v>
      </c>
      <c r="P2598" s="116">
        <v>446</v>
      </c>
      <c r="Q2598" s="116">
        <v>442.9</v>
      </c>
      <c r="R2598">
        <v>5259572</v>
      </c>
    </row>
    <row r="2599" spans="1:18" x14ac:dyDescent="0.25">
      <c r="A2599" s="170">
        <v>45832</v>
      </c>
      <c r="B2599" s="116">
        <v>447.85</v>
      </c>
      <c r="C2599" s="116">
        <v>443</v>
      </c>
      <c r="D2599" s="116">
        <v>439.55</v>
      </c>
      <c r="E2599" s="116">
        <v>446.9</v>
      </c>
      <c r="F2599" s="116">
        <v>443</v>
      </c>
      <c r="G2599">
        <v>445189</v>
      </c>
      <c r="H2599" s="116"/>
      <c r="I2599" s="116"/>
      <c r="L2599" s="170">
        <v>45833</v>
      </c>
      <c r="M2599" s="116">
        <v>442.1</v>
      </c>
      <c r="N2599" s="116">
        <v>445.8</v>
      </c>
      <c r="O2599" s="116">
        <v>440.6</v>
      </c>
      <c r="P2599" s="116">
        <v>444.8</v>
      </c>
      <c r="Q2599" s="116">
        <v>442.1</v>
      </c>
      <c r="R2599">
        <v>3318519</v>
      </c>
    </row>
    <row r="2600" spans="1:18" x14ac:dyDescent="0.25">
      <c r="A2600" s="170">
        <v>45833</v>
      </c>
      <c r="B2600" s="116">
        <v>445.9</v>
      </c>
      <c r="C2600" s="116">
        <v>441.85</v>
      </c>
      <c r="D2600" s="116">
        <v>440.55</v>
      </c>
      <c r="E2600" s="116">
        <v>445.5</v>
      </c>
      <c r="F2600" s="116">
        <v>441.85</v>
      </c>
      <c r="G2600">
        <v>283751</v>
      </c>
      <c r="H2600" s="116"/>
      <c r="I2600" s="116"/>
      <c r="L2600" s="170">
        <v>45834</v>
      </c>
      <c r="M2600" s="116">
        <v>448.9</v>
      </c>
      <c r="N2600" s="116">
        <v>450</v>
      </c>
      <c r="O2600" s="116">
        <v>438.5</v>
      </c>
      <c r="P2600" s="116">
        <v>445</v>
      </c>
      <c r="Q2600" s="116">
        <v>448.9</v>
      </c>
      <c r="R2600">
        <v>6976812</v>
      </c>
    </row>
    <row r="2601" spans="1:18" x14ac:dyDescent="0.25">
      <c r="A2601" s="170">
        <v>45834</v>
      </c>
      <c r="B2601" s="116">
        <v>449.95</v>
      </c>
      <c r="C2601" s="116">
        <v>448.8</v>
      </c>
      <c r="D2601" s="116">
        <v>438.7</v>
      </c>
      <c r="E2601" s="116">
        <v>444.05</v>
      </c>
      <c r="F2601" s="116">
        <v>448.8</v>
      </c>
      <c r="G2601">
        <v>216311</v>
      </c>
      <c r="H2601" s="116"/>
      <c r="I2601" s="116"/>
      <c r="L2601" s="170">
        <v>45835</v>
      </c>
      <c r="M2601" s="116">
        <v>451.15</v>
      </c>
      <c r="N2601" s="116">
        <v>455.35</v>
      </c>
      <c r="O2601" s="116">
        <v>449</v>
      </c>
      <c r="P2601" s="116">
        <v>452.9</v>
      </c>
      <c r="Q2601" s="116">
        <v>451.15</v>
      </c>
      <c r="R2601">
        <v>7428769</v>
      </c>
    </row>
    <row r="2602" spans="1:18" x14ac:dyDescent="0.25">
      <c r="A2602" s="170">
        <v>45835</v>
      </c>
      <c r="B2602" s="116">
        <v>455.35</v>
      </c>
      <c r="C2602" s="116">
        <v>451.05</v>
      </c>
      <c r="D2602" s="116">
        <v>449.05</v>
      </c>
      <c r="E2602" s="116">
        <v>452.9</v>
      </c>
      <c r="F2602" s="116">
        <v>451.05</v>
      </c>
      <c r="G2602">
        <v>274916</v>
      </c>
      <c r="H2602" s="116"/>
      <c r="I2602" s="116"/>
      <c r="L2602" s="170">
        <v>45838</v>
      </c>
      <c r="M2602" s="116">
        <v>450.85</v>
      </c>
      <c r="N2602" s="116">
        <v>452.85</v>
      </c>
      <c r="O2602" s="116">
        <v>448.3</v>
      </c>
      <c r="P2602" s="116">
        <v>452.4</v>
      </c>
      <c r="Q2602" s="116">
        <v>450.85</v>
      </c>
      <c r="R2602">
        <v>3717240</v>
      </c>
    </row>
    <row r="2603" spans="1:18" x14ac:dyDescent="0.25">
      <c r="A2603" s="170">
        <v>45838</v>
      </c>
      <c r="B2603" s="116">
        <v>452.95</v>
      </c>
      <c r="C2603" s="116">
        <v>450.85</v>
      </c>
      <c r="D2603" s="116">
        <v>448.2</v>
      </c>
      <c r="E2603" s="116">
        <v>452.95</v>
      </c>
      <c r="F2603" s="116">
        <v>450.85</v>
      </c>
      <c r="G2603">
        <v>114583</v>
      </c>
      <c r="H2603" s="116"/>
      <c r="I2603" s="116"/>
      <c r="L2603" s="170">
        <v>45839</v>
      </c>
      <c r="M2603" s="116">
        <v>450.35</v>
      </c>
      <c r="N2603" s="116">
        <v>452.95</v>
      </c>
      <c r="O2603" s="116">
        <v>445.7</v>
      </c>
      <c r="P2603" s="116">
        <v>452</v>
      </c>
      <c r="Q2603" s="116">
        <v>450.35</v>
      </c>
      <c r="R2603">
        <v>4010078</v>
      </c>
    </row>
    <row r="2604" spans="1:18" x14ac:dyDescent="0.25">
      <c r="A2604" s="170">
        <v>45839</v>
      </c>
      <c r="B2604" s="116">
        <v>452.9</v>
      </c>
      <c r="C2604" s="116">
        <v>450.4</v>
      </c>
      <c r="D2604" s="116">
        <v>445.75</v>
      </c>
      <c r="E2604" s="116">
        <v>451.5</v>
      </c>
      <c r="F2604" s="116">
        <v>450.4</v>
      </c>
      <c r="G2604">
        <v>100104</v>
      </c>
      <c r="H2604" s="116"/>
      <c r="I2604" s="116"/>
      <c r="L2604" s="170">
        <v>45840</v>
      </c>
      <c r="M2604" s="116">
        <v>447.2</v>
      </c>
      <c r="N2604" s="116">
        <v>453.9</v>
      </c>
      <c r="O2604" s="116">
        <v>446.6</v>
      </c>
      <c r="P2604" s="116">
        <v>452</v>
      </c>
      <c r="Q2604" s="116">
        <v>447.2</v>
      </c>
      <c r="R2604">
        <v>2979489</v>
      </c>
    </row>
    <row r="2605" spans="1:18" x14ac:dyDescent="0.25">
      <c r="A2605" s="170">
        <v>45840</v>
      </c>
      <c r="B2605" s="116">
        <v>453.8</v>
      </c>
      <c r="C2605" s="116">
        <v>446.65</v>
      </c>
      <c r="D2605" s="116">
        <v>445</v>
      </c>
      <c r="E2605" s="116">
        <v>450.8</v>
      </c>
      <c r="F2605" s="116">
        <v>446.65</v>
      </c>
      <c r="G2605">
        <v>251467</v>
      </c>
      <c r="H2605" s="116"/>
      <c r="I2605" s="116"/>
      <c r="L2605" s="170">
        <v>45841</v>
      </c>
      <c r="M2605" s="116">
        <v>445.55</v>
      </c>
      <c r="N2605" s="116">
        <v>450.4</v>
      </c>
      <c r="O2605" s="116">
        <v>445.1</v>
      </c>
      <c r="P2605" s="116">
        <v>446.85</v>
      </c>
      <c r="Q2605" s="116">
        <v>445.55</v>
      </c>
      <c r="R2605">
        <v>2050922</v>
      </c>
    </row>
    <row r="2606" spans="1:18" x14ac:dyDescent="0.25">
      <c r="A2606" s="170">
        <v>45841</v>
      </c>
      <c r="B2606" s="116">
        <v>450.2</v>
      </c>
      <c r="C2606" s="116">
        <v>445.45</v>
      </c>
      <c r="D2606" s="116">
        <v>444.95</v>
      </c>
      <c r="E2606" s="116">
        <v>447</v>
      </c>
      <c r="F2606" s="116">
        <v>445.45</v>
      </c>
      <c r="G2606">
        <v>98857</v>
      </c>
      <c r="H2606" s="116"/>
      <c r="I2606" s="116"/>
      <c r="L2606" s="170">
        <v>45842</v>
      </c>
      <c r="M2606" s="116">
        <v>445.1</v>
      </c>
      <c r="N2606" s="116">
        <v>448.9</v>
      </c>
      <c r="O2606" s="116">
        <v>443.1</v>
      </c>
      <c r="P2606" s="116">
        <v>448.9</v>
      </c>
      <c r="Q2606" s="116">
        <v>445.1</v>
      </c>
      <c r="R2606">
        <v>1786418</v>
      </c>
    </row>
    <row r="2607" spans="1:18" x14ac:dyDescent="0.25">
      <c r="A2607" s="170">
        <v>45842</v>
      </c>
      <c r="B2607" s="116">
        <v>449.5</v>
      </c>
      <c r="C2607" s="116">
        <v>445</v>
      </c>
      <c r="D2607" s="116">
        <v>443.05</v>
      </c>
      <c r="E2607" s="116">
        <v>449.5</v>
      </c>
      <c r="F2607" s="116">
        <v>445</v>
      </c>
      <c r="G2607">
        <v>77090</v>
      </c>
      <c r="H2607" s="116"/>
      <c r="I2607" s="116"/>
      <c r="L2607" s="170">
        <v>45845</v>
      </c>
      <c r="M2607" s="116">
        <v>437.5</v>
      </c>
      <c r="N2607" s="116">
        <v>445.55</v>
      </c>
      <c r="O2607" s="116">
        <v>436.2</v>
      </c>
      <c r="P2607" s="116">
        <v>445.2</v>
      </c>
      <c r="Q2607" s="116">
        <v>437.5</v>
      </c>
      <c r="R2607">
        <v>2682662</v>
      </c>
    </row>
    <row r="2608" spans="1:18" x14ac:dyDescent="0.25">
      <c r="A2608" s="170">
        <v>45845</v>
      </c>
      <c r="B2608" s="116">
        <v>446</v>
      </c>
      <c r="C2608" s="116">
        <v>437.25</v>
      </c>
      <c r="D2608" s="116">
        <v>436.2</v>
      </c>
      <c r="E2608" s="116">
        <v>446</v>
      </c>
      <c r="F2608" s="116">
        <v>437.25</v>
      </c>
      <c r="G2608">
        <v>99311</v>
      </c>
      <c r="H2608" s="116"/>
      <c r="I2608" s="116"/>
      <c r="L2608" s="170">
        <v>45846</v>
      </c>
      <c r="M2608" s="116">
        <v>436.2</v>
      </c>
      <c r="N2608" s="116">
        <v>439.45</v>
      </c>
      <c r="O2608" s="116">
        <v>434.7</v>
      </c>
      <c r="P2608" s="116">
        <v>438.45</v>
      </c>
      <c r="Q2608" s="116">
        <v>436.2</v>
      </c>
      <c r="R2608">
        <v>1567143</v>
      </c>
    </row>
    <row r="2609" spans="1:18" x14ac:dyDescent="0.25">
      <c r="A2609" s="170">
        <v>45846</v>
      </c>
      <c r="B2609" s="116">
        <v>439.6</v>
      </c>
      <c r="C2609" s="116">
        <v>436.2</v>
      </c>
      <c r="D2609" s="116">
        <v>434.65</v>
      </c>
      <c r="E2609" s="116">
        <v>438.95</v>
      </c>
      <c r="F2609" s="116">
        <v>436.2</v>
      </c>
      <c r="G2609">
        <v>66865</v>
      </c>
      <c r="H2609" s="116"/>
      <c r="I2609" s="116"/>
      <c r="L2609" s="170">
        <v>45847</v>
      </c>
      <c r="M2609" s="116">
        <v>425</v>
      </c>
      <c r="N2609" s="116">
        <v>437.3</v>
      </c>
      <c r="O2609" s="116">
        <v>415.15</v>
      </c>
      <c r="P2609" s="116">
        <v>437.3</v>
      </c>
      <c r="Q2609" s="116">
        <v>425</v>
      </c>
      <c r="R2609">
        <v>7244683</v>
      </c>
    </row>
    <row r="2610" spans="1:18" x14ac:dyDescent="0.25">
      <c r="A2610" s="170">
        <v>45847</v>
      </c>
      <c r="B2610" s="116">
        <v>437.45</v>
      </c>
      <c r="C2610" s="116">
        <v>425.05</v>
      </c>
      <c r="D2610" s="116">
        <v>415.3</v>
      </c>
      <c r="E2610" s="116">
        <v>436.75</v>
      </c>
      <c r="F2610" s="116">
        <v>425.05</v>
      </c>
      <c r="G2610">
        <v>594110</v>
      </c>
      <c r="H2610" s="116"/>
      <c r="I2610" s="116"/>
      <c r="L2610" s="170">
        <v>45848</v>
      </c>
      <c r="M2610" s="116">
        <v>422.8</v>
      </c>
      <c r="N2610" s="116">
        <v>427.65</v>
      </c>
      <c r="O2610" s="116">
        <v>420</v>
      </c>
      <c r="P2610" s="116">
        <v>425</v>
      </c>
      <c r="Q2610" s="116">
        <v>422.8</v>
      </c>
      <c r="R2610">
        <v>2431803</v>
      </c>
    </row>
    <row r="2611" spans="1:18" x14ac:dyDescent="0.25">
      <c r="A2611" s="170">
        <v>45848</v>
      </c>
      <c r="B2611" s="116">
        <v>427.7</v>
      </c>
      <c r="C2611" s="116">
        <v>422.7</v>
      </c>
      <c r="D2611" s="116">
        <v>420.05</v>
      </c>
      <c r="E2611" s="116">
        <v>424.1</v>
      </c>
      <c r="F2611" s="116">
        <v>422.7</v>
      </c>
      <c r="G2611">
        <v>242371</v>
      </c>
      <c r="H2611" s="116"/>
      <c r="I2611" s="116"/>
      <c r="L2611" s="170">
        <v>45849</v>
      </c>
      <c r="M2611" s="116">
        <v>424.9</v>
      </c>
      <c r="N2611" s="116">
        <v>431.25</v>
      </c>
      <c r="O2611" s="116">
        <v>422.2</v>
      </c>
      <c r="P2611" s="116">
        <v>423</v>
      </c>
      <c r="Q2611" s="116">
        <v>424.9</v>
      </c>
      <c r="R2611">
        <v>3289049</v>
      </c>
    </row>
    <row r="2612" spans="1:18" x14ac:dyDescent="0.25">
      <c r="A2612" s="170">
        <v>45849</v>
      </c>
      <c r="B2612" s="116">
        <v>430.9</v>
      </c>
      <c r="C2612" s="116">
        <v>424.6</v>
      </c>
      <c r="D2612" s="116">
        <v>422.5</v>
      </c>
      <c r="E2612" s="116">
        <v>422.55</v>
      </c>
      <c r="F2612" s="116">
        <v>424.6</v>
      </c>
      <c r="G2612">
        <v>141223</v>
      </c>
      <c r="H2612" s="116"/>
      <c r="I2612" s="116"/>
      <c r="L2612" s="170">
        <v>45852</v>
      </c>
      <c r="M2612" s="116">
        <v>436.35</v>
      </c>
      <c r="N2612" s="116">
        <v>437.2</v>
      </c>
      <c r="O2612" s="116">
        <v>426.4</v>
      </c>
      <c r="P2612" s="116">
        <v>427.9</v>
      </c>
      <c r="Q2612" s="116">
        <v>436.35</v>
      </c>
      <c r="R2612">
        <v>3867360</v>
      </c>
    </row>
    <row r="2613" spans="1:18" x14ac:dyDescent="0.25">
      <c r="A2613" s="170">
        <v>45852</v>
      </c>
      <c r="B2613" s="116">
        <v>437</v>
      </c>
      <c r="C2613" s="116">
        <v>436.4</v>
      </c>
      <c r="D2613" s="116">
        <v>426.05</v>
      </c>
      <c r="E2613" s="116">
        <v>429.3</v>
      </c>
      <c r="F2613" s="116">
        <v>436.4</v>
      </c>
      <c r="G2613">
        <v>167786</v>
      </c>
      <c r="H2613" s="116"/>
      <c r="I2613" s="116"/>
      <c r="L2613" s="170">
        <v>45853</v>
      </c>
      <c r="M2613" s="116">
        <v>437.45</v>
      </c>
      <c r="N2613" s="116">
        <v>441.8</v>
      </c>
      <c r="O2613" s="116">
        <v>435.1</v>
      </c>
      <c r="P2613" s="116">
        <v>437</v>
      </c>
      <c r="Q2613" s="116">
        <v>437.45</v>
      </c>
      <c r="R2613">
        <v>2384363</v>
      </c>
    </row>
    <row r="2614" spans="1:18" x14ac:dyDescent="0.25">
      <c r="A2614" s="170">
        <v>45853</v>
      </c>
      <c r="B2614" s="116">
        <v>441.6</v>
      </c>
      <c r="C2614" s="116">
        <v>437.3</v>
      </c>
      <c r="D2614" s="116">
        <v>435</v>
      </c>
      <c r="E2614" s="116">
        <v>439.75</v>
      </c>
      <c r="F2614" s="116">
        <v>437.3</v>
      </c>
      <c r="G2614">
        <v>201463</v>
      </c>
      <c r="H2614" s="116"/>
      <c r="I2614" s="116"/>
      <c r="L2614" s="170">
        <v>45854</v>
      </c>
      <c r="M2614" s="116">
        <v>435.2</v>
      </c>
      <c r="N2614" s="116">
        <v>438.3</v>
      </c>
      <c r="O2614" s="116">
        <v>433.3</v>
      </c>
      <c r="P2614" s="116">
        <v>437.95</v>
      </c>
      <c r="Q2614" s="116">
        <v>435.2</v>
      </c>
      <c r="R2614">
        <v>1930300</v>
      </c>
    </row>
    <row r="2615" spans="1:18" x14ac:dyDescent="0.25">
      <c r="A2615" s="170">
        <v>45854</v>
      </c>
      <c r="B2615" s="116">
        <v>438.45</v>
      </c>
      <c r="C2615" s="116">
        <v>435.2</v>
      </c>
      <c r="D2615" s="116">
        <v>433.3</v>
      </c>
      <c r="E2615" s="116">
        <v>437.5</v>
      </c>
      <c r="F2615" s="116">
        <v>435.2</v>
      </c>
      <c r="G2615">
        <v>85549</v>
      </c>
      <c r="H2615" s="116"/>
      <c r="I2615" s="116"/>
      <c r="L2615" s="170">
        <v>45855</v>
      </c>
      <c r="M2615" s="116">
        <v>437.1</v>
      </c>
      <c r="N2615" s="116">
        <v>439.1</v>
      </c>
      <c r="O2615" s="116">
        <v>435.25</v>
      </c>
      <c r="P2615" s="116">
        <v>438.5</v>
      </c>
      <c r="Q2615" s="116">
        <v>437.1</v>
      </c>
      <c r="R2615">
        <v>1749870</v>
      </c>
    </row>
    <row r="2616" spans="1:18" x14ac:dyDescent="0.25">
      <c r="A2616" s="170">
        <v>45855</v>
      </c>
      <c r="B2616" s="116">
        <v>439.55</v>
      </c>
      <c r="C2616" s="116">
        <v>437.05</v>
      </c>
      <c r="D2616" s="116">
        <v>435.4</v>
      </c>
      <c r="E2616" s="116">
        <v>438.05</v>
      </c>
      <c r="F2616" s="116">
        <v>437.05</v>
      </c>
      <c r="G2616">
        <v>307997</v>
      </c>
      <c r="H2616" s="116"/>
      <c r="I2616" s="116"/>
      <c r="L2616" s="170">
        <v>45856</v>
      </c>
      <c r="M2616" s="116">
        <v>435.5</v>
      </c>
      <c r="N2616" s="116">
        <v>441.5</v>
      </c>
      <c r="O2616" s="116">
        <v>431.1</v>
      </c>
      <c r="P2616" s="116">
        <v>438.45</v>
      </c>
      <c r="Q2616" s="116">
        <v>435.5</v>
      </c>
      <c r="R2616">
        <v>4662210</v>
      </c>
    </row>
    <row r="2617" spans="1:18" x14ac:dyDescent="0.25">
      <c r="A2617" s="170">
        <v>45856</v>
      </c>
      <c r="B2617" s="116">
        <v>441.45</v>
      </c>
      <c r="C2617" s="116">
        <v>435.6</v>
      </c>
      <c r="D2617" s="116">
        <v>431.45</v>
      </c>
      <c r="E2617" s="116">
        <v>440.65</v>
      </c>
      <c r="F2617" s="116">
        <v>435.6</v>
      </c>
      <c r="G2617">
        <v>156793</v>
      </c>
      <c r="H2617" s="116"/>
      <c r="I2617" s="116"/>
      <c r="L2617" s="170">
        <v>45859</v>
      </c>
      <c r="M2617" s="116">
        <v>444.65</v>
      </c>
      <c r="N2617" s="116">
        <v>447.2</v>
      </c>
      <c r="O2617" s="116">
        <v>434.8</v>
      </c>
      <c r="P2617" s="116">
        <v>435.7</v>
      </c>
      <c r="Q2617" s="116">
        <v>444.65</v>
      </c>
      <c r="R2617">
        <v>3834004</v>
      </c>
    </row>
    <row r="2618" spans="1:18" x14ac:dyDescent="0.25">
      <c r="A2618" s="170">
        <v>45859</v>
      </c>
      <c r="B2618" s="116">
        <v>447</v>
      </c>
      <c r="C2618" s="116">
        <v>444.65</v>
      </c>
      <c r="D2618" s="116">
        <v>434.8</v>
      </c>
      <c r="E2618" s="116">
        <v>434.8</v>
      </c>
      <c r="F2618" s="116">
        <v>444.65</v>
      </c>
      <c r="G2618">
        <v>380865</v>
      </c>
      <c r="H2618" s="116"/>
      <c r="I2618" s="116"/>
      <c r="L2618" s="170">
        <v>45860</v>
      </c>
      <c r="M2618" s="116">
        <v>443.2</v>
      </c>
      <c r="N2618" s="116">
        <v>446.95</v>
      </c>
      <c r="O2618" s="116">
        <v>442.1</v>
      </c>
      <c r="P2618" s="116">
        <v>446.95</v>
      </c>
      <c r="Q2618" s="116">
        <v>443.2</v>
      </c>
      <c r="R2618">
        <v>1623314</v>
      </c>
    </row>
    <row r="2619" spans="1:18" x14ac:dyDescent="0.25">
      <c r="A2619" s="170">
        <v>45860</v>
      </c>
      <c r="B2619" s="116">
        <v>447.1</v>
      </c>
      <c r="C2619" s="116">
        <v>443.25</v>
      </c>
      <c r="D2619" s="116">
        <v>441.75</v>
      </c>
      <c r="E2619" s="116">
        <v>447</v>
      </c>
      <c r="F2619" s="116">
        <v>443.25</v>
      </c>
      <c r="G2619">
        <v>447925</v>
      </c>
      <c r="H2619" s="116"/>
      <c r="I2619" s="116"/>
      <c r="L2619" s="170">
        <v>45861</v>
      </c>
      <c r="M2619" s="116">
        <v>446.85</v>
      </c>
      <c r="N2619" s="116">
        <v>449</v>
      </c>
      <c r="O2619" s="116">
        <v>443.3</v>
      </c>
      <c r="P2619" s="116">
        <v>446.1</v>
      </c>
      <c r="Q2619" s="116">
        <v>446.85</v>
      </c>
      <c r="R2619">
        <v>1808120</v>
      </c>
    </row>
    <row r="2620" spans="1:18" x14ac:dyDescent="0.25">
      <c r="A2620" s="170">
        <v>45861</v>
      </c>
      <c r="B2620" s="116">
        <v>448.7</v>
      </c>
      <c r="C2620" s="116">
        <v>446.9</v>
      </c>
      <c r="D2620" s="116">
        <v>443.7</v>
      </c>
      <c r="E2620" s="116">
        <v>445.05</v>
      </c>
      <c r="F2620" s="116">
        <v>446.9</v>
      </c>
      <c r="G2620">
        <v>195958</v>
      </c>
      <c r="H2620" s="116"/>
      <c r="I2620" s="116"/>
      <c r="L2620" s="170">
        <v>45862</v>
      </c>
      <c r="M2620" s="116">
        <v>446.1</v>
      </c>
      <c r="N2620" s="116">
        <v>447.85</v>
      </c>
      <c r="O2620" s="116">
        <v>443.05</v>
      </c>
      <c r="P2620" s="116">
        <v>446.8</v>
      </c>
      <c r="Q2620" s="116">
        <v>446.1</v>
      </c>
      <c r="R2620">
        <v>1568590</v>
      </c>
    </row>
    <row r="2621" spans="1:18" x14ac:dyDescent="0.25">
      <c r="A2621" s="170">
        <v>45862</v>
      </c>
      <c r="B2621" s="116">
        <v>447.75</v>
      </c>
      <c r="C2621" s="116">
        <v>445.9</v>
      </c>
      <c r="D2621" s="116">
        <v>442.9</v>
      </c>
      <c r="E2621" s="116">
        <v>446.25</v>
      </c>
      <c r="F2621" s="116">
        <v>445.9</v>
      </c>
      <c r="G2621">
        <v>223374</v>
      </c>
      <c r="H2621" s="116"/>
      <c r="I2621" s="116"/>
      <c r="L2621" s="170">
        <v>45863</v>
      </c>
      <c r="M2621" s="116">
        <v>439.2</v>
      </c>
      <c r="N2621" s="116">
        <v>446.25</v>
      </c>
      <c r="O2621" s="116">
        <v>437.4</v>
      </c>
      <c r="P2621" s="116">
        <v>445.7</v>
      </c>
      <c r="Q2621" s="116">
        <v>439.2</v>
      </c>
      <c r="R2621">
        <v>1769660</v>
      </c>
    </row>
    <row r="2622" spans="1:18" x14ac:dyDescent="0.25">
      <c r="A2622" s="170">
        <v>45863</v>
      </c>
      <c r="B2622" s="116">
        <v>446.25</v>
      </c>
      <c r="C2622" s="116">
        <v>438.9</v>
      </c>
      <c r="D2622" s="116">
        <v>437.5</v>
      </c>
      <c r="E2622" s="116">
        <v>446.25</v>
      </c>
      <c r="F2622" s="116">
        <v>438.9</v>
      </c>
      <c r="G2622">
        <v>177638</v>
      </c>
      <c r="H2622" s="116"/>
      <c r="I2622" s="116"/>
      <c r="L2622" s="170">
        <v>45866</v>
      </c>
      <c r="M2622" s="116">
        <v>432.05</v>
      </c>
      <c r="N2622" s="116">
        <v>439.8</v>
      </c>
      <c r="O2622" s="116">
        <v>431.3</v>
      </c>
      <c r="P2622" s="116">
        <v>438</v>
      </c>
      <c r="Q2622" s="116">
        <v>432.05</v>
      </c>
      <c r="R2622">
        <v>1958546</v>
      </c>
    </row>
    <row r="2623" spans="1:18" x14ac:dyDescent="0.25">
      <c r="A2623" s="170">
        <v>45866</v>
      </c>
      <c r="B2623" s="116">
        <v>439.6</v>
      </c>
      <c r="C2623" s="116">
        <v>431.75</v>
      </c>
      <c r="D2623" s="116">
        <v>431.1</v>
      </c>
      <c r="E2623" s="116">
        <v>438.7</v>
      </c>
      <c r="F2623" s="116">
        <v>431.75</v>
      </c>
      <c r="G2623">
        <v>58327</v>
      </c>
      <c r="H2623" s="116"/>
      <c r="I2623" s="116"/>
      <c r="L2623" s="170">
        <v>45867</v>
      </c>
      <c r="M2623" s="116">
        <v>437.4</v>
      </c>
      <c r="N2623" s="116">
        <v>438</v>
      </c>
      <c r="O2623" s="116">
        <v>430.6</v>
      </c>
      <c r="P2623" s="116">
        <v>432</v>
      </c>
      <c r="Q2623" s="116">
        <v>437.4</v>
      </c>
      <c r="R2623">
        <v>1325115</v>
      </c>
    </row>
    <row r="2624" spans="1:18" x14ac:dyDescent="0.25">
      <c r="A2624" s="170">
        <v>45867</v>
      </c>
      <c r="B2624" s="116">
        <v>438</v>
      </c>
      <c r="C2624" s="116">
        <v>437.3</v>
      </c>
      <c r="D2624" s="116">
        <v>430.55</v>
      </c>
      <c r="E2624" s="116">
        <v>430.55</v>
      </c>
      <c r="F2624" s="116">
        <v>437.3</v>
      </c>
      <c r="G2624">
        <v>31478</v>
      </c>
      <c r="H2624" s="116"/>
      <c r="I2624" s="116"/>
      <c r="L2624" s="170">
        <v>45868</v>
      </c>
      <c r="M2624" s="116">
        <v>432.45</v>
      </c>
      <c r="N2624" s="116">
        <v>438.15</v>
      </c>
      <c r="O2624" s="116">
        <v>431.6</v>
      </c>
      <c r="P2624" s="116">
        <v>436.9</v>
      </c>
      <c r="Q2624" s="116">
        <v>432.45</v>
      </c>
      <c r="R2624">
        <v>1275211</v>
      </c>
    </row>
    <row r="2625" spans="1:18" x14ac:dyDescent="0.25">
      <c r="A2625" s="170">
        <v>45868</v>
      </c>
      <c r="B2625" s="116">
        <v>438.1</v>
      </c>
      <c r="C2625" s="116">
        <v>432.4</v>
      </c>
      <c r="D2625" s="116">
        <v>431.6</v>
      </c>
      <c r="E2625" s="116">
        <v>436.05</v>
      </c>
      <c r="F2625" s="116">
        <v>432.4</v>
      </c>
      <c r="G2625">
        <v>145367</v>
      </c>
      <c r="H2625" s="116"/>
      <c r="I2625" s="116"/>
      <c r="L2625" s="170">
        <v>45869</v>
      </c>
      <c r="M2625" s="116">
        <v>424.05</v>
      </c>
      <c r="N2625" s="116">
        <v>430.95</v>
      </c>
      <c r="O2625" s="116">
        <v>421.45</v>
      </c>
      <c r="P2625" s="116">
        <v>427</v>
      </c>
      <c r="Q2625" s="116">
        <v>424.05</v>
      </c>
      <c r="R2625">
        <v>2114797</v>
      </c>
    </row>
    <row r="2626" spans="1:18" x14ac:dyDescent="0.25">
      <c r="A2626" s="170">
        <v>45869</v>
      </c>
      <c r="B2626" s="116">
        <v>431.1</v>
      </c>
      <c r="C2626" s="116">
        <v>424.5</v>
      </c>
      <c r="D2626" s="116">
        <v>421</v>
      </c>
      <c r="E2626" s="116">
        <v>426.3</v>
      </c>
      <c r="F2626" s="116">
        <v>424.5</v>
      </c>
      <c r="G2626">
        <v>249219</v>
      </c>
      <c r="H2626" s="116"/>
      <c r="I2626" s="116"/>
      <c r="L2626" s="170">
        <v>45870</v>
      </c>
      <c r="M2626" s="116">
        <v>415.4</v>
      </c>
      <c r="N2626" s="116">
        <v>424.8</v>
      </c>
      <c r="O2626" s="116">
        <v>413.5</v>
      </c>
      <c r="P2626" s="116">
        <v>424</v>
      </c>
      <c r="Q2626" s="116">
        <v>415.4</v>
      </c>
      <c r="R2626">
        <v>2163538</v>
      </c>
    </row>
    <row r="2627" spans="1:18" x14ac:dyDescent="0.25">
      <c r="A2627" s="170">
        <v>45870</v>
      </c>
      <c r="B2627" s="116">
        <v>425.2</v>
      </c>
      <c r="C2627" s="116">
        <v>415.55</v>
      </c>
      <c r="D2627" s="116">
        <v>413.4</v>
      </c>
      <c r="E2627" s="116">
        <v>422.2</v>
      </c>
      <c r="F2627" s="116">
        <v>415.55</v>
      </c>
      <c r="G2627">
        <v>401856</v>
      </c>
      <c r="H2627" s="116"/>
      <c r="I2627" s="116"/>
      <c r="L2627" s="170">
        <v>45873</v>
      </c>
      <c r="M2627" s="116">
        <v>421.6</v>
      </c>
      <c r="N2627" s="116">
        <v>422.5</v>
      </c>
      <c r="O2627" s="116">
        <v>413.85</v>
      </c>
      <c r="P2627" s="116">
        <v>416.1</v>
      </c>
      <c r="Q2627" s="116">
        <v>421.6</v>
      </c>
      <c r="R2627">
        <v>1093131</v>
      </c>
    </row>
    <row r="2628" spans="1:18" x14ac:dyDescent="0.25">
      <c r="A2628" s="170">
        <v>45873</v>
      </c>
      <c r="B2628" s="116">
        <v>422.9</v>
      </c>
      <c r="C2628" s="116">
        <v>421.3</v>
      </c>
      <c r="D2628" s="116">
        <v>414.2</v>
      </c>
      <c r="E2628" s="116">
        <v>416</v>
      </c>
      <c r="F2628" s="116">
        <v>421.3</v>
      </c>
      <c r="G2628">
        <v>158057</v>
      </c>
      <c r="H2628" s="116"/>
      <c r="I2628" s="116"/>
      <c r="L2628" s="170">
        <v>45874</v>
      </c>
      <c r="M2628" s="116">
        <v>421.2</v>
      </c>
      <c r="N2628" s="116">
        <v>423.6</v>
      </c>
      <c r="O2628" s="116">
        <v>419.2</v>
      </c>
      <c r="P2628" s="116">
        <v>422</v>
      </c>
      <c r="Q2628" s="116">
        <v>421.2</v>
      </c>
      <c r="R2628">
        <v>990246</v>
      </c>
    </row>
    <row r="2629" spans="1:18" x14ac:dyDescent="0.25">
      <c r="A2629" s="170">
        <v>45874</v>
      </c>
      <c r="B2629" s="116">
        <v>423.7</v>
      </c>
      <c r="C2629" s="116">
        <v>421.05</v>
      </c>
      <c r="D2629" s="116">
        <v>419.2</v>
      </c>
      <c r="E2629" s="116">
        <v>421.85</v>
      </c>
      <c r="F2629" s="116">
        <v>421.05</v>
      </c>
      <c r="G2629">
        <v>51045</v>
      </c>
      <c r="H2629" s="116"/>
      <c r="I2629" s="116"/>
      <c r="L2629" s="170">
        <v>45875</v>
      </c>
      <c r="M2629" s="116">
        <v>419.95</v>
      </c>
      <c r="N2629" s="116">
        <v>423.9</v>
      </c>
      <c r="O2629" s="116">
        <v>416.85</v>
      </c>
      <c r="P2629" s="116">
        <v>422.7</v>
      </c>
      <c r="Q2629" s="116">
        <v>419.95</v>
      </c>
      <c r="R2629">
        <v>1418372</v>
      </c>
    </row>
    <row r="2630" spans="1:18" x14ac:dyDescent="0.25">
      <c r="A2630" s="170">
        <v>45875</v>
      </c>
      <c r="B2630" s="116">
        <v>423.85</v>
      </c>
      <c r="C2630" s="116">
        <v>419.95</v>
      </c>
      <c r="D2630" s="116">
        <v>417</v>
      </c>
      <c r="E2630" s="116">
        <v>421.65</v>
      </c>
      <c r="F2630" s="116">
        <v>419.95</v>
      </c>
      <c r="G2630">
        <v>60673</v>
      </c>
      <c r="H2630" s="116"/>
      <c r="I2630" s="116"/>
      <c r="L2630" s="170">
        <v>45876</v>
      </c>
      <c r="M2630" s="116">
        <v>424.65</v>
      </c>
      <c r="N2630" s="116">
        <v>426</v>
      </c>
      <c r="O2630" s="116">
        <v>415.05</v>
      </c>
      <c r="P2630" s="116">
        <v>420.4</v>
      </c>
      <c r="Q2630" s="116">
        <v>424.65</v>
      </c>
      <c r="R2630">
        <v>1528302</v>
      </c>
    </row>
    <row r="2631" spans="1:18" x14ac:dyDescent="0.25">
      <c r="A2631" s="170">
        <v>45876</v>
      </c>
      <c r="B2631" s="116">
        <v>425.45</v>
      </c>
      <c r="C2631" s="116">
        <v>424.55</v>
      </c>
      <c r="D2631" s="116">
        <v>415</v>
      </c>
      <c r="E2631" s="116">
        <v>420</v>
      </c>
      <c r="F2631" s="116">
        <v>424.55</v>
      </c>
      <c r="G2631">
        <v>148965</v>
      </c>
      <c r="H2631" s="116"/>
      <c r="I2631" s="116"/>
      <c r="L2631" s="170">
        <v>45877</v>
      </c>
      <c r="M2631" s="116">
        <v>420.7</v>
      </c>
      <c r="N2631" s="116">
        <v>426.9</v>
      </c>
      <c r="O2631" s="116">
        <v>419.3</v>
      </c>
      <c r="P2631" s="116">
        <v>424.65</v>
      </c>
      <c r="Q2631" s="116">
        <v>420.7</v>
      </c>
      <c r="R2631">
        <v>1210138</v>
      </c>
    </row>
    <row r="2632" spans="1:18" x14ac:dyDescent="0.25">
      <c r="A2632" s="170">
        <v>45877</v>
      </c>
      <c r="B2632" s="116">
        <v>426.6</v>
      </c>
      <c r="C2632" s="116">
        <v>420.65</v>
      </c>
      <c r="D2632" s="116">
        <v>419.1</v>
      </c>
      <c r="E2632" s="116">
        <v>425.2</v>
      </c>
      <c r="F2632" s="116">
        <v>420.65</v>
      </c>
      <c r="G2632">
        <v>48879</v>
      </c>
      <c r="H2632" s="116"/>
      <c r="I2632" s="116"/>
      <c r="L2632" s="170">
        <v>45880</v>
      </c>
      <c r="M2632" s="116">
        <v>417.4</v>
      </c>
      <c r="N2632" s="116">
        <v>422.9</v>
      </c>
      <c r="O2632" s="116">
        <v>414.55</v>
      </c>
      <c r="P2632" s="116">
        <v>420.7</v>
      </c>
      <c r="Q2632" s="116">
        <v>417.4</v>
      </c>
      <c r="R2632">
        <v>1862022</v>
      </c>
    </row>
    <row r="2633" spans="1:18" x14ac:dyDescent="0.25">
      <c r="A2633" s="170">
        <v>45880</v>
      </c>
      <c r="B2633" s="116">
        <v>423.8</v>
      </c>
      <c r="C2633" s="116">
        <v>417.15</v>
      </c>
      <c r="D2633" s="116">
        <v>414.65</v>
      </c>
      <c r="E2633" s="116">
        <v>423.8</v>
      </c>
      <c r="F2633" s="116">
        <v>417.15</v>
      </c>
      <c r="G2633">
        <v>51108</v>
      </c>
      <c r="H2633" s="116"/>
      <c r="I2633" s="116"/>
      <c r="L2633" s="170">
        <v>45881</v>
      </c>
      <c r="M2633" s="116">
        <v>423.45</v>
      </c>
      <c r="N2633" s="116">
        <v>424.45</v>
      </c>
      <c r="O2633" s="116">
        <v>418.8</v>
      </c>
      <c r="P2633" s="116">
        <v>420.4</v>
      </c>
      <c r="Q2633" s="116">
        <v>423.45</v>
      </c>
      <c r="R2633">
        <v>1597032</v>
      </c>
    </row>
    <row r="2634" spans="1:18" x14ac:dyDescent="0.25">
      <c r="A2634" s="170">
        <v>45881</v>
      </c>
      <c r="B2634" s="116">
        <v>424.5</v>
      </c>
      <c r="C2634" s="116">
        <v>423.45</v>
      </c>
      <c r="D2634" s="116">
        <v>419</v>
      </c>
      <c r="E2634" s="116">
        <v>421.65</v>
      </c>
      <c r="F2634" s="116">
        <v>423.45</v>
      </c>
      <c r="G2634">
        <v>34879</v>
      </c>
      <c r="H2634" s="116"/>
      <c r="I2634" s="116"/>
      <c r="L2634" s="170">
        <v>45882</v>
      </c>
      <c r="M2634" s="116">
        <v>430.2</v>
      </c>
      <c r="N2634" s="116">
        <v>433.65</v>
      </c>
      <c r="O2634" s="116">
        <v>424.5</v>
      </c>
      <c r="P2634" s="116">
        <v>424.85</v>
      </c>
      <c r="Q2634" s="116">
        <v>430.2</v>
      </c>
      <c r="R2634">
        <v>2072932</v>
      </c>
    </row>
    <row r="2635" spans="1:18" x14ac:dyDescent="0.25">
      <c r="A2635" s="170">
        <v>45882</v>
      </c>
      <c r="B2635" s="116">
        <v>433.7</v>
      </c>
      <c r="C2635" s="116">
        <v>429.85</v>
      </c>
      <c r="D2635" s="116">
        <v>424.65</v>
      </c>
      <c r="E2635" s="116">
        <v>425</v>
      </c>
      <c r="F2635" s="116">
        <v>429.85</v>
      </c>
      <c r="G2635">
        <v>141515</v>
      </c>
      <c r="H2635" s="116"/>
      <c r="I2635" s="116"/>
      <c r="L2635" s="170">
        <v>45883</v>
      </c>
      <c r="M2635" s="116">
        <v>426.65</v>
      </c>
      <c r="N2635" s="116">
        <v>432.7</v>
      </c>
      <c r="O2635" s="116">
        <v>422.5</v>
      </c>
      <c r="P2635" s="116">
        <v>431</v>
      </c>
      <c r="Q2635" s="116">
        <v>426.65</v>
      </c>
      <c r="R2635">
        <v>1367682</v>
      </c>
    </row>
    <row r="2636" spans="1:18" x14ac:dyDescent="0.25">
      <c r="A2636" s="170">
        <v>45883</v>
      </c>
      <c r="B2636" s="116">
        <v>432</v>
      </c>
      <c r="C2636" s="116">
        <v>426.5</v>
      </c>
      <c r="D2636" s="116">
        <v>422.55</v>
      </c>
      <c r="E2636" s="116">
        <v>431.55</v>
      </c>
      <c r="F2636" s="116">
        <v>426.5</v>
      </c>
      <c r="G2636">
        <v>276099</v>
      </c>
      <c r="H2636" s="116"/>
      <c r="I2636" s="116"/>
      <c r="L2636" s="170">
        <v>45887</v>
      </c>
      <c r="M2636" s="116">
        <v>427.1</v>
      </c>
      <c r="N2636" s="116">
        <v>431</v>
      </c>
      <c r="O2636" s="116">
        <v>424</v>
      </c>
      <c r="P2636" s="116">
        <v>430.7</v>
      </c>
      <c r="Q2636" s="116">
        <v>427.1</v>
      </c>
      <c r="R2636">
        <v>1443684</v>
      </c>
    </row>
    <row r="2637" spans="1:18" x14ac:dyDescent="0.25">
      <c r="A2637" s="170">
        <v>45887</v>
      </c>
      <c r="B2637" s="116">
        <v>432.65</v>
      </c>
      <c r="C2637" s="116">
        <v>427.25</v>
      </c>
      <c r="D2637" s="116">
        <v>424</v>
      </c>
      <c r="E2637" s="116">
        <v>432.65</v>
      </c>
      <c r="F2637" s="116">
        <v>427.25</v>
      </c>
      <c r="G2637">
        <v>129965</v>
      </c>
      <c r="H2637" s="116"/>
      <c r="I2637" s="116"/>
      <c r="L2637" s="170">
        <v>45888</v>
      </c>
      <c r="M2637" s="116">
        <v>428.65</v>
      </c>
      <c r="N2637" s="116">
        <v>433.7</v>
      </c>
      <c r="O2637" s="116">
        <v>426.45</v>
      </c>
      <c r="P2637" s="116">
        <v>433.7</v>
      </c>
      <c r="Q2637" s="116">
        <v>428.65</v>
      </c>
      <c r="R2637">
        <v>3077711</v>
      </c>
    </row>
    <row r="2638" spans="1:18" x14ac:dyDescent="0.25">
      <c r="A2638" s="170">
        <v>45888</v>
      </c>
      <c r="B2638" s="116">
        <v>433.6</v>
      </c>
      <c r="C2638" s="116">
        <v>428.7</v>
      </c>
      <c r="D2638" s="116">
        <v>426.55</v>
      </c>
      <c r="E2638" s="116">
        <v>433.6</v>
      </c>
      <c r="F2638" s="116">
        <v>428.7</v>
      </c>
      <c r="G2638">
        <v>250885</v>
      </c>
      <c r="H2638" s="116"/>
      <c r="I2638" s="116"/>
      <c r="L2638" s="170">
        <v>45889</v>
      </c>
      <c r="M2638" s="116">
        <v>430</v>
      </c>
      <c r="N2638" s="116">
        <v>432.4</v>
      </c>
      <c r="O2638" s="116">
        <v>425.45</v>
      </c>
      <c r="P2638" s="116">
        <v>428.65</v>
      </c>
      <c r="Q2638" s="116">
        <v>430</v>
      </c>
      <c r="R2638">
        <v>1945943</v>
      </c>
    </row>
    <row r="2639" spans="1:18" x14ac:dyDescent="0.25">
      <c r="A2639" s="170">
        <v>45889</v>
      </c>
      <c r="B2639" s="116">
        <v>432.25</v>
      </c>
      <c r="C2639" s="116">
        <v>429.9</v>
      </c>
      <c r="D2639" s="116">
        <v>425.4</v>
      </c>
      <c r="E2639" s="116">
        <v>428.7</v>
      </c>
      <c r="F2639" s="116">
        <v>429.9</v>
      </c>
      <c r="G2639">
        <v>138330</v>
      </c>
      <c r="H2639" s="116"/>
      <c r="I2639" s="116"/>
      <c r="L2639" s="170">
        <v>45890</v>
      </c>
      <c r="M2639" s="116">
        <v>430.85</v>
      </c>
      <c r="N2639" s="116">
        <v>433.8</v>
      </c>
      <c r="O2639" s="116">
        <v>430</v>
      </c>
      <c r="P2639" s="116">
        <v>433.8</v>
      </c>
      <c r="Q2639" s="116">
        <v>430.85</v>
      </c>
      <c r="R2639">
        <v>1159668</v>
      </c>
    </row>
    <row r="2640" spans="1:18" x14ac:dyDescent="0.25">
      <c r="A2640" s="170">
        <v>45890</v>
      </c>
      <c r="B2640" s="116">
        <v>433.6</v>
      </c>
      <c r="C2640" s="116">
        <v>430.6</v>
      </c>
      <c r="D2640" s="116">
        <v>429.75</v>
      </c>
      <c r="E2640" s="116">
        <v>433.3</v>
      </c>
      <c r="F2640" s="116">
        <v>430.6</v>
      </c>
      <c r="G2640">
        <v>58950</v>
      </c>
      <c r="H2640" s="116"/>
      <c r="I2640" s="116"/>
      <c r="L2640" s="170">
        <v>45891</v>
      </c>
      <c r="M2640" s="116">
        <v>424.9</v>
      </c>
      <c r="N2640" s="116">
        <v>431.4</v>
      </c>
      <c r="O2640" s="116">
        <v>424.5</v>
      </c>
      <c r="P2640" s="116">
        <v>431</v>
      </c>
      <c r="Q2640" s="116">
        <v>424.9</v>
      </c>
      <c r="R2640">
        <v>826451</v>
      </c>
    </row>
    <row r="2641" spans="1:18" x14ac:dyDescent="0.25">
      <c r="A2641" s="170">
        <v>45891</v>
      </c>
      <c r="B2641" s="116">
        <v>431.95</v>
      </c>
      <c r="C2641" s="116">
        <v>424.85</v>
      </c>
      <c r="D2641" s="116">
        <v>424.5</v>
      </c>
      <c r="E2641" s="116">
        <v>431.95</v>
      </c>
      <c r="F2641" s="116">
        <v>424.85</v>
      </c>
      <c r="G2641">
        <v>45619</v>
      </c>
      <c r="H2641" s="116"/>
      <c r="I2641" s="116"/>
      <c r="L2641" s="170">
        <v>45894</v>
      </c>
      <c r="M2641" s="116">
        <v>434.7</v>
      </c>
      <c r="N2641" s="116">
        <v>436.8</v>
      </c>
      <c r="O2641" s="116">
        <v>422.85</v>
      </c>
      <c r="P2641" s="116">
        <v>423</v>
      </c>
      <c r="Q2641" s="116">
        <v>434.7</v>
      </c>
      <c r="R2641">
        <v>2994389</v>
      </c>
    </row>
    <row r="2642" spans="1:18" x14ac:dyDescent="0.25">
      <c r="A2642" s="170">
        <v>45894</v>
      </c>
      <c r="B2642" s="116">
        <v>436.8</v>
      </c>
      <c r="C2642" s="116">
        <v>434.85</v>
      </c>
      <c r="D2642" s="116">
        <v>423.1</v>
      </c>
      <c r="E2642" s="116">
        <v>424.9</v>
      </c>
      <c r="F2642" s="116">
        <v>434.85</v>
      </c>
      <c r="G2642">
        <v>85353</v>
      </c>
      <c r="H2642" s="116"/>
      <c r="I2642" s="116"/>
      <c r="L2642" s="170">
        <v>45895</v>
      </c>
      <c r="M2642" s="116">
        <v>430.15</v>
      </c>
      <c r="N2642" s="116">
        <v>434.7</v>
      </c>
      <c r="O2642" s="116">
        <v>429.25</v>
      </c>
      <c r="P2642" s="116">
        <v>434.7</v>
      </c>
      <c r="Q2642" s="116">
        <v>430.15</v>
      </c>
      <c r="R2642">
        <v>1117706</v>
      </c>
    </row>
    <row r="2643" spans="1:18" x14ac:dyDescent="0.25">
      <c r="A2643" s="170">
        <v>45895</v>
      </c>
      <c r="B2643" s="116">
        <v>434.25</v>
      </c>
      <c r="C2643" s="116">
        <v>430.1</v>
      </c>
      <c r="D2643" s="116">
        <v>429.1</v>
      </c>
      <c r="E2643" s="116">
        <v>433</v>
      </c>
      <c r="F2643" s="116">
        <v>430.1</v>
      </c>
      <c r="G2643">
        <v>182009</v>
      </c>
      <c r="H2643" s="116"/>
      <c r="I2643" s="116"/>
      <c r="L2643" s="170">
        <v>45897</v>
      </c>
      <c r="M2643" s="116">
        <v>421.7</v>
      </c>
      <c r="N2643" s="116">
        <v>431</v>
      </c>
      <c r="O2643" s="116">
        <v>420.55</v>
      </c>
      <c r="P2643" s="116">
        <v>429</v>
      </c>
      <c r="Q2643" s="116">
        <v>421.7</v>
      </c>
      <c r="R2643">
        <v>1139531</v>
      </c>
    </row>
    <row r="2644" spans="1:18" x14ac:dyDescent="0.25">
      <c r="A2644" s="170">
        <v>45897</v>
      </c>
      <c r="B2644" s="116">
        <v>432.65</v>
      </c>
      <c r="C2644" s="116">
        <v>421.7</v>
      </c>
      <c r="D2644" s="116">
        <v>420.65</v>
      </c>
      <c r="E2644" s="116">
        <v>432.65</v>
      </c>
      <c r="F2644" s="116">
        <v>421.7</v>
      </c>
      <c r="G2644">
        <v>60231</v>
      </c>
      <c r="H2644" s="116"/>
      <c r="I2644" s="116"/>
      <c r="L2644" s="170">
        <v>45898</v>
      </c>
      <c r="M2644" s="116">
        <v>419.25</v>
      </c>
      <c r="N2644" s="116">
        <v>427</v>
      </c>
      <c r="O2644" s="116">
        <v>418</v>
      </c>
      <c r="P2644" s="116">
        <v>423.65</v>
      </c>
      <c r="Q2644" s="116">
        <v>419.25</v>
      </c>
      <c r="R2644">
        <v>1268832</v>
      </c>
    </row>
    <row r="2645" spans="1:18" x14ac:dyDescent="0.25">
      <c r="A2645" s="170">
        <v>45898</v>
      </c>
      <c r="B2645" s="116">
        <v>426.85</v>
      </c>
      <c r="C2645" s="116">
        <v>419.2</v>
      </c>
      <c r="D2645" s="116">
        <v>418</v>
      </c>
      <c r="E2645" s="116">
        <v>424.45</v>
      </c>
      <c r="F2645" s="116">
        <v>419.2</v>
      </c>
      <c r="G2645">
        <v>128503</v>
      </c>
      <c r="H2645" s="116"/>
      <c r="I2645" s="116"/>
      <c r="L2645" s="170">
        <v>45901</v>
      </c>
      <c r="M2645" s="116">
        <v>435.9</v>
      </c>
      <c r="N2645" s="116">
        <v>443</v>
      </c>
      <c r="O2645" s="116">
        <v>424</v>
      </c>
      <c r="P2645" s="116">
        <v>424</v>
      </c>
      <c r="Q2645" s="116">
        <v>435.9</v>
      </c>
      <c r="R2645">
        <v>7587040</v>
      </c>
    </row>
    <row r="2646" spans="1:18" x14ac:dyDescent="0.25">
      <c r="A2646" s="170">
        <v>45901</v>
      </c>
      <c r="B2646" s="116">
        <v>443</v>
      </c>
      <c r="C2646" s="116">
        <v>435.8</v>
      </c>
      <c r="D2646" s="116">
        <v>424.35</v>
      </c>
      <c r="E2646" s="116">
        <v>424.35</v>
      </c>
      <c r="F2646" s="116">
        <v>435.8</v>
      </c>
      <c r="G2646">
        <v>297254</v>
      </c>
      <c r="H2646" s="116"/>
      <c r="I2646" s="116"/>
      <c r="L2646" s="170">
        <v>45902</v>
      </c>
      <c r="M2646" s="116">
        <v>440.9</v>
      </c>
      <c r="N2646" s="116">
        <v>444.2</v>
      </c>
      <c r="O2646" s="116">
        <v>438</v>
      </c>
      <c r="P2646" s="116">
        <v>438.95</v>
      </c>
      <c r="Q2646" s="116">
        <v>440.9</v>
      </c>
      <c r="R2646">
        <v>2817685</v>
      </c>
    </row>
    <row r="2647" spans="1:18" x14ac:dyDescent="0.25">
      <c r="A2647" s="170">
        <v>45902</v>
      </c>
      <c r="B2647" s="116">
        <v>444.2</v>
      </c>
      <c r="C2647" s="116">
        <v>440.85</v>
      </c>
      <c r="D2647" s="116">
        <v>438.25</v>
      </c>
      <c r="E2647" s="116">
        <v>439.45</v>
      </c>
      <c r="F2647" s="116">
        <v>440.85</v>
      </c>
      <c r="G2647">
        <v>96073</v>
      </c>
      <c r="H2647" s="116"/>
      <c r="I2647" s="116"/>
      <c r="L2647" s="170">
        <v>45903</v>
      </c>
      <c r="M2647" s="116">
        <v>444.6</v>
      </c>
      <c r="N2647" s="116">
        <v>448.7</v>
      </c>
      <c r="O2647" s="116">
        <v>441.65</v>
      </c>
      <c r="P2647" s="116">
        <v>443</v>
      </c>
      <c r="Q2647" s="116">
        <v>444.6</v>
      </c>
      <c r="R2647">
        <v>4756092</v>
      </c>
    </row>
    <row r="2648" spans="1:18" x14ac:dyDescent="0.25">
      <c r="A2648" s="170">
        <v>45903</v>
      </c>
      <c r="B2648" s="116">
        <v>448.75</v>
      </c>
      <c r="C2648" s="116">
        <v>445.3</v>
      </c>
      <c r="D2648" s="116">
        <v>441.75</v>
      </c>
      <c r="E2648" s="116">
        <v>443.5</v>
      </c>
      <c r="F2648" s="116">
        <v>445.3</v>
      </c>
      <c r="G2648">
        <v>120398</v>
      </c>
      <c r="H2648" s="116"/>
      <c r="I2648" s="116"/>
      <c r="L2648" s="170">
        <v>45904</v>
      </c>
      <c r="M2648" s="116">
        <v>437.55</v>
      </c>
      <c r="N2648" s="116">
        <v>449.9</v>
      </c>
      <c r="O2648" s="116">
        <v>435.3</v>
      </c>
      <c r="P2648" s="116">
        <v>449.9</v>
      </c>
      <c r="Q2648" s="116">
        <v>437.55</v>
      </c>
      <c r="R2648">
        <v>2265053</v>
      </c>
    </row>
    <row r="2649" spans="1:18" x14ac:dyDescent="0.25">
      <c r="A2649" s="170">
        <v>45904</v>
      </c>
      <c r="B2649" s="116">
        <v>448.95</v>
      </c>
      <c r="C2649" s="116">
        <v>438.1</v>
      </c>
      <c r="D2649" s="116">
        <v>435.3</v>
      </c>
      <c r="E2649" s="116">
        <v>448.95</v>
      </c>
      <c r="F2649" s="116">
        <v>438.1</v>
      </c>
      <c r="G2649">
        <v>147963</v>
      </c>
      <c r="H2649" s="116"/>
      <c r="I2649" s="116"/>
      <c r="L2649" s="170">
        <v>45905</v>
      </c>
      <c r="M2649" s="116">
        <v>440.1</v>
      </c>
      <c r="N2649" s="116">
        <v>441.8</v>
      </c>
      <c r="O2649" s="116">
        <v>433.85</v>
      </c>
      <c r="P2649" s="116">
        <v>437.7</v>
      </c>
      <c r="Q2649" s="116">
        <v>440.1</v>
      </c>
      <c r="R2649">
        <v>1953089</v>
      </c>
    </row>
    <row r="2650" spans="1:18" x14ac:dyDescent="0.25">
      <c r="A2650" s="170">
        <v>45905</v>
      </c>
      <c r="B2650" s="116">
        <v>441.7</v>
      </c>
      <c r="C2650" s="116">
        <v>440.25</v>
      </c>
      <c r="D2650" s="116">
        <v>433.75</v>
      </c>
      <c r="E2650" s="116">
        <v>436.2</v>
      </c>
      <c r="F2650" s="116">
        <v>440.25</v>
      </c>
      <c r="G2650">
        <v>273071</v>
      </c>
      <c r="H2650" s="116"/>
      <c r="I2650" s="116"/>
      <c r="L2650" s="170">
        <v>45908</v>
      </c>
      <c r="M2650" s="116">
        <v>435.6</v>
      </c>
      <c r="N2650" s="116">
        <v>442.65</v>
      </c>
      <c r="O2650" s="116">
        <v>434.7</v>
      </c>
      <c r="P2650" s="116">
        <v>442.4</v>
      </c>
      <c r="Q2650" s="116">
        <v>435.6</v>
      </c>
      <c r="R2650">
        <v>1752942</v>
      </c>
    </row>
    <row r="2651" spans="1:18" x14ac:dyDescent="0.25">
      <c r="A2651" s="170">
        <v>45908</v>
      </c>
      <c r="B2651" s="116">
        <v>442.6</v>
      </c>
      <c r="C2651" s="116">
        <v>435.8</v>
      </c>
      <c r="D2651" s="116">
        <v>434.75</v>
      </c>
      <c r="E2651" s="116">
        <v>442</v>
      </c>
      <c r="F2651" s="116">
        <v>435.8</v>
      </c>
      <c r="G2651">
        <v>123135</v>
      </c>
      <c r="H2651" s="116"/>
      <c r="I2651" s="116"/>
      <c r="L2651" s="170">
        <v>45909</v>
      </c>
      <c r="M2651" s="116">
        <v>433.45</v>
      </c>
      <c r="N2651" s="116">
        <v>440</v>
      </c>
      <c r="O2651" s="116">
        <v>431.5</v>
      </c>
      <c r="P2651" s="116">
        <v>436.75</v>
      </c>
      <c r="Q2651" s="116">
        <v>433.45</v>
      </c>
      <c r="R2651">
        <v>2291407</v>
      </c>
    </row>
    <row r="2652" spans="1:18" x14ac:dyDescent="0.25">
      <c r="A2652" s="170">
        <v>45909</v>
      </c>
      <c r="B2652" s="116">
        <v>439.95</v>
      </c>
      <c r="C2652" s="116">
        <v>433.35</v>
      </c>
      <c r="D2652" s="116">
        <v>431.45</v>
      </c>
      <c r="E2652" s="116">
        <v>436.3</v>
      </c>
      <c r="F2652" s="116">
        <v>433.35</v>
      </c>
      <c r="G2652">
        <v>219183</v>
      </c>
      <c r="H2652" s="116"/>
      <c r="I2652" s="116"/>
      <c r="L2652" s="170">
        <v>45910</v>
      </c>
      <c r="M2652" s="116">
        <v>432.85</v>
      </c>
      <c r="N2652" s="116">
        <v>436.7</v>
      </c>
      <c r="O2652" s="116">
        <v>430.75</v>
      </c>
      <c r="P2652" s="116">
        <v>435.45</v>
      </c>
      <c r="Q2652" s="116">
        <v>432.85</v>
      </c>
      <c r="R2652">
        <v>1863865</v>
      </c>
    </row>
    <row r="2653" spans="1:18" x14ac:dyDescent="0.25">
      <c r="A2653" s="170">
        <v>45910</v>
      </c>
      <c r="B2653" s="116">
        <v>438.9</v>
      </c>
      <c r="C2653" s="116">
        <v>432.95</v>
      </c>
      <c r="D2653" s="116">
        <v>430.6</v>
      </c>
      <c r="E2653" s="116">
        <v>438.9</v>
      </c>
      <c r="F2653" s="116">
        <v>432.95</v>
      </c>
      <c r="G2653">
        <v>370722</v>
      </c>
      <c r="H2653" s="116"/>
      <c r="I2653" s="116"/>
      <c r="L2653" s="170">
        <v>45911</v>
      </c>
      <c r="M2653" s="116">
        <v>446.25</v>
      </c>
      <c r="N2653" s="116">
        <v>447</v>
      </c>
      <c r="O2653" s="116">
        <v>433.55</v>
      </c>
      <c r="P2653" s="116">
        <v>434.5</v>
      </c>
      <c r="Q2653" s="116">
        <v>446.25</v>
      </c>
      <c r="R2653">
        <v>5122099</v>
      </c>
    </row>
    <row r="2654" spans="1:18" x14ac:dyDescent="0.25">
      <c r="A2654" s="170">
        <v>45911</v>
      </c>
      <c r="B2654" s="116">
        <v>446.85</v>
      </c>
      <c r="C2654" s="116">
        <v>446.15</v>
      </c>
      <c r="D2654" s="116">
        <v>433.35</v>
      </c>
      <c r="E2654" s="116">
        <v>434.3</v>
      </c>
      <c r="F2654" s="116">
        <v>446.15</v>
      </c>
      <c r="G2654">
        <v>296173</v>
      </c>
      <c r="H2654" s="116"/>
      <c r="I2654" s="116"/>
      <c r="L2654" s="170">
        <v>45912</v>
      </c>
      <c r="M2654" s="116">
        <v>462.95</v>
      </c>
      <c r="N2654" s="116">
        <v>464.35</v>
      </c>
      <c r="O2654" s="116">
        <v>447.5</v>
      </c>
      <c r="P2654" s="116">
        <v>449.5</v>
      </c>
      <c r="Q2654" s="116">
        <v>462.95</v>
      </c>
      <c r="R2654">
        <v>11582146</v>
      </c>
    </row>
    <row r="2655" spans="1:18" x14ac:dyDescent="0.25">
      <c r="A2655" s="170">
        <v>45912</v>
      </c>
      <c r="B2655" s="116">
        <v>464.2</v>
      </c>
      <c r="C2655" s="116">
        <v>463.05</v>
      </c>
      <c r="D2655" s="116">
        <v>447.55</v>
      </c>
      <c r="E2655" s="116">
        <v>449.95</v>
      </c>
      <c r="F2655" s="116">
        <v>463.05</v>
      </c>
      <c r="G2655">
        <v>762662</v>
      </c>
      <c r="H2655" s="116"/>
      <c r="I2655" s="116"/>
      <c r="L2655" s="170">
        <v>45915</v>
      </c>
      <c r="M2655" s="116">
        <v>460.15</v>
      </c>
      <c r="N2655" s="116">
        <v>468.95</v>
      </c>
      <c r="O2655" s="116">
        <v>459.35</v>
      </c>
      <c r="P2655" s="116">
        <v>466</v>
      </c>
      <c r="Q2655" s="116">
        <v>460.15</v>
      </c>
      <c r="R2655">
        <v>5717417</v>
      </c>
    </row>
    <row r="2656" spans="1:18" x14ac:dyDescent="0.25">
      <c r="A2656" s="170">
        <v>45915</v>
      </c>
      <c r="B2656" s="116">
        <v>469</v>
      </c>
      <c r="C2656" s="116">
        <v>460.05</v>
      </c>
      <c r="D2656" s="116">
        <v>459.4</v>
      </c>
      <c r="E2656" s="116">
        <v>463.6</v>
      </c>
      <c r="F2656" s="116">
        <v>460.05</v>
      </c>
      <c r="G2656">
        <v>806117</v>
      </c>
      <c r="H2656" s="116"/>
      <c r="I2656" s="116"/>
      <c r="L2656" s="170">
        <v>45916</v>
      </c>
      <c r="M2656" s="116">
        <v>462.25</v>
      </c>
      <c r="N2656" s="116">
        <v>464</v>
      </c>
      <c r="O2656" s="116">
        <v>458.1</v>
      </c>
      <c r="P2656" s="116">
        <v>462.45</v>
      </c>
      <c r="Q2656" s="116">
        <v>462.25</v>
      </c>
      <c r="R2656">
        <v>3378600</v>
      </c>
    </row>
    <row r="2657" spans="1:18" x14ac:dyDescent="0.25">
      <c r="A2657" s="170">
        <v>45916</v>
      </c>
      <c r="B2657" s="116">
        <v>464</v>
      </c>
      <c r="C2657" s="116">
        <v>462.1</v>
      </c>
      <c r="D2657" s="116">
        <v>458.1</v>
      </c>
      <c r="E2657" s="116">
        <v>461</v>
      </c>
      <c r="F2657" s="116">
        <v>462.1</v>
      </c>
      <c r="G2657">
        <v>160471</v>
      </c>
      <c r="H2657" s="116"/>
      <c r="I2657" s="116"/>
      <c r="L2657" s="170">
        <v>45917</v>
      </c>
      <c r="M2657" s="116">
        <v>459.45</v>
      </c>
      <c r="N2657" s="116">
        <v>464.7</v>
      </c>
      <c r="O2657" s="116">
        <v>453.2</v>
      </c>
      <c r="P2657" s="116">
        <v>464</v>
      </c>
      <c r="Q2657" s="116">
        <v>459.45</v>
      </c>
      <c r="R2657">
        <v>3397670</v>
      </c>
    </row>
    <row r="2658" spans="1:18" x14ac:dyDescent="0.25">
      <c r="A2658" s="170">
        <v>45917</v>
      </c>
      <c r="B2658" s="116">
        <v>464.95</v>
      </c>
      <c r="C2658" s="116">
        <v>459.2</v>
      </c>
      <c r="D2658" s="116">
        <v>453.1</v>
      </c>
      <c r="E2658" s="116">
        <v>463.15</v>
      </c>
      <c r="F2658" s="116">
        <v>459.2</v>
      </c>
      <c r="G2658">
        <v>514648</v>
      </c>
      <c r="H2658" s="116"/>
      <c r="I2658" s="116"/>
      <c r="L2658" s="170">
        <v>45918</v>
      </c>
      <c r="M2658" s="116">
        <v>454.85</v>
      </c>
      <c r="N2658" s="116">
        <v>460.1</v>
      </c>
      <c r="O2658" s="116">
        <v>451.55</v>
      </c>
      <c r="P2658" s="116">
        <v>459.05</v>
      </c>
      <c r="Q2658" s="116">
        <v>454.85</v>
      </c>
      <c r="R2658">
        <v>2208920</v>
      </c>
    </row>
    <row r="2659" spans="1:18" x14ac:dyDescent="0.25">
      <c r="A2659" s="170">
        <v>45918</v>
      </c>
      <c r="B2659" s="116">
        <v>459.45</v>
      </c>
      <c r="C2659" s="116">
        <v>454.9</v>
      </c>
      <c r="D2659" s="116">
        <v>451.5</v>
      </c>
      <c r="E2659" s="116">
        <v>459.45</v>
      </c>
      <c r="F2659" s="116">
        <v>454.9</v>
      </c>
      <c r="G2659">
        <v>122977</v>
      </c>
      <c r="H2659" s="116"/>
      <c r="I2659" s="116"/>
      <c r="L2659" s="170">
        <v>45919</v>
      </c>
      <c r="M2659" s="116">
        <v>453.05</v>
      </c>
      <c r="N2659" s="116">
        <v>457.8</v>
      </c>
      <c r="O2659" s="116">
        <v>452.05</v>
      </c>
      <c r="P2659" s="116">
        <v>456</v>
      </c>
      <c r="Q2659" s="116">
        <v>453.05</v>
      </c>
      <c r="R2659">
        <v>2190231</v>
      </c>
    </row>
    <row r="2660" spans="1:18" x14ac:dyDescent="0.25">
      <c r="A2660" s="170">
        <v>45919</v>
      </c>
      <c r="B2660" s="116">
        <v>459.15</v>
      </c>
      <c r="C2660" s="116">
        <v>453</v>
      </c>
      <c r="D2660" s="116">
        <v>452</v>
      </c>
      <c r="E2660" s="116">
        <v>459.15</v>
      </c>
      <c r="F2660" s="116">
        <v>453</v>
      </c>
      <c r="G2660">
        <v>214032</v>
      </c>
      <c r="H2660" s="116"/>
      <c r="I2660" s="116"/>
      <c r="L2660" s="170">
        <v>45922</v>
      </c>
      <c r="M2660" s="116">
        <v>459.25</v>
      </c>
      <c r="N2660" s="116">
        <v>466.65</v>
      </c>
      <c r="O2660" s="116">
        <v>455.55</v>
      </c>
      <c r="P2660" s="116">
        <v>455.8</v>
      </c>
      <c r="Q2660" s="116">
        <v>459.25</v>
      </c>
      <c r="R2660">
        <v>5390225</v>
      </c>
    </row>
    <row r="2661" spans="1:18" x14ac:dyDescent="0.25">
      <c r="A2661" s="170">
        <v>45922</v>
      </c>
      <c r="B2661" s="116">
        <v>466.85</v>
      </c>
      <c r="C2661" s="116">
        <v>459.2</v>
      </c>
      <c r="D2661" s="116">
        <v>455.3</v>
      </c>
      <c r="E2661" s="116">
        <v>455.3</v>
      </c>
      <c r="F2661" s="116">
        <v>459.2</v>
      </c>
      <c r="G2661">
        <v>489972</v>
      </c>
      <c r="H2661" s="116"/>
      <c r="I2661" s="116"/>
      <c r="L2661" s="170">
        <v>45923</v>
      </c>
      <c r="M2661" s="116">
        <v>461.5</v>
      </c>
      <c r="N2661" s="116">
        <v>464.25</v>
      </c>
      <c r="O2661" s="116">
        <v>452.85</v>
      </c>
      <c r="P2661" s="116">
        <v>461.35</v>
      </c>
      <c r="Q2661" s="116">
        <v>461.5</v>
      </c>
      <c r="R2661">
        <v>4028797</v>
      </c>
    </row>
    <row r="2662" spans="1:18" x14ac:dyDescent="0.25">
      <c r="A2662" s="170">
        <v>45923</v>
      </c>
      <c r="B2662" s="116">
        <v>464.1</v>
      </c>
      <c r="C2662" s="116">
        <v>461.6</v>
      </c>
      <c r="D2662" s="116">
        <v>452.75</v>
      </c>
      <c r="E2662" s="116">
        <v>462.45</v>
      </c>
      <c r="F2662" s="116">
        <v>461.6</v>
      </c>
      <c r="G2662">
        <v>184859</v>
      </c>
      <c r="H2662" s="116"/>
      <c r="I2662" s="116"/>
      <c r="L2662" s="170">
        <v>45924</v>
      </c>
      <c r="M2662" s="116">
        <v>452.9</v>
      </c>
      <c r="N2662" s="116">
        <v>463.9</v>
      </c>
      <c r="O2662" s="116">
        <v>452</v>
      </c>
      <c r="P2662" s="116">
        <v>463</v>
      </c>
      <c r="Q2662" s="116">
        <v>452.9</v>
      </c>
      <c r="R2662">
        <v>2695976</v>
      </c>
    </row>
    <row r="2663" spans="1:18" x14ac:dyDescent="0.25">
      <c r="A2663" s="170">
        <v>45924</v>
      </c>
      <c r="B2663" s="116">
        <v>463.5</v>
      </c>
      <c r="C2663" s="116">
        <v>452.9</v>
      </c>
      <c r="D2663" s="116">
        <v>452</v>
      </c>
      <c r="E2663" s="116">
        <v>462.8</v>
      </c>
      <c r="F2663" s="116">
        <v>452.9</v>
      </c>
      <c r="G2663">
        <v>173764</v>
      </c>
      <c r="H2663" s="116"/>
      <c r="I2663" s="116"/>
      <c r="L2663" s="170">
        <v>45925</v>
      </c>
      <c r="M2663" s="116">
        <v>466.75</v>
      </c>
      <c r="N2663" s="116">
        <v>468.5</v>
      </c>
      <c r="O2663" s="116">
        <v>453.3</v>
      </c>
      <c r="P2663" s="116">
        <v>453.3</v>
      </c>
      <c r="Q2663" s="116">
        <v>466.75</v>
      </c>
      <c r="R2663">
        <v>7193012</v>
      </c>
    </row>
    <row r="2664" spans="1:18" x14ac:dyDescent="0.25">
      <c r="A2664" s="170">
        <v>45925</v>
      </c>
      <c r="B2664" s="116">
        <v>468.55</v>
      </c>
      <c r="C2664" s="116">
        <v>466.55</v>
      </c>
      <c r="D2664" s="116">
        <v>453</v>
      </c>
      <c r="E2664" s="116">
        <v>453</v>
      </c>
      <c r="F2664" s="116">
        <v>466.55</v>
      </c>
      <c r="G2664">
        <v>526703</v>
      </c>
      <c r="H2664" s="116"/>
      <c r="I2664" s="116"/>
      <c r="L2664" s="170">
        <v>45926</v>
      </c>
      <c r="M2664" s="116">
        <v>449.1</v>
      </c>
      <c r="N2664" s="116">
        <v>468.9</v>
      </c>
      <c r="O2664" s="116">
        <v>445.6</v>
      </c>
      <c r="P2664" s="116">
        <v>468.9</v>
      </c>
      <c r="Q2664" s="116">
        <v>449.1</v>
      </c>
      <c r="R2664">
        <v>6524790</v>
      </c>
    </row>
    <row r="2665" spans="1:18" x14ac:dyDescent="0.25">
      <c r="A2665" s="170">
        <v>45926</v>
      </c>
      <c r="B2665" s="116">
        <v>469.75</v>
      </c>
      <c r="C2665" s="116">
        <v>448.95</v>
      </c>
      <c r="D2665" s="116">
        <v>445.7</v>
      </c>
      <c r="E2665" s="116">
        <v>469.5</v>
      </c>
      <c r="F2665" s="116">
        <v>448.95</v>
      </c>
      <c r="G2665">
        <v>249099</v>
      </c>
      <c r="H2665" s="116"/>
      <c r="I2665" s="116"/>
      <c r="L2665" s="170">
        <v>45929</v>
      </c>
      <c r="M2665" s="116">
        <v>466.15</v>
      </c>
      <c r="N2665" s="116">
        <v>468.5</v>
      </c>
      <c r="O2665" s="116">
        <v>453.8</v>
      </c>
      <c r="P2665" s="116">
        <v>455.8</v>
      </c>
      <c r="Q2665" s="116">
        <v>466.15</v>
      </c>
      <c r="R2665">
        <v>14939041</v>
      </c>
    </row>
    <row r="2666" spans="1:18" x14ac:dyDescent="0.25">
      <c r="A2666" s="170">
        <v>45929</v>
      </c>
      <c r="B2666" s="116">
        <v>468.5</v>
      </c>
      <c r="C2666" s="116">
        <v>466.55</v>
      </c>
      <c r="D2666" s="116">
        <v>453.5</v>
      </c>
      <c r="E2666" s="116">
        <v>459.7</v>
      </c>
      <c r="F2666" s="116">
        <v>466.55</v>
      </c>
      <c r="G2666">
        <v>265829</v>
      </c>
      <c r="H2666" s="116"/>
      <c r="I2666" s="116"/>
      <c r="L2666" s="170">
        <v>45930</v>
      </c>
      <c r="M2666" s="116">
        <v>482.45</v>
      </c>
      <c r="N2666" s="116">
        <v>483.9</v>
      </c>
      <c r="O2666" s="116">
        <v>468.05</v>
      </c>
      <c r="P2666" s="116">
        <v>469.15</v>
      </c>
      <c r="Q2666" s="116">
        <v>482.45</v>
      </c>
      <c r="R2666">
        <v>15167002</v>
      </c>
    </row>
    <row r="2667" spans="1:18" x14ac:dyDescent="0.25">
      <c r="A2667" s="170">
        <v>45930</v>
      </c>
      <c r="B2667" s="116">
        <v>483.7</v>
      </c>
      <c r="C2667" s="116">
        <v>482.45</v>
      </c>
      <c r="D2667" s="116">
        <v>468</v>
      </c>
      <c r="E2667" s="116">
        <v>469</v>
      </c>
      <c r="F2667" s="116">
        <v>482.45</v>
      </c>
      <c r="G2667">
        <v>1028937</v>
      </c>
      <c r="H2667" s="116"/>
      <c r="I2667" s="116"/>
      <c r="L2667" s="170">
        <v>45931</v>
      </c>
      <c r="M2667" s="116">
        <v>481.35</v>
      </c>
      <c r="N2667" s="116">
        <v>488.55</v>
      </c>
      <c r="O2667" s="116">
        <v>475.1</v>
      </c>
      <c r="P2667" s="116">
        <v>485.1</v>
      </c>
      <c r="Q2667" s="116">
        <v>481.35</v>
      </c>
      <c r="R2667">
        <v>7265353</v>
      </c>
    </row>
    <row r="2668" spans="1:18" x14ac:dyDescent="0.25">
      <c r="A2668" s="170">
        <v>45931</v>
      </c>
      <c r="B2668" s="116">
        <v>488.4</v>
      </c>
      <c r="C2668" s="116">
        <v>481.15</v>
      </c>
      <c r="D2668" s="116">
        <v>475.1</v>
      </c>
      <c r="E2668" s="116">
        <v>486</v>
      </c>
      <c r="F2668" s="116">
        <v>481.15</v>
      </c>
      <c r="G2668">
        <v>772449</v>
      </c>
      <c r="H2668" s="116"/>
      <c r="I2668" s="116"/>
      <c r="L2668" s="170">
        <v>45933</v>
      </c>
      <c r="M2668" s="116">
        <v>491.5</v>
      </c>
      <c r="N2668" s="116">
        <v>496.6</v>
      </c>
      <c r="O2668" s="116">
        <v>478.9</v>
      </c>
      <c r="P2668" s="116">
        <v>483</v>
      </c>
      <c r="Q2668" s="116">
        <v>491.5</v>
      </c>
      <c r="R2668">
        <v>9118935</v>
      </c>
    </row>
    <row r="2669" spans="1:18" x14ac:dyDescent="0.25">
      <c r="A2669" s="170">
        <v>45933</v>
      </c>
      <c r="B2669" s="116">
        <v>496.65</v>
      </c>
      <c r="C2669" s="116">
        <v>491.65</v>
      </c>
      <c r="D2669" s="116">
        <v>479</v>
      </c>
      <c r="E2669" s="116">
        <v>482.45</v>
      </c>
      <c r="F2669" s="116">
        <v>491.65</v>
      </c>
      <c r="G2669">
        <v>327846</v>
      </c>
      <c r="H2669" s="116"/>
      <c r="I2669" s="116"/>
      <c r="L2669" s="170">
        <v>45936</v>
      </c>
      <c r="M2669" s="116">
        <v>491.5</v>
      </c>
      <c r="N2669" s="116">
        <v>499.7</v>
      </c>
      <c r="O2669" s="116">
        <v>489.95</v>
      </c>
      <c r="P2669" s="116">
        <v>497</v>
      </c>
      <c r="Q2669" s="116">
        <v>491.5</v>
      </c>
      <c r="R2669">
        <v>4193824</v>
      </c>
    </row>
    <row r="2670" spans="1:18" x14ac:dyDescent="0.25">
      <c r="A2670" s="170">
        <v>45936</v>
      </c>
      <c r="B2670" s="116">
        <v>499.5</v>
      </c>
      <c r="C2670" s="116">
        <v>491.5</v>
      </c>
      <c r="D2670" s="116">
        <v>490</v>
      </c>
      <c r="E2670" s="116">
        <v>496.5</v>
      </c>
      <c r="F2670" s="116">
        <v>491.5</v>
      </c>
      <c r="G2670">
        <v>400324</v>
      </c>
      <c r="H2670" s="116"/>
      <c r="I2670" s="116"/>
      <c r="L2670" s="170">
        <v>45937</v>
      </c>
      <c r="M2670" s="116">
        <v>489.9</v>
      </c>
      <c r="N2670" s="116">
        <v>493.25</v>
      </c>
      <c r="O2670" s="116">
        <v>485.15</v>
      </c>
      <c r="P2670" s="116">
        <v>491.5</v>
      </c>
      <c r="Q2670" s="116">
        <v>489.9</v>
      </c>
      <c r="R2670">
        <v>3536988</v>
      </c>
    </row>
    <row r="2671" spans="1:18" x14ac:dyDescent="0.25">
      <c r="A2671" s="170">
        <v>45937</v>
      </c>
      <c r="B2671" s="116">
        <v>493</v>
      </c>
      <c r="C2671" s="116">
        <v>489.95</v>
      </c>
      <c r="D2671" s="116">
        <v>485.2</v>
      </c>
      <c r="E2671" s="116">
        <v>492.45</v>
      </c>
      <c r="F2671" s="116">
        <v>489.95</v>
      </c>
      <c r="G2671">
        <v>348513</v>
      </c>
      <c r="H2671" s="116"/>
      <c r="I2671" s="116"/>
      <c r="L2671" s="170">
        <v>45938</v>
      </c>
      <c r="M2671" s="116">
        <v>490.5</v>
      </c>
      <c r="N2671" s="116">
        <v>496.15</v>
      </c>
      <c r="O2671" s="116">
        <v>487.65</v>
      </c>
      <c r="P2671" s="116">
        <v>491.05</v>
      </c>
      <c r="Q2671" s="116">
        <v>490.5</v>
      </c>
      <c r="R2671">
        <v>3971075</v>
      </c>
    </row>
    <row r="2672" spans="1:18" x14ac:dyDescent="0.25">
      <c r="A2672" s="170">
        <v>45938</v>
      </c>
      <c r="B2672" s="116">
        <v>496</v>
      </c>
      <c r="C2672" s="116">
        <v>489.95</v>
      </c>
      <c r="D2672" s="116">
        <v>487.75</v>
      </c>
      <c r="E2672" s="116">
        <v>490.45</v>
      </c>
      <c r="F2672" s="116">
        <v>489.95</v>
      </c>
      <c r="G2672">
        <v>326952</v>
      </c>
      <c r="H2672" s="116"/>
      <c r="I2672" s="116"/>
      <c r="L2672" s="170">
        <v>45939</v>
      </c>
      <c r="M2672" s="116">
        <v>512.25</v>
      </c>
      <c r="N2672" s="116">
        <v>515</v>
      </c>
      <c r="O2672" s="116">
        <v>488.15</v>
      </c>
      <c r="P2672" s="116">
        <v>492</v>
      </c>
      <c r="Q2672" s="116">
        <v>512.25</v>
      </c>
      <c r="R2672">
        <v>16377426</v>
      </c>
    </row>
    <row r="2673" spans="1:18" x14ac:dyDescent="0.25">
      <c r="A2673" s="170">
        <v>45939</v>
      </c>
      <c r="B2673" s="116">
        <v>515</v>
      </c>
      <c r="C2673" s="116">
        <v>512.25</v>
      </c>
      <c r="D2673" s="116">
        <v>488.45</v>
      </c>
      <c r="E2673" s="116">
        <v>490</v>
      </c>
      <c r="F2673" s="116">
        <v>512.25</v>
      </c>
      <c r="G2673">
        <v>838802</v>
      </c>
      <c r="H2673" s="116"/>
      <c r="I2673" s="116"/>
      <c r="L2673" s="170">
        <v>45940</v>
      </c>
      <c r="M2673" s="116">
        <v>498.3</v>
      </c>
      <c r="N2673" s="116">
        <v>513.45000000000005</v>
      </c>
      <c r="O2673" s="116">
        <v>488.7</v>
      </c>
      <c r="P2673" s="116">
        <v>512.70000000000005</v>
      </c>
      <c r="Q2673" s="116">
        <v>498.3</v>
      </c>
      <c r="R2673">
        <v>11928283</v>
      </c>
    </row>
    <row r="2674" spans="1:18" x14ac:dyDescent="0.25">
      <c r="A2674" s="170">
        <v>45940</v>
      </c>
      <c r="B2674" s="116">
        <v>513.9</v>
      </c>
      <c r="C2674" s="116">
        <v>498.3</v>
      </c>
      <c r="D2674" s="116">
        <v>488.7</v>
      </c>
      <c r="E2674" s="116">
        <v>512.95000000000005</v>
      </c>
      <c r="F2674" s="116">
        <v>498.3</v>
      </c>
      <c r="G2674">
        <v>748960</v>
      </c>
      <c r="H2674" s="116"/>
      <c r="I2674" s="116"/>
      <c r="L2674" s="170">
        <v>45943</v>
      </c>
      <c r="M2674" s="116">
        <v>505.55</v>
      </c>
      <c r="N2674" s="116">
        <v>507.4</v>
      </c>
      <c r="O2674" s="116">
        <v>494</v>
      </c>
      <c r="P2674" s="116">
        <v>498.3</v>
      </c>
      <c r="Q2674" s="116">
        <v>505.55</v>
      </c>
      <c r="R2674">
        <v>7796400</v>
      </c>
    </row>
    <row r="2675" spans="1:18" x14ac:dyDescent="0.25">
      <c r="A2675" s="170">
        <v>45943</v>
      </c>
      <c r="B2675" s="116">
        <v>507</v>
      </c>
      <c r="C2675" s="116">
        <v>505.35</v>
      </c>
      <c r="D2675" s="116">
        <v>493.9</v>
      </c>
      <c r="E2675" s="116">
        <v>498</v>
      </c>
      <c r="F2675" s="116">
        <v>505.35</v>
      </c>
      <c r="G2675">
        <v>973364</v>
      </c>
      <c r="H2675" s="116"/>
      <c r="I2675" s="116"/>
      <c r="L2675" s="170">
        <v>45944</v>
      </c>
      <c r="M2675" s="116">
        <v>505.65</v>
      </c>
      <c r="N2675" s="116">
        <v>525.79999999999995</v>
      </c>
      <c r="O2675" s="116">
        <v>499.8</v>
      </c>
      <c r="P2675" s="116">
        <v>515</v>
      </c>
      <c r="Q2675" s="116">
        <v>505.65</v>
      </c>
      <c r="R2675">
        <v>15420228</v>
      </c>
    </row>
    <row r="2676" spans="1:18" x14ac:dyDescent="0.25">
      <c r="A2676" s="170">
        <v>45944</v>
      </c>
      <c r="B2676" s="116">
        <v>525.70000000000005</v>
      </c>
      <c r="C2676" s="116">
        <v>505.55</v>
      </c>
      <c r="D2676" s="116">
        <v>499.6</v>
      </c>
      <c r="E2676" s="116">
        <v>515</v>
      </c>
      <c r="F2676" s="116">
        <v>505.55</v>
      </c>
      <c r="G2676">
        <v>757780</v>
      </c>
      <c r="H2676" s="116"/>
      <c r="I2676" s="116"/>
      <c r="L2676" s="170">
        <v>45945</v>
      </c>
      <c r="M2676" s="116">
        <v>513.20000000000005</v>
      </c>
      <c r="N2676" s="116">
        <v>516.1</v>
      </c>
      <c r="O2676" s="116">
        <v>506.35</v>
      </c>
      <c r="P2676" s="116">
        <v>509</v>
      </c>
      <c r="Q2676" s="116">
        <v>513.20000000000005</v>
      </c>
      <c r="R2676">
        <v>6882125</v>
      </c>
    </row>
    <row r="2677" spans="1:18" x14ac:dyDescent="0.25">
      <c r="A2677" s="170">
        <v>45945</v>
      </c>
      <c r="B2677" s="116">
        <v>516</v>
      </c>
      <c r="C2677" s="116">
        <v>513.15</v>
      </c>
      <c r="D2677" s="116">
        <v>506.35</v>
      </c>
      <c r="E2677" s="116">
        <v>510.3</v>
      </c>
      <c r="F2677" s="116">
        <v>513.15</v>
      </c>
      <c r="G2677">
        <v>233005</v>
      </c>
      <c r="H2677" s="116"/>
      <c r="I2677" s="116"/>
      <c r="L2677" s="170">
        <v>45946</v>
      </c>
      <c r="M2677" s="116">
        <v>506.7</v>
      </c>
      <c r="N2677" s="116">
        <v>516.75</v>
      </c>
      <c r="O2677" s="116">
        <v>506.05</v>
      </c>
      <c r="P2677" s="116">
        <v>516.5</v>
      </c>
      <c r="Q2677" s="116">
        <v>506.7</v>
      </c>
      <c r="R2677">
        <v>3256458</v>
      </c>
    </row>
    <row r="2678" spans="1:18" x14ac:dyDescent="0.25">
      <c r="A2678" s="170">
        <v>45946</v>
      </c>
      <c r="B2678" s="116">
        <v>517</v>
      </c>
      <c r="C2678" s="116">
        <v>506.6</v>
      </c>
      <c r="D2678" s="116">
        <v>506</v>
      </c>
      <c r="E2678" s="116">
        <v>517</v>
      </c>
      <c r="F2678" s="116">
        <v>506.6</v>
      </c>
      <c r="G2678">
        <v>186101</v>
      </c>
      <c r="H2678" s="116"/>
      <c r="I2678" s="116"/>
      <c r="L2678" s="170">
        <v>45947</v>
      </c>
      <c r="M2678" s="116">
        <v>500.25</v>
      </c>
      <c r="N2678" s="116">
        <v>510.55</v>
      </c>
      <c r="O2678" s="116">
        <v>495.3</v>
      </c>
      <c r="P2678" s="116">
        <v>509.2</v>
      </c>
      <c r="Q2678" s="116">
        <v>500.25</v>
      </c>
      <c r="R2678">
        <v>8202471</v>
      </c>
    </row>
    <row r="2679" spans="1:18" x14ac:dyDescent="0.25">
      <c r="A2679" s="170">
        <v>45947</v>
      </c>
      <c r="B2679" s="116">
        <v>510.75</v>
      </c>
      <c r="C2679" s="116">
        <v>500.05</v>
      </c>
      <c r="D2679" s="116">
        <v>495.45</v>
      </c>
      <c r="E2679" s="116">
        <v>509.95</v>
      </c>
      <c r="F2679" s="116">
        <v>500.05</v>
      </c>
      <c r="G2679">
        <v>294833</v>
      </c>
      <c r="H2679" s="116"/>
      <c r="I2679" s="116"/>
      <c r="L2679" s="170">
        <v>45950</v>
      </c>
      <c r="M2679" s="116">
        <v>486.4</v>
      </c>
      <c r="N2679" s="116">
        <v>500</v>
      </c>
      <c r="O2679" s="116">
        <v>481.4</v>
      </c>
      <c r="P2679" s="116">
        <v>500</v>
      </c>
      <c r="Q2679" s="116">
        <v>486.4</v>
      </c>
      <c r="R2679">
        <v>7340096</v>
      </c>
    </row>
    <row r="2680" spans="1:18" x14ac:dyDescent="0.25">
      <c r="A2680" s="170">
        <v>45950</v>
      </c>
      <c r="B2680" s="116">
        <v>500.95</v>
      </c>
      <c r="C2680" s="116">
        <v>486.35</v>
      </c>
      <c r="D2680" s="116">
        <v>481.65</v>
      </c>
      <c r="E2680" s="116">
        <v>500.95</v>
      </c>
      <c r="F2680" s="116">
        <v>486.35</v>
      </c>
      <c r="G2680">
        <v>341401</v>
      </c>
      <c r="H2680" s="116"/>
      <c r="I2680" s="116"/>
      <c r="L2680" s="170">
        <v>45951</v>
      </c>
      <c r="M2680" s="116">
        <v>483.85</v>
      </c>
      <c r="N2680" s="116">
        <v>489.35</v>
      </c>
      <c r="O2680" s="116">
        <v>482</v>
      </c>
      <c r="P2680" s="116">
        <v>487.25</v>
      </c>
      <c r="Q2680" s="116">
        <v>483.85</v>
      </c>
      <c r="R2680">
        <v>2018621</v>
      </c>
    </row>
    <row r="2681" spans="1:18" x14ac:dyDescent="0.25">
      <c r="A2681" s="170">
        <v>45951</v>
      </c>
      <c r="B2681" s="116">
        <v>489.55</v>
      </c>
      <c r="C2681" s="116">
        <v>483.95</v>
      </c>
      <c r="D2681" s="116">
        <v>482</v>
      </c>
      <c r="E2681" s="116">
        <v>488.9</v>
      </c>
      <c r="F2681" s="116">
        <v>483.95</v>
      </c>
      <c r="G2681">
        <v>115435</v>
      </c>
      <c r="H2681" s="116"/>
      <c r="I2681" s="116"/>
      <c r="L2681" s="170">
        <v>45953</v>
      </c>
      <c r="M2681" s="116">
        <v>482.15</v>
      </c>
      <c r="N2681" s="116">
        <v>487.9</v>
      </c>
      <c r="O2681" s="116">
        <v>477.3</v>
      </c>
      <c r="P2681" s="116">
        <v>482.75</v>
      </c>
      <c r="Q2681" s="116">
        <v>482.15</v>
      </c>
      <c r="R2681">
        <v>7890661</v>
      </c>
    </row>
    <row r="2682" spans="1:18" x14ac:dyDescent="0.25">
      <c r="A2682" s="170">
        <v>45953</v>
      </c>
      <c r="B2682" s="116">
        <v>487.8</v>
      </c>
      <c r="C2682" s="116">
        <v>482.15</v>
      </c>
      <c r="D2682" s="116">
        <v>477.3</v>
      </c>
      <c r="E2682" s="116">
        <v>482.1</v>
      </c>
      <c r="F2682" s="116">
        <v>482.15</v>
      </c>
      <c r="G2682">
        <v>454737</v>
      </c>
      <c r="H2682" s="116"/>
      <c r="I2682" s="116"/>
      <c r="L2682" s="170">
        <v>45954</v>
      </c>
      <c r="M2682" s="116">
        <v>486.7</v>
      </c>
      <c r="N2682" s="116">
        <v>496.35</v>
      </c>
      <c r="O2682" s="116">
        <v>482.2</v>
      </c>
      <c r="P2682" s="116">
        <v>482.2</v>
      </c>
      <c r="Q2682" s="116">
        <v>486.7</v>
      </c>
      <c r="R2682">
        <v>6837879</v>
      </c>
    </row>
    <row r="2683" spans="1:18" x14ac:dyDescent="0.25">
      <c r="A2683" s="170">
        <v>45954</v>
      </c>
      <c r="B2683" s="116">
        <v>496.45</v>
      </c>
      <c r="C2683" s="116">
        <v>486.5</v>
      </c>
      <c r="D2683" s="116">
        <v>482.15</v>
      </c>
      <c r="E2683" s="116">
        <v>482.15</v>
      </c>
      <c r="F2683" s="116">
        <v>486.5</v>
      </c>
      <c r="G2683">
        <v>610532</v>
      </c>
      <c r="H2683" s="116"/>
      <c r="I2683" s="116"/>
      <c r="L2683" s="170">
        <v>45957</v>
      </c>
      <c r="M2683" s="116">
        <v>482.3</v>
      </c>
      <c r="N2683" s="116">
        <v>489.6</v>
      </c>
      <c r="O2683" s="116">
        <v>481.8</v>
      </c>
      <c r="P2683" s="116">
        <v>489</v>
      </c>
      <c r="Q2683" s="116">
        <v>482.3</v>
      </c>
      <c r="R2683">
        <v>3767112</v>
      </c>
    </row>
    <row r="2684" spans="1:18" x14ac:dyDescent="0.25">
      <c r="A2684" s="170">
        <v>45957</v>
      </c>
      <c r="B2684" s="116">
        <v>489.55</v>
      </c>
      <c r="C2684" s="116">
        <v>482.3</v>
      </c>
      <c r="D2684" s="116">
        <v>481.85</v>
      </c>
      <c r="E2684" s="116">
        <v>487.4</v>
      </c>
      <c r="F2684" s="116">
        <v>482.3</v>
      </c>
      <c r="G2684">
        <v>115118</v>
      </c>
      <c r="H2684" s="116"/>
      <c r="I2684" s="116"/>
      <c r="L2684" s="170">
        <v>45958</v>
      </c>
      <c r="M2684" s="116">
        <v>471.2</v>
      </c>
      <c r="N2684" s="116">
        <v>481.4</v>
      </c>
      <c r="O2684" s="116">
        <v>468.2</v>
      </c>
      <c r="P2684" s="116">
        <v>481.4</v>
      </c>
      <c r="Q2684" s="116">
        <v>471.2</v>
      </c>
      <c r="R2684">
        <v>5637647</v>
      </c>
    </row>
    <row r="2685" spans="1:18" x14ac:dyDescent="0.25">
      <c r="A2685" s="170">
        <v>45958</v>
      </c>
      <c r="B2685" s="116">
        <v>482.15</v>
      </c>
      <c r="C2685" s="116">
        <v>471.35</v>
      </c>
      <c r="D2685" s="116">
        <v>468.05</v>
      </c>
      <c r="E2685" s="116">
        <v>482</v>
      </c>
      <c r="F2685" s="116">
        <v>471.35</v>
      </c>
      <c r="G2685">
        <v>419696</v>
      </c>
      <c r="H2685" s="116"/>
      <c r="I2685" s="116"/>
      <c r="L2685" s="170">
        <v>45959</v>
      </c>
      <c r="M2685" s="116">
        <v>483.6</v>
      </c>
      <c r="N2685" s="116">
        <v>486.25</v>
      </c>
      <c r="O2685" s="116">
        <v>473.5</v>
      </c>
      <c r="P2685" s="116">
        <v>474.7</v>
      </c>
      <c r="Q2685" s="116">
        <v>483.6</v>
      </c>
      <c r="R2685">
        <v>4830935</v>
      </c>
    </row>
    <row r="2686" spans="1:18" x14ac:dyDescent="0.25">
      <c r="A2686" s="170">
        <v>45959</v>
      </c>
      <c r="B2686" s="116">
        <v>486.1</v>
      </c>
      <c r="C2686" s="116">
        <v>483.45</v>
      </c>
      <c r="D2686" s="116">
        <v>473.6</v>
      </c>
      <c r="E2686" s="116">
        <v>473.6</v>
      </c>
      <c r="F2686" s="116">
        <v>483.45</v>
      </c>
      <c r="G2686">
        <v>329441</v>
      </c>
      <c r="H2686" s="116"/>
      <c r="I2686" s="116"/>
      <c r="L2686" s="170">
        <v>45960</v>
      </c>
      <c r="M2686" s="116">
        <v>477.6</v>
      </c>
      <c r="N2686" s="116">
        <v>482.5</v>
      </c>
      <c r="O2686" s="116">
        <v>474.65</v>
      </c>
      <c r="P2686" s="116">
        <v>481.95</v>
      </c>
      <c r="Q2686" s="116">
        <v>477.6</v>
      </c>
      <c r="R2686">
        <v>3047179</v>
      </c>
    </row>
    <row r="2687" spans="1:18" x14ac:dyDescent="0.25">
      <c r="A2687" s="170">
        <v>45960</v>
      </c>
      <c r="B2687" s="116">
        <v>485.8</v>
      </c>
      <c r="C2687" s="116">
        <v>477.65</v>
      </c>
      <c r="D2687" s="116">
        <v>474.8</v>
      </c>
      <c r="E2687" s="116">
        <v>485.8</v>
      </c>
      <c r="F2687" s="116">
        <v>477.65</v>
      </c>
      <c r="G2687">
        <v>92429</v>
      </c>
      <c r="H2687" s="116"/>
      <c r="I2687" s="116"/>
      <c r="L2687" s="170">
        <v>45961</v>
      </c>
      <c r="M2687" s="116">
        <v>476.5</v>
      </c>
      <c r="N2687" s="116">
        <v>481.25</v>
      </c>
      <c r="O2687" s="116">
        <v>475.55</v>
      </c>
      <c r="P2687" s="116">
        <v>479.9</v>
      </c>
      <c r="Q2687" s="116">
        <v>476.5</v>
      </c>
      <c r="R2687">
        <v>1821466</v>
      </c>
    </row>
    <row r="2688" spans="1:18" x14ac:dyDescent="0.25">
      <c r="A2688" s="170">
        <v>45961</v>
      </c>
      <c r="B2688" s="116">
        <v>481.3</v>
      </c>
      <c r="C2688" s="116">
        <v>476.25</v>
      </c>
      <c r="D2688" s="116">
        <v>475</v>
      </c>
      <c r="E2688" s="116">
        <v>480</v>
      </c>
      <c r="F2688" s="116">
        <v>476.25</v>
      </c>
      <c r="G2688">
        <v>161123</v>
      </c>
      <c r="H2688" s="116"/>
      <c r="I2688" s="116"/>
      <c r="L2688" s="170">
        <v>45964</v>
      </c>
      <c r="M2688" s="116">
        <v>480.65</v>
      </c>
      <c r="N2688" s="116">
        <v>481.3</v>
      </c>
      <c r="O2688" s="116">
        <v>475.65</v>
      </c>
      <c r="P2688" s="116">
        <v>476.5</v>
      </c>
      <c r="Q2688" s="116">
        <v>480.65</v>
      </c>
      <c r="R2688">
        <v>1981640</v>
      </c>
    </row>
    <row r="2689" spans="1:18" x14ac:dyDescent="0.25">
      <c r="A2689" s="170">
        <v>45964</v>
      </c>
      <c r="B2689" s="116">
        <v>481.3</v>
      </c>
      <c r="C2689" s="116">
        <v>480.6</v>
      </c>
      <c r="D2689" s="116">
        <v>475.95</v>
      </c>
      <c r="E2689" s="116">
        <v>476.25</v>
      </c>
      <c r="F2689" s="116">
        <v>480.6</v>
      </c>
      <c r="G2689">
        <v>82651</v>
      </c>
      <c r="H2689" s="116"/>
      <c r="I2689" s="116"/>
      <c r="L2689" s="170">
        <v>45965</v>
      </c>
      <c r="M2689" s="116">
        <v>473.35</v>
      </c>
      <c r="N2689" s="116">
        <v>480.15</v>
      </c>
      <c r="O2689" s="116">
        <v>470</v>
      </c>
      <c r="P2689" s="116">
        <v>479.15</v>
      </c>
      <c r="Q2689" s="116">
        <v>473.35</v>
      </c>
      <c r="R2689">
        <v>2221861</v>
      </c>
    </row>
    <row r="2690" spans="1:18" x14ac:dyDescent="0.25">
      <c r="A2690" s="170">
        <v>45965</v>
      </c>
      <c r="B2690" s="116">
        <v>482.9</v>
      </c>
      <c r="C2690" s="116">
        <v>473.3</v>
      </c>
      <c r="D2690" s="116">
        <v>470.25</v>
      </c>
      <c r="E2690" s="116">
        <v>482.9</v>
      </c>
      <c r="F2690" s="116">
        <v>473.3</v>
      </c>
      <c r="G2690">
        <v>85589</v>
      </c>
      <c r="H2690" s="116"/>
      <c r="I2690" s="116"/>
      <c r="L2690" s="170">
        <v>45967</v>
      </c>
      <c r="M2690" s="116">
        <v>467.2</v>
      </c>
      <c r="N2690" s="116">
        <v>474</v>
      </c>
      <c r="O2690" s="116">
        <v>466</v>
      </c>
      <c r="P2690" s="116">
        <v>472</v>
      </c>
      <c r="Q2690" s="116">
        <v>467.2</v>
      </c>
      <c r="R2690">
        <v>1874384</v>
      </c>
    </row>
    <row r="2691" spans="1:18" x14ac:dyDescent="0.25">
      <c r="A2691" s="170">
        <v>45967</v>
      </c>
      <c r="B2691" s="116">
        <v>473.35</v>
      </c>
      <c r="C2691" s="116">
        <v>467.25</v>
      </c>
      <c r="D2691" s="116">
        <v>466.05</v>
      </c>
      <c r="E2691" s="116">
        <v>473</v>
      </c>
      <c r="F2691" s="116">
        <v>467.25</v>
      </c>
      <c r="G2691">
        <v>67645</v>
      </c>
      <c r="H2691" s="116"/>
      <c r="I2691" s="116"/>
      <c r="L2691" s="170">
        <v>45968</v>
      </c>
      <c r="M2691" s="116">
        <v>474.5</v>
      </c>
      <c r="N2691" s="116">
        <v>475.6</v>
      </c>
      <c r="O2691" s="116">
        <v>460</v>
      </c>
      <c r="P2691" s="116">
        <v>465</v>
      </c>
      <c r="Q2691" s="116">
        <v>474.5</v>
      </c>
      <c r="R2691">
        <v>3011457</v>
      </c>
    </row>
    <row r="2692" spans="1:18" x14ac:dyDescent="0.25">
      <c r="A2692" s="170">
        <v>45968</v>
      </c>
      <c r="B2692" s="116">
        <v>475.5</v>
      </c>
      <c r="C2692" s="116">
        <v>474.55</v>
      </c>
      <c r="D2692" s="116">
        <v>460</v>
      </c>
      <c r="E2692" s="116">
        <v>464.25</v>
      </c>
      <c r="F2692" s="116">
        <v>474.55</v>
      </c>
      <c r="G2692">
        <v>196313</v>
      </c>
      <c r="H2692" s="116"/>
      <c r="I2692" s="116"/>
      <c r="L2692" s="170">
        <v>45971</v>
      </c>
      <c r="M2692" s="116">
        <v>484.6</v>
      </c>
      <c r="N2692" s="116">
        <v>486.75</v>
      </c>
      <c r="O2692" s="116">
        <v>476.05</v>
      </c>
      <c r="P2692" s="116">
        <v>477</v>
      </c>
      <c r="Q2692" s="116">
        <v>484.6</v>
      </c>
      <c r="R2692">
        <v>4039654</v>
      </c>
    </row>
    <row r="2693" spans="1:18" x14ac:dyDescent="0.25">
      <c r="A2693" s="170">
        <v>45971</v>
      </c>
      <c r="B2693" s="116">
        <v>486.5</v>
      </c>
      <c r="C2693" s="116">
        <v>484.65</v>
      </c>
      <c r="D2693" s="116">
        <v>475.7</v>
      </c>
      <c r="E2693" s="116">
        <v>475.7</v>
      </c>
      <c r="F2693" s="116">
        <v>484.65</v>
      </c>
      <c r="G2693">
        <v>344914</v>
      </c>
      <c r="H2693" s="116"/>
      <c r="I2693" s="116"/>
      <c r="L2693" s="170">
        <v>45972</v>
      </c>
      <c r="M2693" s="116">
        <v>487.5</v>
      </c>
      <c r="N2693" s="116">
        <v>490</v>
      </c>
      <c r="O2693" s="116">
        <v>482.4</v>
      </c>
      <c r="P2693" s="116">
        <v>486.95</v>
      </c>
      <c r="Q2693" s="116">
        <v>487.5</v>
      </c>
      <c r="R2693">
        <v>3280695</v>
      </c>
    </row>
    <row r="2694" spans="1:18" x14ac:dyDescent="0.25">
      <c r="A2694" s="170">
        <v>45972</v>
      </c>
      <c r="B2694" s="116">
        <v>490</v>
      </c>
      <c r="C2694" s="116">
        <v>487.45</v>
      </c>
      <c r="D2694" s="116">
        <v>482.65</v>
      </c>
      <c r="E2694" s="116">
        <v>486.65</v>
      </c>
      <c r="F2694" s="116">
        <v>487.45</v>
      </c>
      <c r="G2694">
        <v>313326</v>
      </c>
      <c r="H2694" s="116"/>
      <c r="I2694" s="116"/>
      <c r="L2694" s="170">
        <v>45973</v>
      </c>
      <c r="M2694" s="116">
        <v>481.9</v>
      </c>
      <c r="N2694" s="116">
        <v>490.4</v>
      </c>
      <c r="O2694" s="116">
        <v>481.2</v>
      </c>
      <c r="P2694" s="116">
        <v>489.35</v>
      </c>
      <c r="Q2694" s="116">
        <v>481.9</v>
      </c>
      <c r="R2694">
        <v>1977730</v>
      </c>
    </row>
    <row r="2695" spans="1:18" x14ac:dyDescent="0.25">
      <c r="A2695" s="170">
        <v>45973</v>
      </c>
      <c r="B2695" s="116">
        <v>490.35</v>
      </c>
      <c r="C2695" s="116">
        <v>481.85</v>
      </c>
      <c r="D2695" s="116">
        <v>481.05</v>
      </c>
      <c r="E2695" s="116">
        <v>489.85</v>
      </c>
      <c r="F2695" s="116">
        <v>481.85</v>
      </c>
      <c r="G2695">
        <v>84805</v>
      </c>
      <c r="H2695" s="116"/>
      <c r="I2695" s="116"/>
      <c r="L2695" s="170">
        <v>45974</v>
      </c>
      <c r="M2695" s="116">
        <v>495.2</v>
      </c>
      <c r="N2695" s="116">
        <v>504</v>
      </c>
      <c r="O2695" s="116">
        <v>486.6</v>
      </c>
      <c r="P2695" s="116">
        <v>490</v>
      </c>
      <c r="Q2695" s="116">
        <v>495.2</v>
      </c>
      <c r="R2695">
        <v>12867167</v>
      </c>
    </row>
    <row r="2696" spans="1:18" x14ac:dyDescent="0.25">
      <c r="A2696" s="170">
        <v>45974</v>
      </c>
      <c r="B2696" s="116">
        <v>503.85</v>
      </c>
      <c r="C2696" s="116">
        <v>495.35</v>
      </c>
      <c r="D2696" s="116">
        <v>486.95</v>
      </c>
      <c r="E2696" s="116">
        <v>490.55</v>
      </c>
      <c r="F2696" s="116">
        <v>495.35</v>
      </c>
      <c r="G2696">
        <v>798721</v>
      </c>
      <c r="H2696" s="116"/>
      <c r="I2696" s="116"/>
      <c r="L2696" s="170">
        <v>45975</v>
      </c>
      <c r="M2696" s="116">
        <v>487.05</v>
      </c>
      <c r="N2696" s="116">
        <v>497.4</v>
      </c>
      <c r="O2696" s="116">
        <v>482.5</v>
      </c>
      <c r="P2696" s="116">
        <v>495</v>
      </c>
      <c r="Q2696" s="116">
        <v>487.05</v>
      </c>
      <c r="R2696">
        <v>3057432</v>
      </c>
    </row>
    <row r="2697" spans="1:18" x14ac:dyDescent="0.25">
      <c r="A2697" s="170">
        <v>45975</v>
      </c>
      <c r="B2697" s="116">
        <v>496.9</v>
      </c>
      <c r="C2697" s="116">
        <v>486.9</v>
      </c>
      <c r="D2697" s="116">
        <v>482.4</v>
      </c>
      <c r="E2697" s="116">
        <v>493.65</v>
      </c>
      <c r="F2697" s="116">
        <v>486.9</v>
      </c>
      <c r="G2697">
        <v>203165</v>
      </c>
      <c r="H2697" s="116"/>
      <c r="I2697" s="116"/>
      <c r="L2697" s="170">
        <v>45978</v>
      </c>
      <c r="M2697" s="116">
        <v>483.9</v>
      </c>
      <c r="N2697" s="116">
        <v>487.95</v>
      </c>
      <c r="O2697" s="116">
        <v>481.2</v>
      </c>
      <c r="P2697" s="116">
        <v>486.95</v>
      </c>
      <c r="Q2697" s="116">
        <v>483.9</v>
      </c>
      <c r="R2697">
        <v>2199172</v>
      </c>
    </row>
    <row r="2698" spans="1:18" x14ac:dyDescent="0.25">
      <c r="A2698" s="170">
        <v>45978</v>
      </c>
      <c r="B2698" s="116">
        <v>489.7</v>
      </c>
      <c r="C2698" s="116">
        <v>483.8</v>
      </c>
      <c r="D2698" s="116">
        <v>481.3</v>
      </c>
      <c r="E2698" s="116">
        <v>487.05</v>
      </c>
      <c r="F2698" s="116">
        <v>483.8</v>
      </c>
      <c r="G2698">
        <v>90274</v>
      </c>
      <c r="H2698" s="116"/>
      <c r="I2698" s="116"/>
      <c r="L2698" s="170">
        <v>45979</v>
      </c>
      <c r="M2698" s="116">
        <v>475.95</v>
      </c>
      <c r="N2698" s="116">
        <v>480.95</v>
      </c>
      <c r="O2698" s="116">
        <v>468.2</v>
      </c>
      <c r="P2698" s="116">
        <v>480</v>
      </c>
      <c r="Q2698" s="116">
        <v>475.95</v>
      </c>
      <c r="R2698">
        <v>6175474</v>
      </c>
    </row>
    <row r="2699" spans="1:18" x14ac:dyDescent="0.25">
      <c r="A2699" s="170">
        <v>45979</v>
      </c>
      <c r="B2699" s="116">
        <v>480.15</v>
      </c>
      <c r="C2699" s="116">
        <v>475.8</v>
      </c>
      <c r="D2699" s="116">
        <v>468.2</v>
      </c>
      <c r="E2699" s="116">
        <v>480.05</v>
      </c>
      <c r="F2699" s="116">
        <v>475.8</v>
      </c>
      <c r="G2699">
        <v>175079</v>
      </c>
      <c r="H2699" s="116"/>
      <c r="I2699" s="116"/>
      <c r="L2699" s="170">
        <v>45980</v>
      </c>
      <c r="M2699" s="116">
        <v>476.55</v>
      </c>
      <c r="N2699" s="116">
        <v>478.5</v>
      </c>
      <c r="O2699" s="116">
        <v>473.7</v>
      </c>
      <c r="P2699" s="116">
        <v>475</v>
      </c>
      <c r="Q2699" s="116">
        <v>476.55</v>
      </c>
      <c r="R2699">
        <v>2595527</v>
      </c>
    </row>
    <row r="2700" spans="1:18" x14ac:dyDescent="0.25">
      <c r="A2700" s="170">
        <v>45980</v>
      </c>
      <c r="B2700" s="116">
        <v>479.2</v>
      </c>
      <c r="C2700" s="116">
        <v>476.85</v>
      </c>
      <c r="D2700" s="116">
        <v>473.9</v>
      </c>
      <c r="E2700" s="116">
        <v>476.35</v>
      </c>
      <c r="F2700" s="116">
        <v>476.85</v>
      </c>
      <c r="G2700">
        <v>231118</v>
      </c>
      <c r="H2700" s="116"/>
      <c r="I2700" s="116"/>
      <c r="L2700" s="170">
        <v>45981</v>
      </c>
      <c r="M2700" s="116">
        <v>472.15</v>
      </c>
      <c r="N2700" s="116">
        <v>480.35</v>
      </c>
      <c r="O2700" s="116">
        <v>471.1</v>
      </c>
      <c r="P2700" s="116">
        <v>476.85</v>
      </c>
      <c r="Q2700" s="116">
        <v>472.15</v>
      </c>
      <c r="R2700">
        <v>1407005</v>
      </c>
    </row>
    <row r="2701" spans="1:18" x14ac:dyDescent="0.25">
      <c r="A2701" s="170">
        <v>45981</v>
      </c>
      <c r="B2701" s="116">
        <v>480</v>
      </c>
      <c r="C2701" s="116">
        <v>472.15</v>
      </c>
      <c r="D2701" s="116">
        <v>471.05</v>
      </c>
      <c r="E2701" s="116">
        <v>477.8</v>
      </c>
      <c r="F2701" s="116">
        <v>472.15</v>
      </c>
      <c r="G2701">
        <v>93454</v>
      </c>
      <c r="H2701" s="116"/>
      <c r="I2701" s="116"/>
      <c r="L2701" s="170">
        <v>45982</v>
      </c>
      <c r="M2701" s="116">
        <v>458.3</v>
      </c>
      <c r="N2701" s="116">
        <v>470.45</v>
      </c>
      <c r="O2701" s="116">
        <v>456.75</v>
      </c>
      <c r="P2701" s="116">
        <v>468</v>
      </c>
      <c r="Q2701" s="116">
        <v>458.3</v>
      </c>
      <c r="R2701">
        <v>2368431</v>
      </c>
    </row>
    <row r="2702" spans="1:18" x14ac:dyDescent="0.25">
      <c r="A2702" s="170">
        <v>45982</v>
      </c>
      <c r="B2702" s="116">
        <v>470.5</v>
      </c>
      <c r="C2702" s="116">
        <v>457.95</v>
      </c>
      <c r="D2702" s="116">
        <v>456.45</v>
      </c>
      <c r="E2702" s="116">
        <v>469.65</v>
      </c>
      <c r="F2702" s="116">
        <v>457.95</v>
      </c>
      <c r="G2702">
        <v>246033</v>
      </c>
      <c r="H2702" s="116"/>
      <c r="I2702" s="116"/>
      <c r="L2702" s="170">
        <v>45985</v>
      </c>
      <c r="M2702" s="116">
        <v>454</v>
      </c>
      <c r="N2702" s="116">
        <v>460.6</v>
      </c>
      <c r="O2702" s="116">
        <v>453.5</v>
      </c>
      <c r="P2702" s="116">
        <v>458.3</v>
      </c>
      <c r="Q2702" s="116">
        <v>454</v>
      </c>
      <c r="R2702">
        <v>1729282</v>
      </c>
    </row>
    <row r="2703" spans="1:18" x14ac:dyDescent="0.25">
      <c r="A2703" s="170">
        <v>45985</v>
      </c>
      <c r="B2703" s="116">
        <v>460.6</v>
      </c>
      <c r="C2703" s="116">
        <v>453.95</v>
      </c>
      <c r="D2703" s="116">
        <v>453.5</v>
      </c>
      <c r="E2703" s="116">
        <v>458.1</v>
      </c>
      <c r="F2703" s="116">
        <v>453.95</v>
      </c>
      <c r="G2703">
        <v>55375</v>
      </c>
      <c r="H2703" s="116"/>
      <c r="I2703" s="116"/>
      <c r="L2703" s="170">
        <v>45986</v>
      </c>
      <c r="M2703" s="116">
        <v>462.6</v>
      </c>
      <c r="N2703" s="116">
        <v>463.35</v>
      </c>
      <c r="O2703" s="116">
        <v>455.5</v>
      </c>
      <c r="P2703" s="116">
        <v>457.9</v>
      </c>
      <c r="Q2703" s="116">
        <v>462.6</v>
      </c>
      <c r="R2703">
        <v>2226516</v>
      </c>
    </row>
    <row r="2704" spans="1:18" x14ac:dyDescent="0.25">
      <c r="A2704" s="170">
        <v>45986</v>
      </c>
      <c r="B2704" s="116">
        <v>463.4</v>
      </c>
      <c r="C2704" s="116">
        <v>462.65</v>
      </c>
      <c r="D2704" s="116">
        <v>455.3</v>
      </c>
      <c r="E2704" s="116">
        <v>455.3</v>
      </c>
      <c r="F2704" s="116">
        <v>462.65</v>
      </c>
      <c r="G2704">
        <v>61652</v>
      </c>
      <c r="H2704" s="116"/>
      <c r="I2704" s="116"/>
      <c r="L2704" s="170">
        <v>45987</v>
      </c>
      <c r="M2704" s="116">
        <v>470.25</v>
      </c>
      <c r="N2704" s="116">
        <v>470.9</v>
      </c>
      <c r="O2704" s="116">
        <v>463.2</v>
      </c>
      <c r="P2704" s="116">
        <v>465</v>
      </c>
      <c r="Q2704" s="116">
        <v>470.25</v>
      </c>
      <c r="R2704">
        <v>2138803</v>
      </c>
    </row>
    <row r="2705" spans="1:18" x14ac:dyDescent="0.25">
      <c r="A2705" s="170">
        <v>45987</v>
      </c>
      <c r="B2705" s="116">
        <v>470.85</v>
      </c>
      <c r="C2705" s="116">
        <v>470.25</v>
      </c>
      <c r="D2705" s="116">
        <v>463.3</v>
      </c>
      <c r="E2705" s="116">
        <v>466.45</v>
      </c>
      <c r="F2705" s="116">
        <v>470.25</v>
      </c>
      <c r="G2705">
        <v>180230</v>
      </c>
      <c r="H2705" s="116"/>
      <c r="I2705" s="116"/>
      <c r="L2705" s="170">
        <v>45988</v>
      </c>
      <c r="M2705" s="116">
        <v>474.55</v>
      </c>
      <c r="N2705" s="116">
        <v>478.5</v>
      </c>
      <c r="O2705" s="116">
        <v>472.65</v>
      </c>
      <c r="P2705" s="116">
        <v>475.9</v>
      </c>
      <c r="Q2705" s="116">
        <v>474.55</v>
      </c>
      <c r="R2705">
        <v>2611675</v>
      </c>
    </row>
    <row r="2706" spans="1:18" x14ac:dyDescent="0.25">
      <c r="A2706" s="170">
        <v>45988</v>
      </c>
      <c r="B2706" s="116">
        <v>478.45</v>
      </c>
      <c r="C2706" s="116">
        <v>474.3</v>
      </c>
      <c r="D2706" s="116">
        <v>472.5</v>
      </c>
      <c r="E2706" s="116">
        <v>477.55</v>
      </c>
      <c r="F2706" s="116">
        <v>474.3</v>
      </c>
      <c r="G2706">
        <v>292919</v>
      </c>
      <c r="H2706" s="116"/>
      <c r="I2706" s="116"/>
      <c r="L2706" s="170">
        <v>45989</v>
      </c>
      <c r="M2706" s="116">
        <v>485.2</v>
      </c>
      <c r="N2706" s="116">
        <v>489.2</v>
      </c>
      <c r="O2706" s="116">
        <v>476.9</v>
      </c>
      <c r="P2706" s="116">
        <v>478.05</v>
      </c>
      <c r="Q2706" s="116">
        <v>485.2</v>
      </c>
      <c r="R2706">
        <v>5889839</v>
      </c>
    </row>
    <row r="2707" spans="1:18" x14ac:dyDescent="0.25">
      <c r="A2707" s="170">
        <v>45989</v>
      </c>
      <c r="B2707" s="116">
        <v>489.5</v>
      </c>
      <c r="C2707" s="116">
        <v>485.45</v>
      </c>
      <c r="D2707" s="116">
        <v>477.1</v>
      </c>
      <c r="E2707" s="116">
        <v>478.05</v>
      </c>
      <c r="F2707" s="116">
        <v>485.45</v>
      </c>
      <c r="G2707">
        <v>269198</v>
      </c>
      <c r="H2707" s="116"/>
      <c r="I2707" s="116"/>
      <c r="L2707" s="170">
        <v>45992</v>
      </c>
      <c r="M2707" s="116">
        <v>499.85</v>
      </c>
      <c r="N2707" s="116">
        <v>503.95</v>
      </c>
      <c r="O2707" s="116">
        <v>492.8</v>
      </c>
      <c r="P2707" s="116">
        <v>500.1</v>
      </c>
      <c r="Q2707" s="116">
        <v>499.85</v>
      </c>
      <c r="R2707">
        <v>12744627</v>
      </c>
    </row>
    <row r="2708" spans="1:18" x14ac:dyDescent="0.25">
      <c r="A2708" s="170">
        <v>45992</v>
      </c>
      <c r="B2708" s="116">
        <v>503.8</v>
      </c>
      <c r="C2708" s="116">
        <v>499.65</v>
      </c>
      <c r="D2708" s="116">
        <v>492.7</v>
      </c>
      <c r="E2708" s="116">
        <v>499.5</v>
      </c>
      <c r="F2708" s="116">
        <v>499.65</v>
      </c>
      <c r="G2708">
        <v>987317</v>
      </c>
      <c r="H2708" s="116"/>
      <c r="I2708" s="116"/>
      <c r="L2708" s="170">
        <v>45993</v>
      </c>
      <c r="M2708" s="116">
        <v>495.65</v>
      </c>
      <c r="N2708" s="116">
        <v>501.55</v>
      </c>
      <c r="O2708" s="116">
        <v>494.4</v>
      </c>
      <c r="P2708" s="116">
        <v>499.85</v>
      </c>
      <c r="Q2708" s="116">
        <v>495.65</v>
      </c>
      <c r="R2708">
        <v>4196609</v>
      </c>
    </row>
    <row r="2709" spans="1:18" x14ac:dyDescent="0.25">
      <c r="A2709" s="170">
        <v>45993</v>
      </c>
      <c r="B2709">
        <v>501.3</v>
      </c>
      <c r="C2709">
        <v>495.55</v>
      </c>
      <c r="D2709">
        <v>494.35</v>
      </c>
      <c r="E2709">
        <v>500.9</v>
      </c>
      <c r="F2709">
        <v>495.55</v>
      </c>
      <c r="G2709">
        <v>155098</v>
      </c>
      <c r="H2709" s="116"/>
      <c r="I2709" s="116"/>
      <c r="L2709" s="170">
        <v>45994</v>
      </c>
      <c r="M2709" s="116">
        <v>504.4</v>
      </c>
      <c r="N2709" s="116">
        <v>509.6</v>
      </c>
      <c r="O2709" s="116">
        <v>496.55</v>
      </c>
      <c r="P2709" s="116">
        <v>500</v>
      </c>
      <c r="Q2709" s="116">
        <v>504.4</v>
      </c>
      <c r="R2709">
        <v>11256116</v>
      </c>
    </row>
    <row r="2710" spans="1:18" x14ac:dyDescent="0.25">
      <c r="A2710" s="170">
        <v>45994</v>
      </c>
      <c r="B2710">
        <v>509.75</v>
      </c>
      <c r="C2710">
        <v>504.45</v>
      </c>
      <c r="D2710">
        <v>496.45</v>
      </c>
      <c r="E2710">
        <v>499.9</v>
      </c>
      <c r="F2710">
        <v>504.45</v>
      </c>
      <c r="G2710">
        <v>431734</v>
      </c>
      <c r="H2710" s="116"/>
      <c r="I2710" s="116"/>
      <c r="L2710" s="170">
        <v>45995</v>
      </c>
      <c r="M2710" s="116">
        <v>496.75</v>
      </c>
      <c r="N2710" s="116">
        <v>508.2</v>
      </c>
      <c r="O2710" s="116">
        <v>493.2</v>
      </c>
      <c r="P2710" s="116">
        <v>504.95</v>
      </c>
      <c r="Q2710" s="116">
        <v>496.75</v>
      </c>
      <c r="R2710">
        <v>5322624</v>
      </c>
    </row>
    <row r="2711" spans="1:18" x14ac:dyDescent="0.25">
      <c r="A2711" s="170">
        <v>45995</v>
      </c>
      <c r="B2711">
        <v>508</v>
      </c>
      <c r="C2711">
        <v>496.5</v>
      </c>
      <c r="D2711">
        <v>493</v>
      </c>
      <c r="E2711">
        <v>504.4</v>
      </c>
      <c r="F2711">
        <v>496.5</v>
      </c>
      <c r="G2711">
        <v>351036</v>
      </c>
      <c r="H2711" s="116"/>
      <c r="I2711" s="116"/>
      <c r="L2711" s="170">
        <v>45996</v>
      </c>
      <c r="M2711" s="116">
        <v>498.1</v>
      </c>
      <c r="N2711" s="116">
        <v>501.8</v>
      </c>
      <c r="O2711" s="116">
        <v>490.4</v>
      </c>
      <c r="P2711" s="116">
        <v>497</v>
      </c>
      <c r="Q2711" s="116">
        <v>498.1</v>
      </c>
      <c r="R2711">
        <v>3027296</v>
      </c>
    </row>
    <row r="2712" spans="1:18" x14ac:dyDescent="0.25">
      <c r="A2712" s="170">
        <v>45996</v>
      </c>
      <c r="B2712">
        <v>501.8</v>
      </c>
      <c r="C2712">
        <v>498.1</v>
      </c>
      <c r="D2712">
        <v>490.35</v>
      </c>
      <c r="E2712">
        <v>496.75</v>
      </c>
      <c r="F2712">
        <v>498.1</v>
      </c>
      <c r="G2712">
        <v>130923</v>
      </c>
      <c r="H2712" s="116"/>
      <c r="I2712" s="116"/>
      <c r="L2712" s="170">
        <v>45999</v>
      </c>
      <c r="M2712" s="116">
        <v>490.45</v>
      </c>
      <c r="N2712" s="116">
        <v>501.95</v>
      </c>
      <c r="O2712" s="116">
        <v>487</v>
      </c>
      <c r="P2712" s="116">
        <v>498.1</v>
      </c>
      <c r="Q2712" s="116">
        <v>490.45</v>
      </c>
      <c r="R2712">
        <v>2799520</v>
      </c>
    </row>
    <row r="2713" spans="1:18" x14ac:dyDescent="0.25">
      <c r="A2713" s="170">
        <v>45999</v>
      </c>
      <c r="B2713">
        <v>501.9</v>
      </c>
      <c r="C2713">
        <v>490.05</v>
      </c>
      <c r="D2713">
        <v>486.8</v>
      </c>
      <c r="E2713">
        <v>498.1</v>
      </c>
      <c r="F2713">
        <v>490.05</v>
      </c>
      <c r="G2713">
        <v>273590</v>
      </c>
      <c r="H2713" s="116"/>
      <c r="I2713" s="116"/>
      <c r="L2713" s="170">
        <v>46000</v>
      </c>
      <c r="M2713" s="116">
        <v>491.45</v>
      </c>
      <c r="N2713" s="116">
        <v>494.8</v>
      </c>
      <c r="O2713" s="116">
        <v>482</v>
      </c>
      <c r="P2713" s="116">
        <v>489</v>
      </c>
      <c r="Q2713" s="116">
        <v>491.45</v>
      </c>
      <c r="R2713">
        <v>2767639</v>
      </c>
    </row>
    <row r="2714" spans="1:18" x14ac:dyDescent="0.25">
      <c r="A2714" s="170">
        <v>46000</v>
      </c>
      <c r="B2714">
        <v>494.45</v>
      </c>
      <c r="C2714">
        <v>490.6</v>
      </c>
      <c r="D2714">
        <v>482.15</v>
      </c>
      <c r="E2714">
        <v>489.95</v>
      </c>
      <c r="F2714">
        <v>490.6</v>
      </c>
      <c r="G2714">
        <v>186389</v>
      </c>
      <c r="H2714" s="116"/>
      <c r="I2714" s="116"/>
      <c r="L2714" s="170">
        <v>46001</v>
      </c>
      <c r="M2714" s="116">
        <v>512.65</v>
      </c>
      <c r="N2714" s="116">
        <v>516.6</v>
      </c>
      <c r="O2714" s="116">
        <v>501.3</v>
      </c>
      <c r="P2714" s="116">
        <v>503.5</v>
      </c>
      <c r="Q2714" s="116">
        <v>512.65</v>
      </c>
      <c r="R2714">
        <v>21067651</v>
      </c>
    </row>
    <row r="2715" spans="1:18" x14ac:dyDescent="0.25">
      <c r="A2715" s="170">
        <v>46001</v>
      </c>
      <c r="B2715">
        <v>516.79999999999995</v>
      </c>
      <c r="C2715">
        <v>512.6</v>
      </c>
      <c r="D2715">
        <v>501.7</v>
      </c>
      <c r="E2715">
        <v>503.55</v>
      </c>
      <c r="F2715">
        <v>512.6</v>
      </c>
      <c r="G2715">
        <v>831115</v>
      </c>
      <c r="H2715" s="116"/>
      <c r="I2715" s="116"/>
      <c r="L2715" s="170">
        <v>46002</v>
      </c>
      <c r="M2715" s="116">
        <v>522.65</v>
      </c>
      <c r="N2715" s="116">
        <v>532</v>
      </c>
      <c r="O2715" s="116">
        <v>515.9</v>
      </c>
      <c r="P2715" s="116">
        <v>516.5</v>
      </c>
      <c r="Q2715" s="116">
        <v>522.65</v>
      </c>
      <c r="R2715">
        <v>20968349</v>
      </c>
    </row>
    <row r="2716" spans="1:18" x14ac:dyDescent="0.25">
      <c r="A2716" s="170">
        <v>46002</v>
      </c>
      <c r="B2716">
        <v>532.1</v>
      </c>
      <c r="C2716">
        <v>522.45000000000005</v>
      </c>
      <c r="D2716">
        <v>515.79999999999995</v>
      </c>
      <c r="E2716">
        <v>516.1</v>
      </c>
      <c r="F2716">
        <v>522.45000000000005</v>
      </c>
      <c r="G2716">
        <v>967127</v>
      </c>
      <c r="H2716" s="116"/>
      <c r="I2716" s="116"/>
      <c r="L2716" s="170">
        <v>46003</v>
      </c>
      <c r="M2716" s="116">
        <v>561.65</v>
      </c>
      <c r="N2716" s="116">
        <v>567.45000000000005</v>
      </c>
      <c r="O2716" s="116">
        <v>532.35</v>
      </c>
      <c r="P2716" s="116">
        <v>533</v>
      </c>
      <c r="Q2716" s="116">
        <v>561.65</v>
      </c>
      <c r="R2716">
        <v>39406555</v>
      </c>
    </row>
    <row r="2717" spans="1:18" x14ac:dyDescent="0.25">
      <c r="A2717" s="170">
        <v>46003</v>
      </c>
      <c r="B2717">
        <v>567.5</v>
      </c>
      <c r="C2717">
        <v>561.35</v>
      </c>
      <c r="D2717">
        <v>532.79999999999995</v>
      </c>
      <c r="E2717">
        <v>533</v>
      </c>
      <c r="F2717">
        <v>561.35</v>
      </c>
      <c r="G2717">
        <v>2221363</v>
      </c>
      <c r="H2717" s="116"/>
      <c r="I2717" s="116"/>
      <c r="L2717" s="170">
        <v>46006</v>
      </c>
      <c r="M2717" s="116">
        <v>568.04999999999995</v>
      </c>
      <c r="N2717" s="116">
        <v>571.79999999999995</v>
      </c>
      <c r="O2717" s="116">
        <v>555.75</v>
      </c>
      <c r="P2717" s="116">
        <v>562.1</v>
      </c>
      <c r="Q2717" s="116">
        <v>568.04999999999995</v>
      </c>
      <c r="R2717">
        <v>23289407</v>
      </c>
    </row>
    <row r="2718" spans="1:18" x14ac:dyDescent="0.25">
      <c r="A2718" s="170">
        <v>46006</v>
      </c>
      <c r="B2718">
        <v>571.6</v>
      </c>
      <c r="C2718">
        <v>568.04999999999995</v>
      </c>
      <c r="D2718">
        <v>556</v>
      </c>
      <c r="E2718">
        <v>564.1</v>
      </c>
      <c r="F2718">
        <v>568.04999999999995</v>
      </c>
      <c r="G2718">
        <v>1214589</v>
      </c>
      <c r="H2718" s="116"/>
      <c r="I2718" s="116"/>
      <c r="L2718" s="170">
        <v>46007</v>
      </c>
      <c r="M2718" s="116">
        <v>567.70000000000005</v>
      </c>
      <c r="N2718" s="116">
        <v>572.95000000000005</v>
      </c>
      <c r="O2718" s="116">
        <v>556.15</v>
      </c>
      <c r="P2718" s="116">
        <v>564</v>
      </c>
      <c r="Q2718" s="116">
        <v>567.70000000000005</v>
      </c>
      <c r="R2718">
        <v>9187083</v>
      </c>
    </row>
    <row r="2719" spans="1:18" x14ac:dyDescent="0.25">
      <c r="A2719" s="170">
        <v>46007</v>
      </c>
      <c r="B2719">
        <v>572.85</v>
      </c>
      <c r="C2719">
        <v>567.75</v>
      </c>
      <c r="D2719">
        <v>555.85</v>
      </c>
      <c r="E2719">
        <v>565.35</v>
      </c>
      <c r="F2719">
        <v>567.75</v>
      </c>
      <c r="G2719">
        <v>800574</v>
      </c>
      <c r="H2719" s="116"/>
      <c r="I2719" s="116"/>
      <c r="L2719" s="170">
        <v>46008</v>
      </c>
      <c r="M2719" s="116">
        <v>578.29999999999995</v>
      </c>
      <c r="N2719" s="116">
        <v>587.79999999999995</v>
      </c>
      <c r="O2719" s="116">
        <v>573.65</v>
      </c>
      <c r="P2719" s="116">
        <v>580</v>
      </c>
      <c r="Q2719" s="116">
        <v>578.29999999999995</v>
      </c>
      <c r="R2719">
        <v>18632926</v>
      </c>
    </row>
    <row r="2720" spans="1:18" x14ac:dyDescent="0.25">
      <c r="A2720" s="170">
        <v>46008</v>
      </c>
      <c r="B2720">
        <v>587.65</v>
      </c>
      <c r="C2720">
        <v>578.20000000000005</v>
      </c>
      <c r="D2720">
        <v>573.70000000000005</v>
      </c>
      <c r="E2720">
        <v>575.1</v>
      </c>
      <c r="F2720">
        <v>578.20000000000005</v>
      </c>
      <c r="G2720">
        <v>1230861</v>
      </c>
      <c r="H2720" s="116"/>
      <c r="I2720" s="116"/>
      <c r="L2720" s="170">
        <v>46009</v>
      </c>
      <c r="M2720" s="116">
        <v>592.15</v>
      </c>
      <c r="N2720" s="116">
        <v>594.35</v>
      </c>
      <c r="O2720" s="116">
        <v>576.85</v>
      </c>
      <c r="P2720" s="116">
        <v>581.9</v>
      </c>
      <c r="Q2720" s="116">
        <v>592.15</v>
      </c>
      <c r="R2720">
        <v>15414612</v>
      </c>
    </row>
    <row r="2721" spans="1:18" x14ac:dyDescent="0.25">
      <c r="A2721" s="170">
        <v>46009</v>
      </c>
      <c r="B2721">
        <v>594.5</v>
      </c>
      <c r="C2721">
        <v>592.15</v>
      </c>
      <c r="D2721">
        <v>577.04999999999995</v>
      </c>
      <c r="E2721">
        <v>582.6</v>
      </c>
      <c r="F2721">
        <v>592.15</v>
      </c>
      <c r="G2721">
        <v>783445</v>
      </c>
      <c r="H2721" s="116"/>
      <c r="I2721" s="116"/>
      <c r="L2721" s="170">
        <v>46010</v>
      </c>
      <c r="M2721" s="116">
        <v>588.75</v>
      </c>
      <c r="N2721" s="116">
        <v>592</v>
      </c>
      <c r="O2721" s="116">
        <v>578.04999999999995</v>
      </c>
      <c r="P2721" s="116">
        <v>591</v>
      </c>
      <c r="Q2721" s="116">
        <v>588.75</v>
      </c>
      <c r="R2721">
        <v>9490652</v>
      </c>
    </row>
    <row r="2722" spans="1:18" x14ac:dyDescent="0.25">
      <c r="A2722" s="170">
        <v>46010</v>
      </c>
      <c r="B2722">
        <v>592.04999999999995</v>
      </c>
      <c r="C2722">
        <v>588.9</v>
      </c>
      <c r="D2722">
        <v>577.79999999999995</v>
      </c>
      <c r="E2722">
        <v>591.95000000000005</v>
      </c>
      <c r="F2722">
        <v>588.9</v>
      </c>
      <c r="G2722">
        <v>669591</v>
      </c>
      <c r="H2722" s="116"/>
      <c r="I2722" s="116"/>
      <c r="L2722" s="170">
        <v>46013</v>
      </c>
      <c r="M2722" s="116">
        <v>606.5</v>
      </c>
      <c r="N2722" s="116">
        <v>610.54999999999995</v>
      </c>
      <c r="O2722" s="116">
        <v>597</v>
      </c>
      <c r="P2722" s="116">
        <v>601.25</v>
      </c>
      <c r="Q2722" s="116">
        <v>606.5</v>
      </c>
      <c r="R2722">
        <v>12145672</v>
      </c>
    </row>
    <row r="2723" spans="1:18" x14ac:dyDescent="0.25">
      <c r="A2723" s="170">
        <v>46013</v>
      </c>
      <c r="B2723">
        <v>610.29999999999995</v>
      </c>
      <c r="C2723">
        <v>606.35</v>
      </c>
      <c r="D2723">
        <v>596.20000000000005</v>
      </c>
      <c r="E2723">
        <v>600.04999999999995</v>
      </c>
      <c r="F2723">
        <v>606.35</v>
      </c>
      <c r="G2723">
        <v>1013219</v>
      </c>
      <c r="H2723" s="116"/>
      <c r="I2723" s="116"/>
      <c r="L2723" s="170">
        <v>46014</v>
      </c>
      <c r="M2723" s="116">
        <v>609.79999999999995</v>
      </c>
      <c r="N2723" s="116">
        <v>615.5</v>
      </c>
      <c r="O2723" s="116">
        <v>606.5</v>
      </c>
      <c r="P2723" s="116">
        <v>610</v>
      </c>
      <c r="Q2723" s="116">
        <v>609.79999999999995</v>
      </c>
      <c r="R2723">
        <v>9277131</v>
      </c>
    </row>
    <row r="2724" spans="1:18" x14ac:dyDescent="0.25">
      <c r="A2724" s="170">
        <v>46014</v>
      </c>
      <c r="B2724">
        <v>615.6</v>
      </c>
      <c r="C2724">
        <v>609.85</v>
      </c>
      <c r="D2724">
        <v>606.54999999999995</v>
      </c>
      <c r="E2724">
        <v>610.75</v>
      </c>
      <c r="F2724">
        <v>609.85</v>
      </c>
      <c r="G2724">
        <v>440805</v>
      </c>
      <c r="H2724" s="116"/>
      <c r="I2724" s="116"/>
      <c r="L2724" s="170">
        <v>46015</v>
      </c>
      <c r="M2724" s="116">
        <v>624.85</v>
      </c>
      <c r="N2724" s="116">
        <v>631.9</v>
      </c>
      <c r="O2724" s="116">
        <v>617.95000000000005</v>
      </c>
      <c r="P2724" s="116">
        <v>619</v>
      </c>
      <c r="Q2724" s="116">
        <v>624.85</v>
      </c>
      <c r="R2724">
        <v>13964315</v>
      </c>
    </row>
    <row r="2725" spans="1:18" x14ac:dyDescent="0.25">
      <c r="A2725" s="170">
        <v>46015</v>
      </c>
      <c r="B2725">
        <v>632</v>
      </c>
      <c r="C2725">
        <v>624.85</v>
      </c>
      <c r="D2725">
        <v>617.45000000000005</v>
      </c>
      <c r="E2725">
        <v>619.04999999999995</v>
      </c>
      <c r="F2725">
        <v>624.85</v>
      </c>
      <c r="G2725">
        <v>1040510</v>
      </c>
      <c r="H2725" s="116"/>
      <c r="I2725" s="116"/>
      <c r="L2725" s="170">
        <v>46017</v>
      </c>
      <c r="M2725" s="116">
        <v>636.85</v>
      </c>
      <c r="N2725" s="116">
        <v>646.5</v>
      </c>
      <c r="O2725" s="116">
        <v>634</v>
      </c>
      <c r="P2725" s="116">
        <v>645</v>
      </c>
      <c r="Q2725" s="116">
        <v>636.85</v>
      </c>
      <c r="R2725">
        <v>13459241</v>
      </c>
    </row>
    <row r="2726" spans="1:18" x14ac:dyDescent="0.25">
      <c r="A2726" s="170">
        <v>46017</v>
      </c>
      <c r="B2726">
        <v>646</v>
      </c>
      <c r="C2726">
        <v>636.75</v>
      </c>
      <c r="D2726">
        <v>634.1</v>
      </c>
      <c r="E2726">
        <v>642.29999999999995</v>
      </c>
      <c r="F2726">
        <v>636.75</v>
      </c>
      <c r="G2726">
        <v>1016620</v>
      </c>
      <c r="H2726" s="116"/>
      <c r="I2726" s="116"/>
      <c r="L2726" s="170">
        <v>46020</v>
      </c>
      <c r="M2726" s="116">
        <v>618.54999999999995</v>
      </c>
      <c r="N2726" s="116">
        <v>656.35</v>
      </c>
      <c r="O2726" s="116">
        <v>614.15</v>
      </c>
      <c r="P2726" s="116">
        <v>655</v>
      </c>
      <c r="Q2726" s="116">
        <v>618.54999999999995</v>
      </c>
      <c r="R2726">
        <v>27992946</v>
      </c>
    </row>
    <row r="2727" spans="1:18" x14ac:dyDescent="0.25">
      <c r="A2727" s="170">
        <v>46020</v>
      </c>
      <c r="B2727">
        <v>656.25</v>
      </c>
      <c r="C2727">
        <v>618.5</v>
      </c>
      <c r="D2727">
        <v>614.25</v>
      </c>
      <c r="E2727">
        <v>653.1</v>
      </c>
      <c r="F2727">
        <v>618.5</v>
      </c>
      <c r="G2727">
        <v>1238610</v>
      </c>
      <c r="H2727" s="116"/>
      <c r="I2727" s="116"/>
      <c r="L2727" s="170">
        <v>46021</v>
      </c>
      <c r="M2727" s="116">
        <v>625.29999999999995</v>
      </c>
      <c r="N2727" s="116">
        <v>630</v>
      </c>
      <c r="O2727" s="116">
        <v>613.04999999999995</v>
      </c>
      <c r="P2727" s="116">
        <v>615</v>
      </c>
      <c r="Q2727" s="116">
        <v>625.29999999999995</v>
      </c>
      <c r="R2727">
        <v>11718688</v>
      </c>
    </row>
    <row r="2728" spans="1:18" x14ac:dyDescent="0.25">
      <c r="A2728" s="170">
        <v>46021</v>
      </c>
      <c r="B2728">
        <v>629.95000000000005</v>
      </c>
      <c r="C2728">
        <v>625.25</v>
      </c>
      <c r="D2728">
        <v>612.35</v>
      </c>
      <c r="E2728">
        <v>612.35</v>
      </c>
      <c r="F2728">
        <v>625.25</v>
      </c>
      <c r="G2728">
        <v>557993</v>
      </c>
      <c r="H2728" s="116"/>
      <c r="I2728" s="116"/>
      <c r="L2728" s="170">
        <v>46022</v>
      </c>
      <c r="M2728" s="116">
        <v>612.45000000000005</v>
      </c>
      <c r="N2728" s="116">
        <v>621.04999999999995</v>
      </c>
      <c r="O2728" s="116">
        <v>608.29999999999995</v>
      </c>
      <c r="P2728" s="116">
        <v>619</v>
      </c>
      <c r="Q2728" s="116">
        <v>612.45000000000005</v>
      </c>
      <c r="R2728">
        <v>9599983</v>
      </c>
    </row>
    <row r="2729" spans="1:18" x14ac:dyDescent="0.25">
      <c r="A2729" s="170">
        <v>46022</v>
      </c>
      <c r="B2729">
        <v>621</v>
      </c>
      <c r="C2729">
        <v>612.29999999999995</v>
      </c>
      <c r="D2729">
        <v>609.04999999999995</v>
      </c>
      <c r="E2729">
        <v>620</v>
      </c>
      <c r="F2729">
        <v>612.29999999999995</v>
      </c>
      <c r="G2729">
        <v>430540</v>
      </c>
      <c r="H2729" s="116"/>
      <c r="I2729" s="116"/>
      <c r="L2729" s="170">
        <v>46023</v>
      </c>
      <c r="M2729" s="116">
        <v>611.95000000000005</v>
      </c>
      <c r="N2729" s="116">
        <v>617</v>
      </c>
      <c r="O2729" s="116">
        <v>605.20000000000005</v>
      </c>
      <c r="P2729" s="116">
        <v>610.54999999999995</v>
      </c>
      <c r="Q2729" s="116">
        <v>611.95000000000005</v>
      </c>
      <c r="R2729">
        <v>4767635</v>
      </c>
    </row>
    <row r="2730" spans="1:18" x14ac:dyDescent="0.25">
      <c r="A2730" s="170">
        <v>46023</v>
      </c>
      <c r="B2730">
        <v>617.25</v>
      </c>
      <c r="C2730">
        <v>611.79999999999995</v>
      </c>
      <c r="D2730">
        <v>605.25</v>
      </c>
      <c r="E2730">
        <v>611.9</v>
      </c>
      <c r="F2730">
        <v>611.79999999999995</v>
      </c>
      <c r="G2730">
        <v>170085</v>
      </c>
      <c r="H2730" s="116"/>
      <c r="I2730" s="116"/>
      <c r="L2730" s="170">
        <v>46024</v>
      </c>
      <c r="M2730" s="116">
        <v>628.79999999999995</v>
      </c>
      <c r="N2730" s="116">
        <v>629.95000000000005</v>
      </c>
      <c r="O2730" s="116">
        <v>614.29999999999995</v>
      </c>
      <c r="P2730" s="116">
        <v>615</v>
      </c>
      <c r="Q2730" s="116">
        <v>628.79999999999995</v>
      </c>
      <c r="R2730">
        <v>6324442</v>
      </c>
    </row>
    <row r="2731" spans="1:18" x14ac:dyDescent="0.25">
      <c r="A2731" s="170">
        <v>46024</v>
      </c>
      <c r="B2731">
        <v>629.9</v>
      </c>
      <c r="C2731">
        <v>628.6</v>
      </c>
      <c r="D2731">
        <v>613.25</v>
      </c>
      <c r="E2731">
        <v>613.25</v>
      </c>
      <c r="F2731">
        <v>628.6</v>
      </c>
      <c r="G2731">
        <v>299845</v>
      </c>
      <c r="H2731" s="116"/>
      <c r="I2731" s="116"/>
      <c r="L2731" s="170">
        <v>46027</v>
      </c>
      <c r="M2731" s="116">
        <v>628.6</v>
      </c>
      <c r="N2731" s="116">
        <v>638.79999999999995</v>
      </c>
      <c r="O2731" s="116">
        <v>621.35</v>
      </c>
      <c r="P2731" s="116">
        <v>636.70000000000005</v>
      </c>
      <c r="Q2731" s="116">
        <v>628.6</v>
      </c>
      <c r="R2731">
        <v>6488033</v>
      </c>
    </row>
    <row r="2732" spans="1:18" x14ac:dyDescent="0.25">
      <c r="A2732" s="170">
        <v>46027</v>
      </c>
      <c r="B2732">
        <v>638.95000000000005</v>
      </c>
      <c r="C2732">
        <v>628.35</v>
      </c>
      <c r="D2732">
        <v>621.5</v>
      </c>
      <c r="E2732">
        <v>636.04999999999995</v>
      </c>
      <c r="F2732">
        <v>628.35</v>
      </c>
      <c r="G2732">
        <v>279913</v>
      </c>
      <c r="H2732" s="116"/>
      <c r="I2732" s="116"/>
      <c r="L2732" s="170">
        <v>46028</v>
      </c>
      <c r="M2732" s="116">
        <v>643.1</v>
      </c>
      <c r="N2732" s="116">
        <v>649.1</v>
      </c>
      <c r="O2732" s="116">
        <v>634.6</v>
      </c>
      <c r="P2732" s="116">
        <v>635</v>
      </c>
      <c r="Q2732" s="116">
        <v>643.1</v>
      </c>
      <c r="R2732">
        <v>10451587</v>
      </c>
    </row>
    <row r="2733" spans="1:18" x14ac:dyDescent="0.25">
      <c r="A2733" s="170">
        <v>46028</v>
      </c>
      <c r="B2733">
        <v>649.20000000000005</v>
      </c>
      <c r="C2733">
        <v>642.95000000000005</v>
      </c>
      <c r="D2733">
        <v>634.04999999999995</v>
      </c>
      <c r="E2733">
        <v>634.04999999999995</v>
      </c>
      <c r="F2733">
        <v>642.95000000000005</v>
      </c>
      <c r="G2733">
        <v>411168</v>
      </c>
      <c r="H2733" s="116"/>
      <c r="I2733" s="116"/>
      <c r="L2733" s="170">
        <v>46029</v>
      </c>
      <c r="M2733" s="116">
        <v>630</v>
      </c>
      <c r="N2733" s="116">
        <v>650.75</v>
      </c>
      <c r="O2733" s="116">
        <v>628.20000000000005</v>
      </c>
      <c r="P2733" s="116">
        <v>649.1</v>
      </c>
      <c r="Q2733" s="116">
        <v>630</v>
      </c>
      <c r="R2733">
        <v>8304312</v>
      </c>
    </row>
    <row r="2734" spans="1:18" x14ac:dyDescent="0.25">
      <c r="A2734" s="170">
        <v>46029</v>
      </c>
      <c r="B2734">
        <v>650.45000000000005</v>
      </c>
      <c r="C2734">
        <v>629.65</v>
      </c>
      <c r="D2734">
        <v>628</v>
      </c>
      <c r="E2734">
        <v>649.75</v>
      </c>
      <c r="F2734">
        <v>629.65</v>
      </c>
      <c r="G2734">
        <v>338965</v>
      </c>
      <c r="H2734" s="116"/>
      <c r="I2734" s="116"/>
      <c r="L2734" s="170">
        <v>46030</v>
      </c>
      <c r="M2734" s="116">
        <v>590.75</v>
      </c>
      <c r="N2734" s="116">
        <v>623.45000000000005</v>
      </c>
      <c r="O2734" s="116">
        <v>588.35</v>
      </c>
      <c r="P2734" s="116">
        <v>623</v>
      </c>
      <c r="Q2734" s="116">
        <v>590.75</v>
      </c>
      <c r="R2734">
        <v>20818517</v>
      </c>
    </row>
    <row r="2735" spans="1:18" x14ac:dyDescent="0.25">
      <c r="A2735" s="170">
        <v>46030</v>
      </c>
      <c r="B2735">
        <v>623</v>
      </c>
      <c r="C2735">
        <v>590.45000000000005</v>
      </c>
      <c r="D2735">
        <v>588.54999999999995</v>
      </c>
      <c r="E2735">
        <v>623</v>
      </c>
      <c r="F2735">
        <v>590.45000000000005</v>
      </c>
      <c r="G2735">
        <v>1055606</v>
      </c>
      <c r="H2735" s="116"/>
      <c r="I2735" s="116"/>
      <c r="L2735" s="170">
        <v>46031</v>
      </c>
      <c r="M2735" s="116">
        <v>606.45000000000005</v>
      </c>
      <c r="N2735" s="116">
        <v>612.20000000000005</v>
      </c>
      <c r="O2735" s="116">
        <v>588.15</v>
      </c>
      <c r="P2735" s="116">
        <v>588.15</v>
      </c>
      <c r="Q2735" s="116">
        <v>606.45000000000005</v>
      </c>
      <c r="R2735">
        <v>10779863</v>
      </c>
    </row>
    <row r="2736" spans="1:18" x14ac:dyDescent="0.25">
      <c r="A2736" s="170">
        <v>46031</v>
      </c>
      <c r="B2736">
        <v>612.35</v>
      </c>
      <c r="C2736">
        <v>606.95000000000005</v>
      </c>
      <c r="D2736">
        <v>588.20000000000005</v>
      </c>
      <c r="E2736">
        <v>588.20000000000005</v>
      </c>
      <c r="F2736">
        <v>606.95000000000005</v>
      </c>
      <c r="G2736">
        <v>648013</v>
      </c>
      <c r="H2736" s="116"/>
      <c r="I2736" s="116"/>
      <c r="L2736" s="170">
        <v>46034</v>
      </c>
      <c r="M2736" s="116">
        <v>628.25</v>
      </c>
      <c r="N2736" s="116">
        <v>632.54999999999995</v>
      </c>
      <c r="O2736" s="116">
        <v>615.6</v>
      </c>
      <c r="P2736" s="116">
        <v>624.79999999999995</v>
      </c>
      <c r="Q2736" s="116">
        <v>628.25</v>
      </c>
      <c r="R2736">
        <v>13671026</v>
      </c>
    </row>
    <row r="2737" spans="1:18" x14ac:dyDescent="0.25">
      <c r="A2737" s="170">
        <v>46034</v>
      </c>
      <c r="B2737">
        <v>632.45000000000005</v>
      </c>
      <c r="C2737">
        <v>627.6</v>
      </c>
      <c r="D2737">
        <v>615.35</v>
      </c>
      <c r="E2737">
        <v>622.20000000000005</v>
      </c>
      <c r="F2737">
        <v>627.6</v>
      </c>
      <c r="G2737">
        <v>1075208</v>
      </c>
      <c r="H2737" s="116"/>
      <c r="I2737" s="116"/>
      <c r="L2737" s="170">
        <v>46035</v>
      </c>
      <c r="M2737" s="116">
        <v>629.85</v>
      </c>
      <c r="N2737" s="116">
        <v>636.79999999999995</v>
      </c>
      <c r="O2737" s="116">
        <v>623.70000000000005</v>
      </c>
      <c r="P2737" s="116">
        <v>634</v>
      </c>
      <c r="Q2737" s="116">
        <v>629.85</v>
      </c>
      <c r="R2737">
        <v>7856745</v>
      </c>
    </row>
    <row r="2738" spans="1:18" x14ac:dyDescent="0.25">
      <c r="A2738" s="170">
        <v>46035</v>
      </c>
      <c r="B2738">
        <v>636.85</v>
      </c>
      <c r="C2738">
        <v>629.85</v>
      </c>
      <c r="D2738">
        <v>623.65</v>
      </c>
      <c r="E2738">
        <v>633</v>
      </c>
      <c r="F2738">
        <v>629.85</v>
      </c>
      <c r="G2738">
        <v>392685</v>
      </c>
      <c r="H2738" s="116"/>
      <c r="I2738" s="116"/>
      <c r="L2738" s="170">
        <v>46036</v>
      </c>
      <c r="M2738" s="116">
        <v>654.20000000000005</v>
      </c>
      <c r="N2738" s="116">
        <v>670.95</v>
      </c>
      <c r="O2738" s="116">
        <v>636.45000000000005</v>
      </c>
      <c r="P2738" s="116">
        <v>640</v>
      </c>
      <c r="Q2738" s="116">
        <v>654.20000000000005</v>
      </c>
      <c r="R2738">
        <v>27694609</v>
      </c>
    </row>
    <row r="2739" spans="1:18" x14ac:dyDescent="0.25">
      <c r="A2739" s="170">
        <v>46036</v>
      </c>
      <c r="B2739">
        <v>670</v>
      </c>
      <c r="C2739">
        <v>654.4</v>
      </c>
      <c r="D2739">
        <v>636.70000000000005</v>
      </c>
      <c r="E2739">
        <v>639.15</v>
      </c>
      <c r="F2739">
        <v>654.4</v>
      </c>
      <c r="G2739">
        <v>1771404</v>
      </c>
      <c r="H2739" s="116"/>
      <c r="I2739" s="116"/>
      <c r="L2739" s="170">
        <v>46038</v>
      </c>
      <c r="M2739" s="116">
        <v>637.75</v>
      </c>
      <c r="N2739" s="116">
        <v>654.20000000000005</v>
      </c>
      <c r="O2739" s="116">
        <v>634.04999999999995</v>
      </c>
      <c r="P2739" s="116">
        <v>654.20000000000005</v>
      </c>
      <c r="Q2739" s="116">
        <v>637.75</v>
      </c>
      <c r="R2739">
        <v>11412408</v>
      </c>
    </row>
    <row r="2740" spans="1:18" x14ac:dyDescent="0.25">
      <c r="A2740" s="170">
        <v>46038</v>
      </c>
      <c r="B2740">
        <v>654.45000000000005</v>
      </c>
      <c r="C2740">
        <v>637.35</v>
      </c>
      <c r="D2740">
        <v>634.04999999999995</v>
      </c>
      <c r="E2740">
        <v>654.4</v>
      </c>
      <c r="F2740">
        <v>637.35</v>
      </c>
      <c r="G2740">
        <v>875162</v>
      </c>
      <c r="H2740" s="116"/>
      <c r="I2740" s="116"/>
      <c r="L2740" s="170">
        <v>46041</v>
      </c>
      <c r="M2740" s="116">
        <v>660.4</v>
      </c>
      <c r="N2740" s="116">
        <v>667.35</v>
      </c>
      <c r="O2740" s="116">
        <v>648.45000000000005</v>
      </c>
      <c r="P2740" s="116">
        <v>650</v>
      </c>
      <c r="Q2740" s="116">
        <v>660.4</v>
      </c>
      <c r="R2740">
        <v>16631601</v>
      </c>
    </row>
    <row r="2741" spans="1:18" x14ac:dyDescent="0.25">
      <c r="A2741" s="170">
        <v>46041</v>
      </c>
      <c r="B2741">
        <v>667.4</v>
      </c>
      <c r="C2741">
        <v>661.2</v>
      </c>
      <c r="D2741">
        <v>648.5</v>
      </c>
      <c r="E2741">
        <v>649.95000000000005</v>
      </c>
      <c r="F2741">
        <v>661.2</v>
      </c>
      <c r="G2741">
        <v>838865</v>
      </c>
      <c r="H2741" s="116"/>
      <c r="I2741" s="116"/>
      <c r="L2741" s="170">
        <v>46042</v>
      </c>
      <c r="M2741" s="116">
        <v>680.75</v>
      </c>
      <c r="N2741" s="116">
        <v>696.9</v>
      </c>
      <c r="O2741" s="116">
        <v>655</v>
      </c>
      <c r="P2741" s="116">
        <v>668.8</v>
      </c>
      <c r="Q2741" s="116">
        <v>680.75</v>
      </c>
      <c r="R2741">
        <v>46014901</v>
      </c>
    </row>
    <row r="2742" spans="1:18" x14ac:dyDescent="0.25">
      <c r="A2742" s="170">
        <v>46042</v>
      </c>
      <c r="B2742">
        <v>696.95</v>
      </c>
      <c r="C2742">
        <v>680.5</v>
      </c>
      <c r="D2742">
        <v>654.95000000000005</v>
      </c>
      <c r="E2742">
        <v>668.9</v>
      </c>
      <c r="F2742">
        <v>680.5</v>
      </c>
      <c r="G2742">
        <v>3929158</v>
      </c>
      <c r="H2742" s="116"/>
      <c r="I2742" s="116"/>
      <c r="L2742" s="170">
        <v>46043</v>
      </c>
      <c r="M2742" s="116">
        <v>697.55</v>
      </c>
      <c r="N2742" s="116">
        <v>701</v>
      </c>
      <c r="O2742" s="116">
        <v>680.75</v>
      </c>
      <c r="P2742" s="116">
        <v>682</v>
      </c>
      <c r="Q2742" s="116">
        <v>697.55</v>
      </c>
      <c r="R2742">
        <v>29031895</v>
      </c>
    </row>
    <row r="2743" spans="1:18" x14ac:dyDescent="0.25">
      <c r="A2743" s="170">
        <v>46043</v>
      </c>
      <c r="B2743">
        <v>700.8</v>
      </c>
      <c r="C2743">
        <v>697.05</v>
      </c>
      <c r="D2743">
        <v>680.75</v>
      </c>
      <c r="E2743">
        <v>682.95</v>
      </c>
      <c r="F2743">
        <v>697.05</v>
      </c>
      <c r="G2743">
        <v>1930673</v>
      </c>
      <c r="H2743" s="116"/>
      <c r="I2743" s="116"/>
      <c r="L2743" s="170">
        <v>46044</v>
      </c>
      <c r="M2743" s="116">
        <v>668.25</v>
      </c>
      <c r="N2743" s="116">
        <v>694</v>
      </c>
      <c r="O2743" s="116">
        <v>652.65</v>
      </c>
      <c r="P2743" s="116">
        <v>694</v>
      </c>
      <c r="Q2743" s="116">
        <v>668.25</v>
      </c>
      <c r="R2743">
        <v>28204037</v>
      </c>
    </row>
    <row r="2744" spans="1:18" x14ac:dyDescent="0.25">
      <c r="A2744" s="170">
        <v>46044</v>
      </c>
      <c r="B2744">
        <v>696.4</v>
      </c>
      <c r="C2744">
        <v>667.75</v>
      </c>
      <c r="D2744">
        <v>652.45000000000005</v>
      </c>
      <c r="E2744">
        <v>696.4</v>
      </c>
      <c r="F2744">
        <v>667.75</v>
      </c>
      <c r="G2744">
        <v>1548856</v>
      </c>
      <c r="H2744" s="116"/>
      <c r="I2744" s="116"/>
      <c r="L2744" s="170">
        <v>46045</v>
      </c>
      <c r="M2744" s="116">
        <v>698.7</v>
      </c>
      <c r="N2744" s="116">
        <v>710</v>
      </c>
      <c r="O2744" s="116">
        <v>688.05</v>
      </c>
      <c r="P2744" s="116">
        <v>695</v>
      </c>
      <c r="Q2744" s="116">
        <v>698.7</v>
      </c>
      <c r="R2744">
        <v>32427217</v>
      </c>
    </row>
    <row r="2745" spans="1:18" x14ac:dyDescent="0.25">
      <c r="A2745" s="170">
        <v>46045</v>
      </c>
      <c r="B2745">
        <v>709.95</v>
      </c>
      <c r="C2745">
        <v>698.85</v>
      </c>
      <c r="D2745">
        <v>688.2</v>
      </c>
      <c r="E2745">
        <v>697.75</v>
      </c>
      <c r="F2745">
        <v>698.85</v>
      </c>
      <c r="G2745">
        <v>2173969</v>
      </c>
      <c r="H2745" s="116"/>
      <c r="I2745" s="116"/>
      <c r="L2745" s="170">
        <v>46049</v>
      </c>
      <c r="M2745" s="116">
        <v>727.2</v>
      </c>
      <c r="N2745" s="116">
        <v>733</v>
      </c>
      <c r="O2745" s="116">
        <v>710.5</v>
      </c>
      <c r="P2745" s="116">
        <v>733</v>
      </c>
      <c r="Q2745" s="116">
        <v>727.2</v>
      </c>
      <c r="R2745">
        <v>25791996</v>
      </c>
    </row>
    <row r="2746" spans="1:18" x14ac:dyDescent="0.25">
      <c r="A2746" s="170">
        <v>46049</v>
      </c>
      <c r="B2746">
        <v>731.1</v>
      </c>
      <c r="C2746">
        <v>726.6</v>
      </c>
      <c r="D2746">
        <v>710.65</v>
      </c>
      <c r="E2746">
        <v>725.2</v>
      </c>
      <c r="F2746">
        <v>726.6</v>
      </c>
      <c r="G2746">
        <v>1963036</v>
      </c>
      <c r="H2746" s="116"/>
      <c r="I2746" s="116"/>
      <c r="L2746" s="170">
        <v>46050</v>
      </c>
      <c r="M2746" s="116">
        <v>708.2</v>
      </c>
      <c r="N2746" s="116">
        <v>732.7</v>
      </c>
      <c r="O2746" s="116">
        <v>701.6</v>
      </c>
      <c r="P2746" s="116">
        <v>712</v>
      </c>
      <c r="Q2746" s="116">
        <v>708.2</v>
      </c>
      <c r="R2746">
        <v>38182595</v>
      </c>
    </row>
    <row r="2747" spans="1:18" x14ac:dyDescent="0.25">
      <c r="A2747" s="170">
        <v>46050</v>
      </c>
      <c r="B2747">
        <v>732.6</v>
      </c>
      <c r="C2747">
        <v>708.1</v>
      </c>
      <c r="D2747">
        <v>701.55</v>
      </c>
      <c r="E2747">
        <v>724.95</v>
      </c>
      <c r="F2747">
        <v>708.1</v>
      </c>
      <c r="G2747">
        <v>2032421</v>
      </c>
      <c r="H2747" s="116"/>
      <c r="I2747" s="116"/>
      <c r="L2747" s="170">
        <v>46051</v>
      </c>
      <c r="M2747" s="116">
        <v>715.2</v>
      </c>
      <c r="N2747" s="116">
        <v>719.8</v>
      </c>
      <c r="O2747" s="116">
        <v>695.25</v>
      </c>
      <c r="P2747" s="116">
        <v>695.25</v>
      </c>
      <c r="Q2747" s="116">
        <v>715.2</v>
      </c>
      <c r="R2747">
        <v>52966214</v>
      </c>
    </row>
    <row r="2748" spans="1:18" x14ac:dyDescent="0.25">
      <c r="A2748" s="170">
        <v>46051</v>
      </c>
      <c r="B2748">
        <v>719.85</v>
      </c>
      <c r="C2748">
        <v>715.6</v>
      </c>
      <c r="D2748">
        <v>695.3</v>
      </c>
      <c r="E2748">
        <v>695.3</v>
      </c>
      <c r="F2748">
        <v>715.6</v>
      </c>
      <c r="G2748">
        <v>2286961</v>
      </c>
      <c r="H2748" s="116"/>
      <c r="I2748" s="116"/>
      <c r="L2748" s="170">
        <v>46052</v>
      </c>
      <c r="M2748" s="116">
        <v>628.5</v>
      </c>
      <c r="N2748" s="116">
        <v>690</v>
      </c>
      <c r="O2748" s="116">
        <v>622.35</v>
      </c>
      <c r="P2748" s="116">
        <v>690</v>
      </c>
      <c r="Q2748" s="116">
        <v>628.5</v>
      </c>
      <c r="R2748">
        <v>49436689</v>
      </c>
    </row>
    <row r="2749" spans="1:18" x14ac:dyDescent="0.25">
      <c r="A2749" s="170">
        <v>46052</v>
      </c>
      <c r="B2749">
        <v>691.1</v>
      </c>
      <c r="C2749">
        <v>628.85</v>
      </c>
      <c r="D2749">
        <v>622.20000000000005</v>
      </c>
      <c r="E2749">
        <v>691.05</v>
      </c>
      <c r="F2749">
        <v>628.85</v>
      </c>
      <c r="G2749">
        <v>3874473</v>
      </c>
      <c r="H2749" s="116"/>
      <c r="I2749" s="116"/>
      <c r="L2749" s="170">
        <v>46054</v>
      </c>
      <c r="M2749" s="116">
        <v>570.1</v>
      </c>
      <c r="N2749" s="116">
        <v>582.9</v>
      </c>
      <c r="O2749" s="116">
        <v>543.54999999999995</v>
      </c>
      <c r="P2749" s="116">
        <v>575</v>
      </c>
      <c r="Q2749" s="116">
        <v>570.1</v>
      </c>
      <c r="R2749">
        <v>45908639</v>
      </c>
    </row>
    <row r="2750" spans="1:18" x14ac:dyDescent="0.25">
      <c r="A2750" s="170">
        <v>46054</v>
      </c>
      <c r="B2750">
        <v>590</v>
      </c>
      <c r="C2750">
        <v>568.95000000000005</v>
      </c>
      <c r="D2750">
        <v>546.25</v>
      </c>
      <c r="E2750">
        <v>576</v>
      </c>
      <c r="F2750">
        <v>568.95000000000005</v>
      </c>
      <c r="G2750">
        <v>3904543</v>
      </c>
      <c r="H2750" s="116"/>
      <c r="I2750" s="116"/>
      <c r="L2750" s="170">
        <v>46055</v>
      </c>
      <c r="M2750" s="116">
        <v>610.1</v>
      </c>
      <c r="N2750" s="116">
        <v>614</v>
      </c>
      <c r="O2750" s="116">
        <v>560.35</v>
      </c>
      <c r="P2750" s="116">
        <v>565</v>
      </c>
      <c r="Q2750" s="116">
        <v>610.1</v>
      </c>
      <c r="R2750">
        <v>37031059</v>
      </c>
    </row>
    <row r="2751" spans="1:18" x14ac:dyDescent="0.25">
      <c r="A2751" s="170">
        <v>46055</v>
      </c>
      <c r="B2751">
        <v>614.29999999999995</v>
      </c>
      <c r="C2751">
        <v>609.54999999999995</v>
      </c>
      <c r="D2751">
        <v>561</v>
      </c>
      <c r="E2751">
        <v>565</v>
      </c>
      <c r="F2751">
        <v>609.54999999999995</v>
      </c>
      <c r="G2751">
        <v>1904738</v>
      </c>
      <c r="H2751" s="116"/>
      <c r="I2751" s="116"/>
      <c r="L2751" s="170">
        <v>46056</v>
      </c>
      <c r="M2751" s="116">
        <v>628.25</v>
      </c>
      <c r="N2751" s="116">
        <v>639.4</v>
      </c>
      <c r="O2751" s="116">
        <v>602</v>
      </c>
      <c r="P2751" s="116">
        <v>635.9</v>
      </c>
      <c r="Q2751" s="116">
        <v>628.25</v>
      </c>
      <c r="R2751">
        <v>26990191</v>
      </c>
    </row>
    <row r="2752" spans="1:18" x14ac:dyDescent="0.25">
      <c r="A2752" s="170">
        <v>46056</v>
      </c>
      <c r="B2752">
        <v>639.4</v>
      </c>
      <c r="C2752">
        <v>628.25</v>
      </c>
      <c r="D2752">
        <v>602.29999999999995</v>
      </c>
      <c r="E2752">
        <v>633.29999999999995</v>
      </c>
      <c r="F2752">
        <v>628.25</v>
      </c>
      <c r="G2752">
        <v>2041967</v>
      </c>
      <c r="H2752" s="116"/>
      <c r="I2752" s="116"/>
      <c r="L2752" s="170">
        <v>46057</v>
      </c>
      <c r="M2752" s="116">
        <v>639.25</v>
      </c>
      <c r="N2752" s="116">
        <v>643.95000000000005</v>
      </c>
      <c r="O2752" s="116">
        <v>632.15</v>
      </c>
      <c r="P2752" s="116">
        <v>635</v>
      </c>
      <c r="Q2752" s="116">
        <v>639.25</v>
      </c>
      <c r="R2752">
        <v>10586353</v>
      </c>
    </row>
    <row r="2753" spans="1:18" x14ac:dyDescent="0.25">
      <c r="A2753" s="170">
        <v>46057</v>
      </c>
      <c r="B2753">
        <v>643.85</v>
      </c>
      <c r="C2753">
        <v>639.15</v>
      </c>
      <c r="D2753">
        <v>619.54999999999995</v>
      </c>
      <c r="E2753">
        <v>634.65</v>
      </c>
      <c r="F2753">
        <v>639.15</v>
      </c>
      <c r="G2753">
        <v>1178935</v>
      </c>
      <c r="H2753" s="116"/>
      <c r="I2753" s="116"/>
      <c r="L2753" s="170">
        <v>46058</v>
      </c>
      <c r="M2753" s="116">
        <v>610.79999999999995</v>
      </c>
      <c r="N2753" s="116">
        <v>612.70000000000005</v>
      </c>
      <c r="O2753" s="116">
        <v>593.25</v>
      </c>
      <c r="P2753" s="116">
        <v>600</v>
      </c>
      <c r="Q2753" s="116">
        <v>610.79999999999995</v>
      </c>
      <c r="R2753">
        <v>16770606</v>
      </c>
    </row>
    <row r="2754" spans="1:18" x14ac:dyDescent="0.25">
      <c r="A2754" s="170">
        <v>46058</v>
      </c>
      <c r="B2754">
        <v>612.6</v>
      </c>
      <c r="C2754">
        <v>610.75</v>
      </c>
      <c r="D2754">
        <v>594.04999999999995</v>
      </c>
      <c r="E2754">
        <v>600.70000000000005</v>
      </c>
      <c r="F2754">
        <v>610.75</v>
      </c>
      <c r="G2754">
        <v>750190</v>
      </c>
      <c r="H2754" s="116"/>
      <c r="I2754" s="116"/>
      <c r="L2754" s="170">
        <v>46059</v>
      </c>
      <c r="M2754" s="116">
        <v>608.95000000000005</v>
      </c>
      <c r="N2754" s="116">
        <v>610.79999999999995</v>
      </c>
      <c r="O2754" s="116">
        <v>594</v>
      </c>
      <c r="P2754" s="116">
        <v>595</v>
      </c>
      <c r="Q2754" s="116">
        <v>608.95000000000005</v>
      </c>
      <c r="R2754">
        <v>11409412</v>
      </c>
    </row>
    <row r="2755" spans="1:18" x14ac:dyDescent="0.25">
      <c r="A2755" s="170">
        <v>46059</v>
      </c>
      <c r="B2755">
        <v>610.70000000000005</v>
      </c>
      <c r="C2755">
        <v>608.95000000000005</v>
      </c>
      <c r="D2755">
        <v>594.1</v>
      </c>
      <c r="E2755">
        <v>596.75</v>
      </c>
      <c r="F2755">
        <v>608.95000000000005</v>
      </c>
      <c r="G2755">
        <v>575014</v>
      </c>
      <c r="H2755" s="116"/>
      <c r="I2755" s="116"/>
      <c r="L2755" s="170">
        <v>46062</v>
      </c>
      <c r="M2755" s="116">
        <v>629.1</v>
      </c>
      <c r="N2755" s="116">
        <v>630.5</v>
      </c>
      <c r="O2755" s="116">
        <v>614.25</v>
      </c>
      <c r="P2755" s="116">
        <v>625</v>
      </c>
      <c r="Q2755" s="116">
        <v>629.1</v>
      </c>
      <c r="R2755">
        <v>7574577</v>
      </c>
    </row>
    <row r="2756" spans="1:18" x14ac:dyDescent="0.25">
      <c r="A2756" s="170">
        <v>46062</v>
      </c>
      <c r="B2756">
        <v>630.6</v>
      </c>
      <c r="C2756">
        <v>628.79999999999995</v>
      </c>
      <c r="D2756">
        <v>614.65</v>
      </c>
      <c r="E2756">
        <v>628.79999999999995</v>
      </c>
      <c r="F2756">
        <v>628.79999999999995</v>
      </c>
      <c r="G2756">
        <v>682136</v>
      </c>
      <c r="H2756" s="116"/>
      <c r="I2756" s="116"/>
      <c r="L2756" s="170">
        <v>46063</v>
      </c>
      <c r="M2756" s="116">
        <v>617.70000000000005</v>
      </c>
      <c r="N2756" s="116">
        <v>632.45000000000005</v>
      </c>
      <c r="O2756" s="116">
        <v>613.29999999999995</v>
      </c>
      <c r="P2756" s="116">
        <v>632</v>
      </c>
      <c r="Q2756" s="116">
        <v>617.70000000000005</v>
      </c>
      <c r="R2756">
        <v>7580536</v>
      </c>
    </row>
    <row r="2757" spans="1:18" x14ac:dyDescent="0.25">
      <c r="A2757" s="170">
        <v>46063</v>
      </c>
      <c r="B2757">
        <v>632</v>
      </c>
      <c r="C2757">
        <v>617.65</v>
      </c>
      <c r="D2757">
        <v>613</v>
      </c>
      <c r="E2757">
        <v>632</v>
      </c>
      <c r="F2757">
        <v>617.65</v>
      </c>
      <c r="G2757">
        <v>428986</v>
      </c>
      <c r="H2757" s="116"/>
      <c r="I2757" s="116"/>
      <c r="L2757" s="170">
        <v>46064</v>
      </c>
      <c r="M2757" s="116">
        <v>628.54999999999995</v>
      </c>
      <c r="N2757" s="116">
        <v>631</v>
      </c>
      <c r="O2757" s="116">
        <v>617.9</v>
      </c>
      <c r="P2757" s="116">
        <v>623</v>
      </c>
      <c r="Q2757" s="116">
        <v>628.54999999999995</v>
      </c>
      <c r="R2757">
        <v>6425398</v>
      </c>
    </row>
    <row r="2758" spans="1:18" x14ac:dyDescent="0.25">
      <c r="A2758" s="170">
        <v>46064</v>
      </c>
      <c r="B2758">
        <v>631</v>
      </c>
      <c r="C2758">
        <v>629.04999999999995</v>
      </c>
      <c r="D2758">
        <v>618.25</v>
      </c>
      <c r="E2758">
        <v>623.9</v>
      </c>
      <c r="F2758">
        <v>629.04999999999995</v>
      </c>
      <c r="G2758">
        <v>395502</v>
      </c>
      <c r="H2758" s="116"/>
      <c r="I2758" s="116"/>
      <c r="L2758" s="170">
        <v>46065</v>
      </c>
      <c r="M2758" s="116">
        <v>623.70000000000005</v>
      </c>
      <c r="N2758" s="116">
        <v>634</v>
      </c>
      <c r="O2758" s="116">
        <v>621.35</v>
      </c>
      <c r="P2758" s="116">
        <v>629.95000000000005</v>
      </c>
      <c r="Q2758" s="116">
        <v>623.70000000000005</v>
      </c>
      <c r="R2758">
        <v>4106081</v>
      </c>
    </row>
    <row r="2759" spans="1:18" x14ac:dyDescent="0.25">
      <c r="A2759" s="170">
        <v>46065</v>
      </c>
      <c r="B2759">
        <v>633.54999999999995</v>
      </c>
      <c r="C2759">
        <v>623.70000000000005</v>
      </c>
      <c r="D2759">
        <v>621.25</v>
      </c>
      <c r="E2759">
        <v>630</v>
      </c>
      <c r="F2759">
        <v>623.70000000000005</v>
      </c>
      <c r="G2759">
        <v>343403</v>
      </c>
      <c r="H2759" s="116"/>
      <c r="I2759" s="116"/>
      <c r="L2759" s="170">
        <v>46066</v>
      </c>
      <c r="M2759" s="116">
        <v>592.85</v>
      </c>
      <c r="N2759" s="116">
        <v>608</v>
      </c>
      <c r="O2759" s="116">
        <v>591</v>
      </c>
      <c r="P2759" s="116">
        <v>599.95000000000005</v>
      </c>
      <c r="Q2759" s="116">
        <v>592.85</v>
      </c>
      <c r="R2759">
        <v>9424678</v>
      </c>
    </row>
    <row r="2760" spans="1:18" x14ac:dyDescent="0.25">
      <c r="A2760" s="170">
        <v>46066</v>
      </c>
      <c r="B2760">
        <v>608.20000000000005</v>
      </c>
      <c r="C2760">
        <v>593.15</v>
      </c>
      <c r="D2760">
        <v>591.20000000000005</v>
      </c>
      <c r="E2760">
        <v>597.04999999999995</v>
      </c>
      <c r="F2760">
        <v>593.15</v>
      </c>
      <c r="G2760">
        <v>719884</v>
      </c>
      <c r="H2760" s="116"/>
      <c r="I2760" s="116"/>
      <c r="L2760" s="170">
        <v>46069</v>
      </c>
      <c r="M2760" s="116">
        <v>594.1</v>
      </c>
      <c r="N2760" s="116">
        <v>596.29999999999995</v>
      </c>
      <c r="O2760" s="116">
        <v>582.6</v>
      </c>
      <c r="P2760" s="116">
        <v>585.95000000000005</v>
      </c>
      <c r="Q2760" s="116">
        <v>594.1</v>
      </c>
      <c r="R2760">
        <v>4181298</v>
      </c>
    </row>
    <row r="2761" spans="1:18" x14ac:dyDescent="0.25">
      <c r="A2761" s="170">
        <v>46069</v>
      </c>
      <c r="B2761">
        <v>596.29999999999995</v>
      </c>
      <c r="C2761">
        <v>594</v>
      </c>
      <c r="D2761">
        <v>583.20000000000005</v>
      </c>
      <c r="E2761">
        <v>587.04999999999995</v>
      </c>
      <c r="F2761">
        <v>594</v>
      </c>
      <c r="G2761">
        <v>407165</v>
      </c>
      <c r="H2761" s="116"/>
      <c r="I2761" s="116"/>
      <c r="L2761" s="170">
        <v>46070</v>
      </c>
      <c r="M2761" s="116">
        <v>581.1</v>
      </c>
      <c r="N2761" s="116">
        <v>590</v>
      </c>
      <c r="O2761" s="116">
        <v>575</v>
      </c>
      <c r="P2761" s="116">
        <v>590</v>
      </c>
      <c r="Q2761" s="116">
        <v>581.1</v>
      </c>
      <c r="R2761">
        <v>6472316</v>
      </c>
    </row>
    <row r="2762" spans="1:18" x14ac:dyDescent="0.25">
      <c r="A2762" s="170">
        <v>46070</v>
      </c>
      <c r="B2762">
        <v>590</v>
      </c>
      <c r="C2762">
        <v>581.15</v>
      </c>
      <c r="D2762">
        <v>574.95000000000005</v>
      </c>
      <c r="E2762">
        <v>588.4</v>
      </c>
      <c r="F2762">
        <v>581.15</v>
      </c>
      <c r="G2762">
        <v>254342</v>
      </c>
      <c r="H2762" s="116"/>
      <c r="I2762" s="116"/>
      <c r="L2762" s="170">
        <v>46071</v>
      </c>
      <c r="M2762" s="116">
        <v>585.25</v>
      </c>
      <c r="N2762" s="116">
        <v>589.79999999999995</v>
      </c>
      <c r="O2762" s="116">
        <v>576.79999999999995</v>
      </c>
      <c r="P2762" s="116">
        <v>580</v>
      </c>
      <c r="Q2762" s="116">
        <v>585.25</v>
      </c>
      <c r="R2762">
        <v>4571121</v>
      </c>
    </row>
    <row r="2763" spans="1:18" x14ac:dyDescent="0.25">
      <c r="A2763" s="170">
        <v>46071</v>
      </c>
      <c r="B2763">
        <v>589.85</v>
      </c>
      <c r="C2763">
        <v>585.29999999999995</v>
      </c>
      <c r="D2763">
        <v>577.6</v>
      </c>
      <c r="E2763">
        <v>578.25</v>
      </c>
      <c r="F2763">
        <v>585.29999999999995</v>
      </c>
      <c r="G2763">
        <v>362350</v>
      </c>
      <c r="H2763" s="116"/>
      <c r="I2763" s="116"/>
      <c r="L2763" s="170">
        <v>46072</v>
      </c>
      <c r="M2763" s="116">
        <v>584.1</v>
      </c>
      <c r="N2763" s="116">
        <v>596.15</v>
      </c>
      <c r="O2763" s="116">
        <v>582.04999999999995</v>
      </c>
      <c r="P2763" s="116">
        <v>593.04999999999995</v>
      </c>
      <c r="Q2763" s="116">
        <v>584.1</v>
      </c>
      <c r="R2763">
        <v>5544345</v>
      </c>
    </row>
    <row r="2764" spans="1:18" x14ac:dyDescent="0.25">
      <c r="A2764" s="170">
        <v>46072</v>
      </c>
      <c r="B2764">
        <v>596.5</v>
      </c>
      <c r="C2764">
        <v>584</v>
      </c>
      <c r="D2764">
        <v>582.04999999999995</v>
      </c>
      <c r="E2764">
        <v>591.1</v>
      </c>
      <c r="F2764">
        <v>584</v>
      </c>
      <c r="G2764">
        <v>421040</v>
      </c>
      <c r="H2764" s="116"/>
      <c r="I2764" s="116"/>
      <c r="L2764" s="170">
        <v>46073</v>
      </c>
      <c r="M2764" s="116">
        <v>589.35</v>
      </c>
      <c r="N2764" s="116">
        <v>591.5</v>
      </c>
      <c r="O2764" s="116">
        <v>582.5</v>
      </c>
      <c r="P2764" s="116">
        <v>586.25</v>
      </c>
      <c r="Q2764" s="116">
        <v>589.35</v>
      </c>
      <c r="R2764">
        <v>5062307</v>
      </c>
    </row>
    <row r="2765" spans="1:18" x14ac:dyDescent="0.25">
      <c r="A2765" s="170">
        <v>46073</v>
      </c>
      <c r="B2765">
        <v>591.5</v>
      </c>
      <c r="C2765">
        <v>589.6</v>
      </c>
      <c r="D2765">
        <v>582.79999999999995</v>
      </c>
      <c r="E2765">
        <v>587</v>
      </c>
      <c r="F2765">
        <v>589.6</v>
      </c>
      <c r="G2765">
        <v>173432</v>
      </c>
      <c r="H2765" s="116"/>
      <c r="I2765" s="116"/>
      <c r="L2765" s="170">
        <v>46076</v>
      </c>
      <c r="M2765" s="116">
        <v>590.85</v>
      </c>
      <c r="N2765" s="116">
        <v>607.35</v>
      </c>
      <c r="O2765" s="116">
        <v>585.70000000000005</v>
      </c>
      <c r="P2765" s="116">
        <v>607</v>
      </c>
      <c r="Q2765" s="116">
        <v>590.85</v>
      </c>
      <c r="R2765">
        <v>7862513</v>
      </c>
    </row>
    <row r="2766" spans="1:18" x14ac:dyDescent="0.25">
      <c r="A2766" s="170">
        <v>46076</v>
      </c>
      <c r="B2766">
        <v>608</v>
      </c>
      <c r="C2766">
        <v>590.95000000000005</v>
      </c>
      <c r="D2766">
        <v>585.6</v>
      </c>
      <c r="E2766">
        <v>605.04999999999995</v>
      </c>
      <c r="F2766">
        <v>590.95000000000005</v>
      </c>
      <c r="G2766">
        <v>622985</v>
      </c>
      <c r="H2766" s="116"/>
      <c r="I2766" s="116"/>
      <c r="L2766" s="170">
        <v>46077</v>
      </c>
      <c r="M2766" s="116">
        <v>597.35</v>
      </c>
      <c r="N2766" s="116">
        <v>600.95000000000005</v>
      </c>
      <c r="O2766" s="116">
        <v>588.5</v>
      </c>
      <c r="P2766" s="116">
        <v>593</v>
      </c>
      <c r="Q2766" s="116">
        <v>597.35</v>
      </c>
      <c r="R2766">
        <v>4411001</v>
      </c>
    </row>
    <row r="2767" spans="1:18" x14ac:dyDescent="0.25">
      <c r="A2767" s="170">
        <v>46077</v>
      </c>
      <c r="B2767">
        <v>600.9</v>
      </c>
      <c r="C2767">
        <v>598.35</v>
      </c>
      <c r="D2767">
        <v>588.5</v>
      </c>
      <c r="E2767">
        <v>594</v>
      </c>
      <c r="F2767">
        <v>598.35</v>
      </c>
      <c r="G2767">
        <v>457767</v>
      </c>
      <c r="H2767" s="116"/>
      <c r="I2767" s="116"/>
      <c r="L2767" s="170">
        <v>46078</v>
      </c>
      <c r="M2767" s="116">
        <v>619.04999999999995</v>
      </c>
      <c r="N2767" s="116">
        <v>621.29999999999995</v>
      </c>
      <c r="O2767" s="116">
        <v>602.85</v>
      </c>
      <c r="P2767" s="116">
        <v>607.5</v>
      </c>
      <c r="Q2767" s="116">
        <v>619.04999999999995</v>
      </c>
      <c r="R2767">
        <v>10715612</v>
      </c>
    </row>
    <row r="2768" spans="1:18" x14ac:dyDescent="0.25">
      <c r="A2768" s="170">
        <v>46078</v>
      </c>
      <c r="B2768">
        <v>621</v>
      </c>
      <c r="C2768">
        <v>618.65</v>
      </c>
      <c r="D2768">
        <v>602.6</v>
      </c>
      <c r="E2768">
        <v>605.25</v>
      </c>
      <c r="F2768">
        <v>618.65</v>
      </c>
      <c r="G2768">
        <v>721894</v>
      </c>
      <c r="H2768" s="116"/>
      <c r="I2768" s="116"/>
      <c r="L2768" s="170">
        <v>46079</v>
      </c>
      <c r="M2768" s="116">
        <v>609.79999999999995</v>
      </c>
      <c r="N2768" s="116">
        <v>620.5</v>
      </c>
      <c r="O2768" s="116">
        <v>608.15</v>
      </c>
      <c r="P2768" s="116">
        <v>620.5</v>
      </c>
      <c r="Q2768" s="116">
        <v>609.79999999999995</v>
      </c>
      <c r="R2768">
        <v>4592362</v>
      </c>
    </row>
    <row r="2769" spans="1:18" x14ac:dyDescent="0.25">
      <c r="A2769" s="170">
        <v>46079</v>
      </c>
      <c r="B2769">
        <v>620.95000000000005</v>
      </c>
      <c r="C2769">
        <v>609.6</v>
      </c>
      <c r="D2769">
        <v>608.4</v>
      </c>
      <c r="E2769">
        <v>620.95000000000005</v>
      </c>
      <c r="F2769">
        <v>609.6</v>
      </c>
      <c r="G2769">
        <v>217592</v>
      </c>
      <c r="H2769" s="116"/>
      <c r="I2769" s="116"/>
      <c r="L2769" s="170">
        <v>46080</v>
      </c>
      <c r="M2769" s="116">
        <v>603.79999999999995</v>
      </c>
      <c r="N2769" s="116">
        <v>617.6</v>
      </c>
      <c r="O2769" s="116">
        <v>601</v>
      </c>
      <c r="P2769" s="116">
        <v>615</v>
      </c>
      <c r="Q2769" s="116">
        <v>603.79999999999995</v>
      </c>
      <c r="R2769">
        <v>4662433</v>
      </c>
    </row>
    <row r="2770" spans="1:18" x14ac:dyDescent="0.25">
      <c r="A2770" s="170">
        <v>46080</v>
      </c>
      <c r="B2770">
        <v>617.75</v>
      </c>
      <c r="C2770">
        <v>603.85</v>
      </c>
      <c r="D2770">
        <v>601.85</v>
      </c>
      <c r="E2770">
        <v>613.15</v>
      </c>
      <c r="F2770">
        <v>603.85</v>
      </c>
      <c r="G2770">
        <v>194336</v>
      </c>
      <c r="H2770" s="116"/>
      <c r="I2770" s="116"/>
      <c r="L2770" s="170">
        <v>46083</v>
      </c>
      <c r="M2770" s="116">
        <v>617.65</v>
      </c>
      <c r="N2770" s="116">
        <v>624.79999999999995</v>
      </c>
      <c r="O2770" s="116">
        <v>605</v>
      </c>
      <c r="P2770" s="116">
        <v>606</v>
      </c>
      <c r="Q2770" s="116">
        <v>617.65</v>
      </c>
      <c r="R2770">
        <v>10978219</v>
      </c>
    </row>
    <row r="2771" spans="1:18" x14ac:dyDescent="0.25">
      <c r="A2771" s="170">
        <v>46083</v>
      </c>
      <c r="B2771">
        <v>624.9</v>
      </c>
      <c r="C2771">
        <v>617.70000000000005</v>
      </c>
      <c r="D2771">
        <v>601.04999999999995</v>
      </c>
      <c r="E2771">
        <v>601.04999999999995</v>
      </c>
      <c r="F2771">
        <v>617.70000000000005</v>
      </c>
      <c r="G2771">
        <v>1092126</v>
      </c>
      <c r="H2771" s="116"/>
      <c r="I2771" s="116"/>
      <c r="L2771" s="170">
        <v>46085</v>
      </c>
      <c r="M2771" s="116">
        <v>591.25</v>
      </c>
      <c r="N2771" s="116">
        <v>604.79999999999995</v>
      </c>
      <c r="O2771" s="116">
        <v>586</v>
      </c>
      <c r="P2771" s="116">
        <v>604.79999999999995</v>
      </c>
      <c r="Q2771" s="116">
        <v>591.25</v>
      </c>
      <c r="R2771">
        <v>7458538</v>
      </c>
    </row>
    <row r="2772" spans="1:18" x14ac:dyDescent="0.25">
      <c r="A2772" s="170">
        <v>46085</v>
      </c>
      <c r="B2772">
        <v>604.79999999999995</v>
      </c>
      <c r="C2772">
        <v>591</v>
      </c>
      <c r="D2772">
        <v>585.85</v>
      </c>
      <c r="E2772">
        <v>600</v>
      </c>
      <c r="F2772">
        <v>591</v>
      </c>
      <c r="G2772">
        <v>547842</v>
      </c>
      <c r="H2772" s="116"/>
      <c r="I2772" s="116"/>
      <c r="L2772" s="170">
        <v>46086</v>
      </c>
      <c r="M2772" s="116">
        <v>595.65</v>
      </c>
      <c r="N2772" s="116">
        <v>607.9</v>
      </c>
      <c r="O2772" s="116">
        <v>592</v>
      </c>
      <c r="P2772" s="116">
        <v>594.70000000000005</v>
      </c>
      <c r="Q2772" s="116">
        <v>595.65</v>
      </c>
      <c r="R2772">
        <v>5319825</v>
      </c>
    </row>
    <row r="2773" spans="1:18" x14ac:dyDescent="0.25">
      <c r="A2773" s="170">
        <v>46086</v>
      </c>
      <c r="B2773">
        <v>607.95000000000005</v>
      </c>
      <c r="C2773">
        <v>595.75</v>
      </c>
      <c r="D2773">
        <v>592.20000000000005</v>
      </c>
      <c r="E2773">
        <v>595</v>
      </c>
      <c r="F2773">
        <v>595.75</v>
      </c>
      <c r="G2773">
        <v>260609</v>
      </c>
      <c r="H2773" s="116"/>
      <c r="I2773" s="116"/>
      <c r="L2773" s="170">
        <v>46087</v>
      </c>
      <c r="M2773" s="116">
        <v>586.85</v>
      </c>
      <c r="N2773" s="116">
        <v>596.79999999999995</v>
      </c>
      <c r="O2773" s="116">
        <v>585.20000000000005</v>
      </c>
      <c r="P2773" s="116">
        <v>595</v>
      </c>
      <c r="Q2773" s="116">
        <v>586.85</v>
      </c>
      <c r="R2773">
        <v>2899680</v>
      </c>
    </row>
    <row r="2774" spans="1:18" x14ac:dyDescent="0.25">
      <c r="A2774" s="170">
        <v>46087</v>
      </c>
      <c r="B2774">
        <v>596.9</v>
      </c>
      <c r="C2774">
        <v>586.75</v>
      </c>
      <c r="D2774">
        <v>585.5</v>
      </c>
      <c r="E2774">
        <v>595.75</v>
      </c>
      <c r="F2774">
        <v>586.75</v>
      </c>
      <c r="G2774">
        <v>316240</v>
      </c>
      <c r="H2774" s="116"/>
      <c r="I2774" s="116"/>
      <c r="L2774" s="170">
        <v>46090</v>
      </c>
      <c r="M2774" s="116">
        <v>575</v>
      </c>
      <c r="N2774" s="116">
        <v>578.9</v>
      </c>
      <c r="O2774" s="116">
        <v>566.5</v>
      </c>
      <c r="P2774" s="116">
        <v>572</v>
      </c>
      <c r="Q2774" s="116">
        <v>575</v>
      </c>
      <c r="R2774">
        <v>6304945</v>
      </c>
    </row>
    <row r="2775" spans="1:18" x14ac:dyDescent="0.25">
      <c r="A2775" s="170">
        <v>46090</v>
      </c>
      <c r="B2775">
        <v>578.95000000000005</v>
      </c>
      <c r="C2775">
        <v>575</v>
      </c>
      <c r="D2775">
        <v>565.95000000000005</v>
      </c>
      <c r="E2775">
        <v>571.15</v>
      </c>
      <c r="F2775">
        <v>575</v>
      </c>
      <c r="G2775">
        <v>281491</v>
      </c>
      <c r="H2775" s="116"/>
      <c r="I2775" s="116"/>
      <c r="L2775" s="170">
        <v>46091</v>
      </c>
      <c r="M2775" s="116">
        <v>589.95000000000005</v>
      </c>
      <c r="N2775" s="116">
        <v>591</v>
      </c>
      <c r="O2775" s="116">
        <v>580.04999999999995</v>
      </c>
      <c r="P2775" s="116">
        <v>585</v>
      </c>
      <c r="Q2775" s="116">
        <v>589.95000000000005</v>
      </c>
      <c r="R2775">
        <v>3581854</v>
      </c>
    </row>
    <row r="2776" spans="1:18" x14ac:dyDescent="0.25">
      <c r="A2776" s="170">
        <v>46091</v>
      </c>
      <c r="B2776">
        <v>591</v>
      </c>
      <c r="C2776">
        <v>590</v>
      </c>
      <c r="D2776">
        <v>580.04999999999995</v>
      </c>
      <c r="E2776">
        <v>587.95000000000005</v>
      </c>
      <c r="F2776">
        <v>590</v>
      </c>
      <c r="G2776">
        <v>184650</v>
      </c>
      <c r="H2776" s="116"/>
      <c r="I2776" s="116"/>
      <c r="L2776" s="170">
        <v>46092</v>
      </c>
      <c r="M2776" s="116">
        <v>587.6</v>
      </c>
      <c r="N2776" s="116">
        <v>602</v>
      </c>
      <c r="O2776" s="116">
        <v>585.5</v>
      </c>
      <c r="P2776" s="116">
        <v>590</v>
      </c>
      <c r="Q2776" s="116">
        <v>587.6</v>
      </c>
      <c r="R2776">
        <v>4838138</v>
      </c>
    </row>
    <row r="2777" spans="1:18" x14ac:dyDescent="0.25">
      <c r="A2777" s="170">
        <v>46092</v>
      </c>
      <c r="B2777">
        <v>602</v>
      </c>
      <c r="C2777">
        <v>587.45000000000005</v>
      </c>
      <c r="D2777">
        <v>585.54999999999995</v>
      </c>
      <c r="E2777">
        <v>589.4</v>
      </c>
      <c r="F2777">
        <v>587.45000000000005</v>
      </c>
      <c r="G2777">
        <v>524922</v>
      </c>
      <c r="H2777" s="116"/>
      <c r="I2777" s="116"/>
      <c r="L2777" s="170">
        <v>46093</v>
      </c>
      <c r="M2777" s="116">
        <v>583</v>
      </c>
      <c r="N2777" s="116">
        <v>585.65</v>
      </c>
      <c r="O2777" s="116">
        <v>568.85</v>
      </c>
      <c r="P2777" s="116">
        <v>584</v>
      </c>
      <c r="Q2777" s="116">
        <v>583</v>
      </c>
      <c r="R2777">
        <v>4378868</v>
      </c>
    </row>
    <row r="2778" spans="1:18" x14ac:dyDescent="0.25">
      <c r="A2778" s="170">
        <v>46093</v>
      </c>
      <c r="B2778">
        <v>585.70000000000005</v>
      </c>
      <c r="C2778">
        <v>582.95000000000005</v>
      </c>
      <c r="D2778">
        <v>569</v>
      </c>
      <c r="E2778">
        <v>584.95000000000005</v>
      </c>
      <c r="F2778">
        <v>582.95000000000005</v>
      </c>
      <c r="G2778">
        <v>173093</v>
      </c>
      <c r="H2778" s="116"/>
      <c r="I2778" s="116"/>
      <c r="L2778" s="170">
        <v>46094</v>
      </c>
      <c r="M2778" s="116">
        <v>551.95000000000005</v>
      </c>
      <c r="N2778" s="116">
        <v>581.15</v>
      </c>
      <c r="O2778" s="116">
        <v>545.54999999999995</v>
      </c>
      <c r="P2778" s="116">
        <v>578</v>
      </c>
      <c r="Q2778" s="116">
        <v>551.95000000000005</v>
      </c>
      <c r="R2778">
        <v>6884706</v>
      </c>
    </row>
    <row r="2779" spans="1:18" x14ac:dyDescent="0.25">
      <c r="A2779" s="170">
        <v>46094</v>
      </c>
      <c r="B2779">
        <v>581.1</v>
      </c>
      <c r="C2779">
        <v>551.85</v>
      </c>
      <c r="D2779">
        <v>545.9</v>
      </c>
      <c r="E2779">
        <v>581.1</v>
      </c>
      <c r="F2779">
        <v>551.85</v>
      </c>
      <c r="G2779">
        <v>361263</v>
      </c>
      <c r="H2779" s="116"/>
      <c r="I2779" s="116"/>
      <c r="L2779" s="170">
        <v>46097</v>
      </c>
      <c r="M2779" s="116">
        <v>533.85</v>
      </c>
      <c r="N2779" s="116">
        <v>551.9</v>
      </c>
      <c r="O2779" s="116">
        <v>529.6</v>
      </c>
      <c r="P2779" s="116">
        <v>548</v>
      </c>
      <c r="Q2779" s="116">
        <v>533.85</v>
      </c>
      <c r="R2779">
        <v>7774885</v>
      </c>
    </row>
    <row r="2780" spans="1:18" x14ac:dyDescent="0.25">
      <c r="A2780" s="170">
        <v>46097</v>
      </c>
      <c r="B2780">
        <v>552</v>
      </c>
      <c r="C2780">
        <v>533.75</v>
      </c>
      <c r="D2780">
        <v>529.79999999999995</v>
      </c>
      <c r="E2780">
        <v>549.85</v>
      </c>
      <c r="F2780">
        <v>533.75</v>
      </c>
      <c r="G2780">
        <v>305583</v>
      </c>
      <c r="H2780" s="116"/>
      <c r="I2780" s="116"/>
      <c r="L2780" s="170">
        <v>46098</v>
      </c>
      <c r="M2780" s="116">
        <v>546.35</v>
      </c>
      <c r="N2780" s="116">
        <v>548</v>
      </c>
      <c r="O2780" s="116">
        <v>534.15</v>
      </c>
      <c r="P2780" s="116">
        <v>539</v>
      </c>
      <c r="Q2780" s="116">
        <v>546.35</v>
      </c>
      <c r="R2780">
        <v>4636685</v>
      </c>
    </row>
    <row r="2781" spans="1:18" x14ac:dyDescent="0.25">
      <c r="A2781" s="170">
        <v>46098</v>
      </c>
      <c r="B2781">
        <v>548</v>
      </c>
      <c r="C2781">
        <v>546.5</v>
      </c>
      <c r="D2781">
        <v>534.1</v>
      </c>
      <c r="E2781">
        <v>539.5</v>
      </c>
      <c r="F2781">
        <v>546.5</v>
      </c>
      <c r="G2781">
        <v>239702</v>
      </c>
      <c r="H2781" s="116"/>
      <c r="I2781" s="116"/>
      <c r="L2781" s="170">
        <v>46099</v>
      </c>
      <c r="M2781" s="116">
        <v>537.6</v>
      </c>
      <c r="N2781" s="116">
        <v>540.79999999999995</v>
      </c>
      <c r="O2781" s="116">
        <v>529.35</v>
      </c>
      <c r="P2781" s="116">
        <v>538.79999999999995</v>
      </c>
      <c r="Q2781" s="116">
        <v>537.6</v>
      </c>
      <c r="R2781">
        <v>6387274</v>
      </c>
    </row>
    <row r="2782" spans="1:18" x14ac:dyDescent="0.25">
      <c r="A2782" s="170">
        <v>46099</v>
      </c>
      <c r="B2782">
        <v>541.75</v>
      </c>
      <c r="C2782">
        <v>537.45000000000005</v>
      </c>
      <c r="D2782">
        <v>529.5</v>
      </c>
      <c r="E2782">
        <v>541.75</v>
      </c>
      <c r="F2782">
        <v>537.45000000000005</v>
      </c>
      <c r="G2782">
        <v>323035</v>
      </c>
      <c r="H2782" s="116"/>
      <c r="I2782" s="116"/>
      <c r="L2782" s="170">
        <v>46100</v>
      </c>
      <c r="M2782" s="116">
        <v>506.15</v>
      </c>
      <c r="N2782" s="116">
        <v>524.95000000000005</v>
      </c>
      <c r="O2782" s="116">
        <v>503.65</v>
      </c>
      <c r="P2782" s="116">
        <v>524</v>
      </c>
      <c r="Q2782" s="116">
        <v>506.15</v>
      </c>
      <c r="R2782">
        <v>10748632</v>
      </c>
    </row>
    <row r="2783" spans="1:18" x14ac:dyDescent="0.25">
      <c r="A2783" s="170">
        <v>46100</v>
      </c>
      <c r="B2783">
        <v>524.95000000000005</v>
      </c>
      <c r="C2783">
        <v>506.5</v>
      </c>
      <c r="D2783">
        <v>503.6</v>
      </c>
      <c r="E2783">
        <v>524.95000000000005</v>
      </c>
      <c r="F2783">
        <v>506.5</v>
      </c>
      <c r="G2783">
        <v>307906</v>
      </c>
      <c r="H2783" s="116"/>
      <c r="I2783" s="116"/>
      <c r="L2783" s="170">
        <v>46101</v>
      </c>
      <c r="M2783" s="116">
        <v>514.75</v>
      </c>
      <c r="N2783" s="116">
        <v>526.5</v>
      </c>
      <c r="O2783" s="116">
        <v>510.7</v>
      </c>
      <c r="P2783" s="116">
        <v>511.95</v>
      </c>
      <c r="Q2783" s="116">
        <v>514.75</v>
      </c>
      <c r="R2783">
        <v>10046753</v>
      </c>
    </row>
    <row r="2784" spans="1:18" x14ac:dyDescent="0.25">
      <c r="A2784" s="170">
        <v>46101</v>
      </c>
      <c r="B2784">
        <v>526.29999999999995</v>
      </c>
      <c r="C2784">
        <v>514.79999999999995</v>
      </c>
      <c r="D2784">
        <v>509.85</v>
      </c>
      <c r="E2784">
        <v>509.85</v>
      </c>
      <c r="F2784">
        <v>514.79999999999995</v>
      </c>
      <c r="G2784">
        <v>399796</v>
      </c>
      <c r="H2784" s="116"/>
      <c r="I2784" s="116"/>
      <c r="L2784" s="170">
        <v>46104</v>
      </c>
      <c r="M2784" s="116">
        <v>487.65</v>
      </c>
      <c r="N2784" s="116">
        <v>499.5</v>
      </c>
      <c r="O2784" s="116">
        <v>484</v>
      </c>
      <c r="P2784" s="116">
        <v>499.35</v>
      </c>
      <c r="Q2784" s="116">
        <v>487.65</v>
      </c>
      <c r="R2784">
        <v>9206594</v>
      </c>
    </row>
    <row r="2785" spans="1:18" x14ac:dyDescent="0.25">
      <c r="A2785" s="170">
        <v>46104</v>
      </c>
      <c r="B2785">
        <v>499.55</v>
      </c>
      <c r="C2785">
        <v>487.7</v>
      </c>
      <c r="D2785">
        <v>484</v>
      </c>
      <c r="E2785">
        <v>499.1</v>
      </c>
      <c r="F2785">
        <v>487.7</v>
      </c>
      <c r="G2785">
        <v>743483</v>
      </c>
      <c r="H2785" s="116"/>
      <c r="I2785" s="116"/>
      <c r="L2785" s="170">
        <v>46105</v>
      </c>
      <c r="M2785" s="116">
        <v>497.05</v>
      </c>
      <c r="N2785" s="116">
        <v>501.55</v>
      </c>
      <c r="O2785" s="116">
        <v>484.75</v>
      </c>
      <c r="P2785" s="116">
        <v>499</v>
      </c>
      <c r="Q2785" s="116">
        <v>497.05</v>
      </c>
      <c r="R2785">
        <v>8285874</v>
      </c>
    </row>
    <row r="2786" spans="1:18" x14ac:dyDescent="0.25">
      <c r="A2786" s="170">
        <v>46105</v>
      </c>
      <c r="B2786">
        <v>501.35</v>
      </c>
      <c r="C2786">
        <v>497.05</v>
      </c>
      <c r="D2786">
        <v>484.9</v>
      </c>
      <c r="E2786">
        <v>497.75</v>
      </c>
      <c r="F2786">
        <v>497.05</v>
      </c>
      <c r="G2786">
        <v>740982</v>
      </c>
      <c r="H2786" s="116"/>
      <c r="I2786" s="116"/>
      <c r="L2786" s="170">
        <v>46106</v>
      </c>
      <c r="M2786" s="116">
        <v>517.70000000000005</v>
      </c>
      <c r="N2786" s="116">
        <v>521.4</v>
      </c>
      <c r="O2786" s="116">
        <v>510.75</v>
      </c>
      <c r="P2786" s="116">
        <v>511</v>
      </c>
      <c r="Q2786" s="116">
        <v>517.70000000000005</v>
      </c>
      <c r="R2786">
        <v>8498265</v>
      </c>
    </row>
    <row r="2787" spans="1:18" x14ac:dyDescent="0.25">
      <c r="A2787" s="170">
        <v>46106</v>
      </c>
      <c r="B2787">
        <v>521.35</v>
      </c>
      <c r="C2787">
        <v>517.35</v>
      </c>
      <c r="D2787">
        <v>511.2</v>
      </c>
      <c r="E2787">
        <v>511.2</v>
      </c>
      <c r="F2787">
        <v>517.35</v>
      </c>
      <c r="G2787">
        <v>864463</v>
      </c>
      <c r="H2787" s="116"/>
      <c r="I2787" s="116"/>
      <c r="L2787" s="170">
        <v>46108</v>
      </c>
      <c r="M2787" s="116">
        <v>509.7</v>
      </c>
      <c r="N2787" s="116">
        <v>520</v>
      </c>
      <c r="O2787" s="116">
        <v>505</v>
      </c>
      <c r="P2787" s="116">
        <v>506.95</v>
      </c>
      <c r="Q2787" s="116">
        <v>509.7</v>
      </c>
      <c r="R2787">
        <v>6322713</v>
      </c>
    </row>
    <row r="2788" spans="1:18" x14ac:dyDescent="0.25">
      <c r="A2788" s="170">
        <v>46108</v>
      </c>
      <c r="B2788">
        <v>519.70000000000005</v>
      </c>
      <c r="C2788">
        <v>509.5</v>
      </c>
      <c r="D2788">
        <v>505</v>
      </c>
      <c r="E2788">
        <v>511.4</v>
      </c>
      <c r="F2788">
        <v>509.5</v>
      </c>
      <c r="G2788">
        <v>513573</v>
      </c>
      <c r="H2788" s="116"/>
      <c r="I2788" s="116"/>
      <c r="L2788" s="170">
        <v>46111</v>
      </c>
      <c r="M2788" s="116">
        <v>502.15</v>
      </c>
      <c r="N2788" s="116">
        <v>515.70000000000005</v>
      </c>
      <c r="O2788" s="116">
        <v>497.4</v>
      </c>
      <c r="P2788" s="116">
        <v>507.2</v>
      </c>
      <c r="Q2788" s="116">
        <v>502.15</v>
      </c>
      <c r="R2788">
        <v>6642010</v>
      </c>
    </row>
    <row r="2789" spans="1:18" x14ac:dyDescent="0.25">
      <c r="A2789" s="170">
        <v>46111</v>
      </c>
      <c r="B2789">
        <v>515.5</v>
      </c>
      <c r="C2789">
        <v>502.2</v>
      </c>
      <c r="D2789">
        <v>497.6</v>
      </c>
      <c r="E2789">
        <v>507.75</v>
      </c>
      <c r="F2789">
        <v>502.2</v>
      </c>
      <c r="G2789">
        <v>318507</v>
      </c>
      <c r="H2789" s="116"/>
      <c r="I2789" s="116"/>
      <c r="L2789" s="170">
        <v>46113</v>
      </c>
      <c r="M2789" s="116">
        <v>524.45000000000005</v>
      </c>
      <c r="N2789" s="116">
        <v>530.95000000000005</v>
      </c>
      <c r="O2789" s="116">
        <v>516.54999999999995</v>
      </c>
      <c r="P2789" s="116">
        <v>520</v>
      </c>
      <c r="Q2789" s="116">
        <v>524.45000000000005</v>
      </c>
      <c r="R2789">
        <v>6207649</v>
      </c>
    </row>
    <row r="2790" spans="1:18" x14ac:dyDescent="0.25">
      <c r="A2790" s="170">
        <v>46113</v>
      </c>
      <c r="B2790">
        <v>530.79999999999995</v>
      </c>
      <c r="C2790">
        <v>524.35</v>
      </c>
      <c r="D2790">
        <v>516.5</v>
      </c>
      <c r="E2790">
        <v>522.45000000000005</v>
      </c>
      <c r="F2790">
        <v>524.35</v>
      </c>
      <c r="G2790">
        <v>442381</v>
      </c>
      <c r="H2790" s="116"/>
      <c r="I2790" s="116"/>
      <c r="L2790" s="170">
        <v>46114</v>
      </c>
      <c r="M2790" s="116">
        <v>515.75</v>
      </c>
      <c r="N2790" s="116">
        <v>518.4</v>
      </c>
      <c r="O2790" s="116">
        <v>503.35</v>
      </c>
      <c r="P2790" s="116">
        <v>510</v>
      </c>
      <c r="Q2790" s="116">
        <v>515.75</v>
      </c>
      <c r="R2790">
        <v>4387980</v>
      </c>
    </row>
    <row r="2791" spans="1:18" x14ac:dyDescent="0.25">
      <c r="A2791" s="170">
        <v>46114</v>
      </c>
      <c r="B2791">
        <v>518.4</v>
      </c>
      <c r="C2791">
        <v>515.6</v>
      </c>
      <c r="D2791">
        <v>503.3</v>
      </c>
      <c r="E2791">
        <v>514.9</v>
      </c>
      <c r="F2791">
        <v>515.6</v>
      </c>
      <c r="G2791">
        <v>189551</v>
      </c>
      <c r="H2791" s="116"/>
      <c r="I2791" s="116"/>
      <c r="L2791" s="170">
        <v>46118</v>
      </c>
      <c r="M2791" s="116">
        <v>526.04999999999995</v>
      </c>
      <c r="N2791" s="116">
        <v>527.5</v>
      </c>
      <c r="O2791" s="116">
        <v>514.54999999999995</v>
      </c>
      <c r="P2791" s="116">
        <v>515.75</v>
      </c>
      <c r="Q2791" s="116">
        <v>526.04999999999995</v>
      </c>
      <c r="R2791">
        <v>4964299</v>
      </c>
    </row>
    <row r="2792" spans="1:18" x14ac:dyDescent="0.25">
      <c r="A2792" s="170">
        <v>46118</v>
      </c>
      <c r="B2792">
        <v>527.4</v>
      </c>
      <c r="C2792">
        <v>525.85</v>
      </c>
      <c r="D2792">
        <v>514.45000000000005</v>
      </c>
      <c r="E2792">
        <v>517.5</v>
      </c>
      <c r="F2792">
        <v>525.85</v>
      </c>
      <c r="G2792">
        <v>183731</v>
      </c>
      <c r="H2792" s="116"/>
      <c r="I2792" s="116"/>
      <c r="L2792" s="170">
        <v>46119</v>
      </c>
      <c r="M2792" s="116">
        <v>538.75</v>
      </c>
      <c r="N2792" s="116">
        <v>541.5</v>
      </c>
      <c r="O2792" s="116">
        <v>519.1</v>
      </c>
      <c r="P2792" s="116">
        <v>523</v>
      </c>
      <c r="Q2792" s="116">
        <v>538.75</v>
      </c>
      <c r="R2792">
        <v>6126013</v>
      </c>
    </row>
    <row r="2793" spans="1:18" x14ac:dyDescent="0.25">
      <c r="A2793" s="170">
        <v>46119</v>
      </c>
      <c r="B2793">
        <v>541.65</v>
      </c>
      <c r="C2793">
        <v>538.35</v>
      </c>
      <c r="D2793">
        <v>519</v>
      </c>
      <c r="E2793">
        <v>525.15</v>
      </c>
      <c r="F2793">
        <v>538.35</v>
      </c>
      <c r="G2793">
        <v>138373</v>
      </c>
      <c r="H2793" s="116"/>
      <c r="I2793" s="116"/>
      <c r="L2793" s="170">
        <v>46120</v>
      </c>
      <c r="M2793" s="116">
        <v>559.35</v>
      </c>
      <c r="N2793" s="116">
        <v>568.35</v>
      </c>
      <c r="O2793" s="116">
        <v>552.75</v>
      </c>
      <c r="P2793" s="116">
        <v>560.29999999999995</v>
      </c>
      <c r="Q2793" s="116">
        <v>559.35</v>
      </c>
      <c r="R2793">
        <v>6904276</v>
      </c>
    </row>
    <row r="2794" spans="1:18" x14ac:dyDescent="0.25">
      <c r="A2794" s="170">
        <v>46120</v>
      </c>
      <c r="B2794">
        <v>567</v>
      </c>
      <c r="C2794">
        <v>559.15</v>
      </c>
      <c r="D2794">
        <v>553</v>
      </c>
      <c r="E2794">
        <v>561.79999999999995</v>
      </c>
      <c r="F2794">
        <v>559.15</v>
      </c>
      <c r="G2794">
        <v>187482</v>
      </c>
      <c r="H2794" s="116"/>
      <c r="I2794" s="116"/>
      <c r="L2794" s="170">
        <v>46121</v>
      </c>
      <c r="M2794" s="116">
        <v>558.5</v>
      </c>
      <c r="N2794" s="116">
        <v>563.9</v>
      </c>
      <c r="O2794" s="116">
        <v>546.95000000000005</v>
      </c>
      <c r="P2794" s="116">
        <v>554.25</v>
      </c>
      <c r="Q2794" s="116">
        <v>558.5</v>
      </c>
      <c r="R2794">
        <v>3021130</v>
      </c>
    </row>
    <row r="2795" spans="1:18" x14ac:dyDescent="0.25">
      <c r="A2795" s="170">
        <v>46121</v>
      </c>
      <c r="B2795">
        <v>564</v>
      </c>
      <c r="C2795">
        <v>558.54999999999995</v>
      </c>
      <c r="D2795">
        <v>547</v>
      </c>
      <c r="E2795">
        <v>555</v>
      </c>
      <c r="F2795">
        <v>558.54999999999995</v>
      </c>
      <c r="G2795">
        <v>150215</v>
      </c>
      <c r="H2795" s="116"/>
      <c r="I2795" s="116"/>
      <c r="L2795" s="170">
        <v>46122</v>
      </c>
      <c r="M2795" s="116">
        <v>564.6</v>
      </c>
      <c r="N2795" s="116">
        <v>568</v>
      </c>
      <c r="O2795" s="116">
        <v>557</v>
      </c>
      <c r="P2795" s="116">
        <v>565.20000000000005</v>
      </c>
      <c r="Q2795" s="116">
        <v>564.6</v>
      </c>
      <c r="R2795">
        <v>3922334</v>
      </c>
    </row>
    <row r="2796" spans="1:18" x14ac:dyDescent="0.25">
      <c r="A2796" s="170">
        <v>46122</v>
      </c>
      <c r="B2796">
        <v>568.29999999999995</v>
      </c>
      <c r="C2796">
        <v>564.1</v>
      </c>
      <c r="D2796">
        <v>557</v>
      </c>
      <c r="E2796">
        <v>565</v>
      </c>
      <c r="F2796">
        <v>564.1</v>
      </c>
      <c r="G2796">
        <v>245738</v>
      </c>
      <c r="H2796" s="116"/>
      <c r="I2796" s="116"/>
      <c r="L2796" s="170">
        <v>46125</v>
      </c>
      <c r="M2796" s="116">
        <v>562.54999999999995</v>
      </c>
      <c r="N2796" s="116">
        <v>565</v>
      </c>
      <c r="O2796" s="116">
        <v>550</v>
      </c>
      <c r="P2796" s="116">
        <v>550.04999999999995</v>
      </c>
      <c r="Q2796" s="116">
        <v>562.54999999999995</v>
      </c>
      <c r="R2796">
        <v>2766771</v>
      </c>
    </row>
    <row r="2797" spans="1:18" x14ac:dyDescent="0.25">
      <c r="A2797" s="170">
        <v>46125</v>
      </c>
      <c r="B2797">
        <v>565</v>
      </c>
      <c r="C2797">
        <v>562.6</v>
      </c>
      <c r="D2797">
        <v>550</v>
      </c>
      <c r="E2797">
        <v>552.65</v>
      </c>
      <c r="F2797">
        <v>562.6</v>
      </c>
      <c r="G2797">
        <v>113230</v>
      </c>
      <c r="H2797" s="116"/>
      <c r="I2797" s="116"/>
      <c r="L2797" s="170">
        <v>46127</v>
      </c>
      <c r="M2797" s="116">
        <v>580.5</v>
      </c>
      <c r="N2797" s="116">
        <v>593.95000000000005</v>
      </c>
      <c r="O2797" s="116">
        <v>574.20000000000005</v>
      </c>
      <c r="P2797" s="116">
        <v>582.29999999999995</v>
      </c>
      <c r="Q2797" s="116">
        <v>580.5</v>
      </c>
      <c r="R2797">
        <v>7750446</v>
      </c>
    </row>
    <row r="2798" spans="1:18" x14ac:dyDescent="0.25">
      <c r="A2798" s="170">
        <v>46127</v>
      </c>
      <c r="B2798">
        <v>594.15</v>
      </c>
      <c r="C2798">
        <v>580.35</v>
      </c>
      <c r="D2798">
        <v>574.5</v>
      </c>
      <c r="E2798">
        <v>585.25</v>
      </c>
      <c r="F2798">
        <v>580.35</v>
      </c>
      <c r="G2798">
        <v>541557</v>
      </c>
      <c r="H2798" s="116"/>
      <c r="I2798" s="116"/>
      <c r="L2798" s="170">
        <v>46128</v>
      </c>
      <c r="M2798" s="116">
        <v>592.5</v>
      </c>
      <c r="N2798" s="116">
        <v>602.95000000000005</v>
      </c>
      <c r="O2798" s="116">
        <v>585.1</v>
      </c>
      <c r="P2798" s="116">
        <v>589</v>
      </c>
      <c r="Q2798" s="116">
        <v>592.5</v>
      </c>
      <c r="R2798">
        <v>7726706</v>
      </c>
    </row>
    <row r="2799" spans="1:18" x14ac:dyDescent="0.25">
      <c r="A2799" s="170">
        <v>46128</v>
      </c>
      <c r="B2799">
        <v>602.95000000000005</v>
      </c>
      <c r="C2799">
        <v>592.45000000000005</v>
      </c>
      <c r="D2799">
        <v>585.29999999999995</v>
      </c>
      <c r="E2799">
        <v>590.70000000000005</v>
      </c>
      <c r="F2799">
        <v>592.45000000000005</v>
      </c>
      <c r="G2799">
        <v>486942</v>
      </c>
      <c r="H2799" s="116"/>
      <c r="I2799" s="116"/>
      <c r="L2799" s="170">
        <v>46129</v>
      </c>
      <c r="M2799" s="116">
        <v>592.29999999999995</v>
      </c>
      <c r="N2799" s="116">
        <v>595</v>
      </c>
      <c r="O2799" s="116">
        <v>581.29999999999995</v>
      </c>
      <c r="P2799" s="116">
        <v>595</v>
      </c>
      <c r="Q2799" s="116">
        <v>592.29999999999995</v>
      </c>
      <c r="R2799">
        <v>3006129</v>
      </c>
    </row>
    <row r="2800" spans="1:18" x14ac:dyDescent="0.25">
      <c r="A2800" s="170">
        <v>46129</v>
      </c>
      <c r="B2800">
        <v>594.9</v>
      </c>
      <c r="C2800">
        <v>592.35</v>
      </c>
      <c r="D2800">
        <v>581.9</v>
      </c>
      <c r="E2800">
        <v>594.20000000000005</v>
      </c>
      <c r="F2800">
        <v>592.35</v>
      </c>
      <c r="G2800">
        <v>162192</v>
      </c>
      <c r="H2800" s="116"/>
      <c r="I2800" s="116"/>
      <c r="L2800" s="170">
        <v>46132</v>
      </c>
      <c r="M2800" s="116">
        <v>590.29999999999995</v>
      </c>
      <c r="N2800" s="116">
        <v>594</v>
      </c>
      <c r="O2800" s="116">
        <v>579.1</v>
      </c>
      <c r="P2800" s="116">
        <v>592.29999999999995</v>
      </c>
      <c r="Q2800" s="116">
        <v>590.29999999999995</v>
      </c>
      <c r="R2800">
        <v>4194322</v>
      </c>
    </row>
    <row r="2801" spans="1:18" x14ac:dyDescent="0.25">
      <c r="A2801" s="170">
        <v>46132</v>
      </c>
      <c r="B2801">
        <v>593.65</v>
      </c>
      <c r="C2801">
        <v>589.95000000000005</v>
      </c>
      <c r="D2801">
        <v>579</v>
      </c>
      <c r="E2801">
        <v>591.75</v>
      </c>
      <c r="F2801">
        <v>589.95000000000005</v>
      </c>
      <c r="G2801">
        <v>233547</v>
      </c>
      <c r="H2801" s="116"/>
      <c r="I2801" s="116"/>
      <c r="L2801" s="170">
        <v>46133</v>
      </c>
      <c r="M2801" s="116">
        <v>588.5</v>
      </c>
      <c r="N2801" s="116">
        <v>596.75</v>
      </c>
      <c r="O2801" s="116">
        <v>587.29999999999995</v>
      </c>
      <c r="P2801" s="116">
        <v>594</v>
      </c>
      <c r="Q2801" s="116">
        <v>588.5</v>
      </c>
      <c r="R2801">
        <v>3423825</v>
      </c>
    </row>
    <row r="2802" spans="1:18" x14ac:dyDescent="0.25">
      <c r="A2802" s="170">
        <v>46133</v>
      </c>
      <c r="B2802">
        <v>596.54999999999995</v>
      </c>
      <c r="C2802">
        <v>588.45000000000005</v>
      </c>
      <c r="D2802">
        <v>587.5</v>
      </c>
      <c r="E2802">
        <v>594.5</v>
      </c>
      <c r="F2802">
        <v>588.45000000000005</v>
      </c>
      <c r="G2802">
        <v>164921</v>
      </c>
      <c r="H2802" s="116"/>
      <c r="I2802" s="116"/>
      <c r="L2802" s="170">
        <v>46134</v>
      </c>
      <c r="M2802" s="116">
        <v>604.75</v>
      </c>
      <c r="N2802" s="116">
        <v>607.9</v>
      </c>
      <c r="O2802" s="116">
        <v>586.20000000000005</v>
      </c>
      <c r="P2802" s="116">
        <v>595</v>
      </c>
      <c r="Q2802" s="116">
        <v>604.75</v>
      </c>
      <c r="R2802">
        <v>7130375</v>
      </c>
    </row>
    <row r="2803" spans="1:18" x14ac:dyDescent="0.25">
      <c r="A2803" s="170">
        <v>46134</v>
      </c>
      <c r="B2803">
        <v>607.79999999999995</v>
      </c>
      <c r="C2803">
        <v>604.9</v>
      </c>
      <c r="D2803">
        <v>586.25</v>
      </c>
      <c r="E2803">
        <v>595.79999999999995</v>
      </c>
      <c r="F2803">
        <v>604.9</v>
      </c>
      <c r="G2803">
        <v>285757</v>
      </c>
      <c r="H2803" s="116"/>
      <c r="I2803" s="116"/>
      <c r="L2803" s="170">
        <v>46135</v>
      </c>
      <c r="M2803" s="116">
        <v>592.1</v>
      </c>
      <c r="N2803" s="116">
        <v>605</v>
      </c>
      <c r="O2803" s="116">
        <v>590.70000000000005</v>
      </c>
      <c r="P2803" s="116">
        <v>605</v>
      </c>
      <c r="Q2803" s="116">
        <v>592.1</v>
      </c>
      <c r="R2803">
        <v>4804398</v>
      </c>
    </row>
    <row r="2804" spans="1:18" x14ac:dyDescent="0.25">
      <c r="A2804" s="170">
        <v>46135</v>
      </c>
      <c r="B2804">
        <v>604.75</v>
      </c>
      <c r="C2804">
        <v>592.04999999999995</v>
      </c>
      <c r="D2804">
        <v>590.6</v>
      </c>
      <c r="E2804">
        <v>604.29999999999995</v>
      </c>
      <c r="F2804">
        <v>592.04999999999995</v>
      </c>
      <c r="G2804">
        <v>274415</v>
      </c>
      <c r="H2804" s="116"/>
      <c r="I2804" s="116"/>
      <c r="L2804" s="170">
        <v>46136</v>
      </c>
      <c r="M2804" s="116">
        <v>588.5</v>
      </c>
      <c r="N2804" s="116">
        <v>598.5</v>
      </c>
      <c r="O2804" s="116">
        <v>572.79999999999995</v>
      </c>
      <c r="P2804" s="116">
        <v>594</v>
      </c>
      <c r="Q2804" s="116">
        <v>588.5</v>
      </c>
      <c r="R2804">
        <v>13298013</v>
      </c>
    </row>
    <row r="2805" spans="1:18" x14ac:dyDescent="0.25">
      <c r="A2805" s="170">
        <v>46136</v>
      </c>
      <c r="B2805">
        <v>598.35</v>
      </c>
      <c r="C2805">
        <v>588.85</v>
      </c>
      <c r="D2805">
        <v>573</v>
      </c>
      <c r="E2805">
        <v>595</v>
      </c>
      <c r="F2805">
        <v>588.85</v>
      </c>
      <c r="G2805">
        <v>500086</v>
      </c>
      <c r="H2805" s="116"/>
      <c r="I2805" s="116"/>
      <c r="L2805" s="170">
        <v>46139</v>
      </c>
      <c r="M2805" s="116">
        <v>628</v>
      </c>
      <c r="N2805" s="116">
        <v>633.29999999999995</v>
      </c>
      <c r="O2805" s="116">
        <v>594.35</v>
      </c>
      <c r="P2805" s="116">
        <v>606.20000000000005</v>
      </c>
      <c r="Q2805" s="116">
        <v>628</v>
      </c>
      <c r="R2805">
        <v>20875698</v>
      </c>
    </row>
    <row r="2806" spans="1:18" x14ac:dyDescent="0.25">
      <c r="A2806" s="170">
        <v>46139</v>
      </c>
      <c r="B2806">
        <v>633</v>
      </c>
      <c r="C2806">
        <v>627.9</v>
      </c>
      <c r="D2806">
        <v>594.20000000000005</v>
      </c>
      <c r="E2806">
        <v>605</v>
      </c>
      <c r="F2806">
        <v>627.9</v>
      </c>
      <c r="G2806">
        <v>1526818</v>
      </c>
      <c r="H2806" s="116"/>
      <c r="I2806" s="116"/>
      <c r="L2806" s="170">
        <v>46140</v>
      </c>
      <c r="M2806" s="116">
        <v>616.1</v>
      </c>
      <c r="N2806" s="116">
        <v>631.6</v>
      </c>
      <c r="O2806" s="116">
        <v>613.29999999999995</v>
      </c>
      <c r="P2806" s="116">
        <v>629</v>
      </c>
      <c r="Q2806" s="116">
        <v>616.1</v>
      </c>
      <c r="R2806">
        <v>6908389</v>
      </c>
    </row>
    <row r="2807" spans="1:18" x14ac:dyDescent="0.25">
      <c r="A2807" s="170">
        <v>46140</v>
      </c>
      <c r="B2807">
        <v>634.5</v>
      </c>
      <c r="C2807">
        <v>615.95000000000005</v>
      </c>
      <c r="D2807">
        <v>614</v>
      </c>
      <c r="E2807">
        <v>634.5</v>
      </c>
      <c r="F2807">
        <v>615.95000000000005</v>
      </c>
      <c r="G2807">
        <v>290216</v>
      </c>
      <c r="H2807" s="116"/>
      <c r="I2807" s="116"/>
      <c r="L2807" s="170">
        <v>46141</v>
      </c>
      <c r="M2807" s="116">
        <v>613.04999999999995</v>
      </c>
      <c r="N2807" s="116">
        <v>621.9</v>
      </c>
      <c r="O2807" s="116">
        <v>606.1</v>
      </c>
      <c r="P2807" s="116">
        <v>616.1</v>
      </c>
      <c r="Q2807" s="116">
        <v>613.04999999999995</v>
      </c>
      <c r="R2807">
        <v>7983106</v>
      </c>
    </row>
    <row r="2808" spans="1:18" x14ac:dyDescent="0.25">
      <c r="A2808" s="170">
        <v>46141</v>
      </c>
      <c r="B2808">
        <v>621.65</v>
      </c>
      <c r="C2808">
        <v>613.25</v>
      </c>
      <c r="D2808">
        <v>606.04999999999995</v>
      </c>
      <c r="E2808">
        <v>616.95000000000005</v>
      </c>
      <c r="F2808">
        <v>613.25</v>
      </c>
      <c r="G2808">
        <v>258458</v>
      </c>
      <c r="H2808" s="116"/>
      <c r="I2808" s="116"/>
      <c r="L2808" s="170">
        <v>46142</v>
      </c>
      <c r="M2808" s="116">
        <v>595.95000000000005</v>
      </c>
      <c r="N2808" s="116">
        <v>603.4</v>
      </c>
      <c r="O2808" s="116">
        <v>583.35</v>
      </c>
      <c r="P2808" s="116">
        <v>602.6</v>
      </c>
      <c r="Q2808" s="116">
        <v>595.95000000000005</v>
      </c>
      <c r="R2808">
        <v>6646054</v>
      </c>
    </row>
    <row r="2809" spans="1:18" x14ac:dyDescent="0.25">
      <c r="A2809" s="170">
        <v>46142</v>
      </c>
      <c r="B2809">
        <v>604.45000000000005</v>
      </c>
      <c r="C2809">
        <v>595.5</v>
      </c>
      <c r="D2809">
        <v>583.6</v>
      </c>
      <c r="E2809">
        <v>604.45000000000005</v>
      </c>
      <c r="F2809">
        <v>595.5</v>
      </c>
      <c r="G2809">
        <v>502347</v>
      </c>
      <c r="H2809" s="116"/>
      <c r="I2809" s="116"/>
      <c r="L2809" s="170">
        <v>46146</v>
      </c>
      <c r="M2809" s="116">
        <v>605.54999999999995</v>
      </c>
      <c r="N2809" s="116">
        <v>612</v>
      </c>
      <c r="O2809" s="116">
        <v>597.79999999999995</v>
      </c>
      <c r="P2809" s="116">
        <v>600.15</v>
      </c>
      <c r="Q2809" s="116">
        <v>605.54999999999995</v>
      </c>
      <c r="R2809">
        <v>5258525</v>
      </c>
    </row>
    <row r="2810" spans="1:18" x14ac:dyDescent="0.25">
      <c r="A2810" s="170">
        <v>46146</v>
      </c>
      <c r="B2810">
        <v>611.95000000000005</v>
      </c>
      <c r="C2810">
        <v>605.45000000000005</v>
      </c>
      <c r="D2810">
        <v>597.65</v>
      </c>
      <c r="E2810">
        <v>601.85</v>
      </c>
      <c r="F2810">
        <v>605.45000000000005</v>
      </c>
      <c r="G2810">
        <v>148796</v>
      </c>
      <c r="H2810" s="116"/>
      <c r="I2810" s="116"/>
      <c r="L2810" s="170">
        <v>46147</v>
      </c>
      <c r="M2810" s="116">
        <v>611.25</v>
      </c>
      <c r="N2810" s="116">
        <v>614.29999999999995</v>
      </c>
      <c r="O2810" s="116">
        <v>597.29999999999995</v>
      </c>
      <c r="P2810" s="116">
        <v>600</v>
      </c>
      <c r="Q2810" s="116">
        <v>611.25</v>
      </c>
      <c r="R2810">
        <v>4650058</v>
      </c>
    </row>
    <row r="2811" spans="1:18" x14ac:dyDescent="0.25">
      <c r="A2811" s="170">
        <v>46147</v>
      </c>
      <c r="B2811">
        <v>614.45000000000005</v>
      </c>
      <c r="C2811">
        <v>611</v>
      </c>
      <c r="D2811">
        <v>597.15</v>
      </c>
      <c r="E2811">
        <v>602.45000000000005</v>
      </c>
      <c r="F2811">
        <v>611</v>
      </c>
      <c r="G2811">
        <v>131530</v>
      </c>
      <c r="H2811" s="116"/>
      <c r="I2811" s="116"/>
      <c r="L2811" s="170">
        <v>46148</v>
      </c>
      <c r="M2811" s="116">
        <v>634.6</v>
      </c>
      <c r="N2811" s="116">
        <v>638.5</v>
      </c>
      <c r="O2811" s="116">
        <v>616.5</v>
      </c>
      <c r="P2811" s="116">
        <v>620</v>
      </c>
      <c r="Q2811" s="116">
        <v>634.6</v>
      </c>
      <c r="R2811">
        <v>10151710</v>
      </c>
    </row>
    <row r="2812" spans="1:18" x14ac:dyDescent="0.25">
      <c r="A2812" s="170">
        <v>46148</v>
      </c>
      <c r="B2812">
        <v>638.6</v>
      </c>
      <c r="C2812">
        <v>634.5</v>
      </c>
      <c r="D2812">
        <v>616.5</v>
      </c>
      <c r="E2812">
        <v>621.75</v>
      </c>
      <c r="F2812">
        <v>634.5</v>
      </c>
      <c r="G2812">
        <v>355240</v>
      </c>
      <c r="H2812" s="116"/>
      <c r="I2812" s="116"/>
      <c r="L2812" s="170">
        <v>46149</v>
      </c>
      <c r="M2812" s="116">
        <v>636.54999999999995</v>
      </c>
      <c r="N2812" s="116">
        <v>645.65</v>
      </c>
      <c r="O2812" s="116">
        <v>634.6</v>
      </c>
      <c r="P2812" s="116">
        <v>644.9</v>
      </c>
      <c r="Q2812" s="116">
        <v>636.54999999999995</v>
      </c>
      <c r="R2812">
        <v>7886637</v>
      </c>
    </row>
    <row r="2813" spans="1:18" x14ac:dyDescent="0.25">
      <c r="A2813" s="170">
        <v>46149</v>
      </c>
      <c r="B2813">
        <v>645.79999999999995</v>
      </c>
      <c r="C2813">
        <v>635.95000000000005</v>
      </c>
      <c r="D2813">
        <v>634.65</v>
      </c>
      <c r="E2813">
        <v>645.79999999999995</v>
      </c>
      <c r="F2813">
        <v>635.95000000000005</v>
      </c>
      <c r="G2813">
        <v>301373</v>
      </c>
      <c r="H2813" s="116"/>
      <c r="I2813" s="116"/>
      <c r="L2813" s="170">
        <v>46150</v>
      </c>
      <c r="M2813" s="116">
        <v>635.1</v>
      </c>
      <c r="N2813" s="116">
        <v>642.5</v>
      </c>
      <c r="O2813" s="116">
        <v>629.15</v>
      </c>
      <c r="P2813" s="116">
        <v>634.75</v>
      </c>
      <c r="Q2813" s="116">
        <v>635.1</v>
      </c>
      <c r="R2813">
        <v>3564594</v>
      </c>
    </row>
    <row r="2814" spans="1:18" x14ac:dyDescent="0.25">
      <c r="A2814" s="170">
        <v>46150</v>
      </c>
      <c r="B2814">
        <v>642.35</v>
      </c>
      <c r="C2814">
        <v>635</v>
      </c>
      <c r="D2814">
        <v>629.1</v>
      </c>
      <c r="E2814">
        <v>636.70000000000005</v>
      </c>
      <c r="F2814">
        <v>635</v>
      </c>
      <c r="G2814">
        <v>162631</v>
      </c>
      <c r="H2814" s="116"/>
      <c r="I2814" s="116"/>
      <c r="L2814" s="170">
        <v>46153</v>
      </c>
      <c r="M2814" s="116">
        <v>629.1</v>
      </c>
      <c r="N2814" s="116">
        <v>638</v>
      </c>
      <c r="O2814" s="116">
        <v>626.29999999999995</v>
      </c>
      <c r="P2814" s="116">
        <v>631</v>
      </c>
      <c r="Q2814" s="116">
        <v>629.1</v>
      </c>
      <c r="R2814">
        <v>3838263</v>
      </c>
    </row>
    <row r="2815" spans="1:18" x14ac:dyDescent="0.25">
      <c r="A2815" s="170">
        <v>46153</v>
      </c>
      <c r="B2815">
        <v>637.9</v>
      </c>
      <c r="C2815">
        <v>628.85</v>
      </c>
      <c r="D2815">
        <v>626.6</v>
      </c>
      <c r="E2815">
        <v>633.70000000000005</v>
      </c>
      <c r="F2815">
        <v>628.85</v>
      </c>
      <c r="G2815">
        <v>170407</v>
      </c>
      <c r="H2815" s="116"/>
      <c r="I2815" s="116"/>
      <c r="L2815" s="170">
        <v>46154</v>
      </c>
      <c r="M2815" s="116">
        <v>641.9</v>
      </c>
      <c r="N2815" s="116">
        <v>653.25</v>
      </c>
      <c r="O2815" s="116">
        <v>639.20000000000005</v>
      </c>
      <c r="P2815" s="116">
        <v>647</v>
      </c>
      <c r="Q2815" s="116">
        <v>641.9</v>
      </c>
      <c r="R2815">
        <v>12959003</v>
      </c>
    </row>
    <row r="2816" spans="1:18" x14ac:dyDescent="0.25">
      <c r="A2816" s="170">
        <v>46154</v>
      </c>
      <c r="B2816">
        <v>653</v>
      </c>
      <c r="C2816">
        <v>641.54999999999995</v>
      </c>
      <c r="D2816">
        <v>639.1</v>
      </c>
      <c r="E2816">
        <v>649.95000000000005</v>
      </c>
      <c r="F2816">
        <v>641.54999999999995</v>
      </c>
      <c r="G2816">
        <v>614759</v>
      </c>
      <c r="H2816" s="116"/>
      <c r="I2816" s="116"/>
      <c r="L2816" s="170">
        <v>46155</v>
      </c>
      <c r="M2816" s="116">
        <v>667.1</v>
      </c>
      <c r="N2816" s="116">
        <v>676.8</v>
      </c>
      <c r="O2816" s="116">
        <v>659.95</v>
      </c>
      <c r="P2816" s="116">
        <v>660</v>
      </c>
      <c r="Q2816" s="116">
        <v>667.1</v>
      </c>
      <c r="R2816">
        <v>12976174</v>
      </c>
    </row>
    <row r="2817" spans="1:18" x14ac:dyDescent="0.25">
      <c r="A2817" s="170">
        <v>46155</v>
      </c>
      <c r="B2817">
        <v>677.1</v>
      </c>
      <c r="C2817">
        <v>667.35</v>
      </c>
      <c r="D2817">
        <v>659.95</v>
      </c>
      <c r="E2817">
        <v>659.95</v>
      </c>
      <c r="F2817">
        <v>667.35</v>
      </c>
      <c r="G2817">
        <v>656530</v>
      </c>
      <c r="H2817" s="116"/>
      <c r="I2817" s="116"/>
      <c r="L2817" s="170">
        <v>46156</v>
      </c>
      <c r="M2817" s="116">
        <v>669.25</v>
      </c>
      <c r="N2817" s="116">
        <v>678.25</v>
      </c>
      <c r="O2817" s="116">
        <v>664</v>
      </c>
      <c r="P2817" s="116">
        <v>674</v>
      </c>
      <c r="Q2817" s="116">
        <v>669.25</v>
      </c>
      <c r="R2817">
        <v>6362142</v>
      </c>
    </row>
    <row r="2818" spans="1:18" x14ac:dyDescent="0.25">
      <c r="A2818" s="170">
        <v>46156</v>
      </c>
      <c r="B2818">
        <v>678.3</v>
      </c>
      <c r="C2818">
        <v>669.1</v>
      </c>
      <c r="D2818">
        <v>663.8</v>
      </c>
      <c r="E2818">
        <v>672.95</v>
      </c>
      <c r="F2818">
        <v>669.1</v>
      </c>
      <c r="G2818">
        <v>598364</v>
      </c>
      <c r="H2818" s="116"/>
      <c r="I2818" s="116"/>
      <c r="L2818" s="170">
        <v>46157</v>
      </c>
      <c r="M2818" s="116">
        <v>637.79999999999995</v>
      </c>
      <c r="N2818" s="116">
        <v>659.95</v>
      </c>
      <c r="O2818" s="116">
        <v>632.15</v>
      </c>
      <c r="P2818" s="116">
        <v>659.95</v>
      </c>
      <c r="Q2818" s="116">
        <v>637.79999999999995</v>
      </c>
      <c r="R2818">
        <v>8677803</v>
      </c>
    </row>
    <row r="2819" spans="1:18" x14ac:dyDescent="0.25">
      <c r="A2819" s="170">
        <v>46157</v>
      </c>
      <c r="B2819">
        <v>662.2</v>
      </c>
      <c r="C2819">
        <v>637.45000000000005</v>
      </c>
      <c r="D2819">
        <v>632.54999999999995</v>
      </c>
      <c r="E2819">
        <v>662.2</v>
      </c>
      <c r="F2819">
        <v>637.45000000000005</v>
      </c>
      <c r="G2819">
        <v>315702</v>
      </c>
      <c r="H2819" s="116"/>
      <c r="I2819" s="116"/>
      <c r="L2819" s="170">
        <v>46160</v>
      </c>
      <c r="M2819" s="116">
        <v>636.5</v>
      </c>
      <c r="N2819" s="116">
        <v>637.95000000000005</v>
      </c>
      <c r="O2819" s="116">
        <v>619.25</v>
      </c>
      <c r="P2819" s="116">
        <v>625</v>
      </c>
      <c r="Q2819" s="116">
        <v>636.5</v>
      </c>
      <c r="R2819">
        <v>5531862</v>
      </c>
    </row>
    <row r="2820" spans="1:18" x14ac:dyDescent="0.25">
      <c r="A2820" s="170">
        <v>46160</v>
      </c>
      <c r="B2820">
        <v>637.79999999999995</v>
      </c>
      <c r="C2820">
        <v>636.6</v>
      </c>
      <c r="D2820">
        <v>619.1</v>
      </c>
      <c r="E2820">
        <v>629.85</v>
      </c>
      <c r="F2820">
        <v>636.6</v>
      </c>
      <c r="G2820">
        <v>277532</v>
      </c>
      <c r="H2820" s="116"/>
      <c r="I2820" s="116"/>
      <c r="L2820" s="170">
        <v>46161</v>
      </c>
      <c r="M2820" s="116">
        <v>632.6</v>
      </c>
      <c r="N2820" s="116">
        <v>638.54999999999995</v>
      </c>
      <c r="O2820" s="116">
        <v>625.6</v>
      </c>
      <c r="P2820" s="116">
        <v>637</v>
      </c>
      <c r="Q2820" s="116">
        <v>632.6</v>
      </c>
      <c r="R2820">
        <v>3473965</v>
      </c>
    </row>
    <row r="2821" spans="1:18" x14ac:dyDescent="0.25">
      <c r="A2821" s="170">
        <v>46161</v>
      </c>
      <c r="B2821">
        <v>639.70000000000005</v>
      </c>
      <c r="C2821">
        <v>632.29999999999995</v>
      </c>
      <c r="D2821">
        <v>625.54999999999995</v>
      </c>
      <c r="E2821">
        <v>636.9</v>
      </c>
      <c r="F2821">
        <v>632.29999999999995</v>
      </c>
      <c r="G2821">
        <v>223930</v>
      </c>
      <c r="H2821" s="116"/>
      <c r="I2821" s="116"/>
      <c r="L2821" s="170">
        <v>46162</v>
      </c>
      <c r="M2821" s="116">
        <v>630.45000000000005</v>
      </c>
      <c r="N2821" s="116">
        <v>632.75</v>
      </c>
      <c r="O2821" s="116">
        <v>615.5</v>
      </c>
      <c r="P2821" s="116">
        <v>622.5</v>
      </c>
      <c r="Q2821" s="116">
        <v>630.45000000000005</v>
      </c>
      <c r="R2821">
        <v>4747014</v>
      </c>
    </row>
    <row r="2822" spans="1:18" x14ac:dyDescent="0.25">
      <c r="A2822" s="170">
        <v>46162</v>
      </c>
      <c r="B2822">
        <v>632.35</v>
      </c>
      <c r="C2822">
        <v>630.70000000000005</v>
      </c>
      <c r="D2822">
        <v>616.1</v>
      </c>
      <c r="E2822">
        <v>619.5</v>
      </c>
      <c r="F2822">
        <v>630.70000000000005</v>
      </c>
      <c r="G2822">
        <v>346394</v>
      </c>
      <c r="H2822" s="116"/>
      <c r="I2822" s="116"/>
      <c r="L2822" s="170">
        <v>46163</v>
      </c>
      <c r="M2822" s="116">
        <v>628.04999999999995</v>
      </c>
      <c r="N2822" s="116">
        <v>638</v>
      </c>
      <c r="O2822" s="116">
        <v>625.6</v>
      </c>
      <c r="P2822" s="116">
        <v>634</v>
      </c>
      <c r="Q2822" s="116">
        <v>628.04999999999995</v>
      </c>
      <c r="R2822">
        <v>4109787</v>
      </c>
    </row>
    <row r="2823" spans="1:18" x14ac:dyDescent="0.25">
      <c r="A2823" s="170">
        <v>46163</v>
      </c>
      <c r="B2823">
        <v>638.35</v>
      </c>
      <c r="C2823">
        <v>628.25</v>
      </c>
      <c r="D2823">
        <v>626.04999999999995</v>
      </c>
      <c r="E2823">
        <v>632.29999999999995</v>
      </c>
      <c r="F2823">
        <v>628.25</v>
      </c>
      <c r="G2823">
        <v>276920</v>
      </c>
      <c r="H2823" s="116"/>
      <c r="I2823" s="116"/>
      <c r="L2823" s="170">
        <v>46164</v>
      </c>
      <c r="M2823" s="116">
        <v>632.25</v>
      </c>
      <c r="N2823" s="116">
        <v>643.6</v>
      </c>
      <c r="O2823" s="116">
        <v>629.9</v>
      </c>
      <c r="P2823" s="116">
        <v>631.79999999999995</v>
      </c>
      <c r="Q2823" s="116">
        <v>632.25</v>
      </c>
      <c r="R2823">
        <v>3870439</v>
      </c>
    </row>
    <row r="2824" spans="1:18" x14ac:dyDescent="0.25">
      <c r="A2824" s="170">
        <v>46164</v>
      </c>
      <c r="B2824">
        <v>643.45000000000005</v>
      </c>
      <c r="C2824">
        <v>631.9</v>
      </c>
      <c r="D2824">
        <v>629.75</v>
      </c>
      <c r="E2824">
        <v>630.20000000000005</v>
      </c>
      <c r="F2824">
        <v>631.9</v>
      </c>
      <c r="G2824">
        <v>344312</v>
      </c>
      <c r="H2824" s="116"/>
      <c r="I2824" s="116"/>
      <c r="L2824" s="170">
        <v>46167</v>
      </c>
      <c r="M2824" s="116">
        <v>634.5</v>
      </c>
      <c r="N2824" s="116">
        <v>642.4</v>
      </c>
      <c r="O2824" s="116">
        <v>633.20000000000005</v>
      </c>
      <c r="P2824" s="116">
        <v>640</v>
      </c>
      <c r="Q2824" s="116">
        <v>634.5</v>
      </c>
      <c r="R2824">
        <v>3122036</v>
      </c>
    </row>
    <row r="2825" spans="1:18" x14ac:dyDescent="0.25">
      <c r="A2825" s="170">
        <v>46167</v>
      </c>
      <c r="B2825">
        <v>642.20000000000005</v>
      </c>
      <c r="C2825">
        <v>634.70000000000005</v>
      </c>
      <c r="D2825">
        <v>633.20000000000005</v>
      </c>
      <c r="E2825">
        <v>641.9</v>
      </c>
      <c r="F2825">
        <v>634.70000000000005</v>
      </c>
      <c r="G2825">
        <v>198488</v>
      </c>
      <c r="H2825" s="116"/>
      <c r="I2825" s="116"/>
      <c r="L2825" s="170">
        <v>46168</v>
      </c>
      <c r="M2825" s="116">
        <v>647.4</v>
      </c>
      <c r="N2825" s="116">
        <v>648.4</v>
      </c>
      <c r="O2825" s="116">
        <v>629.65</v>
      </c>
      <c r="P2825" s="116">
        <v>631.9</v>
      </c>
      <c r="Q2825" s="116">
        <v>647.4</v>
      </c>
      <c r="R2825">
        <v>7893675</v>
      </c>
    </row>
    <row r="2826" spans="1:18" x14ac:dyDescent="0.25">
      <c r="A2826" s="170">
        <v>46168</v>
      </c>
      <c r="B2826">
        <v>648.5</v>
      </c>
      <c r="C2826">
        <v>647.04999999999995</v>
      </c>
      <c r="D2826">
        <v>629.54999999999995</v>
      </c>
      <c r="E2826">
        <v>633.35</v>
      </c>
      <c r="F2826">
        <v>647.04999999999995</v>
      </c>
      <c r="G2826">
        <v>403149</v>
      </c>
      <c r="H2826" s="116"/>
      <c r="I2826" s="116"/>
      <c r="L2826" s="170">
        <v>46169</v>
      </c>
      <c r="M2826" s="116">
        <v>648.85</v>
      </c>
      <c r="N2826" s="116">
        <v>659.85</v>
      </c>
      <c r="O2826" s="116">
        <v>647.45000000000005</v>
      </c>
      <c r="P2826" s="116">
        <v>650.1</v>
      </c>
      <c r="Q2826" s="116">
        <v>648.85</v>
      </c>
      <c r="R2826">
        <v>4473837</v>
      </c>
    </row>
    <row r="2827" spans="1:18" x14ac:dyDescent="0.25">
      <c r="A2827" s="170">
        <v>46169</v>
      </c>
      <c r="B2827">
        <v>659.8</v>
      </c>
      <c r="C2827">
        <v>648.95000000000005</v>
      </c>
      <c r="D2827">
        <v>647.54999999999995</v>
      </c>
      <c r="E2827">
        <v>649.9</v>
      </c>
      <c r="F2827">
        <v>648.95000000000005</v>
      </c>
      <c r="G2827">
        <v>157458</v>
      </c>
      <c r="H2827" s="116"/>
      <c r="I2827" s="116"/>
      <c r="L2827" s="170">
        <v>46171</v>
      </c>
      <c r="M2827" s="116">
        <v>632.95000000000005</v>
      </c>
      <c r="N2827" s="116">
        <v>656.25</v>
      </c>
      <c r="O2827" s="116">
        <v>630</v>
      </c>
      <c r="P2827" s="116">
        <v>652.95000000000005</v>
      </c>
      <c r="Q2827" s="116">
        <v>632.95000000000005</v>
      </c>
      <c r="R2827">
        <v>4146682</v>
      </c>
    </row>
    <row r="2828" spans="1:18" x14ac:dyDescent="0.25">
      <c r="A2828" s="170">
        <v>46171</v>
      </c>
      <c r="B2828">
        <v>656.35</v>
      </c>
      <c r="C2828">
        <v>632.5</v>
      </c>
      <c r="D2828">
        <v>630</v>
      </c>
      <c r="E2828">
        <v>651.65</v>
      </c>
      <c r="F2828">
        <v>632.5</v>
      </c>
      <c r="G2828">
        <v>280105</v>
      </c>
      <c r="H2828" s="116"/>
      <c r="I2828" s="116"/>
      <c r="L2828" s="170">
        <v>46174</v>
      </c>
      <c r="M2828" s="116">
        <v>626.25</v>
      </c>
      <c r="N2828" s="116">
        <v>639.95000000000005</v>
      </c>
      <c r="O2828" s="116">
        <v>624.5</v>
      </c>
      <c r="P2828" s="116">
        <v>635.95000000000005</v>
      </c>
      <c r="Q2828" s="116">
        <v>626.25</v>
      </c>
      <c r="R2828">
        <v>2422723</v>
      </c>
    </row>
    <row r="2829" spans="1:18" x14ac:dyDescent="0.25">
      <c r="A2829" s="170">
        <v>46174</v>
      </c>
      <c r="B2829">
        <v>639.5</v>
      </c>
      <c r="C2829">
        <v>626.20000000000005</v>
      </c>
      <c r="D2829">
        <v>624.6</v>
      </c>
      <c r="E2829">
        <v>635.15</v>
      </c>
      <c r="F2829">
        <v>626.20000000000005</v>
      </c>
      <c r="G2829">
        <v>108698</v>
      </c>
      <c r="H2829" s="116"/>
      <c r="I2829" s="116"/>
      <c r="L2829" s="170">
        <v>46175</v>
      </c>
      <c r="M2829" s="116">
        <v>625.1</v>
      </c>
      <c r="N2829" s="116">
        <v>631.5</v>
      </c>
      <c r="O2829" s="116">
        <v>616.65</v>
      </c>
      <c r="P2829" s="116">
        <v>630</v>
      </c>
      <c r="Q2829" s="116">
        <v>625.1</v>
      </c>
      <c r="R2829">
        <v>4944548</v>
      </c>
    </row>
    <row r="2830" spans="1:18" x14ac:dyDescent="0.25">
      <c r="A2830" s="170">
        <v>46175</v>
      </c>
      <c r="B2830">
        <v>631.4</v>
      </c>
      <c r="C2830">
        <v>625.1</v>
      </c>
      <c r="D2830">
        <v>617</v>
      </c>
      <c r="E2830">
        <v>631.4</v>
      </c>
      <c r="F2830">
        <v>625.1</v>
      </c>
      <c r="G2830">
        <v>130854</v>
      </c>
      <c r="H2830" s="116"/>
      <c r="I2830" s="116"/>
      <c r="L2830" s="170">
        <v>46176</v>
      </c>
      <c r="M2830" s="116">
        <v>610.54999999999995</v>
      </c>
      <c r="N2830" s="116">
        <v>628</v>
      </c>
      <c r="O2830" s="116">
        <v>607.25</v>
      </c>
      <c r="P2830" s="116">
        <v>622</v>
      </c>
      <c r="Q2830" s="116">
        <v>610.54999999999995</v>
      </c>
      <c r="R2830">
        <v>3429070</v>
      </c>
    </row>
    <row r="2831" spans="1:18" x14ac:dyDescent="0.25">
      <c r="A2831" s="170">
        <v>46176</v>
      </c>
      <c r="B2831">
        <v>623.95000000000005</v>
      </c>
      <c r="C2831">
        <v>610.29999999999995</v>
      </c>
      <c r="D2831">
        <v>607.5</v>
      </c>
      <c r="E2831">
        <v>621.95000000000005</v>
      </c>
      <c r="F2831">
        <v>610.29999999999995</v>
      </c>
      <c r="G2831">
        <v>180537</v>
      </c>
      <c r="H2831" s="116"/>
      <c r="I2831" s="116"/>
      <c r="L2831" s="170">
        <v>46177</v>
      </c>
      <c r="M2831" s="116">
        <v>603.85</v>
      </c>
      <c r="N2831" s="116">
        <v>613.29999999999995</v>
      </c>
      <c r="O2831" s="116">
        <v>601.75</v>
      </c>
      <c r="P2831" s="116">
        <v>609</v>
      </c>
      <c r="Q2831" s="116">
        <v>603.85</v>
      </c>
      <c r="R2831">
        <v>2045867</v>
      </c>
    </row>
    <row r="2832" spans="1:18" x14ac:dyDescent="0.25">
      <c r="A2832" s="170">
        <v>46177</v>
      </c>
      <c r="B2832">
        <v>613.35</v>
      </c>
      <c r="C2832">
        <v>603.75</v>
      </c>
      <c r="D2832">
        <v>601.85</v>
      </c>
      <c r="E2832">
        <v>610</v>
      </c>
      <c r="F2832">
        <v>603.75</v>
      </c>
      <c r="G2832">
        <v>68079</v>
      </c>
      <c r="H2832" s="116"/>
      <c r="I2832" s="116"/>
      <c r="L2832" s="170">
        <v>46178</v>
      </c>
      <c r="M2832" s="116">
        <v>566.79999999999995</v>
      </c>
      <c r="N2832" s="116">
        <v>605.54999999999995</v>
      </c>
      <c r="O2832" s="116">
        <v>564</v>
      </c>
      <c r="P2832" s="116">
        <v>605</v>
      </c>
      <c r="Q2832" s="116">
        <v>566.79999999999995</v>
      </c>
      <c r="R2832">
        <v>10696453</v>
      </c>
    </row>
    <row r="2833" spans="1:18" x14ac:dyDescent="0.25">
      <c r="A2833" s="170">
        <v>46178</v>
      </c>
      <c r="B2833">
        <v>606.5</v>
      </c>
      <c r="C2833">
        <v>567</v>
      </c>
      <c r="D2833">
        <v>564.04999999999995</v>
      </c>
      <c r="E2833">
        <v>606.5</v>
      </c>
      <c r="F2833">
        <v>567</v>
      </c>
      <c r="G2833">
        <v>399170</v>
      </c>
      <c r="H2833" s="116"/>
      <c r="I2833" s="116"/>
      <c r="L2833" s="170">
        <v>46181</v>
      </c>
      <c r="M2833" s="116">
        <v>556</v>
      </c>
      <c r="N2833" s="116">
        <v>568.95000000000005</v>
      </c>
      <c r="O2833" s="116">
        <v>554</v>
      </c>
      <c r="P2833" s="116">
        <v>555</v>
      </c>
      <c r="Q2833" s="116">
        <v>556</v>
      </c>
      <c r="R2833">
        <v>3992032</v>
      </c>
    </row>
    <row r="2834" spans="1:18" x14ac:dyDescent="0.25">
      <c r="A2834" s="170">
        <v>46181</v>
      </c>
      <c r="B2834">
        <v>569</v>
      </c>
      <c r="C2834">
        <v>555.85</v>
      </c>
      <c r="D2834">
        <v>554</v>
      </c>
      <c r="E2834">
        <v>556.70000000000005</v>
      </c>
      <c r="F2834">
        <v>555.85</v>
      </c>
      <c r="G2834">
        <v>350268</v>
      </c>
      <c r="H2834" s="116"/>
      <c r="I2834" s="116"/>
      <c r="L2834" s="170">
        <v>46182</v>
      </c>
      <c r="M2834" s="116">
        <v>563.65</v>
      </c>
      <c r="N2834" s="116">
        <v>572.75</v>
      </c>
      <c r="O2834" s="116">
        <v>556.4</v>
      </c>
      <c r="P2834" s="116">
        <v>557</v>
      </c>
      <c r="Q2834" s="116">
        <v>563.65</v>
      </c>
      <c r="R2834">
        <v>2919999</v>
      </c>
    </row>
    <row r="2835" spans="1:18" x14ac:dyDescent="0.25">
      <c r="A2835" s="170">
        <v>46182</v>
      </c>
      <c r="B2835">
        <v>572.29999999999995</v>
      </c>
      <c r="C2835">
        <v>563.70000000000005</v>
      </c>
      <c r="D2835">
        <v>557</v>
      </c>
      <c r="E2835">
        <v>559.5</v>
      </c>
      <c r="F2835">
        <v>563.70000000000005</v>
      </c>
      <c r="G2835">
        <v>125854</v>
      </c>
      <c r="H2835" s="116"/>
      <c r="I2835" s="116"/>
      <c r="L2835" s="170">
        <v>46183</v>
      </c>
      <c r="M2835" s="116">
        <v>547.54999999999995</v>
      </c>
      <c r="N2835" s="116">
        <v>554.85</v>
      </c>
      <c r="O2835" s="116">
        <v>541.25</v>
      </c>
      <c r="P2835" s="116">
        <v>554.65</v>
      </c>
      <c r="Q2835" s="116">
        <v>547.54999999999995</v>
      </c>
      <c r="R2835">
        <v>7206504</v>
      </c>
    </row>
    <row r="2836" spans="1:18" x14ac:dyDescent="0.25">
      <c r="A2836" s="170">
        <v>46183</v>
      </c>
      <c r="B2836">
        <v>554.95000000000005</v>
      </c>
      <c r="C2836">
        <v>547.54999999999995</v>
      </c>
      <c r="D2836">
        <v>541.20000000000005</v>
      </c>
      <c r="E2836">
        <v>554.95000000000005</v>
      </c>
      <c r="F2836">
        <v>547.54999999999995</v>
      </c>
      <c r="G2836">
        <v>367062</v>
      </c>
      <c r="H2836" s="116"/>
      <c r="I2836" s="116"/>
      <c r="L2836" s="170">
        <v>46184</v>
      </c>
      <c r="M2836" s="116">
        <v>545</v>
      </c>
      <c r="N2836" s="116">
        <v>554.4</v>
      </c>
      <c r="O2836" s="116">
        <v>534.45000000000005</v>
      </c>
      <c r="P2836" s="116">
        <v>534.5</v>
      </c>
      <c r="Q2836" s="116">
        <v>545</v>
      </c>
      <c r="R2836">
        <v>3678148</v>
      </c>
    </row>
    <row r="2837" spans="1:18" x14ac:dyDescent="0.25">
      <c r="A2837" s="170">
        <v>46184</v>
      </c>
      <c r="B2837">
        <v>554.35</v>
      </c>
      <c r="C2837">
        <v>544.95000000000005</v>
      </c>
      <c r="D2837">
        <v>534.79999999999995</v>
      </c>
      <c r="E2837">
        <v>536</v>
      </c>
      <c r="F2837">
        <v>544.95000000000005</v>
      </c>
      <c r="G2837">
        <v>189589</v>
      </c>
      <c r="H2837" s="116"/>
      <c r="I2837" s="116"/>
      <c r="L2837" s="170">
        <v>46185</v>
      </c>
      <c r="M2837" s="116">
        <v>559.9</v>
      </c>
      <c r="N2837" s="116">
        <v>565</v>
      </c>
      <c r="O2837" s="116">
        <v>555.1</v>
      </c>
      <c r="P2837" s="116">
        <v>560.95000000000005</v>
      </c>
      <c r="Q2837" s="116">
        <v>559.9</v>
      </c>
      <c r="R2837">
        <v>2992652</v>
      </c>
    </row>
    <row r="2838" spans="1:18" x14ac:dyDescent="0.25">
      <c r="A2838" s="170">
        <v>46185</v>
      </c>
      <c r="B2838">
        <v>564.9</v>
      </c>
      <c r="C2838">
        <v>559.85</v>
      </c>
      <c r="D2838">
        <v>555</v>
      </c>
      <c r="E2838">
        <v>560.95000000000005</v>
      </c>
      <c r="F2838">
        <v>559.85</v>
      </c>
      <c r="G2838">
        <v>151953</v>
      </c>
      <c r="H2838" s="116"/>
      <c r="I2838" s="116"/>
      <c r="L2838" s="170">
        <v>46188</v>
      </c>
      <c r="M2838" s="116">
        <v>563.85</v>
      </c>
      <c r="N2838" s="116">
        <v>579.35</v>
      </c>
      <c r="O2838" s="116">
        <v>562.4</v>
      </c>
      <c r="P2838" s="116">
        <v>571</v>
      </c>
      <c r="Q2838" s="116">
        <v>563.85</v>
      </c>
      <c r="R2838">
        <v>5046258</v>
      </c>
    </row>
    <row r="2839" spans="1:18" x14ac:dyDescent="0.25">
      <c r="A2839" s="170">
        <v>46188</v>
      </c>
      <c r="B2839">
        <v>579.35</v>
      </c>
      <c r="C2839">
        <v>563.6</v>
      </c>
      <c r="D2839">
        <v>562.15</v>
      </c>
      <c r="E2839">
        <v>574.79999999999995</v>
      </c>
      <c r="F2839">
        <v>563.6</v>
      </c>
      <c r="G2839">
        <v>239649</v>
      </c>
      <c r="H2839" s="116"/>
      <c r="I2839" s="116"/>
      <c r="L2839" s="170">
        <v>46189</v>
      </c>
      <c r="M2839" s="116">
        <v>564.29999999999995</v>
      </c>
      <c r="N2839" s="116">
        <v>566.9</v>
      </c>
      <c r="O2839" s="116">
        <v>557.45000000000005</v>
      </c>
      <c r="P2839" s="116">
        <v>565</v>
      </c>
      <c r="Q2839" s="116">
        <v>564.29999999999995</v>
      </c>
      <c r="R2839">
        <v>2663318</v>
      </c>
    </row>
    <row r="2840" spans="1:18" x14ac:dyDescent="0.25">
      <c r="A2840" s="170">
        <v>46189</v>
      </c>
      <c r="B2840">
        <v>566.65</v>
      </c>
      <c r="C2840">
        <v>564.45000000000005</v>
      </c>
      <c r="D2840">
        <v>557.54999999999995</v>
      </c>
      <c r="E2840">
        <v>566.65</v>
      </c>
      <c r="F2840">
        <v>564.45000000000005</v>
      </c>
      <c r="G2840">
        <v>92484</v>
      </c>
      <c r="H2840" s="116"/>
      <c r="I2840" s="116"/>
      <c r="L2840" s="170">
        <v>46190</v>
      </c>
      <c r="M2840" s="116">
        <v>572.54999999999995</v>
      </c>
      <c r="N2840" s="116">
        <v>574.04999999999995</v>
      </c>
      <c r="O2840" s="116">
        <v>561</v>
      </c>
      <c r="P2840" s="116">
        <v>564.29999999999995</v>
      </c>
      <c r="Q2840" s="116">
        <v>572.54999999999995</v>
      </c>
      <c r="R2840">
        <v>3938599</v>
      </c>
    </row>
    <row r="2841" spans="1:18" x14ac:dyDescent="0.25">
      <c r="A2841" s="170">
        <v>46190</v>
      </c>
      <c r="B2841">
        <v>573.79999999999995</v>
      </c>
      <c r="C2841">
        <v>572.5</v>
      </c>
      <c r="D2841">
        <v>560.85</v>
      </c>
      <c r="E2841">
        <v>564.29999999999995</v>
      </c>
      <c r="F2841">
        <v>572.5</v>
      </c>
      <c r="G2841">
        <v>251769</v>
      </c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2026-06-17T13:15:25Z</dcterms:modified>
  <cp:category/>
  <cp:contentStatus/>
</cp:coreProperties>
</file>